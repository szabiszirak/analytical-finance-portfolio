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enovo\Desktop\Egyetem\Numpü\házi feladatok\"/>
    </mc:Choice>
  </mc:AlternateContent>
  <xr:revisionPtr revIDLastSave="0" documentId="13_ncr:1_{1002B2CB-8490-4E62-A84E-9C90351659EE}" xr6:coauthVersionLast="47" xr6:coauthVersionMax="47" xr10:uidLastSave="{00000000-0000-0000-0000-000000000000}"/>
  <bookViews>
    <workbookView xWindow="-108" yWindow="-108" windowWidth="23256" windowHeight="12456" xr2:uid="{340ED1AF-6097-4E2E-80F0-A6A024883EFD}"/>
  </bookViews>
  <sheets>
    <sheet name="Számolások" sheetId="1" r:id="rId1"/>
    <sheet name="Ábrázolá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5" i="1" l="1"/>
  <c r="AB4" i="1"/>
  <c r="B1" i="2"/>
  <c r="AC3" i="1" s="1"/>
  <c r="AB3" i="1" s="1"/>
  <c r="AA6" i="1" l="1"/>
  <c r="D6" i="2"/>
  <c r="AC4" i="1" l="1"/>
  <c r="AE4" i="1" s="1"/>
  <c r="AC5" i="1" l="1"/>
  <c r="AB5" i="1" s="1"/>
  <c r="D8" i="2" s="1"/>
  <c r="J3" i="2" s="1"/>
  <c r="AF4" i="1"/>
  <c r="AE5" i="1" l="1"/>
  <c r="AF5" i="1" s="1"/>
  <c r="AE6" i="1" l="1"/>
  <c r="AE7" i="1" s="1"/>
  <c r="AE8" i="1" s="1"/>
  <c r="AE9" i="1" s="1"/>
  <c r="AF6" i="1" l="1"/>
  <c r="AF8" i="1"/>
  <c r="AF7" i="1"/>
  <c r="AE10" i="1"/>
  <c r="AF9" i="1"/>
  <c r="AE11" i="1" l="1"/>
  <c r="AF10" i="1"/>
  <c r="AE12" i="1" l="1"/>
  <c r="AF11" i="1"/>
  <c r="AE13" i="1" l="1"/>
  <c r="AF12" i="1"/>
  <c r="AE14" i="1" l="1"/>
  <c r="AF13" i="1"/>
  <c r="AE15" i="1" l="1"/>
  <c r="AF14" i="1"/>
  <c r="AE16" i="1" l="1"/>
  <c r="AF15" i="1"/>
  <c r="AE17" i="1" l="1"/>
  <c r="AF16" i="1"/>
  <c r="AE18" i="1" l="1"/>
  <c r="AF17" i="1"/>
  <c r="AE19" i="1" l="1"/>
  <c r="AF18" i="1"/>
  <c r="AE20" i="1" l="1"/>
  <c r="AF19" i="1"/>
  <c r="AE21" i="1" l="1"/>
  <c r="AF20" i="1"/>
  <c r="AE22" i="1" l="1"/>
  <c r="AF21" i="1"/>
  <c r="AE23" i="1" l="1"/>
  <c r="AF22" i="1"/>
  <c r="AE24" i="1" l="1"/>
  <c r="AF23" i="1"/>
  <c r="AE25" i="1" l="1"/>
  <c r="AF24" i="1"/>
  <c r="AE26" i="1" l="1"/>
  <c r="AF25" i="1"/>
  <c r="AE27" i="1" l="1"/>
  <c r="AF26" i="1"/>
  <c r="AE28" i="1" l="1"/>
  <c r="AF27" i="1"/>
  <c r="AE29" i="1" l="1"/>
  <c r="AF28" i="1"/>
  <c r="AE30" i="1" l="1"/>
  <c r="AF29" i="1"/>
  <c r="AE31" i="1" l="1"/>
  <c r="AF30" i="1"/>
  <c r="AE32" i="1" l="1"/>
  <c r="AF31" i="1"/>
  <c r="AE33" i="1" l="1"/>
  <c r="AF32" i="1"/>
  <c r="AE34" i="1" l="1"/>
  <c r="AF33" i="1"/>
  <c r="AE35" i="1" l="1"/>
  <c r="AF34" i="1"/>
  <c r="AE36" i="1" l="1"/>
  <c r="AF35" i="1"/>
  <c r="AE37" i="1" l="1"/>
  <c r="AF36" i="1"/>
  <c r="AE38" i="1" l="1"/>
  <c r="AF37" i="1"/>
  <c r="AE39" i="1" l="1"/>
  <c r="AF38" i="1"/>
  <c r="AE40" i="1" l="1"/>
  <c r="AF39" i="1"/>
  <c r="AE41" i="1" l="1"/>
  <c r="AF40" i="1"/>
  <c r="AE42" i="1" l="1"/>
  <c r="AF41" i="1"/>
  <c r="AE43" i="1" l="1"/>
  <c r="AF42" i="1"/>
  <c r="AE44" i="1" l="1"/>
  <c r="AF43" i="1"/>
  <c r="AE45" i="1" l="1"/>
  <c r="AF44" i="1"/>
  <c r="AE46" i="1" l="1"/>
  <c r="AF45" i="1"/>
  <c r="AE47" i="1" l="1"/>
  <c r="AF46" i="1"/>
  <c r="AE48" i="1" l="1"/>
  <c r="AF47" i="1"/>
  <c r="AE49" i="1" l="1"/>
  <c r="AF48" i="1"/>
  <c r="AE50" i="1" l="1"/>
  <c r="AF49" i="1"/>
  <c r="AE51" i="1" l="1"/>
  <c r="AF50" i="1"/>
  <c r="AE52" i="1" l="1"/>
  <c r="AF51" i="1"/>
  <c r="AE53" i="1" l="1"/>
  <c r="AF52" i="1"/>
  <c r="AE54" i="1" l="1"/>
  <c r="AF53" i="1"/>
  <c r="AE55" i="1" l="1"/>
  <c r="AF54" i="1"/>
  <c r="AE56" i="1" l="1"/>
  <c r="AF55" i="1"/>
  <c r="AE57" i="1" l="1"/>
  <c r="AF56" i="1"/>
  <c r="AE58" i="1" l="1"/>
  <c r="AF57" i="1"/>
  <c r="AE59" i="1" l="1"/>
  <c r="AF58" i="1"/>
  <c r="AE60" i="1" l="1"/>
  <c r="AF59" i="1"/>
  <c r="AE61" i="1" l="1"/>
  <c r="AF60" i="1"/>
  <c r="AE62" i="1" l="1"/>
  <c r="AF61" i="1"/>
  <c r="AE63" i="1" l="1"/>
  <c r="AF62" i="1"/>
  <c r="AE64" i="1" l="1"/>
  <c r="AF63" i="1"/>
  <c r="AE65" i="1" l="1"/>
  <c r="AF64" i="1"/>
  <c r="AE66" i="1" l="1"/>
  <c r="AF65" i="1"/>
  <c r="AE67" i="1" l="1"/>
  <c r="AF66" i="1"/>
  <c r="AE68" i="1" l="1"/>
  <c r="AF67" i="1"/>
  <c r="AE69" i="1" l="1"/>
  <c r="AF68" i="1"/>
  <c r="AE70" i="1" l="1"/>
  <c r="AF69" i="1"/>
  <c r="AE71" i="1" l="1"/>
  <c r="AF70" i="1"/>
  <c r="AE72" i="1" l="1"/>
  <c r="AF71" i="1"/>
  <c r="AE73" i="1" l="1"/>
  <c r="AF72" i="1"/>
  <c r="AE74" i="1" l="1"/>
  <c r="AF73" i="1"/>
  <c r="AE75" i="1" l="1"/>
  <c r="AF74" i="1"/>
  <c r="AE76" i="1" l="1"/>
  <c r="AF75" i="1"/>
  <c r="AE77" i="1" l="1"/>
  <c r="AF76" i="1"/>
  <c r="AE78" i="1" l="1"/>
  <c r="AF77" i="1"/>
  <c r="AE79" i="1" l="1"/>
  <c r="AF78" i="1"/>
  <c r="AE80" i="1" l="1"/>
  <c r="AF79" i="1"/>
  <c r="AE81" i="1" l="1"/>
  <c r="AF80" i="1"/>
  <c r="AE82" i="1" l="1"/>
  <c r="AF81" i="1"/>
  <c r="AE83" i="1" l="1"/>
  <c r="AF82" i="1"/>
  <c r="AE84" i="1" l="1"/>
  <c r="AF83" i="1"/>
  <c r="AE85" i="1" l="1"/>
  <c r="AF84" i="1"/>
  <c r="AE86" i="1" l="1"/>
  <c r="AF85" i="1"/>
  <c r="AE87" i="1" l="1"/>
  <c r="AF86" i="1"/>
  <c r="AE88" i="1" l="1"/>
  <c r="AF87" i="1"/>
  <c r="AE89" i="1" l="1"/>
  <c r="AF88" i="1"/>
  <c r="AE90" i="1" l="1"/>
  <c r="AF89" i="1"/>
  <c r="AE91" i="1" l="1"/>
  <c r="AF90" i="1"/>
  <c r="AE92" i="1" l="1"/>
  <c r="AF91" i="1"/>
  <c r="AE93" i="1" l="1"/>
  <c r="AF92" i="1"/>
  <c r="AE94" i="1" l="1"/>
  <c r="AF93" i="1"/>
  <c r="AE95" i="1" l="1"/>
  <c r="AF94" i="1"/>
  <c r="AE96" i="1" l="1"/>
  <c r="AF95" i="1"/>
  <c r="AE97" i="1" l="1"/>
  <c r="AF96" i="1"/>
  <c r="AE98" i="1" l="1"/>
  <c r="AF97" i="1"/>
  <c r="AE99" i="1" l="1"/>
  <c r="AF98" i="1"/>
  <c r="AE100" i="1" l="1"/>
  <c r="AF99" i="1"/>
  <c r="AE101" i="1" l="1"/>
  <c r="AF100" i="1"/>
  <c r="AE102" i="1" l="1"/>
  <c r="AF101" i="1"/>
  <c r="AE103" i="1" l="1"/>
  <c r="AF102" i="1"/>
  <c r="AE104" i="1" l="1"/>
  <c r="AF103" i="1"/>
  <c r="AE105" i="1" l="1"/>
  <c r="AF104" i="1"/>
  <c r="AE106" i="1" l="1"/>
  <c r="AF105" i="1"/>
  <c r="AE107" i="1" l="1"/>
  <c r="AF106" i="1"/>
  <c r="AE108" i="1" l="1"/>
  <c r="AF107" i="1"/>
  <c r="AE109" i="1" l="1"/>
  <c r="AF108" i="1"/>
  <c r="AE110" i="1" l="1"/>
  <c r="AF109" i="1"/>
  <c r="AE111" i="1" l="1"/>
  <c r="AF110" i="1"/>
  <c r="AE112" i="1" l="1"/>
  <c r="AF111" i="1"/>
  <c r="AE113" i="1" l="1"/>
  <c r="AF112" i="1"/>
  <c r="AE114" i="1" l="1"/>
  <c r="AF113" i="1"/>
  <c r="AE115" i="1" l="1"/>
  <c r="AF114" i="1"/>
  <c r="AE116" i="1" l="1"/>
  <c r="AF115" i="1"/>
  <c r="AE117" i="1" l="1"/>
  <c r="AF116" i="1"/>
  <c r="AE118" i="1" l="1"/>
  <c r="AF117" i="1"/>
  <c r="AE119" i="1" l="1"/>
  <c r="AF118" i="1"/>
  <c r="AE120" i="1" l="1"/>
  <c r="AF119" i="1"/>
  <c r="AE121" i="1" l="1"/>
  <c r="AF120" i="1"/>
  <c r="AE122" i="1" l="1"/>
  <c r="AF121" i="1"/>
  <c r="AE123" i="1" l="1"/>
  <c r="AF122" i="1"/>
  <c r="AE124" i="1" l="1"/>
  <c r="AF123" i="1"/>
  <c r="AE125" i="1" l="1"/>
  <c r="AI124" i="1"/>
  <c r="AJ124" i="1"/>
  <c r="AK124" i="1"/>
  <c r="AL124" i="1"/>
  <c r="AM124" i="1"/>
  <c r="AN124" i="1"/>
  <c r="AO124" i="1"/>
  <c r="AH124" i="1"/>
  <c r="AP124" i="1"/>
  <c r="AG124" i="1"/>
  <c r="AF124" i="1"/>
  <c r="AE126" i="1" l="1"/>
  <c r="AH125" i="1"/>
  <c r="AP125" i="1"/>
  <c r="AI125" i="1"/>
  <c r="AJ125" i="1"/>
  <c r="AK125" i="1"/>
  <c r="AL125" i="1"/>
  <c r="AM125" i="1"/>
  <c r="AN125" i="1"/>
  <c r="AO125" i="1"/>
  <c r="AG125" i="1"/>
  <c r="AF125" i="1"/>
  <c r="AE127" i="1" l="1"/>
  <c r="AO126" i="1"/>
  <c r="AH126" i="1"/>
  <c r="AP126" i="1"/>
  <c r="AI126" i="1"/>
  <c r="AJ126" i="1"/>
  <c r="AK126" i="1"/>
  <c r="AL126" i="1"/>
  <c r="AM126" i="1"/>
  <c r="AN126" i="1"/>
  <c r="AG126" i="1"/>
  <c r="AF126" i="1"/>
  <c r="AE128" i="1" l="1"/>
  <c r="AN127" i="1"/>
  <c r="AO127" i="1"/>
  <c r="AH127" i="1"/>
  <c r="AP127" i="1"/>
  <c r="AI127" i="1"/>
  <c r="AJ127" i="1"/>
  <c r="AK127" i="1"/>
  <c r="AL127" i="1"/>
  <c r="AM127" i="1"/>
  <c r="AF127" i="1"/>
  <c r="AG127" i="1"/>
  <c r="AE129" i="1" l="1"/>
  <c r="AM128" i="1"/>
  <c r="AN128" i="1"/>
  <c r="AO128" i="1"/>
  <c r="AH128" i="1"/>
  <c r="AP128" i="1"/>
  <c r="AI128" i="1"/>
  <c r="AJ128" i="1"/>
  <c r="AK128" i="1"/>
  <c r="AL128" i="1"/>
  <c r="AG128" i="1"/>
  <c r="AF128" i="1"/>
  <c r="AE130" i="1" l="1"/>
  <c r="AL129" i="1"/>
  <c r="AM129" i="1"/>
  <c r="AN129" i="1"/>
  <c r="AO129" i="1"/>
  <c r="AH129" i="1"/>
  <c r="AP129" i="1"/>
  <c r="AI129" i="1"/>
  <c r="AJ129" i="1"/>
  <c r="AK129" i="1"/>
  <c r="AF129" i="1"/>
  <c r="AG129" i="1"/>
  <c r="AE131" i="1" l="1"/>
  <c r="AK130" i="1"/>
  <c r="AL130" i="1"/>
  <c r="AM130" i="1"/>
  <c r="AN130" i="1"/>
  <c r="AO130" i="1"/>
  <c r="AH130" i="1"/>
  <c r="AP130" i="1"/>
  <c r="AI130" i="1"/>
  <c r="AJ130" i="1"/>
  <c r="AG130" i="1"/>
  <c r="AF130" i="1"/>
  <c r="AE132" i="1" l="1"/>
  <c r="AJ131" i="1"/>
  <c r="AK131" i="1"/>
  <c r="AL131" i="1"/>
  <c r="AM131" i="1"/>
  <c r="AN131" i="1"/>
  <c r="AO131" i="1"/>
  <c r="AH131" i="1"/>
  <c r="AP131" i="1"/>
  <c r="AI131" i="1"/>
  <c r="AG131" i="1"/>
  <c r="AF131" i="1"/>
  <c r="AE133" i="1" l="1"/>
  <c r="AI132" i="1"/>
  <c r="AJ132" i="1"/>
  <c r="AK132" i="1"/>
  <c r="AL132" i="1"/>
  <c r="AM132" i="1"/>
  <c r="AN132" i="1"/>
  <c r="AO132" i="1"/>
  <c r="AH132" i="1"/>
  <c r="AP132" i="1"/>
  <c r="AG132" i="1"/>
  <c r="AF132" i="1"/>
  <c r="AE134" i="1" l="1"/>
  <c r="AH133" i="1"/>
  <c r="AP133" i="1"/>
  <c r="AI133" i="1"/>
  <c r="AJ133" i="1"/>
  <c r="AK133" i="1"/>
  <c r="AL133" i="1"/>
  <c r="AM133" i="1"/>
  <c r="AN133" i="1"/>
  <c r="AO133" i="1"/>
  <c r="AG133" i="1"/>
  <c r="AF133" i="1"/>
  <c r="AE135" i="1" l="1"/>
  <c r="AO134" i="1"/>
  <c r="AH134" i="1"/>
  <c r="AP134" i="1"/>
  <c r="AI134" i="1"/>
  <c r="AJ134" i="1"/>
  <c r="AK134" i="1"/>
  <c r="AL134" i="1"/>
  <c r="AM134" i="1"/>
  <c r="AN134" i="1"/>
  <c r="AG134" i="1"/>
  <c r="AF134" i="1"/>
  <c r="AE136" i="1" l="1"/>
  <c r="AN135" i="1"/>
  <c r="AO135" i="1"/>
  <c r="AH135" i="1"/>
  <c r="AP135" i="1"/>
  <c r="AI135" i="1"/>
  <c r="AJ135" i="1"/>
  <c r="AK135" i="1"/>
  <c r="AL135" i="1"/>
  <c r="AM135" i="1"/>
  <c r="AF135" i="1"/>
  <c r="AG135" i="1"/>
  <c r="AE137" i="1" l="1"/>
  <c r="AM136" i="1"/>
  <c r="AN136" i="1"/>
  <c r="AO136" i="1"/>
  <c r="AH136" i="1"/>
  <c r="AP136" i="1"/>
  <c r="AI136" i="1"/>
  <c r="AJ136" i="1"/>
  <c r="AK136" i="1"/>
  <c r="AL136" i="1"/>
  <c r="AG136" i="1"/>
  <c r="AF136" i="1"/>
  <c r="AE138" i="1" l="1"/>
  <c r="AL137" i="1"/>
  <c r="AM137" i="1"/>
  <c r="AN137" i="1"/>
  <c r="AO137" i="1"/>
  <c r="AH137" i="1"/>
  <c r="AP137" i="1"/>
  <c r="AI137" i="1"/>
  <c r="AJ137" i="1"/>
  <c r="AK137" i="1"/>
  <c r="AF137" i="1"/>
  <c r="AG137" i="1"/>
  <c r="AE139" i="1" l="1"/>
  <c r="AK138" i="1"/>
  <c r="AL138" i="1"/>
  <c r="AM138" i="1"/>
  <c r="AN138" i="1"/>
  <c r="AO138" i="1"/>
  <c r="AH138" i="1"/>
  <c r="AP138" i="1"/>
  <c r="AI138" i="1"/>
  <c r="AJ138" i="1"/>
  <c r="AG138" i="1"/>
  <c r="AF138" i="1"/>
  <c r="AE140" i="1" l="1"/>
  <c r="AJ139" i="1"/>
  <c r="AK139" i="1"/>
  <c r="AL139" i="1"/>
  <c r="AM139" i="1"/>
  <c r="AN139" i="1"/>
  <c r="AO139" i="1"/>
  <c r="AH139" i="1"/>
  <c r="AP139" i="1"/>
  <c r="AI139" i="1"/>
  <c r="AG139" i="1"/>
  <c r="AF139" i="1"/>
  <c r="AE141" i="1" l="1"/>
  <c r="AI140" i="1"/>
  <c r="AJ140" i="1"/>
  <c r="AK140" i="1"/>
  <c r="AL140" i="1"/>
  <c r="AM140" i="1"/>
  <c r="AN140" i="1"/>
  <c r="AO140" i="1"/>
  <c r="AH140" i="1"/>
  <c r="AP140" i="1"/>
  <c r="AG140" i="1"/>
  <c r="AF140" i="1"/>
  <c r="AE142" i="1" l="1"/>
  <c r="AH141" i="1"/>
  <c r="AP141" i="1"/>
  <c r="AI141" i="1"/>
  <c r="AJ141" i="1"/>
  <c r="AK141" i="1"/>
  <c r="AL141" i="1"/>
  <c r="AM141" i="1"/>
  <c r="AN141" i="1"/>
  <c r="AO141" i="1"/>
  <c r="AG141" i="1"/>
  <c r="AF141" i="1"/>
  <c r="AE143" i="1" l="1"/>
  <c r="AO142" i="1"/>
  <c r="AH142" i="1"/>
  <c r="AP142" i="1"/>
  <c r="AI142" i="1"/>
  <c r="AJ142" i="1"/>
  <c r="AK142" i="1"/>
  <c r="AL142" i="1"/>
  <c r="AM142" i="1"/>
  <c r="AN142" i="1"/>
  <c r="AG142" i="1"/>
  <c r="AF142" i="1"/>
  <c r="AE144" i="1" l="1"/>
  <c r="AN143" i="1"/>
  <c r="AO143" i="1"/>
  <c r="AH143" i="1"/>
  <c r="AP143" i="1"/>
  <c r="AI143" i="1"/>
  <c r="AJ143" i="1"/>
  <c r="AK143" i="1"/>
  <c r="AL143" i="1"/>
  <c r="AM143" i="1"/>
  <c r="AF143" i="1"/>
  <c r="AG143" i="1"/>
  <c r="AE145" i="1" l="1"/>
  <c r="AM144" i="1"/>
  <c r="AN144" i="1"/>
  <c r="AO144" i="1"/>
  <c r="AH144" i="1"/>
  <c r="AP144" i="1"/>
  <c r="AI144" i="1"/>
  <c r="AJ144" i="1"/>
  <c r="AK144" i="1"/>
  <c r="AL144" i="1"/>
  <c r="AG144" i="1"/>
  <c r="AF144" i="1"/>
  <c r="AE146" i="1" l="1"/>
  <c r="AL145" i="1"/>
  <c r="AM145" i="1"/>
  <c r="AN145" i="1"/>
  <c r="AO145" i="1"/>
  <c r="AH145" i="1"/>
  <c r="AP145" i="1"/>
  <c r="AI145" i="1"/>
  <c r="AJ145" i="1"/>
  <c r="AK145" i="1"/>
  <c r="AF145" i="1"/>
  <c r="AG145" i="1"/>
  <c r="AE147" i="1" l="1"/>
  <c r="AK146" i="1"/>
  <c r="AL146" i="1"/>
  <c r="AM146" i="1"/>
  <c r="AN146" i="1"/>
  <c r="AO146" i="1"/>
  <c r="AH146" i="1"/>
  <c r="AP146" i="1"/>
  <c r="AI146" i="1"/>
  <c r="AJ146" i="1"/>
  <c r="AG146" i="1"/>
  <c r="AF146" i="1"/>
  <c r="AE148" i="1" l="1"/>
  <c r="AJ147" i="1"/>
  <c r="AK147" i="1"/>
  <c r="AL147" i="1"/>
  <c r="AM147" i="1"/>
  <c r="AN147" i="1"/>
  <c r="AO147" i="1"/>
  <c r="AH147" i="1"/>
  <c r="AP147" i="1"/>
  <c r="AI147" i="1"/>
  <c r="AG147" i="1"/>
  <c r="AF147" i="1"/>
  <c r="AE149" i="1" l="1"/>
  <c r="AI148" i="1"/>
  <c r="AJ148" i="1"/>
  <c r="AK148" i="1"/>
  <c r="AL148" i="1"/>
  <c r="AM148" i="1"/>
  <c r="AN148" i="1"/>
  <c r="AO148" i="1"/>
  <c r="AH148" i="1"/>
  <c r="AP148" i="1"/>
  <c r="AG148" i="1"/>
  <c r="AF148" i="1"/>
  <c r="AE150" i="1" l="1"/>
  <c r="AH149" i="1"/>
  <c r="AP149" i="1"/>
  <c r="AI149" i="1"/>
  <c r="AJ149" i="1"/>
  <c r="AK149" i="1"/>
  <c r="AL149" i="1"/>
  <c r="AM149" i="1"/>
  <c r="AN149" i="1"/>
  <c r="AO149" i="1"/>
  <c r="AG149" i="1"/>
  <c r="AF149" i="1"/>
  <c r="AE151" i="1" l="1"/>
  <c r="AO150" i="1"/>
  <c r="AH150" i="1"/>
  <c r="AP150" i="1"/>
  <c r="AI150" i="1"/>
  <c r="AJ150" i="1"/>
  <c r="AK150" i="1"/>
  <c r="AL150" i="1"/>
  <c r="AM150" i="1"/>
  <c r="AN150" i="1"/>
  <c r="AG150" i="1"/>
  <c r="AF150" i="1"/>
  <c r="AE152" i="1" l="1"/>
  <c r="AN151" i="1"/>
  <c r="AO151" i="1"/>
  <c r="AH151" i="1"/>
  <c r="AP151" i="1"/>
  <c r="AI151" i="1"/>
  <c r="AJ151" i="1"/>
  <c r="AK151" i="1"/>
  <c r="AL151" i="1"/>
  <c r="AM151" i="1"/>
  <c r="AG151" i="1"/>
  <c r="AF151" i="1"/>
  <c r="AE153" i="1" l="1"/>
  <c r="AM152" i="1"/>
  <c r="AN152" i="1"/>
  <c r="AO152" i="1"/>
  <c r="AH152" i="1"/>
  <c r="AP152" i="1"/>
  <c r="AI152" i="1"/>
  <c r="AJ152" i="1"/>
  <c r="AK152" i="1"/>
  <c r="AL152" i="1"/>
  <c r="AG152" i="1"/>
  <c r="AF152" i="1"/>
  <c r="AE154" i="1" l="1"/>
  <c r="AL153" i="1"/>
  <c r="AM153" i="1"/>
  <c r="AN153" i="1"/>
  <c r="AO153" i="1"/>
  <c r="AH153" i="1"/>
  <c r="AP153" i="1"/>
  <c r="AI153" i="1"/>
  <c r="AJ153" i="1"/>
  <c r="AK153" i="1"/>
  <c r="AG153" i="1"/>
  <c r="AF153" i="1"/>
  <c r="AE155" i="1" l="1"/>
  <c r="AK154" i="1"/>
  <c r="AL154" i="1"/>
  <c r="AM154" i="1"/>
  <c r="AN154" i="1"/>
  <c r="AO154" i="1"/>
  <c r="AH154" i="1"/>
  <c r="AP154" i="1"/>
  <c r="AI154" i="1"/>
  <c r="AJ154" i="1"/>
  <c r="AG154" i="1"/>
  <c r="AF154" i="1"/>
  <c r="AE156" i="1" l="1"/>
  <c r="AJ155" i="1"/>
  <c r="AK155" i="1"/>
  <c r="AL155" i="1"/>
  <c r="AM155" i="1"/>
  <c r="AN155" i="1"/>
  <c r="AO155" i="1"/>
  <c r="AH155" i="1"/>
  <c r="AP155" i="1"/>
  <c r="AI155" i="1"/>
  <c r="AG155" i="1"/>
  <c r="AF155" i="1"/>
  <c r="AE157" i="1" l="1"/>
  <c r="AI156" i="1"/>
  <c r="AJ156" i="1"/>
  <c r="AK156" i="1"/>
  <c r="AL156" i="1"/>
  <c r="AM156" i="1"/>
  <c r="AN156" i="1"/>
  <c r="AO156" i="1"/>
  <c r="AH156" i="1"/>
  <c r="AP156" i="1"/>
  <c r="AG156" i="1"/>
  <c r="AF156" i="1"/>
  <c r="AE158" i="1" l="1"/>
  <c r="AH157" i="1"/>
  <c r="AP157" i="1"/>
  <c r="AI157" i="1"/>
  <c r="AJ157" i="1"/>
  <c r="AK157" i="1"/>
  <c r="AL157" i="1"/>
  <c r="AM157" i="1"/>
  <c r="AN157" i="1"/>
  <c r="AO157" i="1"/>
  <c r="AG157" i="1"/>
  <c r="AF157" i="1"/>
  <c r="AE159" i="1" l="1"/>
  <c r="AO158" i="1"/>
  <c r="AH158" i="1"/>
  <c r="AP158" i="1"/>
  <c r="AI158" i="1"/>
  <c r="AJ158" i="1"/>
  <c r="AK158" i="1"/>
  <c r="AL158" i="1"/>
  <c r="AM158" i="1"/>
  <c r="AN158" i="1"/>
  <c r="AG158" i="1"/>
  <c r="AF158" i="1"/>
  <c r="AE160" i="1" l="1"/>
  <c r="AN159" i="1"/>
  <c r="AO159" i="1"/>
  <c r="AH159" i="1"/>
  <c r="AP159" i="1"/>
  <c r="AI159" i="1"/>
  <c r="AJ159" i="1"/>
  <c r="AK159" i="1"/>
  <c r="AL159" i="1"/>
  <c r="AM159" i="1"/>
  <c r="AG159" i="1"/>
  <c r="AF159" i="1"/>
  <c r="AE161" i="1" l="1"/>
  <c r="AM160" i="1"/>
  <c r="AN160" i="1"/>
  <c r="AO160" i="1"/>
  <c r="AH160" i="1"/>
  <c r="AP160" i="1"/>
  <c r="AI160" i="1"/>
  <c r="AJ160" i="1"/>
  <c r="AK160" i="1"/>
  <c r="AL160" i="1"/>
  <c r="AG160" i="1"/>
  <c r="AF160" i="1"/>
  <c r="AE162" i="1" l="1"/>
  <c r="AL161" i="1"/>
  <c r="AM161" i="1"/>
  <c r="AN161" i="1"/>
  <c r="AO161" i="1"/>
  <c r="AH161" i="1"/>
  <c r="AP161" i="1"/>
  <c r="AI161" i="1"/>
  <c r="AJ161" i="1"/>
  <c r="AK161" i="1"/>
  <c r="AF161" i="1"/>
  <c r="AG161" i="1"/>
  <c r="AE163" i="1" l="1"/>
  <c r="AK162" i="1"/>
  <c r="AL162" i="1"/>
  <c r="AM162" i="1"/>
  <c r="AN162" i="1"/>
  <c r="AO162" i="1"/>
  <c r="AH162" i="1"/>
  <c r="AP162" i="1"/>
  <c r="AI162" i="1"/>
  <c r="AJ162" i="1"/>
  <c r="AG162" i="1"/>
  <c r="AF162" i="1"/>
  <c r="AE164" i="1" l="1"/>
  <c r="AJ163" i="1"/>
  <c r="AK163" i="1"/>
  <c r="AL163" i="1"/>
  <c r="AM163" i="1"/>
  <c r="AN163" i="1"/>
  <c r="AO163" i="1"/>
  <c r="AH163" i="1"/>
  <c r="AP163" i="1"/>
  <c r="AI163" i="1"/>
  <c r="AG163" i="1"/>
  <c r="AF163" i="1"/>
  <c r="AE165" i="1" l="1"/>
  <c r="AI164" i="1"/>
  <c r="AJ164" i="1"/>
  <c r="AK164" i="1"/>
  <c r="AL164" i="1"/>
  <c r="AM164" i="1"/>
  <c r="AN164" i="1"/>
  <c r="AO164" i="1"/>
  <c r="AH164" i="1"/>
  <c r="AP164" i="1"/>
  <c r="AG164" i="1"/>
  <c r="AF164" i="1"/>
  <c r="AE166" i="1" l="1"/>
  <c r="AH165" i="1"/>
  <c r="AP165" i="1"/>
  <c r="AI165" i="1"/>
  <c r="AJ165" i="1"/>
  <c r="AK165" i="1"/>
  <c r="AL165" i="1"/>
  <c r="AM165" i="1"/>
  <c r="AN165" i="1"/>
  <c r="AO165" i="1"/>
  <c r="AG165" i="1"/>
  <c r="AF165" i="1"/>
  <c r="AE167" i="1" l="1"/>
  <c r="AO166" i="1"/>
  <c r="AH166" i="1"/>
  <c r="AP166" i="1"/>
  <c r="AI166" i="1"/>
  <c r="AJ166" i="1"/>
  <c r="AK166" i="1"/>
  <c r="AL166" i="1"/>
  <c r="AM166" i="1"/>
  <c r="AN166" i="1"/>
  <c r="AG166" i="1"/>
  <c r="AF166" i="1"/>
  <c r="AE168" i="1" l="1"/>
  <c r="AN167" i="1"/>
  <c r="AO167" i="1"/>
  <c r="AH167" i="1"/>
  <c r="AP167" i="1"/>
  <c r="AI167" i="1"/>
  <c r="AJ167" i="1"/>
  <c r="AK167" i="1"/>
  <c r="AL167" i="1"/>
  <c r="AM167" i="1"/>
  <c r="AF167" i="1"/>
  <c r="AG167" i="1"/>
  <c r="AE169" i="1" l="1"/>
  <c r="AM168" i="1"/>
  <c r="AN168" i="1"/>
  <c r="AO168" i="1"/>
  <c r="AH168" i="1"/>
  <c r="AP168" i="1"/>
  <c r="AI168" i="1"/>
  <c r="AJ168" i="1"/>
  <c r="AK168" i="1"/>
  <c r="AL168" i="1"/>
  <c r="AG168" i="1"/>
  <c r="AF168" i="1"/>
  <c r="AE170" i="1" l="1"/>
  <c r="AL169" i="1"/>
  <c r="AM169" i="1"/>
  <c r="AN169" i="1"/>
  <c r="AO169" i="1"/>
  <c r="AH169" i="1"/>
  <c r="AP169" i="1"/>
  <c r="AI169" i="1"/>
  <c r="AJ169" i="1"/>
  <c r="AK169" i="1"/>
  <c r="AG169" i="1"/>
  <c r="AF169" i="1"/>
  <c r="AE171" i="1" l="1"/>
  <c r="AK170" i="1"/>
  <c r="AL170" i="1"/>
  <c r="AM170" i="1"/>
  <c r="AN170" i="1"/>
  <c r="AO170" i="1"/>
  <c r="AH170" i="1"/>
  <c r="AP170" i="1"/>
  <c r="AI170" i="1"/>
  <c r="AJ170" i="1"/>
  <c r="AG170" i="1"/>
  <c r="AF170" i="1"/>
  <c r="AE172" i="1" l="1"/>
  <c r="AJ171" i="1"/>
  <c r="AK171" i="1"/>
  <c r="AL171" i="1"/>
  <c r="AM171" i="1"/>
  <c r="AN171" i="1"/>
  <c r="AO171" i="1"/>
  <c r="AH171" i="1"/>
  <c r="AP171" i="1"/>
  <c r="AI171" i="1"/>
  <c r="AG171" i="1"/>
  <c r="AF171" i="1"/>
  <c r="AE173" i="1" l="1"/>
  <c r="AI172" i="1"/>
  <c r="AJ172" i="1"/>
  <c r="AK172" i="1"/>
  <c r="AL172" i="1"/>
  <c r="AM172" i="1"/>
  <c r="AN172" i="1"/>
  <c r="AO172" i="1"/>
  <c r="AH172" i="1"/>
  <c r="AP172" i="1"/>
  <c r="AG172" i="1"/>
  <c r="AF172" i="1"/>
  <c r="AE174" i="1" l="1"/>
  <c r="AH173" i="1"/>
  <c r="AP173" i="1"/>
  <c r="AI173" i="1"/>
  <c r="AJ173" i="1"/>
  <c r="AK173" i="1"/>
  <c r="AL173" i="1"/>
  <c r="AM173" i="1"/>
  <c r="AN173" i="1"/>
  <c r="AO173" i="1"/>
  <c r="AG173" i="1"/>
  <c r="AF173" i="1"/>
  <c r="AE175" i="1" l="1"/>
  <c r="AO174" i="1"/>
  <c r="AH174" i="1"/>
  <c r="AP174" i="1"/>
  <c r="AI174" i="1"/>
  <c r="AJ174" i="1"/>
  <c r="AK174" i="1"/>
  <c r="AL174" i="1"/>
  <c r="AM174" i="1"/>
  <c r="AN174" i="1"/>
  <c r="AG174" i="1"/>
  <c r="AF174" i="1"/>
  <c r="AE176" i="1" l="1"/>
  <c r="AN175" i="1"/>
  <c r="AO175" i="1"/>
  <c r="AH175" i="1"/>
  <c r="AP175" i="1"/>
  <c r="AI175" i="1"/>
  <c r="AJ175" i="1"/>
  <c r="AK175" i="1"/>
  <c r="AL175" i="1"/>
  <c r="AM175" i="1"/>
  <c r="AF175" i="1"/>
  <c r="AG175" i="1"/>
  <c r="AE177" i="1" l="1"/>
  <c r="AM176" i="1"/>
  <c r="AN176" i="1"/>
  <c r="AO176" i="1"/>
  <c r="AH176" i="1"/>
  <c r="AP176" i="1"/>
  <c r="AI176" i="1"/>
  <c r="AJ176" i="1"/>
  <c r="AK176" i="1"/>
  <c r="AL176" i="1"/>
  <c r="AG176" i="1"/>
  <c r="AF176" i="1"/>
  <c r="AE178" i="1" l="1"/>
  <c r="AL177" i="1"/>
  <c r="AM177" i="1"/>
  <c r="AN177" i="1"/>
  <c r="AO177" i="1"/>
  <c r="AH177" i="1"/>
  <c r="AP177" i="1"/>
  <c r="AI177" i="1"/>
  <c r="AJ177" i="1"/>
  <c r="AK177" i="1"/>
  <c r="AF177" i="1"/>
  <c r="AG177" i="1"/>
  <c r="AE179" i="1" l="1"/>
  <c r="AK178" i="1"/>
  <c r="AL178" i="1"/>
  <c r="AM178" i="1"/>
  <c r="AN178" i="1"/>
  <c r="AO178" i="1"/>
  <c r="AH178" i="1"/>
  <c r="AP178" i="1"/>
  <c r="AI178" i="1"/>
  <c r="AJ178" i="1"/>
  <c r="AG178" i="1"/>
  <c r="AF178" i="1"/>
  <c r="AE180" i="1" l="1"/>
  <c r="AJ179" i="1"/>
  <c r="AK179" i="1"/>
  <c r="AL179" i="1"/>
  <c r="AM179" i="1"/>
  <c r="AN179" i="1"/>
  <c r="AO179" i="1"/>
  <c r="AH179" i="1"/>
  <c r="AP179" i="1"/>
  <c r="AI179" i="1"/>
  <c r="AG179" i="1"/>
  <c r="AF179" i="1"/>
  <c r="AE181" i="1" l="1"/>
  <c r="AI180" i="1"/>
  <c r="AJ180" i="1"/>
  <c r="AK180" i="1"/>
  <c r="AL180" i="1"/>
  <c r="AM180" i="1"/>
  <c r="AN180" i="1"/>
  <c r="AO180" i="1"/>
  <c r="AP180" i="1"/>
  <c r="AH180" i="1"/>
  <c r="AG180" i="1"/>
  <c r="AF180" i="1"/>
  <c r="AE182" i="1" l="1"/>
  <c r="AH181" i="1"/>
  <c r="AP181" i="1"/>
  <c r="AI181" i="1"/>
  <c r="AJ181" i="1"/>
  <c r="AK181" i="1"/>
  <c r="AL181" i="1"/>
  <c r="AM181" i="1"/>
  <c r="AN181" i="1"/>
  <c r="AO181" i="1"/>
  <c r="AG181" i="1"/>
  <c r="AF181" i="1"/>
  <c r="AE183" i="1" l="1"/>
  <c r="AO182" i="1"/>
  <c r="AH182" i="1"/>
  <c r="AP182" i="1"/>
  <c r="AI182" i="1"/>
  <c r="AJ182" i="1"/>
  <c r="AK182" i="1"/>
  <c r="AL182" i="1"/>
  <c r="AM182" i="1"/>
  <c r="AN182" i="1"/>
  <c r="AG182" i="1"/>
  <c r="AF182" i="1"/>
  <c r="AE184" i="1" l="1"/>
  <c r="AN183" i="1"/>
  <c r="AO183" i="1"/>
  <c r="AH183" i="1"/>
  <c r="AP183" i="1"/>
  <c r="AI183" i="1"/>
  <c r="AJ183" i="1"/>
  <c r="AK183" i="1"/>
  <c r="AL183" i="1"/>
  <c r="AM183" i="1"/>
  <c r="AG183" i="1"/>
  <c r="AF183" i="1"/>
  <c r="AE185" i="1" l="1"/>
  <c r="AM184" i="1"/>
  <c r="AN184" i="1"/>
  <c r="AO184" i="1"/>
  <c r="AH184" i="1"/>
  <c r="AP184" i="1"/>
  <c r="AI184" i="1"/>
  <c r="AJ184" i="1"/>
  <c r="AK184" i="1"/>
  <c r="AL184" i="1"/>
  <c r="AG184" i="1"/>
  <c r="AF184" i="1"/>
  <c r="AE186" i="1" l="1"/>
  <c r="AL185" i="1"/>
  <c r="AM185" i="1"/>
  <c r="AN185" i="1"/>
  <c r="AO185" i="1"/>
  <c r="AH185" i="1"/>
  <c r="AP185" i="1"/>
  <c r="AI185" i="1"/>
  <c r="AJ185" i="1"/>
  <c r="AK185" i="1"/>
  <c r="AG185" i="1"/>
  <c r="AF185" i="1"/>
  <c r="AE187" i="1" l="1"/>
  <c r="AK186" i="1"/>
  <c r="AL186" i="1"/>
  <c r="AM186" i="1"/>
  <c r="AN186" i="1"/>
  <c r="AO186" i="1"/>
  <c r="AH186" i="1"/>
  <c r="AP186" i="1"/>
  <c r="AI186" i="1"/>
  <c r="AJ186" i="1"/>
  <c r="AG186" i="1"/>
  <c r="AF186" i="1"/>
  <c r="AE188" i="1" l="1"/>
  <c r="AJ187" i="1"/>
  <c r="AK187" i="1"/>
  <c r="AL187" i="1"/>
  <c r="AM187" i="1"/>
  <c r="AN187" i="1"/>
  <c r="AO187" i="1"/>
  <c r="AH187" i="1"/>
  <c r="AP187" i="1"/>
  <c r="AI187" i="1"/>
  <c r="AG187" i="1"/>
  <c r="AF187" i="1"/>
  <c r="AE189" i="1" l="1"/>
  <c r="AI188" i="1"/>
  <c r="AJ188" i="1"/>
  <c r="AK188" i="1"/>
  <c r="AL188" i="1"/>
  <c r="AM188" i="1"/>
  <c r="AN188" i="1"/>
  <c r="AO188" i="1"/>
  <c r="AH188" i="1"/>
  <c r="AP188" i="1"/>
  <c r="AG188" i="1"/>
  <c r="AF188" i="1"/>
  <c r="AE190" i="1" l="1"/>
  <c r="AH189" i="1"/>
  <c r="AP189" i="1"/>
  <c r="AI189" i="1"/>
  <c r="AJ189" i="1"/>
  <c r="AK189" i="1"/>
  <c r="AL189" i="1"/>
  <c r="AM189" i="1"/>
  <c r="AN189" i="1"/>
  <c r="AO189" i="1"/>
  <c r="AG189" i="1"/>
  <c r="AF189" i="1"/>
  <c r="AE191" i="1" l="1"/>
  <c r="AO190" i="1"/>
  <c r="AH190" i="1"/>
  <c r="AP190" i="1"/>
  <c r="AI190" i="1"/>
  <c r="AJ190" i="1"/>
  <c r="AK190" i="1"/>
  <c r="AL190" i="1"/>
  <c r="AM190" i="1"/>
  <c r="AN190" i="1"/>
  <c r="AG190" i="1"/>
  <c r="AF190" i="1"/>
  <c r="AE192" i="1" l="1"/>
  <c r="AN191" i="1"/>
  <c r="AO191" i="1"/>
  <c r="AH191" i="1"/>
  <c r="AP191" i="1"/>
  <c r="AI191" i="1"/>
  <c r="AJ191" i="1"/>
  <c r="AK191" i="1"/>
  <c r="AL191" i="1"/>
  <c r="AM191" i="1"/>
  <c r="AF191" i="1"/>
  <c r="AG191" i="1"/>
  <c r="AE193" i="1" l="1"/>
  <c r="AM192" i="1"/>
  <c r="AN192" i="1"/>
  <c r="AO192" i="1"/>
  <c r="AH192" i="1"/>
  <c r="AP192" i="1"/>
  <c r="AI192" i="1"/>
  <c r="AJ192" i="1"/>
  <c r="AK192" i="1"/>
  <c r="AL192" i="1"/>
  <c r="AG192" i="1"/>
  <c r="AF192" i="1"/>
  <c r="AE194" i="1" l="1"/>
  <c r="AL193" i="1"/>
  <c r="AM193" i="1"/>
  <c r="AN193" i="1"/>
  <c r="AO193" i="1"/>
  <c r="AH193" i="1"/>
  <c r="AP193" i="1"/>
  <c r="AI193" i="1"/>
  <c r="AJ193" i="1"/>
  <c r="AK193" i="1"/>
  <c r="AF193" i="1"/>
  <c r="AG193" i="1"/>
  <c r="AE195" i="1" l="1"/>
  <c r="AK194" i="1"/>
  <c r="AL194" i="1"/>
  <c r="AM194" i="1"/>
  <c r="AN194" i="1"/>
  <c r="AO194" i="1"/>
  <c r="AH194" i="1"/>
  <c r="AP194" i="1"/>
  <c r="AI194" i="1"/>
  <c r="AJ194" i="1"/>
  <c r="AG194" i="1"/>
  <c r="AF194" i="1"/>
  <c r="AE196" i="1" l="1"/>
  <c r="AJ195" i="1"/>
  <c r="AK195" i="1"/>
  <c r="AL195" i="1"/>
  <c r="AM195" i="1"/>
  <c r="AN195" i="1"/>
  <c r="AO195" i="1"/>
  <c r="AH195" i="1"/>
  <c r="AP195" i="1"/>
  <c r="AI195" i="1"/>
  <c r="AG195" i="1"/>
  <c r="AF195" i="1"/>
  <c r="AE197" i="1" l="1"/>
  <c r="AI196" i="1"/>
  <c r="AJ196" i="1"/>
  <c r="AK196" i="1"/>
  <c r="AL196" i="1"/>
  <c r="AM196" i="1"/>
  <c r="AN196" i="1"/>
  <c r="AO196" i="1"/>
  <c r="AH196" i="1"/>
  <c r="AP196" i="1"/>
  <c r="AG196" i="1"/>
  <c r="AF196" i="1"/>
  <c r="AE198" i="1" l="1"/>
  <c r="AH197" i="1"/>
  <c r="AP197" i="1"/>
  <c r="AI197" i="1"/>
  <c r="AJ197" i="1"/>
  <c r="AK197" i="1"/>
  <c r="AL197" i="1"/>
  <c r="AM197" i="1"/>
  <c r="AN197" i="1"/>
  <c r="AO197" i="1"/>
  <c r="AG197" i="1"/>
  <c r="AF197" i="1"/>
  <c r="AE199" i="1" l="1"/>
  <c r="AO198" i="1"/>
  <c r="AH198" i="1"/>
  <c r="AP198" i="1"/>
  <c r="AI198" i="1"/>
  <c r="AJ198" i="1"/>
  <c r="AK198" i="1"/>
  <c r="AL198" i="1"/>
  <c r="AM198" i="1"/>
  <c r="AN198" i="1"/>
  <c r="AG198" i="1"/>
  <c r="AF198" i="1"/>
  <c r="AE200" i="1" l="1"/>
  <c r="AN199" i="1"/>
  <c r="AO199" i="1"/>
  <c r="AH199" i="1"/>
  <c r="AP199" i="1"/>
  <c r="AI199" i="1"/>
  <c r="AJ199" i="1"/>
  <c r="AK199" i="1"/>
  <c r="AL199" i="1"/>
  <c r="AM199" i="1"/>
  <c r="AF199" i="1"/>
  <c r="AG199" i="1"/>
  <c r="AE201" i="1" l="1"/>
  <c r="AM200" i="1"/>
  <c r="AN200" i="1"/>
  <c r="AO200" i="1"/>
  <c r="AH200" i="1"/>
  <c r="AP200" i="1"/>
  <c r="AI200" i="1"/>
  <c r="AJ200" i="1"/>
  <c r="AK200" i="1"/>
  <c r="AL200" i="1"/>
  <c r="AG200" i="1"/>
  <c r="AF200" i="1"/>
  <c r="AE202" i="1" l="1"/>
  <c r="AL201" i="1"/>
  <c r="AM201" i="1"/>
  <c r="AN201" i="1"/>
  <c r="AO201" i="1"/>
  <c r="AH201" i="1"/>
  <c r="AP201" i="1"/>
  <c r="AI201" i="1"/>
  <c r="AJ201" i="1"/>
  <c r="AK201" i="1"/>
  <c r="AG201" i="1"/>
  <c r="AF201" i="1"/>
  <c r="AE203" i="1" l="1"/>
  <c r="AK202" i="1"/>
  <c r="AL202" i="1"/>
  <c r="AM202" i="1"/>
  <c r="AN202" i="1"/>
  <c r="AO202" i="1"/>
  <c r="AH202" i="1"/>
  <c r="AP202" i="1"/>
  <c r="AI202" i="1"/>
  <c r="AJ202" i="1"/>
  <c r="AG202" i="1"/>
  <c r="AF202" i="1"/>
  <c r="AE204" i="1" l="1"/>
  <c r="AJ203" i="1"/>
  <c r="AK203" i="1"/>
  <c r="AL203" i="1"/>
  <c r="AM203" i="1"/>
  <c r="AN203" i="1"/>
  <c r="AO203" i="1"/>
  <c r="AH203" i="1"/>
  <c r="AP203" i="1"/>
  <c r="AI203" i="1"/>
  <c r="AG203" i="1"/>
  <c r="AF203" i="1"/>
  <c r="AE205" i="1" l="1"/>
  <c r="AI204" i="1"/>
  <c r="AJ204" i="1"/>
  <c r="AK204" i="1"/>
  <c r="AL204" i="1"/>
  <c r="AM204" i="1"/>
  <c r="AN204" i="1"/>
  <c r="AO204" i="1"/>
  <c r="AH204" i="1"/>
  <c r="AP204" i="1"/>
  <c r="AG204" i="1"/>
  <c r="AF204" i="1"/>
  <c r="AE206" i="1" l="1"/>
  <c r="AH205" i="1"/>
  <c r="AP205" i="1"/>
  <c r="AI205" i="1"/>
  <c r="AJ205" i="1"/>
  <c r="AK205" i="1"/>
  <c r="AL205" i="1"/>
  <c r="AM205" i="1"/>
  <c r="AN205" i="1"/>
  <c r="AO205" i="1"/>
  <c r="AG205" i="1"/>
  <c r="AF205" i="1"/>
  <c r="AE207" i="1" l="1"/>
  <c r="AO206" i="1"/>
  <c r="AH206" i="1"/>
  <c r="AP206" i="1"/>
  <c r="AI206" i="1"/>
  <c r="AJ206" i="1"/>
  <c r="AK206" i="1"/>
  <c r="AL206" i="1"/>
  <c r="AM206" i="1"/>
  <c r="AN206" i="1"/>
  <c r="AG206" i="1"/>
  <c r="AF206" i="1"/>
  <c r="AE208" i="1" l="1"/>
  <c r="AN207" i="1"/>
  <c r="AO207" i="1"/>
  <c r="AH207" i="1"/>
  <c r="AP207" i="1"/>
  <c r="AI207" i="1"/>
  <c r="AJ207" i="1"/>
  <c r="AK207" i="1"/>
  <c r="AL207" i="1"/>
  <c r="AM207" i="1"/>
  <c r="AG207" i="1"/>
  <c r="AF207" i="1"/>
  <c r="AE209" i="1" l="1"/>
  <c r="AM208" i="1"/>
  <c r="AN208" i="1"/>
  <c r="AO208" i="1"/>
  <c r="AH208" i="1"/>
  <c r="AP208" i="1"/>
  <c r="AI208" i="1"/>
  <c r="AJ208" i="1"/>
  <c r="AK208" i="1"/>
  <c r="AL208" i="1"/>
  <c r="AG208" i="1"/>
  <c r="AF208" i="1"/>
  <c r="AE210" i="1" l="1"/>
  <c r="AL209" i="1"/>
  <c r="AM209" i="1"/>
  <c r="AN209" i="1"/>
  <c r="AO209" i="1"/>
  <c r="AH209" i="1"/>
  <c r="AP209" i="1"/>
  <c r="AI209" i="1"/>
  <c r="AJ209" i="1"/>
  <c r="AK209" i="1"/>
  <c r="AF209" i="1"/>
  <c r="AG209" i="1"/>
  <c r="AE211" i="1" l="1"/>
  <c r="AK210" i="1"/>
  <c r="AL210" i="1"/>
  <c r="AM210" i="1"/>
  <c r="AN210" i="1"/>
  <c r="AO210" i="1"/>
  <c r="AH210" i="1"/>
  <c r="AP210" i="1"/>
  <c r="AI210" i="1"/>
  <c r="AJ210" i="1"/>
  <c r="AG210" i="1"/>
  <c r="AF210" i="1"/>
  <c r="AE212" i="1" l="1"/>
  <c r="AJ211" i="1"/>
  <c r="AK211" i="1"/>
  <c r="AL211" i="1"/>
  <c r="AM211" i="1"/>
  <c r="AN211" i="1"/>
  <c r="AO211" i="1"/>
  <c r="AH211" i="1"/>
  <c r="AP211" i="1"/>
  <c r="AI211" i="1"/>
  <c r="AG211" i="1"/>
  <c r="AF211" i="1"/>
  <c r="AE213" i="1" l="1"/>
  <c r="AI212" i="1"/>
  <c r="AJ212" i="1"/>
  <c r="AK212" i="1"/>
  <c r="AL212" i="1"/>
  <c r="AM212" i="1"/>
  <c r="AN212" i="1"/>
  <c r="AO212" i="1"/>
  <c r="AH212" i="1"/>
  <c r="AP212" i="1"/>
  <c r="AG212" i="1"/>
  <c r="AF212" i="1"/>
  <c r="AE214" i="1" l="1"/>
  <c r="AH213" i="1"/>
  <c r="AP213" i="1"/>
  <c r="AI213" i="1"/>
  <c r="AJ213" i="1"/>
  <c r="AK213" i="1"/>
  <c r="AL213" i="1"/>
  <c r="AM213" i="1"/>
  <c r="AN213" i="1"/>
  <c r="AO213" i="1"/>
  <c r="AG213" i="1"/>
  <c r="AF213" i="1"/>
  <c r="AE215" i="1" l="1"/>
  <c r="AO214" i="1"/>
  <c r="AH214" i="1"/>
  <c r="AP214" i="1"/>
  <c r="AI214" i="1"/>
  <c r="AJ214" i="1"/>
  <c r="AK214" i="1"/>
  <c r="AL214" i="1"/>
  <c r="AM214" i="1"/>
  <c r="AN214" i="1"/>
  <c r="AG214" i="1"/>
  <c r="AF214" i="1"/>
  <c r="AE216" i="1" l="1"/>
  <c r="AN215" i="1"/>
  <c r="AO215" i="1"/>
  <c r="AH215" i="1"/>
  <c r="AP215" i="1"/>
  <c r="AI215" i="1"/>
  <c r="AJ215" i="1"/>
  <c r="AK215" i="1"/>
  <c r="AL215" i="1"/>
  <c r="AM215" i="1"/>
  <c r="AG215" i="1"/>
  <c r="AF215" i="1"/>
  <c r="AE217" i="1" l="1"/>
  <c r="AM216" i="1"/>
  <c r="AN216" i="1"/>
  <c r="AO216" i="1"/>
  <c r="AH216" i="1"/>
  <c r="AP216" i="1"/>
  <c r="AI216" i="1"/>
  <c r="AJ216" i="1"/>
  <c r="AK216" i="1"/>
  <c r="AL216" i="1"/>
  <c r="AG216" i="1"/>
  <c r="AF216" i="1"/>
  <c r="AE218" i="1" l="1"/>
  <c r="AL217" i="1"/>
  <c r="AM217" i="1"/>
  <c r="AN217" i="1"/>
  <c r="AO217" i="1"/>
  <c r="AH217" i="1"/>
  <c r="AP217" i="1"/>
  <c r="AI217" i="1"/>
  <c r="AJ217" i="1"/>
  <c r="AK217" i="1"/>
  <c r="AG217" i="1"/>
  <c r="AF217" i="1"/>
  <c r="AE219" i="1" l="1"/>
  <c r="AK218" i="1"/>
  <c r="AL218" i="1"/>
  <c r="AM218" i="1"/>
  <c r="AN218" i="1"/>
  <c r="AO218" i="1"/>
  <c r="AH218" i="1"/>
  <c r="AP218" i="1"/>
  <c r="AI218" i="1"/>
  <c r="AJ218" i="1"/>
  <c r="AG218" i="1"/>
  <c r="AF218" i="1"/>
  <c r="AE220" i="1" l="1"/>
  <c r="AJ219" i="1"/>
  <c r="AK219" i="1"/>
  <c r="AL219" i="1"/>
  <c r="AM219" i="1"/>
  <c r="AN219" i="1"/>
  <c r="AO219" i="1"/>
  <c r="AH219" i="1"/>
  <c r="AP219" i="1"/>
  <c r="AI219" i="1"/>
  <c r="AG219" i="1"/>
  <c r="AF219" i="1"/>
  <c r="AE221" i="1" l="1"/>
  <c r="AI220" i="1"/>
  <c r="AJ220" i="1"/>
  <c r="AK220" i="1"/>
  <c r="AL220" i="1"/>
  <c r="AM220" i="1"/>
  <c r="AN220" i="1"/>
  <c r="AO220" i="1"/>
  <c r="AH220" i="1"/>
  <c r="AP220" i="1"/>
  <c r="AG220" i="1"/>
  <c r="AF220" i="1"/>
  <c r="AE222" i="1" l="1"/>
  <c r="AH221" i="1"/>
  <c r="AP221" i="1"/>
  <c r="AI221" i="1"/>
  <c r="AJ221" i="1"/>
  <c r="AK221" i="1"/>
  <c r="AL221" i="1"/>
  <c r="AM221" i="1"/>
  <c r="AN221" i="1"/>
  <c r="AO221" i="1"/>
  <c r="AG221" i="1"/>
  <c r="AF221" i="1"/>
  <c r="AE223" i="1" l="1"/>
  <c r="AO222" i="1"/>
  <c r="AH222" i="1"/>
  <c r="AP222" i="1"/>
  <c r="AI222" i="1"/>
  <c r="AJ222" i="1"/>
  <c r="AK222" i="1"/>
  <c r="AL222" i="1"/>
  <c r="AM222" i="1"/>
  <c r="AN222" i="1"/>
  <c r="AG222" i="1"/>
  <c r="AF222" i="1"/>
  <c r="AE224" i="1" l="1"/>
  <c r="AN223" i="1"/>
  <c r="AO223" i="1"/>
  <c r="AH223" i="1"/>
  <c r="AP223" i="1"/>
  <c r="AI223" i="1"/>
  <c r="AJ223" i="1"/>
  <c r="AK223" i="1"/>
  <c r="AL223" i="1"/>
  <c r="AM223" i="1"/>
  <c r="AG223" i="1"/>
  <c r="AF223" i="1"/>
  <c r="AE225" i="1" l="1"/>
  <c r="AM224" i="1"/>
  <c r="AN224" i="1"/>
  <c r="AO224" i="1"/>
  <c r="AH224" i="1"/>
  <c r="AP224" i="1"/>
  <c r="AI224" i="1"/>
  <c r="AJ224" i="1"/>
  <c r="AK224" i="1"/>
  <c r="AL224" i="1"/>
  <c r="AG224" i="1"/>
  <c r="AF224" i="1"/>
  <c r="AE226" i="1" l="1"/>
  <c r="AL225" i="1"/>
  <c r="AM225" i="1"/>
  <c r="AN225" i="1"/>
  <c r="AO225" i="1"/>
  <c r="AH225" i="1"/>
  <c r="AP225" i="1"/>
  <c r="AI225" i="1"/>
  <c r="AJ225" i="1"/>
  <c r="AK225" i="1"/>
  <c r="AG225" i="1"/>
  <c r="AF225" i="1"/>
  <c r="AE227" i="1" l="1"/>
  <c r="AK226" i="1"/>
  <c r="AL226" i="1"/>
  <c r="AM226" i="1"/>
  <c r="AN226" i="1"/>
  <c r="AO226" i="1"/>
  <c r="AH226" i="1"/>
  <c r="AP226" i="1"/>
  <c r="AI226" i="1"/>
  <c r="AJ226" i="1"/>
  <c r="AG226" i="1"/>
  <c r="AF226" i="1"/>
  <c r="AE228" i="1" l="1"/>
  <c r="AJ227" i="1"/>
  <c r="AK227" i="1"/>
  <c r="AL227" i="1"/>
  <c r="AM227" i="1"/>
  <c r="AN227" i="1"/>
  <c r="AO227" i="1"/>
  <c r="AH227" i="1"/>
  <c r="AP227" i="1"/>
  <c r="AI227" i="1"/>
  <c r="AG227" i="1"/>
  <c r="AF227" i="1"/>
  <c r="AE229" i="1" l="1"/>
  <c r="AI228" i="1"/>
  <c r="AJ228" i="1"/>
  <c r="AK228" i="1"/>
  <c r="AL228" i="1"/>
  <c r="AM228" i="1"/>
  <c r="AN228" i="1"/>
  <c r="AO228" i="1"/>
  <c r="AH228" i="1"/>
  <c r="AP228" i="1"/>
  <c r="AG228" i="1"/>
  <c r="AF228" i="1"/>
  <c r="AE230" i="1" l="1"/>
  <c r="AH229" i="1"/>
  <c r="AP229" i="1"/>
  <c r="AI229" i="1"/>
  <c r="AJ229" i="1"/>
  <c r="AK229" i="1"/>
  <c r="AL229" i="1"/>
  <c r="AM229" i="1"/>
  <c r="AN229" i="1"/>
  <c r="AO229" i="1"/>
  <c r="AG229" i="1"/>
  <c r="AF229" i="1"/>
  <c r="AE231" i="1" l="1"/>
  <c r="AO230" i="1"/>
  <c r="AH230" i="1"/>
  <c r="AP230" i="1"/>
  <c r="AI230" i="1"/>
  <c r="AJ230" i="1"/>
  <c r="AK230" i="1"/>
  <c r="AL230" i="1"/>
  <c r="AM230" i="1"/>
  <c r="AN230" i="1"/>
  <c r="AG230" i="1"/>
  <c r="AF230" i="1"/>
  <c r="AE232" i="1" l="1"/>
  <c r="AH231" i="1"/>
  <c r="AI231" i="1"/>
  <c r="AJ231" i="1"/>
  <c r="AK231" i="1"/>
  <c r="AL231" i="1"/>
  <c r="AM231" i="1"/>
  <c r="AN231" i="1"/>
  <c r="AO231" i="1"/>
  <c r="AP231" i="1"/>
  <c r="AF231" i="1"/>
  <c r="AG231" i="1"/>
  <c r="AE233" i="1" l="1"/>
  <c r="AK232" i="1"/>
  <c r="AL232" i="1"/>
  <c r="AM232" i="1"/>
  <c r="AN232" i="1"/>
  <c r="AO232" i="1"/>
  <c r="AH232" i="1"/>
  <c r="AP232" i="1"/>
  <c r="AI232" i="1"/>
  <c r="AJ232" i="1"/>
  <c r="AG232" i="1"/>
  <c r="AF232" i="1"/>
  <c r="AE234" i="1" l="1"/>
  <c r="AJ233" i="1"/>
  <c r="AK233" i="1"/>
  <c r="AL233" i="1"/>
  <c r="AM233" i="1"/>
  <c r="AN233" i="1"/>
  <c r="AO233" i="1"/>
  <c r="AP233" i="1"/>
  <c r="AH233" i="1"/>
  <c r="AI233" i="1"/>
  <c r="AG233" i="1"/>
  <c r="AF233" i="1"/>
  <c r="AE235" i="1" l="1"/>
  <c r="AI234" i="1"/>
  <c r="AJ234" i="1"/>
  <c r="AK234" i="1"/>
  <c r="AL234" i="1"/>
  <c r="AM234" i="1"/>
  <c r="AN234" i="1"/>
  <c r="AO234" i="1"/>
  <c r="AP234" i="1"/>
  <c r="AH234" i="1"/>
  <c r="AG234" i="1"/>
  <c r="AF234" i="1"/>
  <c r="AE236" i="1" l="1"/>
  <c r="AH235" i="1"/>
  <c r="AP235" i="1"/>
  <c r="AI235" i="1"/>
  <c r="AJ235" i="1"/>
  <c r="AK235" i="1"/>
  <c r="AL235" i="1"/>
  <c r="AM235" i="1"/>
  <c r="AN235" i="1"/>
  <c r="AO235" i="1"/>
  <c r="AG235" i="1"/>
  <c r="AF235" i="1"/>
  <c r="AE237" i="1" l="1"/>
  <c r="AO236" i="1"/>
  <c r="AH236" i="1"/>
  <c r="AP236" i="1"/>
  <c r="AI236" i="1"/>
  <c r="AJ236" i="1"/>
  <c r="AK236" i="1"/>
  <c r="AL236" i="1"/>
  <c r="AM236" i="1"/>
  <c r="AN236" i="1"/>
  <c r="AG236" i="1"/>
  <c r="AF236" i="1"/>
  <c r="AE238" i="1" l="1"/>
  <c r="AN237" i="1"/>
  <c r="AO237" i="1"/>
  <c r="AH237" i="1"/>
  <c r="AP237" i="1"/>
  <c r="AI237" i="1"/>
  <c r="AJ237" i="1"/>
  <c r="AK237" i="1"/>
  <c r="AL237" i="1"/>
  <c r="AM237" i="1"/>
  <c r="AG237" i="1"/>
  <c r="AF237" i="1"/>
  <c r="AE239" i="1" l="1"/>
  <c r="AM238" i="1"/>
  <c r="AN238" i="1"/>
  <c r="AO238" i="1"/>
  <c r="AH238" i="1"/>
  <c r="AP238" i="1"/>
  <c r="AI238" i="1"/>
  <c r="AJ238" i="1"/>
  <c r="AK238" i="1"/>
  <c r="AL238" i="1"/>
  <c r="AG238" i="1"/>
  <c r="AF238" i="1"/>
  <c r="AE240" i="1" l="1"/>
  <c r="AL239" i="1"/>
  <c r="AM239" i="1"/>
  <c r="AN239" i="1"/>
  <c r="AO239" i="1"/>
  <c r="AH239" i="1"/>
  <c r="AP239" i="1"/>
  <c r="AI239" i="1"/>
  <c r="AJ239" i="1"/>
  <c r="AK239" i="1"/>
  <c r="AF239" i="1"/>
  <c r="AG239" i="1"/>
  <c r="AE241" i="1" l="1"/>
  <c r="AK240" i="1"/>
  <c r="AL240" i="1"/>
  <c r="AM240" i="1"/>
  <c r="AN240" i="1"/>
  <c r="AO240" i="1"/>
  <c r="AH240" i="1"/>
  <c r="AP240" i="1"/>
  <c r="AI240" i="1"/>
  <c r="AJ240" i="1"/>
  <c r="AG240" i="1"/>
  <c r="AF240" i="1"/>
  <c r="AE242" i="1" l="1"/>
  <c r="AJ241" i="1"/>
  <c r="AK241" i="1"/>
  <c r="AL241" i="1"/>
  <c r="AM241" i="1"/>
  <c r="AN241" i="1"/>
  <c r="AO241" i="1"/>
  <c r="AP241" i="1"/>
  <c r="AH241" i="1"/>
  <c r="AI241" i="1"/>
  <c r="AG241" i="1"/>
  <c r="AF241" i="1"/>
  <c r="AE243" i="1" l="1"/>
  <c r="AI242" i="1"/>
  <c r="AJ242" i="1"/>
  <c r="AK242" i="1"/>
  <c r="AL242" i="1"/>
  <c r="AM242" i="1"/>
  <c r="AN242" i="1"/>
  <c r="AH242" i="1"/>
  <c r="AO242" i="1"/>
  <c r="AP242" i="1"/>
  <c r="AG242" i="1"/>
  <c r="AF242" i="1"/>
  <c r="AE244" i="1" l="1"/>
  <c r="AH243" i="1"/>
  <c r="AP243" i="1"/>
  <c r="AI243" i="1"/>
  <c r="AJ243" i="1"/>
  <c r="AK243" i="1"/>
  <c r="AL243" i="1"/>
  <c r="AM243" i="1"/>
  <c r="AN243" i="1"/>
  <c r="AO243" i="1"/>
  <c r="AG243" i="1"/>
  <c r="AF243" i="1"/>
  <c r="AE245" i="1" l="1"/>
  <c r="AO244" i="1"/>
  <c r="AH244" i="1"/>
  <c r="AP244" i="1"/>
  <c r="AI244" i="1"/>
  <c r="AJ244" i="1"/>
  <c r="AK244" i="1"/>
  <c r="AL244" i="1"/>
  <c r="AM244" i="1"/>
  <c r="AN244" i="1"/>
  <c r="AG244" i="1"/>
  <c r="AF244" i="1"/>
  <c r="AE246" i="1" l="1"/>
  <c r="AN245" i="1"/>
  <c r="AO245" i="1"/>
  <c r="AH245" i="1"/>
  <c r="AP245" i="1"/>
  <c r="AI245" i="1"/>
  <c r="AJ245" i="1"/>
  <c r="AK245" i="1"/>
  <c r="AL245" i="1"/>
  <c r="AM245" i="1"/>
  <c r="AG245" i="1"/>
  <c r="AF245" i="1"/>
  <c r="AE247" i="1" l="1"/>
  <c r="AM246" i="1"/>
  <c r="AN246" i="1"/>
  <c r="AO246" i="1"/>
  <c r="AH246" i="1"/>
  <c r="AP246" i="1"/>
  <c r="AI246" i="1"/>
  <c r="AJ246" i="1"/>
  <c r="AK246" i="1"/>
  <c r="AL246" i="1"/>
  <c r="AG246" i="1"/>
  <c r="AF246" i="1"/>
  <c r="AE248" i="1" l="1"/>
  <c r="AL247" i="1"/>
  <c r="AM247" i="1"/>
  <c r="AN247" i="1"/>
  <c r="AO247" i="1"/>
  <c r="AH247" i="1"/>
  <c r="AP247" i="1"/>
  <c r="AI247" i="1"/>
  <c r="AJ247" i="1"/>
  <c r="AK247" i="1"/>
  <c r="AG247" i="1"/>
  <c r="AF247" i="1"/>
  <c r="AE249" i="1" l="1"/>
  <c r="AK248" i="1"/>
  <c r="AL248" i="1"/>
  <c r="AM248" i="1"/>
  <c r="AN248" i="1"/>
  <c r="AO248" i="1"/>
  <c r="AH248" i="1"/>
  <c r="AP248" i="1"/>
  <c r="AI248" i="1"/>
  <c r="AJ248" i="1"/>
  <c r="AG248" i="1"/>
  <c r="AF248" i="1"/>
  <c r="AE250" i="1" l="1"/>
  <c r="AJ249" i="1"/>
  <c r="AK249" i="1"/>
  <c r="AL249" i="1"/>
  <c r="AM249" i="1"/>
  <c r="AN249" i="1"/>
  <c r="AO249" i="1"/>
  <c r="AH249" i="1"/>
  <c r="AI249" i="1"/>
  <c r="AP249" i="1"/>
  <c r="AG249" i="1"/>
  <c r="AF249" i="1"/>
  <c r="AE251" i="1" l="1"/>
  <c r="AI250" i="1"/>
  <c r="AJ250" i="1"/>
  <c r="AK250" i="1"/>
  <c r="AL250" i="1"/>
  <c r="AM250" i="1"/>
  <c r="AN250" i="1"/>
  <c r="AH250" i="1"/>
  <c r="AO250" i="1"/>
  <c r="AG250" i="1"/>
  <c r="AP250" i="1"/>
  <c r="AF250" i="1"/>
  <c r="AE252" i="1" l="1"/>
  <c r="AH251" i="1"/>
  <c r="AP251" i="1"/>
  <c r="AI251" i="1"/>
  <c r="AJ251" i="1"/>
  <c r="AK251" i="1"/>
  <c r="AL251" i="1"/>
  <c r="AM251" i="1"/>
  <c r="AN251" i="1"/>
  <c r="AO251" i="1"/>
  <c r="AG251" i="1"/>
  <c r="AF251" i="1"/>
  <c r="AE253" i="1" l="1"/>
  <c r="AO252" i="1"/>
  <c r="AH252" i="1"/>
  <c r="AP252" i="1"/>
  <c r="AI252" i="1"/>
  <c r="AJ252" i="1"/>
  <c r="AK252" i="1"/>
  <c r="AL252" i="1"/>
  <c r="AM252" i="1"/>
  <c r="AN252" i="1"/>
  <c r="AG252" i="1"/>
  <c r="AF252" i="1"/>
  <c r="AE254" i="1" l="1"/>
  <c r="AN253" i="1"/>
  <c r="AO253" i="1"/>
  <c r="AH253" i="1"/>
  <c r="AP253" i="1"/>
  <c r="AI253" i="1"/>
  <c r="AJ253" i="1"/>
  <c r="AK253" i="1"/>
  <c r="AL253" i="1"/>
  <c r="AM253" i="1"/>
  <c r="AG253" i="1"/>
  <c r="AF253" i="1"/>
  <c r="AE255" i="1" l="1"/>
  <c r="AM254" i="1"/>
  <c r="AN254" i="1"/>
  <c r="AO254" i="1"/>
  <c r="AH254" i="1"/>
  <c r="AP254" i="1"/>
  <c r="AI254" i="1"/>
  <c r="AJ254" i="1"/>
  <c r="AK254" i="1"/>
  <c r="AG254" i="1"/>
  <c r="AL254" i="1"/>
  <c r="AF254" i="1"/>
  <c r="AE256" i="1" l="1"/>
  <c r="AL255" i="1"/>
  <c r="AM255" i="1"/>
  <c r="AN255" i="1"/>
  <c r="AO255" i="1"/>
  <c r="AH255" i="1"/>
  <c r="AP255" i="1"/>
  <c r="AI255" i="1"/>
  <c r="AJ255" i="1"/>
  <c r="AK255" i="1"/>
  <c r="AG255" i="1"/>
  <c r="AF255" i="1"/>
  <c r="AE257" i="1" l="1"/>
  <c r="AK256" i="1"/>
  <c r="AL256" i="1"/>
  <c r="AM256" i="1"/>
  <c r="AN256" i="1"/>
  <c r="AO256" i="1"/>
  <c r="AH256" i="1"/>
  <c r="AP256" i="1"/>
  <c r="AI256" i="1"/>
  <c r="AJ256" i="1"/>
  <c r="AG256" i="1"/>
  <c r="AF256" i="1"/>
  <c r="AE258" i="1" l="1"/>
  <c r="AJ257" i="1"/>
  <c r="AK257" i="1"/>
  <c r="AL257" i="1"/>
  <c r="AM257" i="1"/>
  <c r="AN257" i="1"/>
  <c r="AO257" i="1"/>
  <c r="AH257" i="1"/>
  <c r="AI257" i="1"/>
  <c r="AP257" i="1"/>
  <c r="AG257" i="1"/>
  <c r="AF257" i="1"/>
  <c r="AE259" i="1" l="1"/>
  <c r="AI258" i="1"/>
  <c r="AJ258" i="1"/>
  <c r="AK258" i="1"/>
  <c r="AL258" i="1"/>
  <c r="AM258" i="1"/>
  <c r="AN258" i="1"/>
  <c r="AO258" i="1"/>
  <c r="AP258" i="1"/>
  <c r="AH258" i="1"/>
  <c r="AG258" i="1"/>
  <c r="AF258" i="1"/>
  <c r="AE260" i="1" l="1"/>
  <c r="AH259" i="1"/>
  <c r="AP259" i="1"/>
  <c r="AI259" i="1"/>
  <c r="AJ259" i="1"/>
  <c r="AK259" i="1"/>
  <c r="AL259" i="1"/>
  <c r="AM259" i="1"/>
  <c r="AN259" i="1"/>
  <c r="AO259" i="1"/>
  <c r="AG259" i="1"/>
  <c r="AF259" i="1"/>
  <c r="AE261" i="1" l="1"/>
  <c r="AO260" i="1"/>
  <c r="AH260" i="1"/>
  <c r="AP260" i="1"/>
  <c r="AI260" i="1"/>
  <c r="AJ260" i="1"/>
  <c r="AK260" i="1"/>
  <c r="AL260" i="1"/>
  <c r="AM260" i="1"/>
  <c r="AN260" i="1"/>
  <c r="AG260" i="1"/>
  <c r="AF260" i="1"/>
  <c r="AE262" i="1" l="1"/>
  <c r="AN261" i="1"/>
  <c r="AO261" i="1"/>
  <c r="AH261" i="1"/>
  <c r="AP261" i="1"/>
  <c r="AI261" i="1"/>
  <c r="AJ261" i="1"/>
  <c r="AK261" i="1"/>
  <c r="AL261" i="1"/>
  <c r="AM261" i="1"/>
  <c r="AG261" i="1"/>
  <c r="AF261" i="1"/>
  <c r="AE263" i="1" l="1"/>
  <c r="AM262" i="1"/>
  <c r="AN262" i="1"/>
  <c r="AO262" i="1"/>
  <c r="AH262" i="1"/>
  <c r="AP262" i="1"/>
  <c r="AI262" i="1"/>
  <c r="AJ262" i="1"/>
  <c r="AK262" i="1"/>
  <c r="AL262" i="1"/>
  <c r="AG262" i="1"/>
  <c r="AF262" i="1"/>
  <c r="AE264" i="1" l="1"/>
  <c r="AL263" i="1"/>
  <c r="AM263" i="1"/>
  <c r="AN263" i="1"/>
  <c r="AO263" i="1"/>
  <c r="AH263" i="1"/>
  <c r="AP263" i="1"/>
  <c r="AI263" i="1"/>
  <c r="AJ263" i="1"/>
  <c r="AK263" i="1"/>
  <c r="AF263" i="1"/>
  <c r="AG263" i="1"/>
  <c r="AE265" i="1" l="1"/>
  <c r="AK264" i="1"/>
  <c r="AL264" i="1"/>
  <c r="AM264" i="1"/>
  <c r="AN264" i="1"/>
  <c r="AO264" i="1"/>
  <c r="AH264" i="1"/>
  <c r="AP264" i="1"/>
  <c r="AI264" i="1"/>
  <c r="AJ264" i="1"/>
  <c r="AG264" i="1"/>
  <c r="AF264" i="1"/>
  <c r="AE266" i="1" l="1"/>
  <c r="AJ265" i="1"/>
  <c r="AK265" i="1"/>
  <c r="AL265" i="1"/>
  <c r="AM265" i="1"/>
  <c r="AN265" i="1"/>
  <c r="AO265" i="1"/>
  <c r="AP265" i="1"/>
  <c r="AH265" i="1"/>
  <c r="AI265" i="1"/>
  <c r="AG265" i="1"/>
  <c r="AF265" i="1"/>
  <c r="AE267" i="1" l="1"/>
  <c r="AI266" i="1"/>
  <c r="AJ266" i="1"/>
  <c r="AK266" i="1"/>
  <c r="AL266" i="1"/>
  <c r="AM266" i="1"/>
  <c r="AN266" i="1"/>
  <c r="AO266" i="1"/>
  <c r="AP266" i="1"/>
  <c r="AH266" i="1"/>
  <c r="AG266" i="1"/>
  <c r="AF266" i="1"/>
  <c r="AE268" i="1" l="1"/>
  <c r="AH267" i="1"/>
  <c r="AP267" i="1"/>
  <c r="AI267" i="1"/>
  <c r="AJ267" i="1"/>
  <c r="AK267" i="1"/>
  <c r="AL267" i="1"/>
  <c r="AM267" i="1"/>
  <c r="AN267" i="1"/>
  <c r="AO267" i="1"/>
  <c r="AG267" i="1"/>
  <c r="AF267" i="1"/>
  <c r="AE269" i="1" l="1"/>
  <c r="AO268" i="1"/>
  <c r="AH268" i="1"/>
  <c r="AP268" i="1"/>
  <c r="AI268" i="1"/>
  <c r="AJ268" i="1"/>
  <c r="AK268" i="1"/>
  <c r="AL268" i="1"/>
  <c r="AM268" i="1"/>
  <c r="AG268" i="1"/>
  <c r="AF268" i="1"/>
  <c r="AN268" i="1"/>
  <c r="AE270" i="1" l="1"/>
  <c r="AN269" i="1"/>
  <c r="AO269" i="1"/>
  <c r="AH269" i="1"/>
  <c r="AP269" i="1"/>
  <c r="AI269" i="1"/>
  <c r="AJ269" i="1"/>
  <c r="AK269" i="1"/>
  <c r="AL269" i="1"/>
  <c r="AM269" i="1"/>
  <c r="AG269" i="1"/>
  <c r="AF269" i="1"/>
  <c r="AE271" i="1" l="1"/>
  <c r="AM270" i="1"/>
  <c r="AN270" i="1"/>
  <c r="AO270" i="1"/>
  <c r="AH270" i="1"/>
  <c r="AP270" i="1"/>
  <c r="AI270" i="1"/>
  <c r="AJ270" i="1"/>
  <c r="AK270" i="1"/>
  <c r="AL270" i="1"/>
  <c r="AG270" i="1"/>
  <c r="AF270" i="1"/>
  <c r="AE272" i="1" l="1"/>
  <c r="AL271" i="1"/>
  <c r="AM271" i="1"/>
  <c r="AN271" i="1"/>
  <c r="AO271" i="1"/>
  <c r="AH271" i="1"/>
  <c r="AP271" i="1"/>
  <c r="AI271" i="1"/>
  <c r="AJ271" i="1"/>
  <c r="AK271" i="1"/>
  <c r="AF271" i="1"/>
  <c r="AG271" i="1"/>
  <c r="AE273" i="1" l="1"/>
  <c r="AK272" i="1"/>
  <c r="AL272" i="1"/>
  <c r="AM272" i="1"/>
  <c r="AN272" i="1"/>
  <c r="AO272" i="1"/>
  <c r="AH272" i="1"/>
  <c r="AP272" i="1"/>
  <c r="AI272" i="1"/>
  <c r="AJ272" i="1"/>
  <c r="AG272" i="1"/>
  <c r="AF272" i="1"/>
  <c r="AE274" i="1" l="1"/>
  <c r="AJ273" i="1"/>
  <c r="AK273" i="1"/>
  <c r="AL273" i="1"/>
  <c r="AM273" i="1"/>
  <c r="AN273" i="1"/>
  <c r="AO273" i="1"/>
  <c r="AP273" i="1"/>
  <c r="AH273" i="1"/>
  <c r="AI273" i="1"/>
  <c r="AF273" i="1"/>
  <c r="AG273" i="1"/>
  <c r="AE275" i="1" l="1"/>
  <c r="AI274" i="1"/>
  <c r="AJ274" i="1"/>
  <c r="AK274" i="1"/>
  <c r="AL274" i="1"/>
  <c r="AM274" i="1"/>
  <c r="AN274" i="1"/>
  <c r="AH274" i="1"/>
  <c r="AO274" i="1"/>
  <c r="AP274" i="1"/>
  <c r="AG274" i="1"/>
  <c r="AF274" i="1"/>
  <c r="AE276" i="1" l="1"/>
  <c r="AH275" i="1"/>
  <c r="AP275" i="1"/>
  <c r="AI275" i="1"/>
  <c r="AJ275" i="1"/>
  <c r="AK275" i="1"/>
  <c r="AL275" i="1"/>
  <c r="AM275" i="1"/>
  <c r="AN275" i="1"/>
  <c r="AO275" i="1"/>
  <c r="AG275" i="1"/>
  <c r="AF275" i="1"/>
  <c r="AE277" i="1" l="1"/>
  <c r="AO276" i="1"/>
  <c r="AH276" i="1"/>
  <c r="AP276" i="1"/>
  <c r="AI276" i="1"/>
  <c r="AJ276" i="1"/>
  <c r="AK276" i="1"/>
  <c r="AL276" i="1"/>
  <c r="AM276" i="1"/>
  <c r="AN276" i="1"/>
  <c r="AG276" i="1"/>
  <c r="AF276" i="1"/>
  <c r="AE278" i="1" l="1"/>
  <c r="AN277" i="1"/>
  <c r="AO277" i="1"/>
  <c r="AH277" i="1"/>
  <c r="AP277" i="1"/>
  <c r="AI277" i="1"/>
  <c r="AJ277" i="1"/>
  <c r="AK277" i="1"/>
  <c r="AL277" i="1"/>
  <c r="AM277" i="1"/>
  <c r="AG277" i="1"/>
  <c r="AF277" i="1"/>
  <c r="AE279" i="1" l="1"/>
  <c r="AM278" i="1"/>
  <c r="AN278" i="1"/>
  <c r="AO278" i="1"/>
  <c r="AH278" i="1"/>
  <c r="AP278" i="1"/>
  <c r="AI278" i="1"/>
  <c r="AJ278" i="1"/>
  <c r="AK278" i="1"/>
  <c r="AL278" i="1"/>
  <c r="AG278" i="1"/>
  <c r="AF278" i="1"/>
  <c r="AE280" i="1" l="1"/>
  <c r="AL279" i="1"/>
  <c r="AM279" i="1"/>
  <c r="AN279" i="1"/>
  <c r="AO279" i="1"/>
  <c r="AH279" i="1"/>
  <c r="AP279" i="1"/>
  <c r="AI279" i="1"/>
  <c r="AJ279" i="1"/>
  <c r="AK279" i="1"/>
  <c r="AG279" i="1"/>
  <c r="AF279" i="1"/>
  <c r="AE281" i="1" l="1"/>
  <c r="AK280" i="1"/>
  <c r="AL280" i="1"/>
  <c r="AM280" i="1"/>
  <c r="AN280" i="1"/>
  <c r="AO280" i="1"/>
  <c r="AH280" i="1"/>
  <c r="AP280" i="1"/>
  <c r="AI280" i="1"/>
  <c r="AJ280" i="1"/>
  <c r="AG280" i="1"/>
  <c r="AF280" i="1"/>
  <c r="AE282" i="1" l="1"/>
  <c r="AJ281" i="1"/>
  <c r="AK281" i="1"/>
  <c r="AL281" i="1"/>
  <c r="AM281" i="1"/>
  <c r="AN281" i="1"/>
  <c r="AO281" i="1"/>
  <c r="AH281" i="1"/>
  <c r="AI281" i="1"/>
  <c r="AP281" i="1"/>
  <c r="AG281" i="1"/>
  <c r="AF281" i="1"/>
  <c r="AE283" i="1" l="1"/>
  <c r="AI282" i="1"/>
  <c r="AJ282" i="1"/>
  <c r="AK282" i="1"/>
  <c r="AL282" i="1"/>
  <c r="AM282" i="1"/>
  <c r="AN282" i="1"/>
  <c r="AH282" i="1"/>
  <c r="AO282" i="1"/>
  <c r="AG282" i="1"/>
  <c r="AP282" i="1"/>
  <c r="AF282" i="1"/>
  <c r="AE284" i="1" l="1"/>
  <c r="AH283" i="1"/>
  <c r="AP283" i="1"/>
  <c r="AI283" i="1"/>
  <c r="AJ283" i="1"/>
  <c r="AK283" i="1"/>
  <c r="AL283" i="1"/>
  <c r="AM283" i="1"/>
  <c r="AN283" i="1"/>
  <c r="AO283" i="1"/>
  <c r="AG283" i="1"/>
  <c r="AF283" i="1"/>
  <c r="AE285" i="1" l="1"/>
  <c r="AO284" i="1"/>
  <c r="AH284" i="1"/>
  <c r="AP284" i="1"/>
  <c r="AI284" i="1"/>
  <c r="AJ284" i="1"/>
  <c r="AK284" i="1"/>
  <c r="AL284" i="1"/>
  <c r="AM284" i="1"/>
  <c r="AN284" i="1"/>
  <c r="AG284" i="1"/>
  <c r="AF284" i="1"/>
  <c r="AE286" i="1" l="1"/>
  <c r="AN285" i="1"/>
  <c r="AO285" i="1"/>
  <c r="AH285" i="1"/>
  <c r="AP285" i="1"/>
  <c r="AI285" i="1"/>
  <c r="AJ285" i="1"/>
  <c r="AK285" i="1"/>
  <c r="AL285" i="1"/>
  <c r="AM285" i="1"/>
  <c r="AG285" i="1"/>
  <c r="AF285" i="1"/>
  <c r="AE287" i="1" l="1"/>
  <c r="AM286" i="1"/>
  <c r="AN286" i="1"/>
  <c r="AO286" i="1"/>
  <c r="AH286" i="1"/>
  <c r="AP286" i="1"/>
  <c r="AI286" i="1"/>
  <c r="AJ286" i="1"/>
  <c r="AK286" i="1"/>
  <c r="AL286" i="1"/>
  <c r="AG286" i="1"/>
  <c r="AF286" i="1"/>
  <c r="AE288" i="1" l="1"/>
  <c r="AL287" i="1"/>
  <c r="AM287" i="1"/>
  <c r="AN287" i="1"/>
  <c r="AO287" i="1"/>
  <c r="AH287" i="1"/>
  <c r="AP287" i="1"/>
  <c r="AI287" i="1"/>
  <c r="AJ287" i="1"/>
  <c r="AK287" i="1"/>
  <c r="AG287" i="1"/>
  <c r="AF287" i="1"/>
  <c r="AE289" i="1" l="1"/>
  <c r="AK288" i="1"/>
  <c r="AL288" i="1"/>
  <c r="AM288" i="1"/>
  <c r="AN288" i="1"/>
  <c r="AO288" i="1"/>
  <c r="AH288" i="1"/>
  <c r="AP288" i="1"/>
  <c r="AI288" i="1"/>
  <c r="AJ288" i="1"/>
  <c r="AG288" i="1"/>
  <c r="AF288" i="1"/>
  <c r="AE290" i="1" l="1"/>
  <c r="AJ289" i="1"/>
  <c r="AK289" i="1"/>
  <c r="AL289" i="1"/>
  <c r="AM289" i="1"/>
  <c r="AN289" i="1"/>
  <c r="AO289" i="1"/>
  <c r="AH289" i="1"/>
  <c r="AI289" i="1"/>
  <c r="AP289" i="1"/>
  <c r="AG289" i="1"/>
  <c r="AF289" i="1"/>
  <c r="AE291" i="1" l="1"/>
  <c r="AI290" i="1"/>
  <c r="AJ290" i="1"/>
  <c r="AK290" i="1"/>
  <c r="AL290" i="1"/>
  <c r="AM290" i="1"/>
  <c r="AN290" i="1"/>
  <c r="AO290" i="1"/>
  <c r="AP290" i="1"/>
  <c r="AH290" i="1"/>
  <c r="AG290" i="1"/>
  <c r="AF290" i="1"/>
  <c r="AE292" i="1" l="1"/>
  <c r="AH291" i="1"/>
  <c r="AP291" i="1"/>
  <c r="AI291" i="1"/>
  <c r="AJ291" i="1"/>
  <c r="AK291" i="1"/>
  <c r="AL291" i="1"/>
  <c r="AM291" i="1"/>
  <c r="AN291" i="1"/>
  <c r="AO291" i="1"/>
  <c r="AG291" i="1"/>
  <c r="AF291" i="1"/>
  <c r="AE293" i="1" l="1"/>
  <c r="AO292" i="1"/>
  <c r="AH292" i="1"/>
  <c r="AP292" i="1"/>
  <c r="AI292" i="1"/>
  <c r="AJ292" i="1"/>
  <c r="AK292" i="1"/>
  <c r="AL292" i="1"/>
  <c r="AM292" i="1"/>
  <c r="AN292" i="1"/>
  <c r="AG292" i="1"/>
  <c r="AF292" i="1"/>
  <c r="AE294" i="1" l="1"/>
  <c r="AN293" i="1"/>
  <c r="AO293" i="1"/>
  <c r="AH293" i="1"/>
  <c r="AP293" i="1"/>
  <c r="AI293" i="1"/>
  <c r="AJ293" i="1"/>
  <c r="AK293" i="1"/>
  <c r="AL293" i="1"/>
  <c r="AM293" i="1"/>
  <c r="AG293" i="1"/>
  <c r="AF293" i="1"/>
  <c r="AE295" i="1" l="1"/>
  <c r="AM294" i="1"/>
  <c r="AN294" i="1"/>
  <c r="AO294" i="1"/>
  <c r="AH294" i="1"/>
  <c r="AP294" i="1"/>
  <c r="AI294" i="1"/>
  <c r="AJ294" i="1"/>
  <c r="AK294" i="1"/>
  <c r="AL294" i="1"/>
  <c r="AG294" i="1"/>
  <c r="AF294" i="1"/>
  <c r="AE296" i="1" l="1"/>
  <c r="AL295" i="1"/>
  <c r="AM295" i="1"/>
  <c r="AN295" i="1"/>
  <c r="AO295" i="1"/>
  <c r="AH295" i="1"/>
  <c r="AP295" i="1"/>
  <c r="AI295" i="1"/>
  <c r="AJ295" i="1"/>
  <c r="AK295" i="1"/>
  <c r="AF295" i="1"/>
  <c r="AG295" i="1"/>
  <c r="AE297" i="1" l="1"/>
  <c r="AK296" i="1"/>
  <c r="AL296" i="1"/>
  <c r="AM296" i="1"/>
  <c r="AN296" i="1"/>
  <c r="AO296" i="1"/>
  <c r="AH296" i="1"/>
  <c r="AP296" i="1"/>
  <c r="AI296" i="1"/>
  <c r="AJ296" i="1"/>
  <c r="AG296" i="1"/>
  <c r="AF296" i="1"/>
  <c r="AE298" i="1" l="1"/>
  <c r="AJ297" i="1"/>
  <c r="AK297" i="1"/>
  <c r="AL297" i="1"/>
  <c r="AM297" i="1"/>
  <c r="AN297" i="1"/>
  <c r="AO297" i="1"/>
  <c r="AP297" i="1"/>
  <c r="AH297" i="1"/>
  <c r="AI297" i="1"/>
  <c r="AG297" i="1"/>
  <c r="AF297" i="1"/>
  <c r="AE299" i="1" l="1"/>
  <c r="AI298" i="1"/>
  <c r="AJ298" i="1"/>
  <c r="AK298" i="1"/>
  <c r="AL298" i="1"/>
  <c r="AM298" i="1"/>
  <c r="AN298" i="1"/>
  <c r="AO298" i="1"/>
  <c r="AP298" i="1"/>
  <c r="AH298" i="1"/>
  <c r="AG298" i="1"/>
  <c r="AF298" i="1"/>
  <c r="AE300" i="1" l="1"/>
  <c r="AH299" i="1"/>
  <c r="AP299" i="1"/>
  <c r="AI299" i="1"/>
  <c r="AJ299" i="1"/>
  <c r="AK299" i="1"/>
  <c r="AL299" i="1"/>
  <c r="AM299" i="1"/>
  <c r="AN299" i="1"/>
  <c r="AO299" i="1"/>
  <c r="AG299" i="1"/>
  <c r="AF299" i="1"/>
  <c r="AE301" i="1" l="1"/>
  <c r="AO300" i="1"/>
  <c r="AH300" i="1"/>
  <c r="AP300" i="1"/>
  <c r="AI300" i="1"/>
  <c r="AJ300" i="1"/>
  <c r="AK300" i="1"/>
  <c r="AL300" i="1"/>
  <c r="AM300" i="1"/>
  <c r="AN300" i="1"/>
  <c r="AG300" i="1"/>
  <c r="AF300" i="1"/>
  <c r="AE302" i="1" l="1"/>
  <c r="AN301" i="1"/>
  <c r="AO301" i="1"/>
  <c r="AH301" i="1"/>
  <c r="AP301" i="1"/>
  <c r="AI301" i="1"/>
  <c r="AJ301" i="1"/>
  <c r="AK301" i="1"/>
  <c r="AL301" i="1"/>
  <c r="AM301" i="1"/>
  <c r="AG301" i="1"/>
  <c r="AF301" i="1"/>
  <c r="AE303" i="1" l="1"/>
  <c r="AM302" i="1"/>
  <c r="AN302" i="1"/>
  <c r="AO302" i="1"/>
  <c r="AH302" i="1"/>
  <c r="AP302" i="1"/>
  <c r="AI302" i="1"/>
  <c r="AJ302" i="1"/>
  <c r="AK302" i="1"/>
  <c r="AL302" i="1"/>
  <c r="AG302" i="1"/>
  <c r="AF302" i="1"/>
  <c r="AE304" i="1" l="1"/>
  <c r="AL303" i="1"/>
  <c r="AM303" i="1"/>
  <c r="AN303" i="1"/>
  <c r="AO303" i="1"/>
  <c r="AH303" i="1"/>
  <c r="AP303" i="1"/>
  <c r="AI303" i="1"/>
  <c r="AJ303" i="1"/>
  <c r="AK303" i="1"/>
  <c r="AF303" i="1"/>
  <c r="AG303" i="1"/>
  <c r="AE305" i="1" l="1"/>
  <c r="AK304" i="1"/>
  <c r="AL304" i="1"/>
  <c r="AM304" i="1"/>
  <c r="AN304" i="1"/>
  <c r="AO304" i="1"/>
  <c r="AH304" i="1"/>
  <c r="AP304" i="1"/>
  <c r="AI304" i="1"/>
  <c r="AJ304" i="1"/>
  <c r="AG304" i="1"/>
  <c r="AF304" i="1"/>
  <c r="AE306" i="1" l="1"/>
  <c r="AJ305" i="1"/>
  <c r="AK305" i="1"/>
  <c r="AL305" i="1"/>
  <c r="AM305" i="1"/>
  <c r="AN305" i="1"/>
  <c r="AO305" i="1"/>
  <c r="AP305" i="1"/>
  <c r="AH305" i="1"/>
  <c r="AI305" i="1"/>
  <c r="AG305" i="1"/>
  <c r="AF305" i="1"/>
  <c r="AE307" i="1" l="1"/>
  <c r="AI306" i="1"/>
  <c r="AJ306" i="1"/>
  <c r="AK306" i="1"/>
  <c r="AL306" i="1"/>
  <c r="AM306" i="1"/>
  <c r="AN306" i="1"/>
  <c r="AH306" i="1"/>
  <c r="AO306" i="1"/>
  <c r="AP306" i="1"/>
  <c r="AG306" i="1"/>
  <c r="AF306" i="1"/>
  <c r="AE308" i="1" l="1"/>
  <c r="AH307" i="1"/>
  <c r="AP307" i="1"/>
  <c r="AI307" i="1"/>
  <c r="AJ307" i="1"/>
  <c r="AK307" i="1"/>
  <c r="AL307" i="1"/>
  <c r="AM307" i="1"/>
  <c r="AN307" i="1"/>
  <c r="AG307" i="1"/>
  <c r="AO307" i="1"/>
  <c r="AF307" i="1"/>
  <c r="AE309" i="1" l="1"/>
  <c r="AO308" i="1"/>
  <c r="AH308" i="1"/>
  <c r="AP308" i="1"/>
  <c r="AI308" i="1"/>
  <c r="AJ308" i="1"/>
  <c r="AK308" i="1"/>
  <c r="AL308" i="1"/>
  <c r="AM308" i="1"/>
  <c r="AN308" i="1"/>
  <c r="AG308" i="1"/>
  <c r="AF308" i="1"/>
  <c r="AE310" i="1" l="1"/>
  <c r="AN309" i="1"/>
  <c r="AO309" i="1"/>
  <c r="AH309" i="1"/>
  <c r="AP309" i="1"/>
  <c r="AI309" i="1"/>
  <c r="AJ309" i="1"/>
  <c r="AK309" i="1"/>
  <c r="AL309" i="1"/>
  <c r="AM309" i="1"/>
  <c r="AG309" i="1"/>
  <c r="AF309" i="1"/>
  <c r="AE311" i="1" l="1"/>
  <c r="AM310" i="1"/>
  <c r="AN310" i="1"/>
  <c r="AO310" i="1"/>
  <c r="AH310" i="1"/>
  <c r="AP310" i="1"/>
  <c r="AI310" i="1"/>
  <c r="AJ310" i="1"/>
  <c r="AK310" i="1"/>
  <c r="AL310" i="1"/>
  <c r="AG310" i="1"/>
  <c r="AF310" i="1"/>
  <c r="AE312" i="1" l="1"/>
  <c r="AL311" i="1"/>
  <c r="AM311" i="1"/>
  <c r="AN311" i="1"/>
  <c r="AO311" i="1"/>
  <c r="AH311" i="1"/>
  <c r="AP311" i="1"/>
  <c r="AI311" i="1"/>
  <c r="AJ311" i="1"/>
  <c r="AG311" i="1"/>
  <c r="AK311" i="1"/>
  <c r="AF311" i="1"/>
  <c r="AE313" i="1" l="1"/>
  <c r="AK312" i="1"/>
  <c r="AL312" i="1"/>
  <c r="AM312" i="1"/>
  <c r="AN312" i="1"/>
  <c r="AO312" i="1"/>
  <c r="AH312" i="1"/>
  <c r="AP312" i="1"/>
  <c r="AI312" i="1"/>
  <c r="AJ312" i="1"/>
  <c r="AG312" i="1"/>
  <c r="AF312" i="1"/>
  <c r="AE314" i="1" l="1"/>
  <c r="AJ313" i="1"/>
  <c r="AK313" i="1"/>
  <c r="AL313" i="1"/>
  <c r="AM313" i="1"/>
  <c r="AN313" i="1"/>
  <c r="AO313" i="1"/>
  <c r="AH313" i="1"/>
  <c r="AI313" i="1"/>
  <c r="AP313" i="1"/>
  <c r="AG313" i="1"/>
  <c r="AF313" i="1"/>
  <c r="AE315" i="1" l="1"/>
  <c r="AI314" i="1"/>
  <c r="AJ314" i="1"/>
  <c r="AK314" i="1"/>
  <c r="AL314" i="1"/>
  <c r="AM314" i="1"/>
  <c r="AN314" i="1"/>
  <c r="AH314" i="1"/>
  <c r="AO314" i="1"/>
  <c r="AP314" i="1"/>
  <c r="AG314" i="1"/>
  <c r="AF314" i="1"/>
  <c r="AE316" i="1" l="1"/>
  <c r="AH315" i="1"/>
  <c r="AP315" i="1"/>
  <c r="AI315" i="1"/>
  <c r="AJ315" i="1"/>
  <c r="AK315" i="1"/>
  <c r="AL315" i="1"/>
  <c r="AM315" i="1"/>
  <c r="AN315" i="1"/>
  <c r="AO315" i="1"/>
  <c r="AG315" i="1"/>
  <c r="AF315" i="1"/>
  <c r="AE317" i="1" l="1"/>
  <c r="AO316" i="1"/>
  <c r="AH316" i="1"/>
  <c r="AP316" i="1"/>
  <c r="AI316" i="1"/>
  <c r="AJ316" i="1"/>
  <c r="AK316" i="1"/>
  <c r="AL316" i="1"/>
  <c r="AM316" i="1"/>
  <c r="AN316" i="1"/>
  <c r="AG316" i="1"/>
  <c r="AF316" i="1"/>
  <c r="AE318" i="1" l="1"/>
  <c r="AN317" i="1"/>
  <c r="AO317" i="1"/>
  <c r="AH317" i="1"/>
  <c r="AP317" i="1"/>
  <c r="AI317" i="1"/>
  <c r="AJ317" i="1"/>
  <c r="AK317" i="1"/>
  <c r="AL317" i="1"/>
  <c r="AM317" i="1"/>
  <c r="AG317" i="1"/>
  <c r="AF317" i="1"/>
  <c r="AE319" i="1" l="1"/>
  <c r="AM318" i="1"/>
  <c r="AN318" i="1"/>
  <c r="AO318" i="1"/>
  <c r="AH318" i="1"/>
  <c r="AP318" i="1"/>
  <c r="AI318" i="1"/>
  <c r="AJ318" i="1"/>
  <c r="AK318" i="1"/>
  <c r="AL318" i="1"/>
  <c r="AG318" i="1"/>
  <c r="AF318" i="1"/>
  <c r="AE320" i="1" l="1"/>
  <c r="AL319" i="1"/>
  <c r="AM319" i="1"/>
  <c r="AN319" i="1"/>
  <c r="AO319" i="1"/>
  <c r="AH319" i="1"/>
  <c r="AP319" i="1"/>
  <c r="AI319" i="1"/>
  <c r="AJ319" i="1"/>
  <c r="AK319" i="1"/>
  <c r="AG319" i="1"/>
  <c r="AF319" i="1"/>
  <c r="AE321" i="1" l="1"/>
  <c r="AK320" i="1"/>
  <c r="AL320" i="1"/>
  <c r="AM320" i="1"/>
  <c r="AN320" i="1"/>
  <c r="AO320" i="1"/>
  <c r="AH320" i="1"/>
  <c r="AP320" i="1"/>
  <c r="AI320" i="1"/>
  <c r="AJ320" i="1"/>
  <c r="AG320" i="1"/>
  <c r="AF320" i="1"/>
  <c r="AE322" i="1" l="1"/>
  <c r="AJ321" i="1"/>
  <c r="AL321" i="1"/>
  <c r="AM321" i="1"/>
  <c r="AN321" i="1"/>
  <c r="AO321" i="1"/>
  <c r="AH321" i="1"/>
  <c r="AI321" i="1"/>
  <c r="AK321" i="1"/>
  <c r="AP321" i="1"/>
  <c r="AG321" i="1"/>
  <c r="AF321" i="1"/>
  <c r="AE323" i="1" l="1"/>
  <c r="AI322" i="1"/>
  <c r="AK322" i="1"/>
  <c r="AL322" i="1"/>
  <c r="AM322" i="1"/>
  <c r="AN322" i="1"/>
  <c r="AO322" i="1"/>
  <c r="AP322" i="1"/>
  <c r="AH322" i="1"/>
  <c r="AJ322" i="1"/>
  <c r="AG322" i="1"/>
  <c r="AF322" i="1"/>
  <c r="AE324" i="1" l="1"/>
  <c r="AH323" i="1"/>
  <c r="AP323" i="1"/>
  <c r="AJ323" i="1"/>
  <c r="AK323" i="1"/>
  <c r="AL323" i="1"/>
  <c r="AM323" i="1"/>
  <c r="AI323" i="1"/>
  <c r="AN323" i="1"/>
  <c r="AO323" i="1"/>
  <c r="AG323" i="1"/>
  <c r="AF323" i="1"/>
  <c r="AE325" i="1" l="1"/>
  <c r="AO324" i="1"/>
  <c r="AI324" i="1"/>
  <c r="AJ324" i="1"/>
  <c r="AK324" i="1"/>
  <c r="AL324" i="1"/>
  <c r="AP324" i="1"/>
  <c r="AM324" i="1"/>
  <c r="AN324" i="1"/>
  <c r="AG324" i="1"/>
  <c r="AF324" i="1"/>
  <c r="AH324" i="1"/>
  <c r="AE326" i="1" l="1"/>
  <c r="AN325" i="1"/>
  <c r="AH325" i="1"/>
  <c r="AP325" i="1"/>
  <c r="AI325" i="1"/>
  <c r="AJ325" i="1"/>
  <c r="AK325" i="1"/>
  <c r="AL325" i="1"/>
  <c r="AM325" i="1"/>
  <c r="AO325" i="1"/>
  <c r="AG325" i="1"/>
  <c r="AF325" i="1"/>
  <c r="AE327" i="1" l="1"/>
  <c r="AM326" i="1"/>
  <c r="AO326" i="1"/>
  <c r="AH326" i="1"/>
  <c r="AP326" i="1"/>
  <c r="AI326" i="1"/>
  <c r="AJ326" i="1"/>
  <c r="AN326" i="1"/>
  <c r="AK326" i="1"/>
  <c r="AL326" i="1"/>
  <c r="AG326" i="1"/>
  <c r="AF326" i="1"/>
  <c r="AE328" i="1" l="1"/>
  <c r="AL327" i="1"/>
  <c r="AN327" i="1"/>
  <c r="AO327" i="1"/>
  <c r="AH327" i="1"/>
  <c r="AP327" i="1"/>
  <c r="AI327" i="1"/>
  <c r="AK327" i="1"/>
  <c r="AM327" i="1"/>
  <c r="AJ327" i="1"/>
  <c r="AF327" i="1"/>
  <c r="AG327" i="1"/>
  <c r="AE329" i="1" l="1"/>
  <c r="AK328" i="1"/>
  <c r="AM328" i="1"/>
  <c r="AN328" i="1"/>
  <c r="AO328" i="1"/>
  <c r="AH328" i="1"/>
  <c r="AP328" i="1"/>
  <c r="AI328" i="1"/>
  <c r="AJ328" i="1"/>
  <c r="AL328" i="1"/>
  <c r="AG328" i="1"/>
  <c r="AF328" i="1"/>
  <c r="AE330" i="1" l="1"/>
  <c r="AJ329" i="1"/>
  <c r="AL329" i="1"/>
  <c r="AM329" i="1"/>
  <c r="AN329" i="1"/>
  <c r="AO329" i="1"/>
  <c r="AP329" i="1"/>
  <c r="AI329" i="1"/>
  <c r="AK329" i="1"/>
  <c r="AH329" i="1"/>
  <c r="AG329" i="1"/>
  <c r="AF329" i="1"/>
  <c r="AE331" i="1" l="1"/>
  <c r="AI330" i="1"/>
  <c r="AK330" i="1"/>
  <c r="AL330" i="1"/>
  <c r="AM330" i="1"/>
  <c r="AN330" i="1"/>
  <c r="AH330" i="1"/>
  <c r="AJ330" i="1"/>
  <c r="AO330" i="1"/>
  <c r="AP330" i="1"/>
  <c r="AG330" i="1"/>
  <c r="AF330" i="1"/>
  <c r="AE332" i="1" l="1"/>
  <c r="AH331" i="1"/>
  <c r="AP331" i="1"/>
  <c r="AJ331" i="1"/>
  <c r="AK331" i="1"/>
  <c r="AL331" i="1"/>
  <c r="AM331" i="1"/>
  <c r="AN331" i="1"/>
  <c r="AO331" i="1"/>
  <c r="AI331" i="1"/>
  <c r="AG331" i="1"/>
  <c r="AF331" i="1"/>
  <c r="AE333" i="1" l="1"/>
  <c r="AO332" i="1"/>
  <c r="AI332" i="1"/>
  <c r="AJ332" i="1"/>
  <c r="AK332" i="1"/>
  <c r="AL332" i="1"/>
  <c r="AH332" i="1"/>
  <c r="AM332" i="1"/>
  <c r="AN332" i="1"/>
  <c r="AP332" i="1"/>
  <c r="AG332" i="1"/>
  <c r="AF332" i="1"/>
  <c r="AE334" i="1" l="1"/>
  <c r="AN333" i="1"/>
  <c r="AH333" i="1"/>
  <c r="AP333" i="1"/>
  <c r="AI333" i="1"/>
  <c r="AJ333" i="1"/>
  <c r="AK333" i="1"/>
  <c r="AO333" i="1"/>
  <c r="AL333" i="1"/>
  <c r="AM333" i="1"/>
  <c r="AG333" i="1"/>
  <c r="AF333" i="1"/>
  <c r="AE335" i="1" l="1"/>
  <c r="AM334" i="1"/>
  <c r="AO334" i="1"/>
  <c r="AH334" i="1"/>
  <c r="AP334" i="1"/>
  <c r="AI334" i="1"/>
  <c r="AJ334" i="1"/>
  <c r="AL334" i="1"/>
  <c r="AN334" i="1"/>
  <c r="AK334" i="1"/>
  <c r="AG334" i="1"/>
  <c r="AF334" i="1"/>
  <c r="AE336" i="1" l="1"/>
  <c r="AL335" i="1"/>
  <c r="AN335" i="1"/>
  <c r="AO335" i="1"/>
  <c r="AH335" i="1"/>
  <c r="AP335" i="1"/>
  <c r="AI335" i="1"/>
  <c r="AJ335" i="1"/>
  <c r="AK335" i="1"/>
  <c r="AM335" i="1"/>
  <c r="AF335" i="1"/>
  <c r="AG335" i="1"/>
  <c r="AE337" i="1" l="1"/>
  <c r="AK336" i="1"/>
  <c r="AM336" i="1"/>
  <c r="AN336" i="1"/>
  <c r="AO336" i="1"/>
  <c r="AH336" i="1"/>
  <c r="AP336" i="1"/>
  <c r="AJ336" i="1"/>
  <c r="AL336" i="1"/>
  <c r="AI336" i="1"/>
  <c r="AG336" i="1"/>
  <c r="AF336" i="1"/>
  <c r="AE338" i="1" l="1"/>
  <c r="AJ337" i="1"/>
  <c r="AL337" i="1"/>
  <c r="AM337" i="1"/>
  <c r="AN337" i="1"/>
  <c r="AO337" i="1"/>
  <c r="AH337" i="1"/>
  <c r="AI337" i="1"/>
  <c r="AK337" i="1"/>
  <c r="AP337" i="1"/>
  <c r="AG337" i="1"/>
  <c r="AF337" i="1"/>
  <c r="AE339" i="1" l="1"/>
  <c r="AI338" i="1"/>
  <c r="AK338" i="1"/>
  <c r="AL338" i="1"/>
  <c r="AM338" i="1"/>
  <c r="AN338" i="1"/>
  <c r="AO338" i="1"/>
  <c r="AP338" i="1"/>
  <c r="AH338" i="1"/>
  <c r="AJ338" i="1"/>
  <c r="AG338" i="1"/>
  <c r="AF338" i="1"/>
  <c r="AE340" i="1" l="1"/>
  <c r="AH339" i="1"/>
  <c r="AP339" i="1"/>
  <c r="AJ339" i="1"/>
  <c r="AK339" i="1"/>
  <c r="AL339" i="1"/>
  <c r="AM339" i="1"/>
  <c r="AI339" i="1"/>
  <c r="AN339" i="1"/>
  <c r="AO339" i="1"/>
  <c r="AG339" i="1"/>
  <c r="AF339" i="1"/>
  <c r="AE341" i="1" l="1"/>
  <c r="AO340" i="1"/>
  <c r="AI340" i="1"/>
  <c r="AJ340" i="1"/>
  <c r="AK340" i="1"/>
  <c r="AL340" i="1"/>
  <c r="AH340" i="1"/>
  <c r="AP340" i="1"/>
  <c r="AM340" i="1"/>
  <c r="AN340" i="1"/>
  <c r="AG340" i="1"/>
  <c r="AF340" i="1"/>
  <c r="AE342" i="1" l="1"/>
  <c r="AN341" i="1"/>
  <c r="AH341" i="1"/>
  <c r="AP341" i="1"/>
  <c r="AI341" i="1"/>
  <c r="AJ341" i="1"/>
  <c r="AK341" i="1"/>
  <c r="AM341" i="1"/>
  <c r="AO341" i="1"/>
  <c r="AL341" i="1"/>
  <c r="AG341" i="1"/>
  <c r="AF341" i="1"/>
  <c r="AE343" i="1" l="1"/>
  <c r="AM342" i="1"/>
  <c r="AO342" i="1"/>
  <c r="AH342" i="1"/>
  <c r="AP342" i="1"/>
  <c r="AI342" i="1"/>
  <c r="AJ342" i="1"/>
  <c r="AK342" i="1"/>
  <c r="AL342" i="1"/>
  <c r="AN342" i="1"/>
  <c r="AG342" i="1"/>
  <c r="AF342" i="1"/>
  <c r="AE344" i="1" l="1"/>
  <c r="AL343" i="1"/>
  <c r="AN343" i="1"/>
  <c r="AO343" i="1"/>
  <c r="AH343" i="1"/>
  <c r="AP343" i="1"/>
  <c r="AI343" i="1"/>
  <c r="AK343" i="1"/>
  <c r="AM343" i="1"/>
  <c r="AJ343" i="1"/>
  <c r="AG343" i="1"/>
  <c r="AF343" i="1"/>
  <c r="AE345" i="1" l="1"/>
  <c r="AK344" i="1"/>
  <c r="AM344" i="1"/>
  <c r="AN344" i="1"/>
  <c r="AO344" i="1"/>
  <c r="AH344" i="1"/>
  <c r="AP344" i="1"/>
  <c r="AI344" i="1"/>
  <c r="AJ344" i="1"/>
  <c r="AL344" i="1"/>
  <c r="AG344" i="1"/>
  <c r="AF344" i="1"/>
  <c r="AE346" i="1" l="1"/>
  <c r="AJ345" i="1"/>
  <c r="AL345" i="1"/>
  <c r="AM345" i="1"/>
  <c r="AN345" i="1"/>
  <c r="AO345" i="1"/>
  <c r="AH345" i="1"/>
  <c r="AP345" i="1"/>
  <c r="AI345" i="1"/>
  <c r="AK345" i="1"/>
  <c r="AG345" i="1"/>
  <c r="AF345" i="1"/>
  <c r="AE347" i="1" l="1"/>
  <c r="AI346" i="1"/>
  <c r="AK346" i="1"/>
  <c r="AL346" i="1"/>
  <c r="AM346" i="1"/>
  <c r="AN346" i="1"/>
  <c r="AJ346" i="1"/>
  <c r="AO346" i="1"/>
  <c r="AP346" i="1"/>
  <c r="AH346" i="1"/>
  <c r="AG346" i="1"/>
  <c r="AF346" i="1"/>
  <c r="AE348" i="1" l="1"/>
  <c r="AH347" i="1"/>
  <c r="AP347" i="1"/>
  <c r="AJ347" i="1"/>
  <c r="AK347" i="1"/>
  <c r="AL347" i="1"/>
  <c r="AM347" i="1"/>
  <c r="AI347" i="1"/>
  <c r="AN347" i="1"/>
  <c r="AO347" i="1"/>
  <c r="AG347" i="1"/>
  <c r="AF347" i="1"/>
  <c r="AE349" i="1" l="1"/>
  <c r="AO348" i="1"/>
  <c r="AI348" i="1"/>
  <c r="AJ348" i="1"/>
  <c r="AK348" i="1"/>
  <c r="AL348" i="1"/>
  <c r="AN348" i="1"/>
  <c r="AP348" i="1"/>
  <c r="AH348" i="1"/>
  <c r="AM348" i="1"/>
  <c r="AG348" i="1"/>
  <c r="AF348" i="1"/>
  <c r="AE350" i="1" l="1"/>
  <c r="AN349" i="1"/>
  <c r="AH349" i="1"/>
  <c r="AP349" i="1"/>
  <c r="AI349" i="1"/>
  <c r="AJ349" i="1"/>
  <c r="AK349" i="1"/>
  <c r="AL349" i="1"/>
  <c r="AM349" i="1"/>
  <c r="AO349" i="1"/>
  <c r="AG349" i="1"/>
  <c r="AF349" i="1"/>
  <c r="AE351" i="1" l="1"/>
  <c r="AM350" i="1"/>
  <c r="AO350" i="1"/>
  <c r="AH350" i="1"/>
  <c r="AP350" i="1"/>
  <c r="AI350" i="1"/>
  <c r="AJ350" i="1"/>
  <c r="AL350" i="1"/>
  <c r="AN350" i="1"/>
  <c r="AK350" i="1"/>
  <c r="AG350" i="1"/>
  <c r="AF350" i="1"/>
  <c r="AE352" i="1" l="1"/>
  <c r="AL351" i="1"/>
  <c r="AN351" i="1"/>
  <c r="AO351" i="1"/>
  <c r="AH351" i="1"/>
  <c r="AP351" i="1"/>
  <c r="AI351" i="1"/>
  <c r="AJ351" i="1"/>
  <c r="AK351" i="1"/>
  <c r="AM351" i="1"/>
  <c r="AG351" i="1"/>
  <c r="AF351" i="1"/>
  <c r="AE353" i="1" l="1"/>
  <c r="AK352" i="1"/>
  <c r="AM352" i="1"/>
  <c r="AN352" i="1"/>
  <c r="AO352" i="1"/>
  <c r="AH352" i="1"/>
  <c r="AP352" i="1"/>
  <c r="AI352" i="1"/>
  <c r="AJ352" i="1"/>
  <c r="AG352" i="1"/>
  <c r="AL352" i="1"/>
  <c r="AF352" i="1"/>
  <c r="AE354" i="1" l="1"/>
  <c r="AJ353" i="1"/>
  <c r="AL353" i="1"/>
  <c r="AM353" i="1"/>
  <c r="AN353" i="1"/>
  <c r="AO353" i="1"/>
  <c r="AK353" i="1"/>
  <c r="AP353" i="1"/>
  <c r="AH353" i="1"/>
  <c r="AI353" i="1"/>
  <c r="AG353" i="1"/>
  <c r="AF353" i="1"/>
  <c r="AE355" i="1" l="1"/>
  <c r="AI354" i="1"/>
  <c r="AK354" i="1"/>
  <c r="AL354" i="1"/>
  <c r="AM354" i="1"/>
  <c r="AN354" i="1"/>
  <c r="AH354" i="1"/>
  <c r="AJ354" i="1"/>
  <c r="AO354" i="1"/>
  <c r="AP354" i="1"/>
  <c r="AG354" i="1"/>
  <c r="AF354" i="1"/>
  <c r="AE356" i="1" l="1"/>
  <c r="AH355" i="1"/>
  <c r="AP355" i="1"/>
  <c r="AJ355" i="1"/>
  <c r="AK355" i="1"/>
  <c r="AL355" i="1"/>
  <c r="AM355" i="1"/>
  <c r="AO355" i="1"/>
  <c r="AI355" i="1"/>
  <c r="AN355" i="1"/>
  <c r="AG355" i="1"/>
  <c r="AF355" i="1"/>
  <c r="AE357" i="1" l="1"/>
  <c r="AO356" i="1"/>
  <c r="AI356" i="1"/>
  <c r="AJ356" i="1"/>
  <c r="AK356" i="1"/>
  <c r="AL356" i="1"/>
  <c r="AH356" i="1"/>
  <c r="AM356" i="1"/>
  <c r="AN356" i="1"/>
  <c r="AP356" i="1"/>
  <c r="AG356" i="1"/>
  <c r="AF356" i="1"/>
  <c r="AE358" i="1" l="1"/>
  <c r="AN357" i="1"/>
  <c r="AH357" i="1"/>
  <c r="AP357" i="1"/>
  <c r="AI357" i="1"/>
  <c r="AJ357" i="1"/>
  <c r="AK357" i="1"/>
  <c r="AM357" i="1"/>
  <c r="AO357" i="1"/>
  <c r="AL357" i="1"/>
  <c r="AG357" i="1"/>
  <c r="AF357" i="1"/>
  <c r="AE359" i="1" l="1"/>
  <c r="AM358" i="1"/>
  <c r="AO358" i="1"/>
  <c r="AH358" i="1"/>
  <c r="AP358" i="1"/>
  <c r="AI358" i="1"/>
  <c r="AJ358" i="1"/>
  <c r="AK358" i="1"/>
  <c r="AL358" i="1"/>
  <c r="AN358" i="1"/>
  <c r="AG358" i="1"/>
  <c r="AF358" i="1"/>
  <c r="AE360" i="1" l="1"/>
  <c r="AL359" i="1"/>
  <c r="AN359" i="1"/>
  <c r="AO359" i="1"/>
  <c r="AH359" i="1"/>
  <c r="AP359" i="1"/>
  <c r="AI359" i="1"/>
  <c r="AJ359" i="1"/>
  <c r="AK359" i="1"/>
  <c r="AM359" i="1"/>
  <c r="AF359" i="1"/>
  <c r="AG359" i="1"/>
  <c r="AE361" i="1" l="1"/>
  <c r="AK360" i="1"/>
  <c r="AM360" i="1"/>
  <c r="AN360" i="1"/>
  <c r="AO360" i="1"/>
  <c r="AH360" i="1"/>
  <c r="AP360" i="1"/>
  <c r="AL360" i="1"/>
  <c r="AI360" i="1"/>
  <c r="AJ360" i="1"/>
  <c r="AG360" i="1"/>
  <c r="AF360" i="1"/>
  <c r="AE362" i="1" l="1"/>
  <c r="AJ361" i="1"/>
  <c r="AL361" i="1"/>
  <c r="AM361" i="1"/>
  <c r="AN361" i="1"/>
  <c r="AO361" i="1"/>
  <c r="AH361" i="1"/>
  <c r="AI361" i="1"/>
  <c r="AK361" i="1"/>
  <c r="AP361" i="1"/>
  <c r="AG361" i="1"/>
  <c r="AF361" i="1"/>
  <c r="AE363" i="1" l="1"/>
  <c r="AI362" i="1"/>
  <c r="AK362" i="1"/>
  <c r="AL362" i="1"/>
  <c r="AM362" i="1"/>
  <c r="AN362" i="1"/>
  <c r="AP362" i="1"/>
  <c r="AJ362" i="1"/>
  <c r="AO362" i="1"/>
  <c r="AG362" i="1"/>
  <c r="AH362" i="1"/>
  <c r="AF362" i="1"/>
  <c r="AE364" i="1" l="1"/>
  <c r="AH363" i="1"/>
  <c r="AP363" i="1"/>
  <c r="AJ363" i="1"/>
  <c r="AK363" i="1"/>
  <c r="AL363" i="1"/>
  <c r="AM363" i="1"/>
  <c r="AI363" i="1"/>
  <c r="AN363" i="1"/>
  <c r="AO363" i="1"/>
  <c r="AG363" i="1"/>
  <c r="AF363" i="1"/>
  <c r="AE365" i="1" l="1"/>
  <c r="AO364" i="1"/>
  <c r="AI364" i="1"/>
  <c r="AJ364" i="1"/>
  <c r="AK364" i="1"/>
  <c r="AL364" i="1"/>
  <c r="AN364" i="1"/>
  <c r="AP364" i="1"/>
  <c r="AH364" i="1"/>
  <c r="AM364" i="1"/>
  <c r="AG364" i="1"/>
  <c r="AF364" i="1"/>
  <c r="AE366" i="1" l="1"/>
  <c r="AN365" i="1"/>
  <c r="AH365" i="1"/>
  <c r="AP365" i="1"/>
  <c r="AI365" i="1"/>
  <c r="AJ365" i="1"/>
  <c r="AK365" i="1"/>
  <c r="AL365" i="1"/>
  <c r="AM365" i="1"/>
  <c r="AO365" i="1"/>
  <c r="AG365" i="1"/>
  <c r="AF365" i="1"/>
  <c r="AE367" i="1" l="1"/>
  <c r="AM366" i="1"/>
  <c r="AO366" i="1"/>
  <c r="AH366" i="1"/>
  <c r="AP366" i="1"/>
  <c r="AI366" i="1"/>
  <c r="AJ366" i="1"/>
  <c r="AK366" i="1"/>
  <c r="AL366" i="1"/>
  <c r="AN366" i="1"/>
  <c r="AG366" i="1"/>
  <c r="AF366" i="1"/>
  <c r="AE368" i="1" l="1"/>
  <c r="AL367" i="1"/>
  <c r="AN367" i="1"/>
  <c r="AO367" i="1"/>
  <c r="AH367" i="1"/>
  <c r="AP367" i="1"/>
  <c r="AI367" i="1"/>
  <c r="AM367" i="1"/>
  <c r="AJ367" i="1"/>
  <c r="AK367" i="1"/>
  <c r="AF367" i="1"/>
  <c r="AG367" i="1"/>
  <c r="AE369" i="1" l="1"/>
  <c r="AK368" i="1"/>
  <c r="AM368" i="1"/>
  <c r="AN368" i="1"/>
  <c r="AO368" i="1"/>
  <c r="AH368" i="1"/>
  <c r="AP368" i="1"/>
  <c r="AI368" i="1"/>
  <c r="AJ368" i="1"/>
  <c r="AL368" i="1"/>
  <c r="AG368" i="1"/>
  <c r="AF368" i="1"/>
  <c r="AE370" i="1" l="1"/>
  <c r="AJ369" i="1"/>
  <c r="AL369" i="1"/>
  <c r="AM369" i="1"/>
  <c r="AN369" i="1"/>
  <c r="AO369" i="1"/>
  <c r="AK369" i="1"/>
  <c r="AP369" i="1"/>
  <c r="AH369" i="1"/>
  <c r="AI369" i="1"/>
  <c r="AF369" i="1"/>
  <c r="AG369" i="1"/>
  <c r="AE371" i="1" l="1"/>
  <c r="AI370" i="1"/>
  <c r="AK370" i="1"/>
  <c r="AL370" i="1"/>
  <c r="AM370" i="1"/>
  <c r="AN370" i="1"/>
  <c r="AH370" i="1"/>
  <c r="AJ370" i="1"/>
  <c r="AO370" i="1"/>
  <c r="AP370" i="1"/>
  <c r="AG370" i="1"/>
  <c r="AF370" i="1"/>
  <c r="AE372" i="1" l="1"/>
  <c r="AH371" i="1"/>
  <c r="AP371" i="1"/>
  <c r="AJ371" i="1"/>
  <c r="AK371" i="1"/>
  <c r="AL371" i="1"/>
  <c r="AM371" i="1"/>
  <c r="AO371" i="1"/>
  <c r="AI371" i="1"/>
  <c r="AN371" i="1"/>
  <c r="AG371" i="1"/>
  <c r="AF371" i="1"/>
  <c r="AE373" i="1" l="1"/>
  <c r="AO372" i="1"/>
  <c r="AI372" i="1"/>
  <c r="AJ372" i="1"/>
  <c r="AK372" i="1"/>
  <c r="AL372" i="1"/>
  <c r="AM372" i="1"/>
  <c r="AN372" i="1"/>
  <c r="AP372" i="1"/>
  <c r="AH372" i="1"/>
  <c r="AG372" i="1"/>
  <c r="AF372" i="1"/>
  <c r="AE374" i="1" l="1"/>
  <c r="AN373" i="1"/>
  <c r="AH373" i="1"/>
  <c r="AP373" i="1"/>
  <c r="AI373" i="1"/>
  <c r="AJ373" i="1"/>
  <c r="AK373" i="1"/>
  <c r="AL373" i="1"/>
  <c r="AM373" i="1"/>
  <c r="AO373" i="1"/>
  <c r="AG373" i="1"/>
  <c r="AF373" i="1"/>
  <c r="AE375" i="1" l="1"/>
  <c r="AM374" i="1"/>
  <c r="AO374" i="1"/>
  <c r="AH374" i="1"/>
  <c r="AP374" i="1"/>
  <c r="AI374" i="1"/>
  <c r="AJ374" i="1"/>
  <c r="AN374" i="1"/>
  <c r="AK374" i="1"/>
  <c r="AL374" i="1"/>
  <c r="AG374" i="1"/>
  <c r="AF374" i="1"/>
  <c r="AE376" i="1" l="1"/>
  <c r="AL375" i="1"/>
  <c r="AN375" i="1"/>
  <c r="AO375" i="1"/>
  <c r="AH375" i="1"/>
  <c r="AP375" i="1"/>
  <c r="AI375" i="1"/>
  <c r="AJ375" i="1"/>
  <c r="AK375" i="1"/>
  <c r="AM375" i="1"/>
  <c r="AG375" i="1"/>
  <c r="AF375" i="1"/>
  <c r="AE377" i="1" l="1"/>
  <c r="AK376" i="1"/>
  <c r="AM376" i="1"/>
  <c r="AN376" i="1"/>
  <c r="AO376" i="1"/>
  <c r="AH376" i="1"/>
  <c r="AP376" i="1"/>
  <c r="AL376" i="1"/>
  <c r="AI376" i="1"/>
  <c r="AJ376" i="1"/>
  <c r="AG376" i="1"/>
  <c r="AF376" i="1"/>
  <c r="AE378" i="1" l="1"/>
  <c r="AJ377" i="1"/>
  <c r="AL377" i="1"/>
  <c r="AM377" i="1"/>
  <c r="AN377" i="1"/>
  <c r="AO377" i="1"/>
  <c r="AI377" i="1"/>
  <c r="AK377" i="1"/>
  <c r="AP377" i="1"/>
  <c r="AH377" i="1"/>
  <c r="AG377" i="1"/>
  <c r="AF377" i="1"/>
  <c r="AE379" i="1" l="1"/>
  <c r="AI378" i="1"/>
  <c r="AK378" i="1"/>
  <c r="AL378" i="1"/>
  <c r="AM378" i="1"/>
  <c r="AN378" i="1"/>
  <c r="AH378" i="1"/>
  <c r="AP378" i="1"/>
  <c r="AJ378" i="1"/>
  <c r="AG378" i="1"/>
  <c r="AO378" i="1"/>
  <c r="AF378" i="1"/>
  <c r="AE380" i="1" l="1"/>
  <c r="AH379" i="1"/>
  <c r="AP379" i="1"/>
  <c r="AJ379" i="1"/>
  <c r="AK379" i="1"/>
  <c r="AL379" i="1"/>
  <c r="AM379" i="1"/>
  <c r="AN379" i="1"/>
  <c r="AO379" i="1"/>
  <c r="AI379" i="1"/>
  <c r="AG379" i="1"/>
  <c r="AF379" i="1"/>
  <c r="AE381" i="1" l="1"/>
  <c r="AO380" i="1"/>
  <c r="AI380" i="1"/>
  <c r="AJ380" i="1"/>
  <c r="AK380" i="1"/>
  <c r="AL380" i="1"/>
  <c r="AH380" i="1"/>
  <c r="AM380" i="1"/>
  <c r="AN380" i="1"/>
  <c r="AG380" i="1"/>
  <c r="AP380" i="1"/>
  <c r="AF380" i="1"/>
  <c r="AE382" i="1" l="1"/>
  <c r="AN381" i="1"/>
  <c r="AH381" i="1"/>
  <c r="AP381" i="1"/>
  <c r="AI381" i="1"/>
  <c r="AJ381" i="1"/>
  <c r="AK381" i="1"/>
  <c r="AO381" i="1"/>
  <c r="AL381" i="1"/>
  <c r="AM381" i="1"/>
  <c r="AG381" i="1"/>
  <c r="AF381" i="1"/>
  <c r="AE383" i="1" l="1"/>
  <c r="AM382" i="1"/>
  <c r="AO382" i="1"/>
  <c r="AH382" i="1"/>
  <c r="AP382" i="1"/>
  <c r="AI382" i="1"/>
  <c r="AJ382" i="1"/>
  <c r="AK382" i="1"/>
  <c r="AL382" i="1"/>
  <c r="AN382" i="1"/>
  <c r="AG382" i="1"/>
  <c r="AF382" i="1"/>
  <c r="AE384" i="1" l="1"/>
  <c r="AL383" i="1"/>
  <c r="AN383" i="1"/>
  <c r="AO383" i="1"/>
  <c r="AH383" i="1"/>
  <c r="AP383" i="1"/>
  <c r="AI383" i="1"/>
  <c r="AM383" i="1"/>
  <c r="AJ383" i="1"/>
  <c r="AK383" i="1"/>
  <c r="AG383" i="1"/>
  <c r="AF383" i="1"/>
  <c r="AE385" i="1" l="1"/>
  <c r="AK384" i="1"/>
  <c r="AM384" i="1"/>
  <c r="AN384" i="1"/>
  <c r="AO384" i="1"/>
  <c r="AH384" i="1"/>
  <c r="AP384" i="1"/>
  <c r="AJ384" i="1"/>
  <c r="AL384" i="1"/>
  <c r="AI384" i="1"/>
  <c r="AG384" i="1"/>
  <c r="AF384" i="1"/>
  <c r="AE386" i="1" l="1"/>
  <c r="AJ385" i="1"/>
  <c r="AL385" i="1"/>
  <c r="AM385" i="1"/>
  <c r="AN385" i="1"/>
  <c r="AO385" i="1"/>
  <c r="AH385" i="1"/>
  <c r="AI385" i="1"/>
  <c r="AK385" i="1"/>
  <c r="AP385" i="1"/>
  <c r="AG385" i="1"/>
  <c r="AF385" i="1"/>
  <c r="AE387" i="1" l="1"/>
  <c r="AI386" i="1"/>
  <c r="AK386" i="1"/>
  <c r="AL386" i="1"/>
  <c r="AM386" i="1"/>
  <c r="AN386" i="1"/>
  <c r="AO386" i="1"/>
  <c r="AP386" i="1"/>
  <c r="AH386" i="1"/>
  <c r="AJ386" i="1"/>
  <c r="AG386" i="1"/>
  <c r="AF386" i="1"/>
  <c r="AE388" i="1" l="1"/>
  <c r="AH387" i="1"/>
  <c r="AP387" i="1"/>
  <c r="AJ387" i="1"/>
  <c r="AK387" i="1"/>
  <c r="AL387" i="1"/>
  <c r="AM387" i="1"/>
  <c r="AI387" i="1"/>
  <c r="AN387" i="1"/>
  <c r="AO387" i="1"/>
  <c r="AG387" i="1"/>
  <c r="AF387" i="1"/>
  <c r="AE389" i="1" l="1"/>
  <c r="AO388" i="1"/>
  <c r="AI388" i="1"/>
  <c r="AJ388" i="1"/>
  <c r="AK388" i="1"/>
  <c r="AL388" i="1"/>
  <c r="AP388" i="1"/>
  <c r="AM388" i="1"/>
  <c r="AN388" i="1"/>
  <c r="AG388" i="1"/>
  <c r="AH388" i="1"/>
  <c r="AF388" i="1"/>
  <c r="AE390" i="1" l="1"/>
  <c r="AN389" i="1"/>
  <c r="AH389" i="1"/>
  <c r="AP389" i="1"/>
  <c r="AI389" i="1"/>
  <c r="AJ389" i="1"/>
  <c r="AK389" i="1"/>
  <c r="AL389" i="1"/>
  <c r="AM389" i="1"/>
  <c r="AO389" i="1"/>
  <c r="AG389" i="1"/>
  <c r="AF389" i="1"/>
  <c r="AE391" i="1" l="1"/>
  <c r="AM390" i="1"/>
  <c r="AO390" i="1"/>
  <c r="AH390" i="1"/>
  <c r="AP390" i="1"/>
  <c r="AI390" i="1"/>
  <c r="AJ390" i="1"/>
  <c r="AN390" i="1"/>
  <c r="AK390" i="1"/>
  <c r="AG390" i="1"/>
  <c r="AF390" i="1"/>
  <c r="AL390" i="1"/>
  <c r="AE392" i="1" l="1"/>
  <c r="AL391" i="1"/>
  <c r="AN391" i="1"/>
  <c r="AO391" i="1"/>
  <c r="AH391" i="1"/>
  <c r="AP391" i="1"/>
  <c r="AI391" i="1"/>
  <c r="AK391" i="1"/>
  <c r="AM391" i="1"/>
  <c r="AJ391" i="1"/>
  <c r="AF391" i="1"/>
  <c r="AG391" i="1"/>
  <c r="AE393" i="1" l="1"/>
  <c r="AK392" i="1"/>
  <c r="AM392" i="1"/>
  <c r="AN392" i="1"/>
  <c r="AO392" i="1"/>
  <c r="AH392" i="1"/>
  <c r="AP392" i="1"/>
  <c r="AI392" i="1"/>
  <c r="AJ392" i="1"/>
  <c r="AL392" i="1"/>
  <c r="AG392" i="1"/>
  <c r="AF392" i="1"/>
  <c r="AE394" i="1" l="1"/>
  <c r="AJ393" i="1"/>
  <c r="AL393" i="1"/>
  <c r="AM393" i="1"/>
  <c r="AN393" i="1"/>
  <c r="AO393" i="1"/>
  <c r="AP393" i="1"/>
  <c r="AI393" i="1"/>
  <c r="AK393" i="1"/>
  <c r="AH393" i="1"/>
  <c r="AG393" i="1"/>
  <c r="AF393" i="1"/>
  <c r="AE395" i="1" l="1"/>
  <c r="AI394" i="1"/>
  <c r="AK394" i="1"/>
  <c r="AL394" i="1"/>
  <c r="AM394" i="1"/>
  <c r="AN394" i="1"/>
  <c r="AH394" i="1"/>
  <c r="AJ394" i="1"/>
  <c r="AO394" i="1"/>
  <c r="AP394" i="1"/>
  <c r="AG394" i="1"/>
  <c r="AF394" i="1"/>
  <c r="AE396" i="1" l="1"/>
  <c r="AH395" i="1"/>
  <c r="AP395" i="1"/>
  <c r="AJ395" i="1"/>
  <c r="AK395" i="1"/>
  <c r="AL395" i="1"/>
  <c r="AM395" i="1"/>
  <c r="AN395" i="1"/>
  <c r="AO395" i="1"/>
  <c r="AI395" i="1"/>
  <c r="AG395" i="1"/>
  <c r="AF395" i="1"/>
  <c r="AE397" i="1" l="1"/>
  <c r="AO396" i="1"/>
  <c r="AI396" i="1"/>
  <c r="AJ396" i="1"/>
  <c r="AK396" i="1"/>
  <c r="AL396" i="1"/>
  <c r="AH396" i="1"/>
  <c r="AM396" i="1"/>
  <c r="AN396" i="1"/>
  <c r="AP396" i="1"/>
  <c r="AG396" i="1"/>
  <c r="AF396" i="1"/>
  <c r="AE398" i="1" l="1"/>
  <c r="AN397" i="1"/>
  <c r="AH397" i="1"/>
  <c r="AP397" i="1"/>
  <c r="AI397" i="1"/>
  <c r="AJ397" i="1"/>
  <c r="AK397" i="1"/>
  <c r="AO397" i="1"/>
  <c r="AL397" i="1"/>
  <c r="AG397" i="1"/>
  <c r="AM397" i="1"/>
  <c r="AF397" i="1"/>
  <c r="AE399" i="1" l="1"/>
  <c r="AM398" i="1"/>
  <c r="AO398" i="1"/>
  <c r="AH398" i="1"/>
  <c r="AP398" i="1"/>
  <c r="AI398" i="1"/>
  <c r="AJ398" i="1"/>
  <c r="AL398" i="1"/>
  <c r="AN398" i="1"/>
  <c r="AK398" i="1"/>
  <c r="AG398" i="1"/>
  <c r="AF398" i="1"/>
  <c r="AE400" i="1" l="1"/>
  <c r="AL399" i="1"/>
  <c r="AN399" i="1"/>
  <c r="AO399" i="1"/>
  <c r="AH399" i="1"/>
  <c r="AP399" i="1"/>
  <c r="AI399" i="1"/>
  <c r="AJ399" i="1"/>
  <c r="AK399" i="1"/>
  <c r="AM399" i="1"/>
  <c r="AF399" i="1"/>
  <c r="AG399" i="1"/>
  <c r="AE401" i="1" l="1"/>
  <c r="AK400" i="1"/>
  <c r="AM400" i="1"/>
  <c r="AN400" i="1"/>
  <c r="AO400" i="1"/>
  <c r="AH400" i="1"/>
  <c r="AP400" i="1"/>
  <c r="AJ400" i="1"/>
  <c r="AL400" i="1"/>
  <c r="AG400" i="1"/>
  <c r="AF400" i="1"/>
  <c r="AI400" i="1"/>
  <c r="AE402" i="1" l="1"/>
  <c r="AJ401" i="1"/>
  <c r="AL401" i="1"/>
  <c r="AM401" i="1"/>
  <c r="AN401" i="1"/>
  <c r="AO401" i="1"/>
  <c r="AH401" i="1"/>
  <c r="AI401" i="1"/>
  <c r="AK401" i="1"/>
  <c r="AP401" i="1"/>
  <c r="AG401" i="1"/>
  <c r="AF401" i="1"/>
  <c r="AE403" i="1" l="1"/>
  <c r="AI402" i="1"/>
  <c r="AK402" i="1"/>
  <c r="AL402" i="1"/>
  <c r="AM402" i="1"/>
  <c r="AN402" i="1"/>
  <c r="AO402" i="1"/>
  <c r="AP402" i="1"/>
  <c r="AH402" i="1"/>
  <c r="AJ402" i="1"/>
  <c r="AG402" i="1"/>
  <c r="AF402" i="1"/>
  <c r="AE404" i="1" l="1"/>
  <c r="AH403" i="1"/>
  <c r="AP403" i="1"/>
  <c r="AJ403" i="1"/>
  <c r="AK403" i="1"/>
  <c r="AL403" i="1"/>
  <c r="AM403" i="1"/>
  <c r="AI403" i="1"/>
  <c r="AN403" i="1"/>
  <c r="AO403" i="1"/>
  <c r="AG403" i="1"/>
  <c r="AF403" i="1"/>
  <c r="AE405" i="1" l="1"/>
  <c r="AO404" i="1"/>
  <c r="AI404" i="1"/>
  <c r="AJ404" i="1"/>
  <c r="AK404" i="1"/>
  <c r="AL404" i="1"/>
  <c r="AH404" i="1"/>
  <c r="AP404" i="1"/>
  <c r="AM404" i="1"/>
  <c r="AN404" i="1"/>
  <c r="AG404" i="1"/>
  <c r="AF404" i="1"/>
  <c r="AE406" i="1" l="1"/>
  <c r="AN405" i="1"/>
  <c r="AH405" i="1"/>
  <c r="AP405" i="1"/>
  <c r="AI405" i="1"/>
  <c r="AJ405" i="1"/>
  <c r="AK405" i="1"/>
  <c r="AM405" i="1"/>
  <c r="AO405" i="1"/>
  <c r="AL405" i="1"/>
  <c r="AG405" i="1"/>
  <c r="AF405" i="1"/>
  <c r="AE407" i="1" l="1"/>
  <c r="AM406" i="1"/>
  <c r="AO406" i="1"/>
  <c r="AH406" i="1"/>
  <c r="AP406" i="1"/>
  <c r="AI406" i="1"/>
  <c r="AJ406" i="1"/>
  <c r="AK406" i="1"/>
  <c r="AL406" i="1"/>
  <c r="AN406" i="1"/>
  <c r="AG406" i="1"/>
  <c r="AF406" i="1"/>
  <c r="AE408" i="1" l="1"/>
  <c r="AL407" i="1"/>
  <c r="AN407" i="1"/>
  <c r="AO407" i="1"/>
  <c r="AH407" i="1"/>
  <c r="AP407" i="1"/>
  <c r="AI407" i="1"/>
  <c r="AK407" i="1"/>
  <c r="AM407" i="1"/>
  <c r="AJ407" i="1"/>
  <c r="AG407" i="1"/>
  <c r="AF407" i="1"/>
  <c r="AE409" i="1" l="1"/>
  <c r="AK408" i="1"/>
  <c r="AM408" i="1"/>
  <c r="AN408" i="1"/>
  <c r="AO408" i="1"/>
  <c r="AH408" i="1"/>
  <c r="AP408" i="1"/>
  <c r="AI408" i="1"/>
  <c r="AJ408" i="1"/>
  <c r="AL408" i="1"/>
  <c r="AG408" i="1"/>
  <c r="AF408" i="1"/>
  <c r="AE410" i="1" l="1"/>
  <c r="AJ409" i="1"/>
  <c r="AL409" i="1"/>
  <c r="AM409" i="1"/>
  <c r="AN409" i="1"/>
  <c r="AO409" i="1"/>
  <c r="AH409" i="1"/>
  <c r="AP409" i="1"/>
  <c r="AI409" i="1"/>
  <c r="AK409" i="1"/>
  <c r="AG409" i="1"/>
  <c r="AF409" i="1"/>
  <c r="AE411" i="1" l="1"/>
  <c r="AI410" i="1"/>
  <c r="AK410" i="1"/>
  <c r="AL410" i="1"/>
  <c r="AM410" i="1"/>
  <c r="AN410" i="1"/>
  <c r="AJ410" i="1"/>
  <c r="AO410" i="1"/>
  <c r="AP410" i="1"/>
  <c r="AH410" i="1"/>
  <c r="AG410" i="1"/>
  <c r="AF410" i="1"/>
  <c r="AE412" i="1" l="1"/>
  <c r="AH411" i="1"/>
  <c r="AP411" i="1"/>
  <c r="AJ411" i="1"/>
  <c r="AK411" i="1"/>
  <c r="AL411" i="1"/>
  <c r="AM411" i="1"/>
  <c r="AI411" i="1"/>
  <c r="AN411" i="1"/>
  <c r="AO411" i="1"/>
  <c r="AG411" i="1"/>
  <c r="AF411" i="1"/>
  <c r="AE413" i="1" l="1"/>
  <c r="AO412" i="1"/>
  <c r="AI412" i="1"/>
  <c r="AJ412" i="1"/>
  <c r="AK412" i="1"/>
  <c r="AL412" i="1"/>
  <c r="AN412" i="1"/>
  <c r="AP412" i="1"/>
  <c r="AH412" i="1"/>
  <c r="AM412" i="1"/>
  <c r="AG412" i="1"/>
  <c r="AF412" i="1"/>
  <c r="AE414" i="1" l="1"/>
  <c r="AN413" i="1"/>
  <c r="AH413" i="1"/>
  <c r="AP413" i="1"/>
  <c r="AI413" i="1"/>
  <c r="AJ413" i="1"/>
  <c r="AK413" i="1"/>
  <c r="AL413" i="1"/>
  <c r="AM413" i="1"/>
  <c r="AO413" i="1"/>
  <c r="AG413" i="1"/>
  <c r="AF413" i="1"/>
  <c r="AE415" i="1" l="1"/>
  <c r="AM414" i="1"/>
  <c r="AO414" i="1"/>
  <c r="AH414" i="1"/>
  <c r="AP414" i="1"/>
  <c r="AI414" i="1"/>
  <c r="AJ414" i="1"/>
  <c r="AL414" i="1"/>
  <c r="AN414" i="1"/>
  <c r="AK414" i="1"/>
  <c r="AG414" i="1"/>
  <c r="AF414" i="1"/>
  <c r="AE416" i="1" l="1"/>
  <c r="AL415" i="1"/>
  <c r="AN415" i="1"/>
  <c r="AO415" i="1"/>
  <c r="AH415" i="1"/>
  <c r="AP415" i="1"/>
  <c r="AI415" i="1"/>
  <c r="AJ415" i="1"/>
  <c r="AK415" i="1"/>
  <c r="AM415" i="1"/>
  <c r="AG415" i="1"/>
  <c r="AF415" i="1"/>
  <c r="AE417" i="1" l="1"/>
  <c r="AK416" i="1"/>
  <c r="AM416" i="1"/>
  <c r="AN416" i="1"/>
  <c r="AO416" i="1"/>
  <c r="AH416" i="1"/>
  <c r="AP416" i="1"/>
  <c r="AI416" i="1"/>
  <c r="AJ416" i="1"/>
  <c r="AL416" i="1"/>
  <c r="AG416" i="1"/>
  <c r="AF416" i="1"/>
  <c r="AE418" i="1" l="1"/>
  <c r="AJ417" i="1"/>
  <c r="AL417" i="1"/>
  <c r="AM417" i="1"/>
  <c r="AN417" i="1"/>
  <c r="AO417" i="1"/>
  <c r="AK417" i="1"/>
  <c r="AP417" i="1"/>
  <c r="AH417" i="1"/>
  <c r="AI417" i="1"/>
  <c r="AG417" i="1"/>
  <c r="AF417" i="1"/>
  <c r="AE419" i="1" l="1"/>
  <c r="AI418" i="1"/>
  <c r="AK418" i="1"/>
  <c r="AL418" i="1"/>
  <c r="AM418" i="1"/>
  <c r="AN418" i="1"/>
  <c r="AH418" i="1"/>
  <c r="AJ418" i="1"/>
  <c r="AO418" i="1"/>
  <c r="AG418" i="1"/>
  <c r="AP418" i="1"/>
  <c r="AF418" i="1"/>
  <c r="AE420" i="1" l="1"/>
  <c r="AH419" i="1"/>
  <c r="AP419" i="1"/>
  <c r="AJ419" i="1"/>
  <c r="AK419" i="1"/>
  <c r="AL419" i="1"/>
  <c r="AM419" i="1"/>
  <c r="AO419" i="1"/>
  <c r="AI419" i="1"/>
  <c r="AN419" i="1"/>
  <c r="AG419" i="1"/>
  <c r="AF419" i="1"/>
  <c r="AE421" i="1" l="1"/>
  <c r="AO420" i="1"/>
  <c r="AI420" i="1"/>
  <c r="AJ420" i="1"/>
  <c r="AK420" i="1"/>
  <c r="AL420" i="1"/>
  <c r="AH420" i="1"/>
  <c r="AM420" i="1"/>
  <c r="AN420" i="1"/>
  <c r="AP420" i="1"/>
  <c r="AG420" i="1"/>
  <c r="AF420" i="1"/>
  <c r="AE422" i="1" l="1"/>
  <c r="AN421" i="1"/>
  <c r="AH421" i="1"/>
  <c r="AP421" i="1"/>
  <c r="AI421" i="1"/>
  <c r="AJ421" i="1"/>
  <c r="AK421" i="1"/>
  <c r="AM421" i="1"/>
  <c r="AO421" i="1"/>
  <c r="AL421" i="1"/>
  <c r="AG421" i="1"/>
  <c r="AF421" i="1"/>
  <c r="AE423" i="1" l="1"/>
  <c r="AM422" i="1"/>
  <c r="AO422" i="1"/>
  <c r="AH422" i="1"/>
  <c r="AP422" i="1"/>
  <c r="AI422" i="1"/>
  <c r="AJ422" i="1"/>
  <c r="AK422" i="1"/>
  <c r="AL422" i="1"/>
  <c r="AN422" i="1"/>
  <c r="AG422" i="1"/>
  <c r="AF422" i="1"/>
  <c r="AE424" i="1" l="1"/>
  <c r="AL423" i="1"/>
  <c r="AN423" i="1"/>
  <c r="AO423" i="1"/>
  <c r="AH423" i="1"/>
  <c r="AP423" i="1"/>
  <c r="AI423" i="1"/>
  <c r="AJ423" i="1"/>
  <c r="AK423" i="1"/>
  <c r="AM423" i="1"/>
  <c r="AF423" i="1"/>
  <c r="AG423" i="1"/>
  <c r="AE425" i="1" l="1"/>
  <c r="AK424" i="1"/>
  <c r="AM424" i="1"/>
  <c r="AN424" i="1"/>
  <c r="AO424" i="1"/>
  <c r="AH424" i="1"/>
  <c r="AP424" i="1"/>
  <c r="AL424" i="1"/>
  <c r="AI424" i="1"/>
  <c r="AJ424" i="1"/>
  <c r="AG424" i="1"/>
  <c r="AF424" i="1"/>
  <c r="AE426" i="1" l="1"/>
  <c r="AJ425" i="1"/>
  <c r="AL425" i="1"/>
  <c r="AM425" i="1"/>
  <c r="AN425" i="1"/>
  <c r="AO425" i="1"/>
  <c r="AH425" i="1"/>
  <c r="AI425" i="1"/>
  <c r="AK425" i="1"/>
  <c r="AP425" i="1"/>
  <c r="AG425" i="1"/>
  <c r="AF425" i="1"/>
  <c r="AE427" i="1" l="1"/>
  <c r="AI426" i="1"/>
  <c r="AK426" i="1"/>
  <c r="AL426" i="1"/>
  <c r="AM426" i="1"/>
  <c r="AN426" i="1"/>
  <c r="AP426" i="1"/>
  <c r="AJ426" i="1"/>
  <c r="AO426" i="1"/>
  <c r="AG426" i="1"/>
  <c r="AH426" i="1"/>
  <c r="AF426" i="1"/>
  <c r="AE428" i="1" l="1"/>
  <c r="AH427" i="1"/>
  <c r="AP427" i="1"/>
  <c r="AJ427" i="1"/>
  <c r="AK427" i="1"/>
  <c r="AL427" i="1"/>
  <c r="AM427" i="1"/>
  <c r="AI427" i="1"/>
  <c r="AN427" i="1"/>
  <c r="AO427" i="1"/>
  <c r="AG427" i="1"/>
  <c r="AF427" i="1"/>
  <c r="AE429" i="1" l="1"/>
  <c r="AO428" i="1"/>
  <c r="AI428" i="1"/>
  <c r="AJ428" i="1"/>
  <c r="AK428" i="1"/>
  <c r="AL428" i="1"/>
  <c r="AN428" i="1"/>
  <c r="AP428" i="1"/>
  <c r="AH428" i="1"/>
  <c r="AG428" i="1"/>
  <c r="AM428" i="1"/>
  <c r="AF428" i="1"/>
  <c r="AE430" i="1" l="1"/>
  <c r="AN429" i="1"/>
  <c r="AH429" i="1"/>
  <c r="AP429" i="1"/>
  <c r="AI429" i="1"/>
  <c r="AJ429" i="1"/>
  <c r="AK429" i="1"/>
  <c r="AL429" i="1"/>
  <c r="AM429" i="1"/>
  <c r="AO429" i="1"/>
  <c r="AG429" i="1"/>
  <c r="AF429" i="1"/>
  <c r="AE431" i="1" l="1"/>
  <c r="AM430" i="1"/>
  <c r="AO430" i="1"/>
  <c r="AH430" i="1"/>
  <c r="AP430" i="1"/>
  <c r="AI430" i="1"/>
  <c r="AJ430" i="1"/>
  <c r="AK430" i="1"/>
  <c r="AL430" i="1"/>
  <c r="AN430" i="1"/>
  <c r="AG430" i="1"/>
  <c r="AF430" i="1"/>
  <c r="AE432" i="1" l="1"/>
  <c r="AL431" i="1"/>
  <c r="AN431" i="1"/>
  <c r="AO431" i="1"/>
  <c r="AH431" i="1"/>
  <c r="AP431" i="1"/>
  <c r="AI431" i="1"/>
  <c r="AM431" i="1"/>
  <c r="AJ431" i="1"/>
  <c r="AK431" i="1"/>
  <c r="AF431" i="1"/>
  <c r="AG431" i="1"/>
  <c r="AE433" i="1" l="1"/>
  <c r="AK432" i="1"/>
  <c r="AM432" i="1"/>
  <c r="AN432" i="1"/>
  <c r="AO432" i="1"/>
  <c r="AH432" i="1"/>
  <c r="AP432" i="1"/>
  <c r="AI432" i="1"/>
  <c r="AJ432" i="1"/>
  <c r="AL432" i="1"/>
  <c r="AG432" i="1"/>
  <c r="AF432" i="1"/>
  <c r="AE434" i="1" l="1"/>
  <c r="AJ433" i="1"/>
  <c r="AL433" i="1"/>
  <c r="AM433" i="1"/>
  <c r="AN433" i="1"/>
  <c r="AO433" i="1"/>
  <c r="AK433" i="1"/>
  <c r="AP433" i="1"/>
  <c r="AH433" i="1"/>
  <c r="AI433" i="1"/>
  <c r="AF433" i="1"/>
  <c r="AG433" i="1"/>
  <c r="AE435" i="1" l="1"/>
  <c r="AI434" i="1"/>
  <c r="AK434" i="1"/>
  <c r="AL434" i="1"/>
  <c r="AM434" i="1"/>
  <c r="AN434" i="1"/>
  <c r="AH434" i="1"/>
  <c r="AJ434" i="1"/>
  <c r="AO434" i="1"/>
  <c r="AP434" i="1"/>
  <c r="AG434" i="1"/>
  <c r="AF434" i="1"/>
  <c r="AE436" i="1" l="1"/>
  <c r="AH435" i="1"/>
  <c r="AP435" i="1"/>
  <c r="AJ435" i="1"/>
  <c r="AK435" i="1"/>
  <c r="AL435" i="1"/>
  <c r="AM435" i="1"/>
  <c r="AO435" i="1"/>
  <c r="AI435" i="1"/>
  <c r="AG435" i="1"/>
  <c r="AN435" i="1"/>
  <c r="AF435" i="1"/>
  <c r="AE437" i="1" l="1"/>
  <c r="AO436" i="1"/>
  <c r="AI436" i="1"/>
  <c r="AJ436" i="1"/>
  <c r="AK436" i="1"/>
  <c r="AL436" i="1"/>
  <c r="AM436" i="1"/>
  <c r="AN436" i="1"/>
  <c r="AP436" i="1"/>
  <c r="AH436" i="1"/>
  <c r="AG436" i="1"/>
  <c r="AF436" i="1"/>
  <c r="AE438" i="1" l="1"/>
  <c r="AN437" i="1"/>
  <c r="AH437" i="1"/>
  <c r="AP437" i="1"/>
  <c r="AI437" i="1"/>
  <c r="AJ437" i="1"/>
  <c r="AK437" i="1"/>
  <c r="AL437" i="1"/>
  <c r="AM437" i="1"/>
  <c r="AG437" i="1"/>
  <c r="AO437" i="1"/>
  <c r="AF437" i="1"/>
  <c r="AE439" i="1" l="1"/>
  <c r="AM438" i="1"/>
  <c r="AO438" i="1"/>
  <c r="AH438" i="1"/>
  <c r="AP438" i="1"/>
  <c r="AI438" i="1"/>
  <c r="AJ438" i="1"/>
  <c r="AN438" i="1"/>
  <c r="AK438" i="1"/>
  <c r="AL438" i="1"/>
  <c r="AG438" i="1"/>
  <c r="AF438" i="1"/>
  <c r="AE440" i="1" l="1"/>
  <c r="AL439" i="1"/>
  <c r="AN439" i="1"/>
  <c r="AO439" i="1"/>
  <c r="AI439" i="1"/>
  <c r="AH439" i="1"/>
  <c r="AJ439" i="1"/>
  <c r="AK439" i="1"/>
  <c r="AM439" i="1"/>
  <c r="AP439" i="1"/>
  <c r="AG439" i="1"/>
  <c r="AF439" i="1"/>
  <c r="AE441" i="1" l="1"/>
  <c r="AK440" i="1"/>
  <c r="AM440" i="1"/>
  <c r="AN440" i="1"/>
  <c r="AH440" i="1"/>
  <c r="AP440" i="1"/>
  <c r="AL440" i="1"/>
  <c r="AO440" i="1"/>
  <c r="AI440" i="1"/>
  <c r="AJ440" i="1"/>
  <c r="AG440" i="1"/>
  <c r="AF440" i="1"/>
  <c r="AE442" i="1" l="1"/>
  <c r="AJ441" i="1"/>
  <c r="AL441" i="1"/>
  <c r="AM441" i="1"/>
  <c r="AO441" i="1"/>
  <c r="AH441" i="1"/>
  <c r="AI441" i="1"/>
  <c r="AP441" i="1"/>
  <c r="AK441" i="1"/>
  <c r="AN441" i="1"/>
  <c r="AG441" i="1"/>
  <c r="AF441" i="1"/>
  <c r="AE443" i="1" l="1"/>
  <c r="AI442" i="1"/>
  <c r="AK442" i="1"/>
  <c r="AL442" i="1"/>
  <c r="AN442" i="1"/>
  <c r="AJ442" i="1"/>
  <c r="AM442" i="1"/>
  <c r="AO442" i="1"/>
  <c r="AP442" i="1"/>
  <c r="AH442" i="1"/>
  <c r="AG442" i="1"/>
  <c r="AF442" i="1"/>
  <c r="AE444" i="1" l="1"/>
  <c r="AH443" i="1"/>
  <c r="AP443" i="1"/>
  <c r="AJ443" i="1"/>
  <c r="AK443" i="1"/>
  <c r="AM443" i="1"/>
  <c r="AN443" i="1"/>
  <c r="AO443" i="1"/>
  <c r="AI443" i="1"/>
  <c r="AL443" i="1"/>
  <c r="AG443" i="1"/>
  <c r="AF443" i="1"/>
  <c r="AE445" i="1" l="1"/>
  <c r="AO444" i="1"/>
  <c r="AI444" i="1"/>
  <c r="AJ444" i="1"/>
  <c r="AL444" i="1"/>
  <c r="AH444" i="1"/>
  <c r="AK444" i="1"/>
  <c r="AM444" i="1"/>
  <c r="AN444" i="1"/>
  <c r="AP444" i="1"/>
  <c r="AG444" i="1"/>
  <c r="AF444" i="1"/>
  <c r="AE446" i="1" l="1"/>
  <c r="AN445" i="1"/>
  <c r="AH445" i="1"/>
  <c r="AP445" i="1"/>
  <c r="AK445" i="1"/>
  <c r="AM445" i="1"/>
  <c r="AO445" i="1"/>
  <c r="AJ445" i="1"/>
  <c r="AL445" i="1"/>
  <c r="AI445" i="1"/>
  <c r="AG445" i="1"/>
  <c r="AF445" i="1"/>
  <c r="AE447" i="1" l="1"/>
  <c r="AM446" i="1"/>
  <c r="AO446" i="1"/>
  <c r="AJ446" i="1"/>
  <c r="AH446" i="1"/>
  <c r="AI446" i="1"/>
  <c r="AN446" i="1"/>
  <c r="AP446" i="1"/>
  <c r="AK446" i="1"/>
  <c r="AL446" i="1"/>
  <c r="AG446" i="1"/>
  <c r="AF446" i="1"/>
  <c r="AE448" i="1" l="1"/>
  <c r="AL447" i="1"/>
  <c r="AN447" i="1"/>
  <c r="AI447" i="1"/>
  <c r="AH447" i="1"/>
  <c r="AJ447" i="1"/>
  <c r="AK447" i="1"/>
  <c r="AM447" i="1"/>
  <c r="AO447" i="1"/>
  <c r="AP447" i="1"/>
  <c r="AG447" i="1"/>
  <c r="AF447" i="1"/>
  <c r="AE449" i="1" l="1"/>
  <c r="AK448" i="1"/>
  <c r="AM448" i="1"/>
  <c r="AH448" i="1"/>
  <c r="AP448" i="1"/>
  <c r="AL448" i="1"/>
  <c r="AN448" i="1"/>
  <c r="AO448" i="1"/>
  <c r="AI448" i="1"/>
  <c r="AJ448" i="1"/>
  <c r="AG448" i="1"/>
  <c r="AF448" i="1"/>
  <c r="AE450" i="1" l="1"/>
  <c r="AJ449" i="1"/>
  <c r="AL449" i="1"/>
  <c r="AO449" i="1"/>
  <c r="AP449" i="1"/>
  <c r="AH449" i="1"/>
  <c r="AM449" i="1"/>
  <c r="AN449" i="1"/>
  <c r="AI449" i="1"/>
  <c r="AK449" i="1"/>
  <c r="AG449" i="1"/>
  <c r="AF449" i="1"/>
  <c r="AE451" i="1" l="1"/>
  <c r="AI450" i="1"/>
  <c r="AK450" i="1"/>
  <c r="AN450" i="1"/>
  <c r="AH450" i="1"/>
  <c r="AJ450" i="1"/>
  <c r="AL450" i="1"/>
  <c r="AP450" i="1"/>
  <c r="AM450" i="1"/>
  <c r="AG450" i="1"/>
  <c r="AO450" i="1"/>
  <c r="AF450" i="1"/>
  <c r="AE452" i="1" l="1"/>
  <c r="AH451" i="1"/>
  <c r="AP451" i="1"/>
  <c r="AJ451" i="1"/>
  <c r="AM451" i="1"/>
  <c r="AK451" i="1"/>
  <c r="AL451" i="1"/>
  <c r="AN451" i="1"/>
  <c r="AO451" i="1"/>
  <c r="AI451" i="1"/>
  <c r="AG451" i="1"/>
  <c r="AF451" i="1"/>
  <c r="AE453" i="1" l="1"/>
  <c r="AO452" i="1"/>
  <c r="AI452" i="1"/>
  <c r="AL452" i="1"/>
  <c r="AN452" i="1"/>
  <c r="AP452" i="1"/>
  <c r="AK452" i="1"/>
  <c r="AM452" i="1"/>
  <c r="AH452" i="1"/>
  <c r="AJ452" i="1"/>
  <c r="AG452" i="1"/>
  <c r="AF452" i="1"/>
  <c r="AE454" i="1" l="1"/>
  <c r="AN453" i="1"/>
  <c r="AH453" i="1"/>
  <c r="AP453" i="1"/>
  <c r="AK453" i="1"/>
  <c r="AI453" i="1"/>
  <c r="AJ453" i="1"/>
  <c r="AO453" i="1"/>
  <c r="AL453" i="1"/>
  <c r="AM453" i="1"/>
  <c r="AG453" i="1"/>
  <c r="AF453" i="1"/>
  <c r="AE455" i="1" l="1"/>
  <c r="AM454" i="1"/>
  <c r="AO454" i="1"/>
  <c r="AJ454" i="1"/>
  <c r="AI454" i="1"/>
  <c r="AK454" i="1"/>
  <c r="AL454" i="1"/>
  <c r="AN454" i="1"/>
  <c r="AH454" i="1"/>
  <c r="AP454" i="1"/>
  <c r="AG454" i="1"/>
  <c r="AF454" i="1"/>
  <c r="AE456" i="1" l="1"/>
  <c r="AL455" i="1"/>
  <c r="AN455" i="1"/>
  <c r="AI455" i="1"/>
  <c r="AM455" i="1"/>
  <c r="AO455" i="1"/>
  <c r="AP455" i="1"/>
  <c r="AJ455" i="1"/>
  <c r="AK455" i="1"/>
  <c r="AH455" i="1"/>
  <c r="AF455" i="1"/>
  <c r="AG455" i="1"/>
  <c r="AE457" i="1" l="1"/>
  <c r="AK456" i="1"/>
  <c r="AM456" i="1"/>
  <c r="AH456" i="1"/>
  <c r="AP456" i="1"/>
  <c r="AI456" i="1"/>
  <c r="AN456" i="1"/>
  <c r="AO456" i="1"/>
  <c r="AJ456" i="1"/>
  <c r="AG456" i="1"/>
  <c r="AL456" i="1"/>
  <c r="AF456" i="1"/>
  <c r="AE458" i="1" l="1"/>
  <c r="AJ457" i="1"/>
  <c r="AL457" i="1"/>
  <c r="AO457" i="1"/>
  <c r="AH457" i="1"/>
  <c r="AI457" i="1"/>
  <c r="AK457" i="1"/>
  <c r="AM457" i="1"/>
  <c r="AN457" i="1"/>
  <c r="AP457" i="1"/>
  <c r="AG457" i="1"/>
  <c r="AF457" i="1"/>
  <c r="AE459" i="1" l="1"/>
  <c r="AI458" i="1"/>
  <c r="AK458" i="1"/>
  <c r="AN458" i="1"/>
  <c r="AL458" i="1"/>
  <c r="AM458" i="1"/>
  <c r="AO458" i="1"/>
  <c r="AP458" i="1"/>
  <c r="AH458" i="1"/>
  <c r="AJ458" i="1"/>
  <c r="AG458" i="1"/>
  <c r="AF458" i="1"/>
  <c r="AE460" i="1" l="1"/>
  <c r="AH459" i="1"/>
  <c r="AP459" i="1"/>
  <c r="AJ459" i="1"/>
  <c r="AM459" i="1"/>
  <c r="AO459" i="1"/>
  <c r="AL459" i="1"/>
  <c r="AN459" i="1"/>
  <c r="AI459" i="1"/>
  <c r="AK459" i="1"/>
  <c r="AG459" i="1"/>
  <c r="AF459" i="1"/>
  <c r="AE461" i="1" l="1"/>
  <c r="AO460" i="1"/>
  <c r="AI460" i="1"/>
  <c r="AL460" i="1"/>
  <c r="AH460" i="1"/>
  <c r="AJ460" i="1"/>
  <c r="AK460" i="1"/>
  <c r="AP460" i="1"/>
  <c r="AM460" i="1"/>
  <c r="AG460" i="1"/>
  <c r="AN460" i="1"/>
  <c r="AF460" i="1"/>
  <c r="AE462" i="1" l="1"/>
  <c r="AN461" i="1"/>
  <c r="AH461" i="1"/>
  <c r="AP461" i="1"/>
  <c r="AK461" i="1"/>
  <c r="AJ461" i="1"/>
  <c r="AL461" i="1"/>
  <c r="AM461" i="1"/>
  <c r="AO461" i="1"/>
  <c r="AI461" i="1"/>
  <c r="AG461" i="1"/>
  <c r="AF461" i="1"/>
  <c r="AE463" i="1" l="1"/>
  <c r="AM462" i="1"/>
  <c r="AO462" i="1"/>
  <c r="AJ462" i="1"/>
  <c r="AN462" i="1"/>
  <c r="AP462" i="1"/>
  <c r="AK462" i="1"/>
  <c r="AL462" i="1"/>
  <c r="AH462" i="1"/>
  <c r="AG462" i="1"/>
  <c r="AF462" i="1"/>
  <c r="AI462" i="1"/>
  <c r="AE464" i="1" l="1"/>
  <c r="AL463" i="1"/>
  <c r="AN463" i="1"/>
  <c r="AI463" i="1"/>
  <c r="AH463" i="1"/>
  <c r="AJ463" i="1"/>
  <c r="AO463" i="1"/>
  <c r="AP463" i="1"/>
  <c r="AK463" i="1"/>
  <c r="AM463" i="1"/>
  <c r="AF463" i="1"/>
  <c r="AG463" i="1"/>
  <c r="AE465" i="1" l="1"/>
  <c r="AK464" i="1"/>
  <c r="AM464" i="1"/>
  <c r="AH464" i="1"/>
  <c r="AP464" i="1"/>
  <c r="AI464" i="1"/>
  <c r="AJ464" i="1"/>
  <c r="AL464" i="1"/>
  <c r="AN464" i="1"/>
  <c r="AO464" i="1"/>
  <c r="AG464" i="1"/>
  <c r="AF464" i="1"/>
  <c r="AE466" i="1" l="1"/>
  <c r="AJ465" i="1"/>
  <c r="AL465" i="1"/>
  <c r="AO465" i="1"/>
  <c r="AM465" i="1"/>
  <c r="AN465" i="1"/>
  <c r="AP465" i="1"/>
  <c r="AI465" i="1"/>
  <c r="AK465" i="1"/>
  <c r="AH465" i="1"/>
  <c r="AG465" i="1"/>
  <c r="AF465" i="1"/>
  <c r="AE467" i="1" l="1"/>
  <c r="AI466" i="1"/>
  <c r="AK466" i="1"/>
  <c r="AN466" i="1"/>
  <c r="AP466" i="1"/>
  <c r="AH466" i="1"/>
  <c r="AM466" i="1"/>
  <c r="AO466" i="1"/>
  <c r="AJ466" i="1"/>
  <c r="AL466" i="1"/>
  <c r="AG466" i="1"/>
  <c r="AF466" i="1"/>
  <c r="AE468" i="1" l="1"/>
  <c r="AH467" i="1"/>
  <c r="AP467" i="1"/>
  <c r="AJ467" i="1"/>
  <c r="AM467" i="1"/>
  <c r="AI467" i="1"/>
  <c r="AK467" i="1"/>
  <c r="AL467" i="1"/>
  <c r="AN467" i="1"/>
  <c r="AO467" i="1"/>
  <c r="AG467" i="1"/>
  <c r="AF467" i="1"/>
  <c r="AE469" i="1" l="1"/>
  <c r="AO468" i="1"/>
  <c r="AI468" i="1"/>
  <c r="AL468" i="1"/>
  <c r="AK468" i="1"/>
  <c r="AM468" i="1"/>
  <c r="AN468" i="1"/>
  <c r="AP468" i="1"/>
  <c r="AH468" i="1"/>
  <c r="AJ468" i="1"/>
  <c r="AG468" i="1"/>
  <c r="AF468" i="1"/>
  <c r="AE470" i="1" l="1"/>
  <c r="AN469" i="1"/>
  <c r="AH469" i="1"/>
  <c r="AP469" i="1"/>
  <c r="AK469" i="1"/>
  <c r="AO469" i="1"/>
  <c r="AL469" i="1"/>
  <c r="AM469" i="1"/>
  <c r="AI469" i="1"/>
  <c r="AJ469" i="1"/>
  <c r="AG469" i="1"/>
  <c r="AF469" i="1"/>
  <c r="AE471" i="1" l="1"/>
  <c r="AM470" i="1"/>
  <c r="AO470" i="1"/>
  <c r="AJ470" i="1"/>
  <c r="AH470" i="1"/>
  <c r="AI470" i="1"/>
  <c r="AK470" i="1"/>
  <c r="AP470" i="1"/>
  <c r="AL470" i="1"/>
  <c r="AN470" i="1"/>
  <c r="AG470" i="1"/>
  <c r="AF470" i="1"/>
  <c r="AE472" i="1" l="1"/>
  <c r="AL471" i="1"/>
  <c r="AN471" i="1"/>
  <c r="AI471" i="1"/>
  <c r="AJ471" i="1"/>
  <c r="AK471" i="1"/>
  <c r="AM471" i="1"/>
  <c r="AO471" i="1"/>
  <c r="AH471" i="1"/>
  <c r="AP471" i="1"/>
  <c r="AG471" i="1"/>
  <c r="AF471" i="1"/>
  <c r="AE473" i="1" l="1"/>
  <c r="AK472" i="1"/>
  <c r="AM472" i="1"/>
  <c r="AH472" i="1"/>
  <c r="AP472" i="1"/>
  <c r="AN472" i="1"/>
  <c r="AO472" i="1"/>
  <c r="AJ472" i="1"/>
  <c r="AL472" i="1"/>
  <c r="AI472" i="1"/>
  <c r="AG472" i="1"/>
  <c r="AF472" i="1"/>
  <c r="AE474" i="1" l="1"/>
  <c r="AJ473" i="1"/>
  <c r="AL473" i="1"/>
  <c r="AO473" i="1"/>
  <c r="AH473" i="1"/>
  <c r="AI473" i="1"/>
  <c r="AN473" i="1"/>
  <c r="AP473" i="1"/>
  <c r="AK473" i="1"/>
  <c r="AM473" i="1"/>
  <c r="AG473" i="1"/>
  <c r="AF473" i="1"/>
  <c r="AE475" i="1" l="1"/>
  <c r="AI474" i="1"/>
  <c r="AK474" i="1"/>
  <c r="AN474" i="1"/>
  <c r="AH474" i="1"/>
  <c r="AJ474" i="1"/>
  <c r="AL474" i="1"/>
  <c r="AM474" i="1"/>
  <c r="AO474" i="1"/>
  <c r="AP474" i="1"/>
  <c r="AG474" i="1"/>
  <c r="AF474" i="1"/>
  <c r="AE476" i="1" l="1"/>
  <c r="AH475" i="1"/>
  <c r="AP475" i="1"/>
  <c r="AJ475" i="1"/>
  <c r="AM475" i="1"/>
  <c r="AL475" i="1"/>
  <c r="AN475" i="1"/>
  <c r="AO475" i="1"/>
  <c r="AI475" i="1"/>
  <c r="AK475" i="1"/>
  <c r="AG475" i="1"/>
  <c r="AF475" i="1"/>
  <c r="AE477" i="1" l="1"/>
  <c r="AO476" i="1"/>
  <c r="AI476" i="1"/>
  <c r="AL476" i="1"/>
  <c r="AP476" i="1"/>
  <c r="AH476" i="1"/>
  <c r="AM476" i="1"/>
  <c r="AN476" i="1"/>
  <c r="AJ476" i="1"/>
  <c r="AK476" i="1"/>
  <c r="AG476" i="1"/>
  <c r="AF476" i="1"/>
  <c r="AE478" i="1" l="1"/>
  <c r="AN477" i="1"/>
  <c r="AH477" i="1"/>
  <c r="AP477" i="1"/>
  <c r="AK477" i="1"/>
  <c r="AI477" i="1"/>
  <c r="AJ477" i="1"/>
  <c r="AL477" i="1"/>
  <c r="AM477" i="1"/>
  <c r="AG477" i="1"/>
  <c r="AO477" i="1"/>
  <c r="AF477" i="1"/>
  <c r="AE479" i="1" l="1"/>
  <c r="AM478" i="1"/>
  <c r="AO478" i="1"/>
  <c r="AJ478" i="1"/>
  <c r="AK478" i="1"/>
  <c r="AL478" i="1"/>
  <c r="AN478" i="1"/>
  <c r="AP478" i="1"/>
  <c r="AH478" i="1"/>
  <c r="AI478" i="1"/>
  <c r="AG478" i="1"/>
  <c r="AF478" i="1"/>
  <c r="AE480" i="1" l="1"/>
  <c r="AL479" i="1"/>
  <c r="AN479" i="1"/>
  <c r="AI479" i="1"/>
  <c r="AO479" i="1"/>
  <c r="AP479" i="1"/>
  <c r="AK479" i="1"/>
  <c r="AM479" i="1"/>
  <c r="AH479" i="1"/>
  <c r="AG479" i="1"/>
  <c r="AF479" i="1"/>
  <c r="AJ479" i="1"/>
  <c r="AE481" i="1" l="1"/>
  <c r="AK480" i="1"/>
  <c r="AM480" i="1"/>
  <c r="AH480" i="1"/>
  <c r="AP480" i="1"/>
  <c r="AI480" i="1"/>
  <c r="AJ480" i="1"/>
  <c r="AO480" i="1"/>
  <c r="AL480" i="1"/>
  <c r="AN480" i="1"/>
  <c r="AG480" i="1"/>
  <c r="AF480" i="1"/>
  <c r="AE482" i="1" l="1"/>
  <c r="AJ481" i="1"/>
  <c r="AL481" i="1"/>
  <c r="AO481" i="1"/>
  <c r="AI481" i="1"/>
  <c r="AK481" i="1"/>
  <c r="AM481" i="1"/>
  <c r="AN481" i="1"/>
  <c r="AH481" i="1"/>
  <c r="AP481" i="1"/>
  <c r="AG481" i="1"/>
  <c r="AF481" i="1"/>
  <c r="AE483" i="1" l="1"/>
  <c r="AI482" i="1"/>
  <c r="AK482" i="1"/>
  <c r="AN482" i="1"/>
  <c r="AM482" i="1"/>
  <c r="AO482" i="1"/>
  <c r="AP482" i="1"/>
  <c r="AJ482" i="1"/>
  <c r="AL482" i="1"/>
  <c r="AH482" i="1"/>
  <c r="AG482" i="1"/>
  <c r="AF482" i="1"/>
  <c r="AE484" i="1" l="1"/>
  <c r="AH483" i="1"/>
  <c r="AP483" i="1"/>
  <c r="AJ483" i="1"/>
  <c r="AM483" i="1"/>
  <c r="AI483" i="1"/>
  <c r="AN483" i="1"/>
  <c r="AO483" i="1"/>
  <c r="AK483" i="1"/>
  <c r="AG483" i="1"/>
  <c r="AL483" i="1"/>
  <c r="AF483" i="1"/>
  <c r="AE485" i="1" l="1"/>
  <c r="AO484" i="1"/>
  <c r="AI484" i="1"/>
  <c r="AL484" i="1"/>
  <c r="AH484" i="1"/>
  <c r="AJ484" i="1"/>
  <c r="AK484" i="1"/>
  <c r="AM484" i="1"/>
  <c r="AN484" i="1"/>
  <c r="AG484" i="1"/>
  <c r="AF484" i="1"/>
  <c r="AP484" i="1"/>
  <c r="AE486" i="1" l="1"/>
  <c r="AN485" i="1"/>
  <c r="AH485" i="1"/>
  <c r="AP485" i="1"/>
  <c r="AK485" i="1"/>
  <c r="AL485" i="1"/>
  <c r="AM485" i="1"/>
  <c r="AO485" i="1"/>
  <c r="AI485" i="1"/>
  <c r="AJ485" i="1"/>
  <c r="AG485" i="1"/>
  <c r="AF485" i="1"/>
  <c r="AE487" i="1" l="1"/>
  <c r="AM486" i="1"/>
  <c r="AO486" i="1"/>
  <c r="AJ486" i="1"/>
  <c r="AP486" i="1"/>
  <c r="AH486" i="1"/>
  <c r="AL486" i="1"/>
  <c r="AN486" i="1"/>
  <c r="AI486" i="1"/>
  <c r="AK486" i="1"/>
  <c r="AG486" i="1"/>
  <c r="AF486" i="1"/>
  <c r="AE488" i="1" l="1"/>
  <c r="AL487" i="1"/>
  <c r="AN487" i="1"/>
  <c r="AI487" i="1"/>
  <c r="AH487" i="1"/>
  <c r="AJ487" i="1"/>
  <c r="AK487" i="1"/>
  <c r="AP487" i="1"/>
  <c r="AM487" i="1"/>
  <c r="AO487" i="1"/>
  <c r="AF487" i="1"/>
  <c r="AG487" i="1"/>
  <c r="AE489" i="1" l="1"/>
  <c r="AK488" i="1"/>
  <c r="AM488" i="1"/>
  <c r="AH488" i="1"/>
  <c r="AP488" i="1"/>
  <c r="AJ488" i="1"/>
  <c r="AL488" i="1"/>
  <c r="AN488" i="1"/>
  <c r="AO488" i="1"/>
  <c r="AI488" i="1"/>
  <c r="AG488" i="1"/>
  <c r="AF488" i="1"/>
  <c r="AE490" i="1" l="1"/>
  <c r="AJ489" i="1"/>
  <c r="AL489" i="1"/>
  <c r="AO489" i="1"/>
  <c r="AN489" i="1"/>
  <c r="AP489" i="1"/>
  <c r="AK489" i="1"/>
  <c r="AM489" i="1"/>
  <c r="AH489" i="1"/>
  <c r="AI489" i="1"/>
  <c r="AG489" i="1"/>
  <c r="AF489" i="1"/>
  <c r="AE491" i="1" l="1"/>
  <c r="AI490" i="1"/>
  <c r="AK490" i="1"/>
  <c r="AN490" i="1"/>
  <c r="AH490" i="1"/>
  <c r="AJ490" i="1"/>
  <c r="AO490" i="1"/>
  <c r="AP490" i="1"/>
  <c r="AL490" i="1"/>
  <c r="AG490" i="1"/>
  <c r="AM490" i="1"/>
  <c r="AF490" i="1"/>
  <c r="AE492" i="1" l="1"/>
  <c r="AH491" i="1"/>
  <c r="AP491" i="1"/>
  <c r="AJ491" i="1"/>
  <c r="AM491" i="1"/>
  <c r="AI491" i="1"/>
  <c r="AK491" i="1"/>
  <c r="AL491" i="1"/>
  <c r="AN491" i="1"/>
  <c r="AO491" i="1"/>
  <c r="AG491" i="1"/>
  <c r="AF491" i="1"/>
  <c r="AE493" i="1" l="1"/>
  <c r="AO492" i="1"/>
  <c r="AI492" i="1"/>
  <c r="AL492" i="1"/>
  <c r="AM492" i="1"/>
  <c r="AN492" i="1"/>
  <c r="AP492" i="1"/>
  <c r="AJ492" i="1"/>
  <c r="AK492" i="1"/>
  <c r="AH492" i="1"/>
  <c r="AG492" i="1"/>
  <c r="AF492" i="1"/>
  <c r="AE494" i="1" l="1"/>
  <c r="AN493" i="1"/>
  <c r="AH493" i="1"/>
  <c r="AP493" i="1"/>
  <c r="AK493" i="1"/>
  <c r="AI493" i="1"/>
  <c r="AM493" i="1"/>
  <c r="AO493" i="1"/>
  <c r="AJ493" i="1"/>
  <c r="AL493" i="1"/>
  <c r="AG493" i="1"/>
  <c r="AF493" i="1"/>
  <c r="AE495" i="1" l="1"/>
  <c r="AM494" i="1"/>
  <c r="AO494" i="1"/>
  <c r="AJ494" i="1"/>
  <c r="AH494" i="1"/>
  <c r="AI494" i="1"/>
  <c r="AK494" i="1"/>
  <c r="AL494" i="1"/>
  <c r="AN494" i="1"/>
  <c r="AP494" i="1"/>
  <c r="AG494" i="1"/>
  <c r="AF494" i="1"/>
  <c r="AE496" i="1" l="1"/>
  <c r="AL495" i="1"/>
  <c r="AN495" i="1"/>
  <c r="AI495" i="1"/>
  <c r="AK495" i="1"/>
  <c r="AM495" i="1"/>
  <c r="AO495" i="1"/>
  <c r="AP495" i="1"/>
  <c r="AH495" i="1"/>
  <c r="AJ495" i="1"/>
  <c r="AF495" i="1"/>
  <c r="AG495" i="1"/>
  <c r="AE497" i="1" l="1"/>
  <c r="AK496" i="1"/>
  <c r="AM496" i="1"/>
  <c r="AH496" i="1"/>
  <c r="AP496" i="1"/>
  <c r="AO496" i="1"/>
  <c r="AL496" i="1"/>
  <c r="AN496" i="1"/>
  <c r="AI496" i="1"/>
  <c r="AJ496" i="1"/>
  <c r="AG496" i="1"/>
  <c r="AF496" i="1"/>
  <c r="AE498" i="1" l="1"/>
  <c r="AL497" i="1"/>
  <c r="AO497" i="1"/>
  <c r="AH497" i="1"/>
  <c r="AI497" i="1"/>
  <c r="AJ497" i="1"/>
  <c r="AN497" i="1"/>
  <c r="AP497" i="1"/>
  <c r="AK497" i="1"/>
  <c r="AM497" i="1"/>
  <c r="AG497" i="1"/>
  <c r="AF497" i="1"/>
  <c r="AE499" i="1" l="1"/>
  <c r="AK498" i="1"/>
  <c r="AN498" i="1"/>
  <c r="AH498" i="1"/>
  <c r="AI498" i="1"/>
  <c r="AJ498" i="1"/>
  <c r="AL498" i="1"/>
  <c r="AP498" i="1"/>
  <c r="AM498" i="1"/>
  <c r="AO498" i="1"/>
  <c r="AG498" i="1"/>
  <c r="AF498" i="1"/>
  <c r="AE500" i="1" l="1"/>
  <c r="AJ499" i="1"/>
  <c r="AM499" i="1"/>
  <c r="AI499" i="1"/>
  <c r="AK499" i="1"/>
  <c r="AL499" i="1"/>
  <c r="AN499" i="1"/>
  <c r="AH499" i="1"/>
  <c r="AO499" i="1"/>
  <c r="AG499" i="1"/>
  <c r="AP499" i="1"/>
  <c r="AF499" i="1"/>
  <c r="AE501" i="1" l="1"/>
  <c r="AI500" i="1"/>
  <c r="AL500" i="1"/>
  <c r="AK500" i="1"/>
  <c r="AM500" i="1"/>
  <c r="AN500" i="1"/>
  <c r="AO500" i="1"/>
  <c r="AH500" i="1"/>
  <c r="AJ500" i="1"/>
  <c r="AP500" i="1"/>
  <c r="AG500" i="1"/>
  <c r="AF500" i="1"/>
  <c r="AE502" i="1" l="1"/>
  <c r="AH501" i="1"/>
  <c r="AP501" i="1"/>
  <c r="AK501" i="1"/>
  <c r="AM501" i="1"/>
  <c r="AN501" i="1"/>
  <c r="AO501" i="1"/>
  <c r="AJ501" i="1"/>
  <c r="AL501" i="1"/>
  <c r="AG501" i="1"/>
  <c r="AF501" i="1"/>
  <c r="AI501" i="1"/>
  <c r="AE503" i="1" l="1"/>
  <c r="AO502" i="1"/>
  <c r="AJ502" i="1"/>
  <c r="AN502" i="1"/>
  <c r="AP502" i="1"/>
  <c r="AH502" i="1"/>
  <c r="AL502" i="1"/>
  <c r="AM502" i="1"/>
  <c r="AI502" i="1"/>
  <c r="AK502" i="1"/>
  <c r="AG502" i="1"/>
  <c r="AF502" i="1"/>
  <c r="AE504" i="1" l="1"/>
  <c r="AN503" i="1"/>
  <c r="AI503" i="1"/>
  <c r="AP503" i="1"/>
  <c r="AH503" i="1"/>
  <c r="AJ503" i="1"/>
  <c r="AM503" i="1"/>
  <c r="AO503" i="1"/>
  <c r="AK503" i="1"/>
  <c r="AL503" i="1"/>
  <c r="AG503" i="1"/>
  <c r="AF503" i="1"/>
  <c r="AE505" i="1" l="1"/>
  <c r="AM504" i="1"/>
  <c r="AH504" i="1"/>
  <c r="AP504" i="1"/>
  <c r="AI504" i="1"/>
  <c r="AJ504" i="1"/>
  <c r="AK504" i="1"/>
  <c r="AO504" i="1"/>
  <c r="AL504" i="1"/>
  <c r="AN504" i="1"/>
  <c r="AG504" i="1"/>
  <c r="AF504" i="1"/>
  <c r="AE506" i="1" l="1"/>
  <c r="AL505" i="1"/>
  <c r="AO505" i="1"/>
  <c r="AI505" i="1"/>
  <c r="AJ505" i="1"/>
  <c r="AK505" i="1"/>
  <c r="AM505" i="1"/>
  <c r="AH505" i="1"/>
  <c r="AN505" i="1"/>
  <c r="AG505" i="1"/>
  <c r="AP505" i="1"/>
  <c r="AF505" i="1"/>
  <c r="AE507" i="1" l="1"/>
  <c r="AK506" i="1"/>
  <c r="AN506" i="1"/>
  <c r="AJ506" i="1"/>
  <c r="AL506" i="1"/>
  <c r="AM506" i="1"/>
  <c r="AO506" i="1"/>
  <c r="AH506" i="1"/>
  <c r="AI506" i="1"/>
  <c r="AP506" i="1"/>
  <c r="AG506" i="1"/>
  <c r="AF506" i="1"/>
  <c r="AE508" i="1" l="1"/>
  <c r="AJ507" i="1"/>
  <c r="AM507" i="1"/>
  <c r="AL507" i="1"/>
  <c r="AN507" i="1"/>
  <c r="AO507" i="1"/>
  <c r="AP507" i="1"/>
  <c r="AI507" i="1"/>
  <c r="AK507" i="1"/>
  <c r="AH507" i="1"/>
  <c r="AG507" i="1"/>
  <c r="AF507" i="1"/>
  <c r="AE509" i="1" l="1"/>
  <c r="AI508" i="1"/>
  <c r="AL508" i="1"/>
  <c r="AN508" i="1"/>
  <c r="AO508" i="1"/>
  <c r="AP508" i="1"/>
  <c r="AK508" i="1"/>
  <c r="AM508" i="1"/>
  <c r="AH508" i="1"/>
  <c r="AJ508" i="1"/>
  <c r="AG508" i="1"/>
  <c r="AF508" i="1"/>
  <c r="AE510" i="1" l="1"/>
  <c r="AH509" i="1"/>
  <c r="AP509" i="1"/>
  <c r="AK509" i="1"/>
  <c r="AO509" i="1"/>
  <c r="AI509" i="1"/>
  <c r="AM509" i="1"/>
  <c r="AN509" i="1"/>
  <c r="AJ509" i="1"/>
  <c r="AL509" i="1"/>
  <c r="AG509" i="1"/>
  <c r="AF509" i="1"/>
  <c r="AE511" i="1" l="1"/>
  <c r="AO510" i="1"/>
  <c r="AJ510" i="1"/>
  <c r="AH510" i="1"/>
  <c r="AI510" i="1"/>
  <c r="AK510" i="1"/>
  <c r="AN510" i="1"/>
  <c r="AP510" i="1"/>
  <c r="AL510" i="1"/>
  <c r="AM510" i="1"/>
  <c r="AG510" i="1"/>
  <c r="AF510" i="1"/>
  <c r="AE512" i="1" l="1"/>
  <c r="AN511" i="1"/>
  <c r="AI511" i="1"/>
  <c r="AH511" i="1"/>
  <c r="AJ511" i="1"/>
  <c r="AK511" i="1"/>
  <c r="AL511" i="1"/>
  <c r="AP511" i="1"/>
  <c r="AM511" i="1"/>
  <c r="AO511" i="1"/>
  <c r="AG511" i="1"/>
  <c r="AF511" i="1"/>
  <c r="AE513" i="1" l="1"/>
  <c r="AM512" i="1"/>
  <c r="AH512" i="1"/>
  <c r="AP512" i="1"/>
  <c r="AJ512" i="1"/>
  <c r="AK512" i="1"/>
  <c r="AL512" i="1"/>
  <c r="AN512" i="1"/>
  <c r="AI512" i="1"/>
  <c r="AO512" i="1"/>
  <c r="AG512" i="1"/>
  <c r="AF512" i="1"/>
  <c r="AE514" i="1" l="1"/>
  <c r="AL513" i="1"/>
  <c r="AO513" i="1"/>
  <c r="AK513" i="1"/>
  <c r="AM513" i="1"/>
  <c r="AN513" i="1"/>
  <c r="AP513" i="1"/>
  <c r="AI513" i="1"/>
  <c r="AJ513" i="1"/>
  <c r="AH513" i="1"/>
  <c r="AG513" i="1"/>
  <c r="AF513" i="1"/>
  <c r="AE515" i="1" l="1"/>
  <c r="AK514" i="1"/>
  <c r="AN514" i="1"/>
  <c r="AM514" i="1"/>
  <c r="AO514" i="1"/>
  <c r="AP514" i="1"/>
  <c r="AJ514" i="1"/>
  <c r="AL514" i="1"/>
  <c r="AH514" i="1"/>
  <c r="AG514" i="1"/>
  <c r="AI514" i="1"/>
  <c r="AF514" i="1"/>
  <c r="AE516" i="1" l="1"/>
  <c r="AJ515" i="1"/>
  <c r="AM515" i="1"/>
  <c r="AO515" i="1"/>
  <c r="AP515" i="1"/>
  <c r="AH515" i="1"/>
  <c r="AL515" i="1"/>
  <c r="AN515" i="1"/>
  <c r="AI515" i="1"/>
  <c r="AG515" i="1"/>
  <c r="AK515" i="1"/>
  <c r="AF515" i="1"/>
  <c r="AE517" i="1" l="1"/>
  <c r="AN516" i="1"/>
  <c r="AO516" i="1"/>
  <c r="AH516" i="1"/>
  <c r="AP516" i="1"/>
  <c r="AI516" i="1"/>
  <c r="AL516" i="1"/>
  <c r="AM516" i="1"/>
  <c r="AJ516" i="1"/>
  <c r="AK516" i="1"/>
  <c r="AG516" i="1"/>
  <c r="AF516" i="1"/>
  <c r="AE518" i="1" l="1"/>
  <c r="AM517" i="1"/>
  <c r="AN517" i="1"/>
  <c r="AO517" i="1"/>
  <c r="AH517" i="1"/>
  <c r="AP517" i="1"/>
  <c r="AK517" i="1"/>
  <c r="AL517" i="1"/>
  <c r="AI517" i="1"/>
  <c r="AJ517" i="1"/>
  <c r="AG517" i="1"/>
  <c r="AF517" i="1"/>
  <c r="AE519" i="1" l="1"/>
  <c r="AL518" i="1"/>
  <c r="AM518" i="1"/>
  <c r="AN518" i="1"/>
  <c r="AO518" i="1"/>
  <c r="AJ518" i="1"/>
  <c r="AK518" i="1"/>
  <c r="AH518" i="1"/>
  <c r="AP518" i="1"/>
  <c r="AI518" i="1"/>
  <c r="AG518" i="1"/>
  <c r="AF518" i="1"/>
  <c r="AE520" i="1" l="1"/>
  <c r="AK519" i="1"/>
  <c r="AL519" i="1"/>
  <c r="AM519" i="1"/>
  <c r="AN519" i="1"/>
  <c r="AI519" i="1"/>
  <c r="AJ519" i="1"/>
  <c r="AO519" i="1"/>
  <c r="AP519" i="1"/>
  <c r="AH519" i="1"/>
  <c r="AF519" i="1"/>
  <c r="AG519" i="1"/>
  <c r="AE521" i="1" l="1"/>
  <c r="AJ520" i="1"/>
  <c r="AK520" i="1"/>
  <c r="AL520" i="1"/>
  <c r="AM520" i="1"/>
  <c r="AH520" i="1"/>
  <c r="AP520" i="1"/>
  <c r="AI520" i="1"/>
  <c r="AN520" i="1"/>
  <c r="AO520" i="1"/>
  <c r="AG520" i="1"/>
  <c r="AF520" i="1"/>
  <c r="AE522" i="1" l="1"/>
  <c r="AI521" i="1"/>
  <c r="AJ521" i="1"/>
  <c r="AK521" i="1"/>
  <c r="AL521" i="1"/>
  <c r="AO521" i="1"/>
  <c r="AH521" i="1"/>
  <c r="AP521" i="1"/>
  <c r="AM521" i="1"/>
  <c r="AN521" i="1"/>
  <c r="AG521" i="1"/>
  <c r="AF521" i="1"/>
  <c r="AE523" i="1" l="1"/>
  <c r="AH522" i="1"/>
  <c r="AP522" i="1"/>
  <c r="AI522" i="1"/>
  <c r="AJ522" i="1"/>
  <c r="AK522" i="1"/>
  <c r="AN522" i="1"/>
  <c r="AO522" i="1"/>
  <c r="AL522" i="1"/>
  <c r="AG522" i="1"/>
  <c r="AM522" i="1"/>
  <c r="AF522" i="1"/>
  <c r="AE524" i="1" l="1"/>
  <c r="AO523" i="1"/>
  <c r="AH523" i="1"/>
  <c r="AP523" i="1"/>
  <c r="AI523" i="1"/>
  <c r="AJ523" i="1"/>
  <c r="AM523" i="1"/>
  <c r="AN523" i="1"/>
  <c r="AK523" i="1"/>
  <c r="AL523" i="1"/>
  <c r="AG523" i="1"/>
  <c r="AF523" i="1"/>
  <c r="AE525" i="1" l="1"/>
  <c r="AN524" i="1"/>
  <c r="AO524" i="1"/>
  <c r="AH524" i="1"/>
  <c r="AP524" i="1"/>
  <c r="AI524" i="1"/>
  <c r="AL524" i="1"/>
  <c r="AM524" i="1"/>
  <c r="AJ524" i="1"/>
  <c r="AK524" i="1"/>
  <c r="AG524" i="1"/>
  <c r="AF524" i="1"/>
  <c r="AE526" i="1" l="1"/>
  <c r="AM525" i="1"/>
  <c r="AN525" i="1"/>
  <c r="AO525" i="1"/>
  <c r="AH525" i="1"/>
  <c r="AP525" i="1"/>
  <c r="AK525" i="1"/>
  <c r="AL525" i="1"/>
  <c r="AI525" i="1"/>
  <c r="AJ525" i="1"/>
  <c r="AG525" i="1"/>
  <c r="AF525" i="1"/>
  <c r="AE527" i="1" l="1"/>
  <c r="AL526" i="1"/>
  <c r="AM526" i="1"/>
  <c r="AN526" i="1"/>
  <c r="AO526" i="1"/>
  <c r="AJ526" i="1"/>
  <c r="AK526" i="1"/>
  <c r="AP526" i="1"/>
  <c r="AH526" i="1"/>
  <c r="AI526" i="1"/>
  <c r="AG526" i="1"/>
  <c r="AF526" i="1"/>
  <c r="AE528" i="1" l="1"/>
  <c r="AK527" i="1"/>
  <c r="AL527" i="1"/>
  <c r="AM527" i="1"/>
  <c r="AN527" i="1"/>
  <c r="AI527" i="1"/>
  <c r="AJ527" i="1"/>
  <c r="AH527" i="1"/>
  <c r="AO527" i="1"/>
  <c r="AP527" i="1"/>
  <c r="AF527" i="1"/>
  <c r="AG527" i="1"/>
  <c r="AE529" i="1" l="1"/>
  <c r="AJ528" i="1"/>
  <c r="AK528" i="1"/>
  <c r="AL528" i="1"/>
  <c r="AM528" i="1"/>
  <c r="AH528" i="1"/>
  <c r="AP528" i="1"/>
  <c r="AI528" i="1"/>
  <c r="AN528" i="1"/>
  <c r="AO528" i="1"/>
  <c r="AG528" i="1"/>
  <c r="AF528" i="1"/>
  <c r="AE530" i="1" l="1"/>
  <c r="AI529" i="1"/>
  <c r="AJ529" i="1"/>
  <c r="AK529" i="1"/>
  <c r="AL529" i="1"/>
  <c r="AO529" i="1"/>
  <c r="AH529" i="1"/>
  <c r="AP529" i="1"/>
  <c r="AM529" i="1"/>
  <c r="AN529" i="1"/>
  <c r="AG529" i="1"/>
  <c r="AF529" i="1"/>
  <c r="AE531" i="1" l="1"/>
  <c r="AH530" i="1"/>
  <c r="AP530" i="1"/>
  <c r="AI530" i="1"/>
  <c r="AJ530" i="1"/>
  <c r="AK530" i="1"/>
  <c r="AN530" i="1"/>
  <c r="AO530" i="1"/>
  <c r="AL530" i="1"/>
  <c r="AM530" i="1"/>
  <c r="AG530" i="1"/>
  <c r="AF530" i="1"/>
  <c r="AE532" i="1" l="1"/>
  <c r="AO531" i="1"/>
  <c r="AH531" i="1"/>
  <c r="AP531" i="1"/>
  <c r="AI531" i="1"/>
  <c r="AJ531" i="1"/>
  <c r="AM531" i="1"/>
  <c r="AN531" i="1"/>
  <c r="AK531" i="1"/>
  <c r="AL531" i="1"/>
  <c r="AG531" i="1"/>
  <c r="AF531" i="1"/>
  <c r="AE533" i="1" l="1"/>
  <c r="AN532" i="1"/>
  <c r="AO532" i="1"/>
  <c r="AH532" i="1"/>
  <c r="AP532" i="1"/>
  <c r="AI532" i="1"/>
  <c r="AL532" i="1"/>
  <c r="AM532" i="1"/>
  <c r="AJ532" i="1"/>
  <c r="AG532" i="1"/>
  <c r="AK532" i="1"/>
  <c r="AF532" i="1"/>
  <c r="AE534" i="1" l="1"/>
  <c r="AM533" i="1"/>
  <c r="AN533" i="1"/>
  <c r="AO533" i="1"/>
  <c r="AH533" i="1"/>
  <c r="AP533" i="1"/>
  <c r="AK533" i="1"/>
  <c r="AL533" i="1"/>
  <c r="AI533" i="1"/>
  <c r="AG533" i="1"/>
  <c r="AF533" i="1"/>
  <c r="AJ533" i="1"/>
  <c r="AE535" i="1" l="1"/>
  <c r="AL534" i="1"/>
  <c r="AM534" i="1"/>
  <c r="AN534" i="1"/>
  <c r="AO534" i="1"/>
  <c r="AJ534" i="1"/>
  <c r="AK534" i="1"/>
  <c r="AH534" i="1"/>
  <c r="AI534" i="1"/>
  <c r="AP534" i="1"/>
  <c r="AG534" i="1"/>
  <c r="AF534" i="1"/>
  <c r="AE536" i="1" l="1"/>
  <c r="AK535" i="1"/>
  <c r="AL535" i="1"/>
  <c r="AM535" i="1"/>
  <c r="AN535" i="1"/>
  <c r="AI535" i="1"/>
  <c r="AJ535" i="1"/>
  <c r="AH535" i="1"/>
  <c r="AO535" i="1"/>
  <c r="AP535" i="1"/>
  <c r="AG535" i="1"/>
  <c r="AF535" i="1"/>
  <c r="AE537" i="1" l="1"/>
  <c r="AJ536" i="1"/>
  <c r="AK536" i="1"/>
  <c r="AL536" i="1"/>
  <c r="AM536" i="1"/>
  <c r="AH536" i="1"/>
  <c r="AP536" i="1"/>
  <c r="AI536" i="1"/>
  <c r="AN536" i="1"/>
  <c r="AG536" i="1"/>
  <c r="AO536" i="1"/>
  <c r="AF536" i="1"/>
  <c r="AE538" i="1" l="1"/>
  <c r="AI537" i="1"/>
  <c r="AJ537" i="1"/>
  <c r="AK537" i="1"/>
  <c r="AL537" i="1"/>
  <c r="AO537" i="1"/>
  <c r="AH537" i="1"/>
  <c r="AP537" i="1"/>
  <c r="AM537" i="1"/>
  <c r="AN537" i="1"/>
  <c r="AG537" i="1"/>
  <c r="AF537" i="1"/>
  <c r="AE539" i="1" l="1"/>
  <c r="AH538" i="1"/>
  <c r="AP538" i="1"/>
  <c r="AI538" i="1"/>
  <c r="AJ538" i="1"/>
  <c r="AK538" i="1"/>
  <c r="AN538" i="1"/>
  <c r="AO538" i="1"/>
  <c r="AL538" i="1"/>
  <c r="AM538" i="1"/>
  <c r="AG538" i="1"/>
  <c r="AF538" i="1"/>
  <c r="AE540" i="1" l="1"/>
  <c r="AO539" i="1"/>
  <c r="AH539" i="1"/>
  <c r="AP539" i="1"/>
  <c r="AI539" i="1"/>
  <c r="AJ539" i="1"/>
  <c r="AM539" i="1"/>
  <c r="AN539" i="1"/>
  <c r="AK539" i="1"/>
  <c r="AL539" i="1"/>
  <c r="AG539" i="1"/>
  <c r="AF539" i="1"/>
  <c r="AE541" i="1" l="1"/>
  <c r="AN540" i="1"/>
  <c r="AO540" i="1"/>
  <c r="AH540" i="1"/>
  <c r="AP540" i="1"/>
  <c r="AI540" i="1"/>
  <c r="AL540" i="1"/>
  <c r="AM540" i="1"/>
  <c r="AJ540" i="1"/>
  <c r="AK540" i="1"/>
  <c r="AG540" i="1"/>
  <c r="AF540" i="1"/>
  <c r="AE542" i="1" l="1"/>
  <c r="AM541" i="1"/>
  <c r="AN541" i="1"/>
  <c r="AO541" i="1"/>
  <c r="AH541" i="1"/>
  <c r="AP541" i="1"/>
  <c r="AK541" i="1"/>
  <c r="AL541" i="1"/>
  <c r="AI541" i="1"/>
  <c r="AJ541" i="1"/>
  <c r="AG541" i="1"/>
  <c r="AF541" i="1"/>
  <c r="AE543" i="1" l="1"/>
  <c r="AL542" i="1"/>
  <c r="AM542" i="1"/>
  <c r="AN542" i="1"/>
  <c r="AO542" i="1"/>
  <c r="AJ542" i="1"/>
  <c r="AK542" i="1"/>
  <c r="AH542" i="1"/>
  <c r="AI542" i="1"/>
  <c r="AP542" i="1"/>
  <c r="AG542" i="1"/>
  <c r="AF542" i="1"/>
  <c r="AE544" i="1" l="1"/>
  <c r="AK543" i="1"/>
  <c r="AL543" i="1"/>
  <c r="AM543" i="1"/>
  <c r="AN543" i="1"/>
  <c r="AI543" i="1"/>
  <c r="AJ543" i="1"/>
  <c r="AO543" i="1"/>
  <c r="AH543" i="1"/>
  <c r="AP543" i="1"/>
  <c r="AG543" i="1"/>
  <c r="AF543" i="1"/>
  <c r="AE545" i="1" l="1"/>
  <c r="AJ544" i="1"/>
  <c r="AK544" i="1"/>
  <c r="AL544" i="1"/>
  <c r="AM544" i="1"/>
  <c r="AH544" i="1"/>
  <c r="AP544" i="1"/>
  <c r="AI544" i="1"/>
  <c r="AN544" i="1"/>
  <c r="AO544" i="1"/>
  <c r="AG544" i="1"/>
  <c r="AF544" i="1"/>
  <c r="AE546" i="1" l="1"/>
  <c r="AI545" i="1"/>
  <c r="AJ545" i="1"/>
  <c r="AK545" i="1"/>
  <c r="AL545" i="1"/>
  <c r="AO545" i="1"/>
  <c r="AH545" i="1"/>
  <c r="AP545" i="1"/>
  <c r="AM545" i="1"/>
  <c r="AN545" i="1"/>
  <c r="AG545" i="1"/>
  <c r="AF545" i="1"/>
  <c r="AE547" i="1" l="1"/>
  <c r="AH546" i="1"/>
  <c r="AP546" i="1"/>
  <c r="AI546" i="1"/>
  <c r="AJ546" i="1"/>
  <c r="AK546" i="1"/>
  <c r="AN546" i="1"/>
  <c r="AL546" i="1"/>
  <c r="AO546" i="1"/>
  <c r="AG546" i="1"/>
  <c r="AM546" i="1"/>
  <c r="AF546" i="1"/>
  <c r="AE548" i="1" l="1"/>
  <c r="AO547" i="1"/>
  <c r="AH547" i="1"/>
  <c r="AP547" i="1"/>
  <c r="AI547" i="1"/>
  <c r="AJ547" i="1"/>
  <c r="AM547" i="1"/>
  <c r="AL547" i="1"/>
  <c r="AN547" i="1"/>
  <c r="AG547" i="1"/>
  <c r="AF547" i="1"/>
  <c r="AK547" i="1"/>
  <c r="AE549" i="1" l="1"/>
  <c r="AN548" i="1"/>
  <c r="AO548" i="1"/>
  <c r="AH548" i="1"/>
  <c r="AP548" i="1"/>
  <c r="AI548" i="1"/>
  <c r="AL548" i="1"/>
  <c r="AJ548" i="1"/>
  <c r="AK548" i="1"/>
  <c r="AM548" i="1"/>
  <c r="AG548" i="1"/>
  <c r="AF548" i="1"/>
  <c r="AE550" i="1" l="1"/>
  <c r="AM549" i="1"/>
  <c r="AN549" i="1"/>
  <c r="AO549" i="1"/>
  <c r="AH549" i="1"/>
  <c r="AP549" i="1"/>
  <c r="AK549" i="1"/>
  <c r="AJ549" i="1"/>
  <c r="AG549" i="1"/>
  <c r="AI549" i="1"/>
  <c r="AF549" i="1"/>
  <c r="AL549" i="1"/>
  <c r="AE551" i="1" l="1"/>
  <c r="AL550" i="1"/>
  <c r="AM550" i="1"/>
  <c r="AN550" i="1"/>
  <c r="AO550" i="1"/>
  <c r="AJ550" i="1"/>
  <c r="AH550" i="1"/>
  <c r="AI550" i="1"/>
  <c r="AK550" i="1"/>
  <c r="AP550" i="1"/>
  <c r="AG550" i="1"/>
  <c r="AF550" i="1"/>
  <c r="AE552" i="1" l="1"/>
  <c r="AK551" i="1"/>
  <c r="AL551" i="1"/>
  <c r="AM551" i="1"/>
  <c r="AN551" i="1"/>
  <c r="AI551" i="1"/>
  <c r="AH551" i="1"/>
  <c r="AO551" i="1"/>
  <c r="AJ551" i="1"/>
  <c r="AP551" i="1"/>
  <c r="AF551" i="1"/>
  <c r="AG551" i="1"/>
  <c r="AE553" i="1" l="1"/>
  <c r="AJ552" i="1"/>
  <c r="AK552" i="1"/>
  <c r="AL552" i="1"/>
  <c r="AM552" i="1"/>
  <c r="AH552" i="1"/>
  <c r="AP552" i="1"/>
  <c r="AI552" i="1"/>
  <c r="AN552" i="1"/>
  <c r="AO552" i="1"/>
  <c r="AG552" i="1"/>
  <c r="AF552" i="1"/>
  <c r="AE554" i="1" l="1"/>
  <c r="AI553" i="1"/>
  <c r="AJ553" i="1"/>
  <c r="AK553" i="1"/>
  <c r="AL553" i="1"/>
  <c r="AO553" i="1"/>
  <c r="AH553" i="1"/>
  <c r="AM553" i="1"/>
  <c r="AP553" i="1"/>
  <c r="AN553" i="1"/>
  <c r="AG553" i="1"/>
  <c r="AF553" i="1"/>
  <c r="AE555" i="1" l="1"/>
  <c r="AH554" i="1"/>
  <c r="AP554" i="1"/>
  <c r="AI554" i="1"/>
  <c r="AJ554" i="1"/>
  <c r="AK554" i="1"/>
  <c r="AN554" i="1"/>
  <c r="AM554" i="1"/>
  <c r="AO554" i="1"/>
  <c r="AG554" i="1"/>
  <c r="AL554" i="1"/>
  <c r="AF554" i="1"/>
  <c r="AE556" i="1" l="1"/>
  <c r="AO555" i="1"/>
  <c r="AH555" i="1"/>
  <c r="AP555" i="1"/>
  <c r="AI555" i="1"/>
  <c r="AJ555" i="1"/>
  <c r="AM555" i="1"/>
  <c r="AK555" i="1"/>
  <c r="AL555" i="1"/>
  <c r="AN555" i="1"/>
  <c r="AG555" i="1"/>
  <c r="AF555" i="1"/>
  <c r="AE557" i="1" l="1"/>
  <c r="AN556" i="1"/>
  <c r="AO556" i="1"/>
  <c r="AH556" i="1"/>
  <c r="AP556" i="1"/>
  <c r="AI556" i="1"/>
  <c r="AL556" i="1"/>
  <c r="AK556" i="1"/>
  <c r="AG556" i="1"/>
  <c r="AJ556" i="1"/>
  <c r="AF556" i="1"/>
  <c r="AM556" i="1"/>
  <c r="AE558" i="1" l="1"/>
  <c r="AM557" i="1"/>
  <c r="AN557" i="1"/>
  <c r="AO557" i="1"/>
  <c r="AH557" i="1"/>
  <c r="AP557" i="1"/>
  <c r="AK557" i="1"/>
  <c r="AI557" i="1"/>
  <c r="AJ557" i="1"/>
  <c r="AL557" i="1"/>
  <c r="AG557" i="1"/>
  <c r="AF557" i="1"/>
  <c r="AE559" i="1" l="1"/>
  <c r="AL558" i="1"/>
  <c r="AM558" i="1"/>
  <c r="AN558" i="1"/>
  <c r="AO558" i="1"/>
  <c r="AJ558" i="1"/>
  <c r="AH558" i="1"/>
  <c r="AI558" i="1"/>
  <c r="AP558" i="1"/>
  <c r="AG558" i="1"/>
  <c r="AK558" i="1"/>
  <c r="AF558" i="1"/>
  <c r="AE560" i="1" l="1"/>
  <c r="AK559" i="1"/>
  <c r="AL559" i="1"/>
  <c r="AM559" i="1"/>
  <c r="AN559" i="1"/>
  <c r="AI559" i="1"/>
  <c r="AJ559" i="1"/>
  <c r="AO559" i="1"/>
  <c r="AP559" i="1"/>
  <c r="AF559" i="1"/>
  <c r="AH559" i="1"/>
  <c r="AG559" i="1"/>
  <c r="AE561" i="1" l="1"/>
  <c r="AJ560" i="1"/>
  <c r="AK560" i="1"/>
  <c r="AL560" i="1"/>
  <c r="AM560" i="1"/>
  <c r="AH560" i="1"/>
  <c r="AP560" i="1"/>
  <c r="AI560" i="1"/>
  <c r="AN560" i="1"/>
  <c r="AO560" i="1"/>
  <c r="AG560" i="1"/>
  <c r="AF560" i="1"/>
  <c r="AE562" i="1" l="1"/>
  <c r="AI561" i="1"/>
  <c r="AJ561" i="1"/>
  <c r="AK561" i="1"/>
  <c r="AL561" i="1"/>
  <c r="AO561" i="1"/>
  <c r="AN561" i="1"/>
  <c r="AP561" i="1"/>
  <c r="AH561" i="1"/>
  <c r="AM561" i="1"/>
  <c r="AF561" i="1"/>
  <c r="AG561" i="1"/>
  <c r="AE563" i="1" l="1"/>
  <c r="AH562" i="1"/>
  <c r="AP562" i="1"/>
  <c r="AI562" i="1"/>
  <c r="AJ562" i="1"/>
  <c r="AK562" i="1"/>
  <c r="AN562" i="1"/>
  <c r="AL562" i="1"/>
  <c r="AM562" i="1"/>
  <c r="AO562" i="1"/>
  <c r="AG562" i="1"/>
  <c r="AF562" i="1"/>
  <c r="AE564" i="1" l="1"/>
  <c r="AO563" i="1"/>
  <c r="AH563" i="1"/>
  <c r="AP563" i="1"/>
  <c r="AI563" i="1"/>
  <c r="AJ563" i="1"/>
  <c r="AM563" i="1"/>
  <c r="AL563" i="1"/>
  <c r="AG563" i="1"/>
  <c r="AK563" i="1"/>
  <c r="AN563" i="1"/>
  <c r="AF563" i="1"/>
  <c r="AE565" i="1" l="1"/>
  <c r="AN564" i="1"/>
  <c r="AO564" i="1"/>
  <c r="AH564" i="1"/>
  <c r="AP564" i="1"/>
  <c r="AI564" i="1"/>
  <c r="AL564" i="1"/>
  <c r="AJ564" i="1"/>
  <c r="AK564" i="1"/>
  <c r="AM564" i="1"/>
  <c r="AG564" i="1"/>
  <c r="AF564" i="1"/>
  <c r="AE566" i="1" l="1"/>
  <c r="AM565" i="1"/>
  <c r="AN565" i="1"/>
  <c r="AO565" i="1"/>
  <c r="AH565" i="1"/>
  <c r="AP565" i="1"/>
  <c r="AK565" i="1"/>
  <c r="AI565" i="1"/>
  <c r="AJ565" i="1"/>
  <c r="AG565" i="1"/>
  <c r="AL565" i="1"/>
  <c r="AF565" i="1"/>
  <c r="AE567" i="1" l="1"/>
  <c r="AL566" i="1"/>
  <c r="AM566" i="1"/>
  <c r="AN566" i="1"/>
  <c r="AO566" i="1"/>
  <c r="AJ566" i="1"/>
  <c r="AK566" i="1"/>
  <c r="AP566" i="1"/>
  <c r="AH566" i="1"/>
  <c r="AG566" i="1"/>
  <c r="AI566" i="1"/>
  <c r="AF566" i="1"/>
  <c r="AE568" i="1" l="1"/>
  <c r="AK567" i="1"/>
  <c r="AL567" i="1"/>
  <c r="AM567" i="1"/>
  <c r="AN567" i="1"/>
  <c r="AI567" i="1"/>
  <c r="AH567" i="1"/>
  <c r="AJ567" i="1"/>
  <c r="AO567" i="1"/>
  <c r="AP567" i="1"/>
  <c r="AG567" i="1"/>
  <c r="AF567" i="1"/>
  <c r="AE569" i="1" l="1"/>
  <c r="AJ568" i="1"/>
  <c r="AK568" i="1"/>
  <c r="AL568" i="1"/>
  <c r="AM568" i="1"/>
  <c r="AH568" i="1"/>
  <c r="AP568" i="1"/>
  <c r="AO568" i="1"/>
  <c r="AI568" i="1"/>
  <c r="AG568" i="1"/>
  <c r="AN568" i="1"/>
  <c r="AF568" i="1"/>
  <c r="AE570" i="1" l="1"/>
  <c r="AI569" i="1"/>
  <c r="AJ569" i="1"/>
  <c r="AK569" i="1"/>
  <c r="AL569" i="1"/>
  <c r="AO569" i="1"/>
  <c r="AH569" i="1"/>
  <c r="AM569" i="1"/>
  <c r="AN569" i="1"/>
  <c r="AP569" i="1"/>
  <c r="AG569" i="1"/>
  <c r="AF569" i="1"/>
  <c r="AE571" i="1" l="1"/>
  <c r="AH570" i="1"/>
  <c r="AP570" i="1"/>
  <c r="AI570" i="1"/>
  <c r="AJ570" i="1"/>
  <c r="AK570" i="1"/>
  <c r="AN570" i="1"/>
  <c r="AM570" i="1"/>
  <c r="AL570" i="1"/>
  <c r="AG570" i="1"/>
  <c r="AO570" i="1"/>
  <c r="AF570" i="1"/>
  <c r="AE572" i="1" l="1"/>
  <c r="AO571" i="1"/>
  <c r="AH571" i="1"/>
  <c r="AP571" i="1"/>
  <c r="AI571" i="1"/>
  <c r="AJ571" i="1"/>
  <c r="AM571" i="1"/>
  <c r="AK571" i="1"/>
  <c r="AL571" i="1"/>
  <c r="AN571" i="1"/>
  <c r="AG571" i="1"/>
  <c r="AF571" i="1"/>
  <c r="AE573" i="1" l="1"/>
  <c r="AN572" i="1"/>
  <c r="AO572" i="1"/>
  <c r="AH572" i="1"/>
  <c r="AP572" i="1"/>
  <c r="AI572" i="1"/>
  <c r="AL572" i="1"/>
  <c r="AJ572" i="1"/>
  <c r="AK572" i="1"/>
  <c r="AM572" i="1"/>
  <c r="AG572" i="1"/>
  <c r="AF572" i="1"/>
  <c r="AE574" i="1" l="1"/>
  <c r="AM573" i="1"/>
  <c r="AN573" i="1"/>
  <c r="AO573" i="1"/>
  <c r="AH573" i="1"/>
  <c r="AP573" i="1"/>
  <c r="AK573" i="1"/>
  <c r="AL573" i="1"/>
  <c r="AI573" i="1"/>
  <c r="AJ573" i="1"/>
  <c r="AG573" i="1"/>
  <c r="AF573" i="1"/>
  <c r="AE575" i="1" l="1"/>
  <c r="AL574" i="1"/>
  <c r="AM574" i="1"/>
  <c r="AN574" i="1"/>
  <c r="AO574" i="1"/>
  <c r="AJ574" i="1"/>
  <c r="AH574" i="1"/>
  <c r="AI574" i="1"/>
  <c r="AK574" i="1"/>
  <c r="AP574" i="1"/>
  <c r="AG574" i="1"/>
  <c r="AF574" i="1"/>
  <c r="AE576" i="1" l="1"/>
  <c r="AK575" i="1"/>
  <c r="AL575" i="1"/>
  <c r="AM575" i="1"/>
  <c r="AN575" i="1"/>
  <c r="AI575" i="1"/>
  <c r="AP575" i="1"/>
  <c r="AJ575" i="1"/>
  <c r="AH575" i="1"/>
  <c r="AO575" i="1"/>
  <c r="AG575" i="1"/>
  <c r="AF575" i="1"/>
  <c r="AE577" i="1" l="1"/>
  <c r="AJ576" i="1"/>
  <c r="AK576" i="1"/>
  <c r="AL576" i="1"/>
  <c r="AM576" i="1"/>
  <c r="AH576" i="1"/>
  <c r="AP576" i="1"/>
  <c r="AI576" i="1"/>
  <c r="AN576" i="1"/>
  <c r="AO576" i="1"/>
  <c r="AG576" i="1"/>
  <c r="AF576" i="1"/>
  <c r="AE578" i="1" l="1"/>
  <c r="AI577" i="1"/>
  <c r="AJ577" i="1"/>
  <c r="AK577" i="1"/>
  <c r="AL577" i="1"/>
  <c r="AO577" i="1"/>
  <c r="AH577" i="1"/>
  <c r="AN577" i="1"/>
  <c r="AM577" i="1"/>
  <c r="AP577" i="1"/>
  <c r="AG577" i="1"/>
  <c r="AF577" i="1"/>
  <c r="AE579" i="1" l="1"/>
  <c r="AH578" i="1"/>
  <c r="AP578" i="1"/>
  <c r="AI578" i="1"/>
  <c r="AJ578" i="1"/>
  <c r="AK578" i="1"/>
  <c r="AN578" i="1"/>
  <c r="AL578" i="1"/>
  <c r="AM578" i="1"/>
  <c r="AO578" i="1"/>
  <c r="AG578" i="1"/>
  <c r="AF578" i="1"/>
  <c r="AE580" i="1" l="1"/>
  <c r="AO579" i="1"/>
  <c r="AH579" i="1"/>
  <c r="AP579" i="1"/>
  <c r="AI579" i="1"/>
  <c r="AJ579" i="1"/>
  <c r="AM579" i="1"/>
  <c r="AK579" i="1"/>
  <c r="AL579" i="1"/>
  <c r="AN579" i="1"/>
  <c r="AG579" i="1"/>
  <c r="AF579" i="1"/>
  <c r="AE581" i="1" l="1"/>
  <c r="AN580" i="1"/>
  <c r="AO580" i="1"/>
  <c r="AH580" i="1"/>
  <c r="AP580" i="1"/>
  <c r="AI580" i="1"/>
  <c r="AL580" i="1"/>
  <c r="AM580" i="1"/>
  <c r="AJ580" i="1"/>
  <c r="AK580" i="1"/>
  <c r="AG580" i="1"/>
  <c r="AF580" i="1"/>
  <c r="AE582" i="1" l="1"/>
  <c r="AM581" i="1"/>
  <c r="AN581" i="1"/>
  <c r="AO581" i="1"/>
  <c r="AH581" i="1"/>
  <c r="AP581" i="1"/>
  <c r="AK581" i="1"/>
  <c r="AI581" i="1"/>
  <c r="AJ581" i="1"/>
  <c r="AL581" i="1"/>
  <c r="AG581" i="1"/>
  <c r="AF581" i="1"/>
  <c r="AE583" i="1" l="1"/>
  <c r="AL582" i="1"/>
  <c r="AM582" i="1"/>
  <c r="AN582" i="1"/>
  <c r="AO582" i="1"/>
  <c r="AJ582" i="1"/>
  <c r="AH582" i="1"/>
  <c r="AK582" i="1"/>
  <c r="AI582" i="1"/>
  <c r="AP582" i="1"/>
  <c r="AG582" i="1"/>
  <c r="AF582" i="1"/>
  <c r="AE584" i="1" l="1"/>
  <c r="AK583" i="1"/>
  <c r="AL583" i="1"/>
  <c r="AM583" i="1"/>
  <c r="AN583" i="1"/>
  <c r="AI583" i="1"/>
  <c r="AH583" i="1"/>
  <c r="AJ583" i="1"/>
  <c r="AO583" i="1"/>
  <c r="AP583" i="1"/>
  <c r="AF583" i="1"/>
  <c r="AG583" i="1"/>
  <c r="AE585" i="1" l="1"/>
  <c r="AJ584" i="1"/>
  <c r="AK584" i="1"/>
  <c r="AL584" i="1"/>
  <c r="AM584" i="1"/>
  <c r="AH584" i="1"/>
  <c r="AP584" i="1"/>
  <c r="AI584" i="1"/>
  <c r="AO584" i="1"/>
  <c r="AN584" i="1"/>
  <c r="AG584" i="1"/>
  <c r="AF584" i="1"/>
  <c r="AE586" i="1" l="1"/>
  <c r="AI585" i="1"/>
  <c r="AJ585" i="1"/>
  <c r="AK585" i="1"/>
  <c r="AL585" i="1"/>
  <c r="AO585" i="1"/>
  <c r="AM585" i="1"/>
  <c r="AN585" i="1"/>
  <c r="AP585" i="1"/>
  <c r="AH585" i="1"/>
  <c r="AG585" i="1"/>
  <c r="AF585" i="1"/>
  <c r="AE587" i="1" l="1"/>
  <c r="AH586" i="1"/>
  <c r="AP586" i="1"/>
  <c r="AI586" i="1"/>
  <c r="AJ586" i="1"/>
  <c r="AK586" i="1"/>
  <c r="AN586" i="1"/>
  <c r="AL586" i="1"/>
  <c r="AM586" i="1"/>
  <c r="AG586" i="1"/>
  <c r="AO586" i="1"/>
  <c r="AF586" i="1"/>
  <c r="AE588" i="1" l="1"/>
  <c r="AO587" i="1"/>
  <c r="AH587" i="1"/>
  <c r="AP587" i="1"/>
  <c r="AI587" i="1"/>
  <c r="AJ587" i="1"/>
  <c r="AM587" i="1"/>
  <c r="AN587" i="1"/>
  <c r="AK587" i="1"/>
  <c r="AG587" i="1"/>
  <c r="AF587" i="1"/>
  <c r="AL587" i="1"/>
  <c r="AE589" i="1" l="1"/>
  <c r="AN588" i="1"/>
  <c r="AO588" i="1"/>
  <c r="AH588" i="1"/>
  <c r="AP588" i="1"/>
  <c r="AI588" i="1"/>
  <c r="AL588" i="1"/>
  <c r="AJ588" i="1"/>
  <c r="AK588" i="1"/>
  <c r="AM588" i="1"/>
  <c r="AG588" i="1"/>
  <c r="AF588" i="1"/>
  <c r="AE590" i="1" l="1"/>
  <c r="AM589" i="1"/>
  <c r="AN589" i="1"/>
  <c r="AO589" i="1"/>
  <c r="AH589" i="1"/>
  <c r="AP589" i="1"/>
  <c r="AK589" i="1"/>
  <c r="AI589" i="1"/>
  <c r="AL589" i="1"/>
  <c r="AJ589" i="1"/>
  <c r="AG589" i="1"/>
  <c r="AF589" i="1"/>
  <c r="AE591" i="1" l="1"/>
  <c r="AL590" i="1"/>
  <c r="AM590" i="1"/>
  <c r="AN590" i="1"/>
  <c r="AO590" i="1"/>
  <c r="AJ590" i="1"/>
  <c r="AI590" i="1"/>
  <c r="AK590" i="1"/>
  <c r="AP590" i="1"/>
  <c r="AH590" i="1"/>
  <c r="AG590" i="1"/>
  <c r="AF590" i="1"/>
  <c r="AE592" i="1" l="1"/>
  <c r="AK591" i="1"/>
  <c r="AL591" i="1"/>
  <c r="AM591" i="1"/>
  <c r="AN591" i="1"/>
  <c r="AI591" i="1"/>
  <c r="AH591" i="1"/>
  <c r="AJ591" i="1"/>
  <c r="AP591" i="1"/>
  <c r="AO591" i="1"/>
  <c r="AF591" i="1"/>
  <c r="AG591" i="1"/>
  <c r="AE593" i="1" l="1"/>
  <c r="AJ592" i="1"/>
  <c r="AK592" i="1"/>
  <c r="AL592" i="1"/>
  <c r="AM592" i="1"/>
  <c r="AH592" i="1"/>
  <c r="AP592" i="1"/>
  <c r="AN592" i="1"/>
  <c r="AO592" i="1"/>
  <c r="AI592" i="1"/>
  <c r="AG592" i="1"/>
  <c r="AF592" i="1"/>
  <c r="AE594" i="1" l="1"/>
  <c r="AI593" i="1"/>
  <c r="AJ593" i="1"/>
  <c r="AK593" i="1"/>
  <c r="AL593" i="1"/>
  <c r="AO593" i="1"/>
  <c r="AH593" i="1"/>
  <c r="AM593" i="1"/>
  <c r="AN593" i="1"/>
  <c r="AP593" i="1"/>
  <c r="AG593" i="1"/>
  <c r="AF593" i="1"/>
  <c r="AE595" i="1" l="1"/>
  <c r="AH594" i="1"/>
  <c r="AP594" i="1"/>
  <c r="AI594" i="1"/>
  <c r="AJ594" i="1"/>
  <c r="AK594" i="1"/>
  <c r="AN594" i="1"/>
  <c r="AO594" i="1"/>
  <c r="AL594" i="1"/>
  <c r="AG594" i="1"/>
  <c r="AM594" i="1"/>
  <c r="AF594" i="1"/>
  <c r="AE596" i="1" l="1"/>
  <c r="AO595" i="1"/>
  <c r="AH595" i="1"/>
  <c r="AP595" i="1"/>
  <c r="AI595" i="1"/>
  <c r="AJ595" i="1"/>
  <c r="AM595" i="1"/>
  <c r="AK595" i="1"/>
  <c r="AL595" i="1"/>
  <c r="AN595" i="1"/>
  <c r="AG595" i="1"/>
  <c r="AF595" i="1"/>
  <c r="AE597" i="1" l="1"/>
  <c r="AN596" i="1"/>
  <c r="AO596" i="1"/>
  <c r="AH596" i="1"/>
  <c r="AP596" i="1"/>
  <c r="AI596" i="1"/>
  <c r="AL596" i="1"/>
  <c r="AJ596" i="1"/>
  <c r="AM596" i="1"/>
  <c r="AG596" i="1"/>
  <c r="AK596" i="1"/>
  <c r="AF596" i="1"/>
  <c r="AE598" i="1" l="1"/>
  <c r="AM597" i="1"/>
  <c r="AN597" i="1"/>
  <c r="AO597" i="1"/>
  <c r="AH597" i="1"/>
  <c r="AP597" i="1"/>
  <c r="AK597" i="1"/>
  <c r="AJ597" i="1"/>
  <c r="AL597" i="1"/>
  <c r="AG597" i="1"/>
  <c r="AF597" i="1"/>
  <c r="AI597" i="1"/>
  <c r="AE599" i="1" l="1"/>
  <c r="AL598" i="1"/>
  <c r="AM598" i="1"/>
  <c r="AN598" i="1"/>
  <c r="AO598" i="1"/>
  <c r="AJ598" i="1"/>
  <c r="AH598" i="1"/>
  <c r="AI598" i="1"/>
  <c r="AK598" i="1"/>
  <c r="AP598" i="1"/>
  <c r="AG598" i="1"/>
  <c r="AF598" i="1"/>
  <c r="AE600" i="1" l="1"/>
  <c r="AK599" i="1"/>
  <c r="AL599" i="1"/>
  <c r="AM599" i="1"/>
  <c r="AN599" i="1"/>
  <c r="AI599" i="1"/>
  <c r="AO599" i="1"/>
  <c r="AP599" i="1"/>
  <c r="AH599" i="1"/>
  <c r="AJ599" i="1"/>
  <c r="AG599" i="1"/>
  <c r="AF599" i="1"/>
  <c r="AE601" i="1" l="1"/>
  <c r="AJ600" i="1"/>
  <c r="AK600" i="1"/>
  <c r="AL600" i="1"/>
  <c r="AM600" i="1"/>
  <c r="AH600" i="1"/>
  <c r="AP600" i="1"/>
  <c r="AI600" i="1"/>
  <c r="AN600" i="1"/>
  <c r="AO600" i="1"/>
  <c r="AG600" i="1"/>
  <c r="AF600" i="1"/>
  <c r="AE602" i="1" l="1"/>
  <c r="AI601" i="1"/>
  <c r="AJ601" i="1"/>
  <c r="AK601" i="1"/>
  <c r="AL601" i="1"/>
  <c r="AO601" i="1"/>
  <c r="AP601" i="1"/>
  <c r="AM601" i="1"/>
  <c r="AH601" i="1"/>
  <c r="AN601" i="1"/>
  <c r="AG601" i="1"/>
  <c r="AF601" i="1"/>
  <c r="AE603" i="1" l="1"/>
  <c r="AH602" i="1"/>
  <c r="AP602" i="1"/>
  <c r="AI602" i="1"/>
  <c r="AJ602" i="1"/>
  <c r="AK602" i="1"/>
  <c r="AN602" i="1"/>
  <c r="AL602" i="1"/>
  <c r="AM602" i="1"/>
  <c r="AO602" i="1"/>
  <c r="AG602" i="1"/>
  <c r="AF602" i="1"/>
  <c r="AE604" i="1" l="1"/>
  <c r="AO603" i="1"/>
  <c r="AH603" i="1"/>
  <c r="AP603" i="1"/>
  <c r="AI603" i="1"/>
  <c r="AJ603" i="1"/>
  <c r="AM603" i="1"/>
  <c r="AK603" i="1"/>
  <c r="AN603" i="1"/>
  <c r="AG603" i="1"/>
  <c r="AL603" i="1"/>
  <c r="AF603" i="1"/>
  <c r="AE605" i="1" l="1"/>
  <c r="AN604" i="1"/>
  <c r="AO604" i="1"/>
  <c r="AH604" i="1"/>
  <c r="AP604" i="1"/>
  <c r="AI604" i="1"/>
  <c r="AL604" i="1"/>
  <c r="AK604" i="1"/>
  <c r="AM604" i="1"/>
  <c r="AG604" i="1"/>
  <c r="AJ604" i="1"/>
  <c r="AF604" i="1"/>
  <c r="AE606" i="1" l="1"/>
  <c r="AM605" i="1"/>
  <c r="AN605" i="1"/>
  <c r="AO605" i="1"/>
  <c r="AH605" i="1"/>
  <c r="AP605" i="1"/>
  <c r="AK605" i="1"/>
  <c r="AI605" i="1"/>
  <c r="AJ605" i="1"/>
  <c r="AL605" i="1"/>
  <c r="AG605" i="1"/>
  <c r="AF605" i="1"/>
  <c r="AE607" i="1" l="1"/>
  <c r="AL606" i="1"/>
  <c r="AM606" i="1"/>
  <c r="AN606" i="1"/>
  <c r="AO606" i="1"/>
  <c r="AJ606" i="1"/>
  <c r="AP606" i="1"/>
  <c r="AI606" i="1"/>
  <c r="AG606" i="1"/>
  <c r="AH606" i="1"/>
  <c r="AK606" i="1"/>
  <c r="AF606" i="1"/>
  <c r="AE608" i="1" l="1"/>
  <c r="AK607" i="1"/>
  <c r="AL607" i="1"/>
  <c r="AM607" i="1"/>
  <c r="AN607" i="1"/>
  <c r="AI607" i="1"/>
  <c r="AH607" i="1"/>
  <c r="AJ607" i="1"/>
  <c r="AO607" i="1"/>
  <c r="AP607" i="1"/>
  <c r="AG607" i="1"/>
  <c r="AF607" i="1"/>
  <c r="AE609" i="1" l="1"/>
  <c r="AJ608" i="1"/>
  <c r="AK608" i="1"/>
  <c r="AL608" i="1"/>
  <c r="AM608" i="1"/>
  <c r="AH608" i="1"/>
  <c r="AP608" i="1"/>
  <c r="AN608" i="1"/>
  <c r="AI608" i="1"/>
  <c r="AO608" i="1"/>
  <c r="AG608" i="1"/>
  <c r="AF608" i="1"/>
  <c r="AE610" i="1" l="1"/>
  <c r="AI609" i="1"/>
  <c r="AJ609" i="1"/>
  <c r="AK609" i="1"/>
  <c r="AL609" i="1"/>
  <c r="AO609" i="1"/>
  <c r="AH609" i="1"/>
  <c r="AM609" i="1"/>
  <c r="AN609" i="1"/>
  <c r="AP609" i="1"/>
  <c r="AG609" i="1"/>
  <c r="AF609" i="1"/>
  <c r="AE611" i="1" l="1"/>
  <c r="AH610" i="1"/>
  <c r="AP610" i="1"/>
  <c r="AI610" i="1"/>
  <c r="AJ610" i="1"/>
  <c r="AK610" i="1"/>
  <c r="AN610" i="1"/>
  <c r="AL610" i="1"/>
  <c r="AO610" i="1"/>
  <c r="AG610" i="1"/>
  <c r="AM610" i="1"/>
  <c r="AF610" i="1"/>
  <c r="AE612" i="1" l="1"/>
  <c r="AO611" i="1"/>
  <c r="AH611" i="1"/>
  <c r="AP611" i="1"/>
  <c r="AI611" i="1"/>
  <c r="AJ611" i="1"/>
  <c r="AM611" i="1"/>
  <c r="AL611" i="1"/>
  <c r="AN611" i="1"/>
  <c r="AG611" i="1"/>
  <c r="AK611" i="1"/>
  <c r="AF611" i="1"/>
  <c r="AE613" i="1" l="1"/>
  <c r="AN612" i="1"/>
  <c r="AO612" i="1"/>
  <c r="AH612" i="1"/>
  <c r="AP612" i="1"/>
  <c r="AI612" i="1"/>
  <c r="AL612" i="1"/>
  <c r="AJ612" i="1"/>
  <c r="AK612" i="1"/>
  <c r="AM612" i="1"/>
  <c r="AG612" i="1"/>
  <c r="AF612" i="1"/>
  <c r="AE614" i="1" l="1"/>
  <c r="AM613" i="1"/>
  <c r="AN613" i="1"/>
  <c r="AO613" i="1"/>
  <c r="AH613" i="1"/>
  <c r="AP613" i="1"/>
  <c r="AK613" i="1"/>
  <c r="AJ613" i="1"/>
  <c r="AG613" i="1"/>
  <c r="AI613" i="1"/>
  <c r="AF613" i="1"/>
  <c r="AL613" i="1"/>
  <c r="AE615" i="1" l="1"/>
  <c r="AL614" i="1"/>
  <c r="AM614" i="1"/>
  <c r="AN614" i="1"/>
  <c r="AO614" i="1"/>
  <c r="AJ614" i="1"/>
  <c r="AH614" i="1"/>
  <c r="AI614" i="1"/>
  <c r="AK614" i="1"/>
  <c r="AP614" i="1"/>
  <c r="AG614" i="1"/>
  <c r="AF614" i="1"/>
  <c r="AE616" i="1" l="1"/>
  <c r="AK615" i="1"/>
  <c r="AL615" i="1"/>
  <c r="AM615" i="1"/>
  <c r="AN615" i="1"/>
  <c r="AI615" i="1"/>
  <c r="AH615" i="1"/>
  <c r="AO615" i="1"/>
  <c r="AJ615" i="1"/>
  <c r="AP615" i="1"/>
  <c r="AF615" i="1"/>
  <c r="AG615" i="1"/>
  <c r="AE617" i="1" l="1"/>
  <c r="AJ616" i="1"/>
  <c r="AK616" i="1"/>
  <c r="AL616" i="1"/>
  <c r="AM616" i="1"/>
  <c r="AH616" i="1"/>
  <c r="AP616" i="1"/>
  <c r="AI616" i="1"/>
  <c r="AN616" i="1"/>
  <c r="AO616" i="1"/>
  <c r="AG616" i="1"/>
  <c r="AF616" i="1"/>
  <c r="AE618" i="1" l="1"/>
  <c r="AI617" i="1"/>
  <c r="AJ617" i="1"/>
  <c r="AK617" i="1"/>
  <c r="AL617" i="1"/>
  <c r="AO617" i="1"/>
  <c r="AH617" i="1"/>
  <c r="AM617" i="1"/>
  <c r="AP617" i="1"/>
  <c r="AN617" i="1"/>
  <c r="AG617" i="1"/>
  <c r="AF617" i="1"/>
  <c r="AE619" i="1" l="1"/>
  <c r="AH618" i="1"/>
  <c r="AP618" i="1"/>
  <c r="AI618" i="1"/>
  <c r="AJ618" i="1"/>
  <c r="AK618" i="1"/>
  <c r="AN618" i="1"/>
  <c r="AM618" i="1"/>
  <c r="AO618" i="1"/>
  <c r="AG618" i="1"/>
  <c r="AL618" i="1"/>
  <c r="AF618" i="1"/>
  <c r="AE620" i="1" l="1"/>
  <c r="AO619" i="1"/>
  <c r="AH619" i="1"/>
  <c r="AP619" i="1"/>
  <c r="AI619" i="1"/>
  <c r="AJ619" i="1"/>
  <c r="AM619" i="1"/>
  <c r="AK619" i="1"/>
  <c r="AL619" i="1"/>
  <c r="AN619" i="1"/>
  <c r="AG619" i="1"/>
  <c r="AF619" i="1"/>
  <c r="AE621" i="1" l="1"/>
  <c r="AN620" i="1"/>
  <c r="AO620" i="1"/>
  <c r="AH620" i="1"/>
  <c r="AP620" i="1"/>
  <c r="AI620" i="1"/>
  <c r="AL620" i="1"/>
  <c r="AK620" i="1"/>
  <c r="AJ620" i="1"/>
  <c r="AG620" i="1"/>
  <c r="AM620" i="1"/>
  <c r="AF620" i="1"/>
  <c r="AE622" i="1" l="1"/>
  <c r="AM621" i="1"/>
  <c r="AN621" i="1"/>
  <c r="AO621" i="1"/>
  <c r="AH621" i="1"/>
  <c r="AP621" i="1"/>
  <c r="AK621" i="1"/>
  <c r="AI621" i="1"/>
  <c r="AJ621" i="1"/>
  <c r="AL621" i="1"/>
  <c r="AG621" i="1"/>
  <c r="AF621" i="1"/>
  <c r="AE623" i="1" l="1"/>
  <c r="AL622" i="1"/>
  <c r="AM622" i="1"/>
  <c r="AN622" i="1"/>
  <c r="AO622" i="1"/>
  <c r="AJ622" i="1"/>
  <c r="AH622" i="1"/>
  <c r="AI622" i="1"/>
  <c r="AP622" i="1"/>
  <c r="AK622" i="1"/>
  <c r="AG622" i="1"/>
  <c r="AF622" i="1"/>
  <c r="AE624" i="1" l="1"/>
  <c r="AK623" i="1"/>
  <c r="AL623" i="1"/>
  <c r="AM623" i="1"/>
  <c r="AN623" i="1"/>
  <c r="AI623" i="1"/>
  <c r="AJ623" i="1"/>
  <c r="AO623" i="1"/>
  <c r="AP623" i="1"/>
  <c r="AF623" i="1"/>
  <c r="AH623" i="1"/>
  <c r="AG623" i="1"/>
  <c r="AE625" i="1" l="1"/>
  <c r="AJ624" i="1"/>
  <c r="AK624" i="1"/>
  <c r="AL624" i="1"/>
  <c r="AM624" i="1"/>
  <c r="AH624" i="1"/>
  <c r="AP624" i="1"/>
  <c r="AI624" i="1"/>
  <c r="AN624" i="1"/>
  <c r="AO624" i="1"/>
  <c r="AG624" i="1"/>
  <c r="AF624" i="1"/>
  <c r="AE626" i="1" l="1"/>
  <c r="AI625" i="1"/>
  <c r="AJ625" i="1"/>
  <c r="AK625" i="1"/>
  <c r="AL625" i="1"/>
  <c r="AO625" i="1"/>
  <c r="AN625" i="1"/>
  <c r="AP625" i="1"/>
  <c r="AH625" i="1"/>
  <c r="AM625" i="1"/>
  <c r="AF625" i="1"/>
  <c r="AG625" i="1"/>
  <c r="AE627" i="1" l="1"/>
  <c r="AH626" i="1"/>
  <c r="AP626" i="1"/>
  <c r="AI626" i="1"/>
  <c r="AJ626" i="1"/>
  <c r="AK626" i="1"/>
  <c r="AN626" i="1"/>
  <c r="AL626" i="1"/>
  <c r="AM626" i="1"/>
  <c r="AO626" i="1"/>
  <c r="AG626" i="1"/>
  <c r="AF626" i="1"/>
  <c r="AE628" i="1" l="1"/>
  <c r="AO627" i="1"/>
  <c r="AH627" i="1"/>
  <c r="AP627" i="1"/>
  <c r="AI627" i="1"/>
  <c r="AJ627" i="1"/>
  <c r="AM627" i="1"/>
  <c r="AL627" i="1"/>
  <c r="AK627" i="1"/>
  <c r="AN627" i="1"/>
  <c r="AG627" i="1"/>
  <c r="AF627" i="1"/>
  <c r="AE629" i="1" l="1"/>
  <c r="AN628" i="1"/>
  <c r="AO628" i="1"/>
  <c r="AH628" i="1"/>
  <c r="AP628" i="1"/>
  <c r="AI628" i="1"/>
  <c r="AL628" i="1"/>
  <c r="AJ628" i="1"/>
  <c r="AK628" i="1"/>
  <c r="AM628" i="1"/>
  <c r="AG628" i="1"/>
  <c r="AF628" i="1"/>
  <c r="AE630" i="1" l="1"/>
  <c r="AM629" i="1"/>
  <c r="AN629" i="1"/>
  <c r="AO629" i="1"/>
  <c r="AH629" i="1"/>
  <c r="AP629" i="1"/>
  <c r="AK629" i="1"/>
  <c r="AI629" i="1"/>
  <c r="AJ629" i="1"/>
  <c r="AL629" i="1"/>
  <c r="AG629" i="1"/>
  <c r="AF629" i="1"/>
  <c r="AE631" i="1" l="1"/>
  <c r="AL630" i="1"/>
  <c r="AM630" i="1"/>
  <c r="AN630" i="1"/>
  <c r="AO630" i="1"/>
  <c r="AJ630" i="1"/>
  <c r="AK630" i="1"/>
  <c r="AP630" i="1"/>
  <c r="AH630" i="1"/>
  <c r="AI630" i="1"/>
  <c r="AG630" i="1"/>
  <c r="AF630" i="1"/>
  <c r="AE632" i="1" l="1"/>
  <c r="AK631" i="1"/>
  <c r="AL631" i="1"/>
  <c r="AM631" i="1"/>
  <c r="AN631" i="1"/>
  <c r="AI631" i="1"/>
  <c r="AH631" i="1"/>
  <c r="AJ631" i="1"/>
  <c r="AO631" i="1"/>
  <c r="AP631" i="1"/>
  <c r="AG631" i="1"/>
  <c r="AF631" i="1"/>
  <c r="AE633" i="1" l="1"/>
  <c r="AJ632" i="1"/>
  <c r="AK632" i="1"/>
  <c r="AL632" i="1"/>
  <c r="AM632" i="1"/>
  <c r="AH632" i="1"/>
  <c r="AP632" i="1"/>
  <c r="AO632" i="1"/>
  <c r="AI632" i="1"/>
  <c r="AG632" i="1"/>
  <c r="AF632" i="1"/>
  <c r="AN632" i="1"/>
  <c r="AE634" i="1" l="1"/>
  <c r="AI633" i="1"/>
  <c r="AJ633" i="1"/>
  <c r="AK633" i="1"/>
  <c r="AL633" i="1"/>
  <c r="AO633" i="1"/>
  <c r="AH633" i="1"/>
  <c r="AM633" i="1"/>
  <c r="AN633" i="1"/>
  <c r="AP633" i="1"/>
  <c r="AG633" i="1"/>
  <c r="AF633" i="1"/>
  <c r="AE635" i="1" l="1"/>
  <c r="AH634" i="1"/>
  <c r="AP634" i="1"/>
  <c r="AI634" i="1"/>
  <c r="AJ634" i="1"/>
  <c r="AK634" i="1"/>
  <c r="AN634" i="1"/>
  <c r="AM634" i="1"/>
  <c r="AG634" i="1"/>
  <c r="AL634" i="1"/>
  <c r="AO634" i="1"/>
  <c r="AF634" i="1"/>
  <c r="AE636" i="1" l="1"/>
  <c r="AO635" i="1"/>
  <c r="AH635" i="1"/>
  <c r="AP635" i="1"/>
  <c r="AI635" i="1"/>
  <c r="AJ635" i="1"/>
  <c r="AM635" i="1"/>
  <c r="AK635" i="1"/>
  <c r="AL635" i="1"/>
  <c r="AN635" i="1"/>
  <c r="AG635" i="1"/>
  <c r="AF635" i="1"/>
  <c r="AE637" i="1" l="1"/>
  <c r="AN636" i="1"/>
  <c r="AO636" i="1"/>
  <c r="AH636" i="1"/>
  <c r="AP636" i="1"/>
  <c r="AI636" i="1"/>
  <c r="AL636" i="1"/>
  <c r="AJ636" i="1"/>
  <c r="AK636" i="1"/>
  <c r="AM636" i="1"/>
  <c r="AG636" i="1"/>
  <c r="AF636" i="1"/>
  <c r="AE638" i="1" l="1"/>
  <c r="AM637" i="1"/>
  <c r="AN637" i="1"/>
  <c r="AO637" i="1"/>
  <c r="AH637" i="1"/>
  <c r="AP637" i="1"/>
  <c r="AK637" i="1"/>
  <c r="AL637" i="1"/>
  <c r="AI637" i="1"/>
  <c r="AJ637" i="1"/>
  <c r="AG637" i="1"/>
  <c r="AF637" i="1"/>
  <c r="AE639" i="1" l="1"/>
  <c r="AL638" i="1"/>
  <c r="AM638" i="1"/>
  <c r="AN638" i="1"/>
  <c r="AO638" i="1"/>
  <c r="AJ638" i="1"/>
  <c r="AH638" i="1"/>
  <c r="AI638" i="1"/>
  <c r="AK638" i="1"/>
  <c r="AP638" i="1"/>
  <c r="AG638" i="1"/>
  <c r="AF638" i="1"/>
  <c r="AE640" i="1" l="1"/>
  <c r="AK639" i="1"/>
  <c r="AL639" i="1"/>
  <c r="AM639" i="1"/>
  <c r="AN639" i="1"/>
  <c r="AI639" i="1"/>
  <c r="AP639" i="1"/>
  <c r="AJ639" i="1"/>
  <c r="AH639" i="1"/>
  <c r="AO639" i="1"/>
  <c r="AG639" i="1"/>
  <c r="AF639" i="1"/>
  <c r="AE641" i="1" l="1"/>
  <c r="AJ640" i="1"/>
  <c r="AK640" i="1"/>
  <c r="AL640" i="1"/>
  <c r="AM640" i="1"/>
  <c r="AH640" i="1"/>
  <c r="AP640" i="1"/>
  <c r="AI640" i="1"/>
  <c r="AN640" i="1"/>
  <c r="AO640" i="1"/>
  <c r="AG640" i="1"/>
  <c r="AF640" i="1"/>
  <c r="AE642" i="1" l="1"/>
  <c r="AI641" i="1"/>
  <c r="AJ641" i="1"/>
  <c r="AK641" i="1"/>
  <c r="AL641" i="1"/>
  <c r="AO641" i="1"/>
  <c r="AH641" i="1"/>
  <c r="AN641" i="1"/>
  <c r="AM641" i="1"/>
  <c r="AP641" i="1"/>
  <c r="AG641" i="1"/>
  <c r="AF641" i="1"/>
  <c r="AE643" i="1" l="1"/>
  <c r="AH642" i="1"/>
  <c r="AP642" i="1"/>
  <c r="AI642" i="1"/>
  <c r="AJ642" i="1"/>
  <c r="AK642" i="1"/>
  <c r="AN642" i="1"/>
  <c r="AL642" i="1"/>
  <c r="AM642" i="1"/>
  <c r="AO642" i="1"/>
  <c r="AG642" i="1"/>
  <c r="AF642" i="1"/>
  <c r="AE644" i="1" l="1"/>
  <c r="AO643" i="1"/>
  <c r="AH643" i="1"/>
  <c r="AP643" i="1"/>
  <c r="AI643" i="1"/>
  <c r="AJ643" i="1"/>
  <c r="AM643" i="1"/>
  <c r="AK643" i="1"/>
  <c r="AL643" i="1"/>
  <c r="AG643" i="1"/>
  <c r="AN643" i="1"/>
  <c r="AF643" i="1"/>
  <c r="AE645" i="1" l="1"/>
  <c r="AN644" i="1"/>
  <c r="AO644" i="1"/>
  <c r="AH644" i="1"/>
  <c r="AP644" i="1"/>
  <c r="AI644" i="1"/>
  <c r="AL644" i="1"/>
  <c r="AM644" i="1"/>
  <c r="AJ644" i="1"/>
  <c r="AG644" i="1"/>
  <c r="AF644" i="1"/>
  <c r="AK644" i="1"/>
  <c r="AE646" i="1" l="1"/>
  <c r="AM645" i="1"/>
  <c r="AN645" i="1"/>
  <c r="AO645" i="1"/>
  <c r="AH645" i="1"/>
  <c r="AP645" i="1"/>
  <c r="AK645" i="1"/>
  <c r="AI645" i="1"/>
  <c r="AJ645" i="1"/>
  <c r="AL645" i="1"/>
  <c r="AG645" i="1"/>
  <c r="AF645" i="1"/>
  <c r="AE647" i="1" l="1"/>
  <c r="AL646" i="1"/>
  <c r="AM646" i="1"/>
  <c r="AN646" i="1"/>
  <c r="AO646" i="1"/>
  <c r="AJ646" i="1"/>
  <c r="AH646" i="1"/>
  <c r="AK646" i="1"/>
  <c r="AI646" i="1"/>
  <c r="AP646" i="1"/>
  <c r="AG646" i="1"/>
  <c r="AF646" i="1"/>
  <c r="AE648" i="1" l="1"/>
  <c r="AK647" i="1"/>
  <c r="AL647" i="1"/>
  <c r="AM647" i="1"/>
  <c r="AN647" i="1"/>
  <c r="AI647" i="1"/>
  <c r="AH647" i="1"/>
  <c r="AJ647" i="1"/>
  <c r="AO647" i="1"/>
  <c r="AP647" i="1"/>
  <c r="AF647" i="1"/>
  <c r="AG647" i="1"/>
  <c r="AE649" i="1" l="1"/>
  <c r="AJ648" i="1"/>
  <c r="AK648" i="1"/>
  <c r="AL648" i="1"/>
  <c r="AM648" i="1"/>
  <c r="AH648" i="1"/>
  <c r="AP648" i="1"/>
  <c r="AI648" i="1"/>
  <c r="AO648" i="1"/>
  <c r="AN648" i="1"/>
  <c r="AG648" i="1"/>
  <c r="AF648" i="1"/>
  <c r="AE650" i="1" l="1"/>
  <c r="AI649" i="1"/>
  <c r="AJ649" i="1"/>
  <c r="AK649" i="1"/>
  <c r="AL649" i="1"/>
  <c r="AO649" i="1"/>
  <c r="AM649" i="1"/>
  <c r="AN649" i="1"/>
  <c r="AP649" i="1"/>
  <c r="AH649" i="1"/>
  <c r="AG649" i="1"/>
  <c r="AF649" i="1"/>
  <c r="AE651" i="1" l="1"/>
  <c r="AH650" i="1"/>
  <c r="AP650" i="1"/>
  <c r="AI650" i="1"/>
  <c r="AJ650" i="1"/>
  <c r="AK650" i="1"/>
  <c r="AN650" i="1"/>
  <c r="AL650" i="1"/>
  <c r="AM650" i="1"/>
  <c r="AG650" i="1"/>
  <c r="AO650" i="1"/>
  <c r="AF650" i="1"/>
  <c r="AE652" i="1" l="1"/>
  <c r="AO651" i="1"/>
  <c r="AH651" i="1"/>
  <c r="AP651" i="1"/>
  <c r="AI651" i="1"/>
  <c r="AJ651" i="1"/>
  <c r="AM651" i="1"/>
  <c r="AN651" i="1"/>
  <c r="AK651" i="1"/>
  <c r="AG651" i="1"/>
  <c r="AF651" i="1"/>
  <c r="AL651" i="1"/>
  <c r="AE653" i="1" l="1"/>
  <c r="AN652" i="1"/>
  <c r="AO652" i="1"/>
  <c r="AH652" i="1"/>
  <c r="AP652" i="1"/>
  <c r="AI652" i="1"/>
  <c r="AL652" i="1"/>
  <c r="AJ652" i="1"/>
  <c r="AK652" i="1"/>
  <c r="AM652" i="1"/>
  <c r="AG652" i="1"/>
  <c r="AF652" i="1"/>
  <c r="AE654" i="1" l="1"/>
  <c r="AM653" i="1"/>
  <c r="AN653" i="1"/>
  <c r="AO653" i="1"/>
  <c r="AH653" i="1"/>
  <c r="AP653" i="1"/>
  <c r="AK653" i="1"/>
  <c r="AI653" i="1"/>
  <c r="AL653" i="1"/>
  <c r="AG653" i="1"/>
  <c r="AJ653" i="1"/>
  <c r="AF653" i="1"/>
  <c r="AE655" i="1" l="1"/>
  <c r="AL654" i="1"/>
  <c r="AM654" i="1"/>
  <c r="AN654" i="1"/>
  <c r="AO654" i="1"/>
  <c r="AJ654" i="1"/>
  <c r="AI654" i="1"/>
  <c r="AK654" i="1"/>
  <c r="AP654" i="1"/>
  <c r="AG654" i="1"/>
  <c r="AF654" i="1"/>
  <c r="AH654" i="1"/>
  <c r="AE656" i="1" l="1"/>
  <c r="AK655" i="1"/>
  <c r="AL655" i="1"/>
  <c r="AM655" i="1"/>
  <c r="AN655" i="1"/>
  <c r="AI655" i="1"/>
  <c r="AH655" i="1"/>
  <c r="AJ655" i="1"/>
  <c r="AP655" i="1"/>
  <c r="AO655" i="1"/>
  <c r="AF655" i="1"/>
  <c r="AG655" i="1"/>
  <c r="AE657" i="1" l="1"/>
  <c r="AJ656" i="1"/>
  <c r="AK656" i="1"/>
  <c r="AL656" i="1"/>
  <c r="AM656" i="1"/>
  <c r="AH656" i="1"/>
  <c r="AP656" i="1"/>
  <c r="AN656" i="1"/>
  <c r="AO656" i="1"/>
  <c r="AI656" i="1"/>
  <c r="AG656" i="1"/>
  <c r="AF656" i="1"/>
  <c r="AE658" i="1" l="1"/>
  <c r="AI657" i="1"/>
  <c r="AJ657" i="1"/>
  <c r="AK657" i="1"/>
  <c r="AL657" i="1"/>
  <c r="AO657" i="1"/>
  <c r="AH657" i="1"/>
  <c r="AM657" i="1"/>
  <c r="AN657" i="1"/>
  <c r="AP657" i="1"/>
  <c r="AG657" i="1"/>
  <c r="AF657" i="1"/>
  <c r="AE659" i="1" l="1"/>
  <c r="AH658" i="1"/>
  <c r="AP658" i="1"/>
  <c r="AI658" i="1"/>
  <c r="AJ658" i="1"/>
  <c r="AK658" i="1"/>
  <c r="AN658" i="1"/>
  <c r="AO658" i="1"/>
  <c r="AL658" i="1"/>
  <c r="AG658" i="1"/>
  <c r="AM658" i="1"/>
  <c r="AF658" i="1"/>
  <c r="AE660" i="1" l="1"/>
  <c r="AO659" i="1"/>
  <c r="AH659" i="1"/>
  <c r="AP659" i="1"/>
  <c r="AI659" i="1"/>
  <c r="AJ659" i="1"/>
  <c r="AM659" i="1"/>
  <c r="AK659" i="1"/>
  <c r="AL659" i="1"/>
  <c r="AN659" i="1"/>
  <c r="AG659" i="1"/>
  <c r="AF659" i="1"/>
  <c r="AE661" i="1" l="1"/>
  <c r="AN660" i="1"/>
  <c r="AO660" i="1"/>
  <c r="AH660" i="1"/>
  <c r="AP660" i="1"/>
  <c r="AI660" i="1"/>
  <c r="AL660" i="1"/>
  <c r="AJ660" i="1"/>
  <c r="AM660" i="1"/>
  <c r="AG660" i="1"/>
  <c r="AK660" i="1"/>
  <c r="AF660" i="1"/>
  <c r="AE662" i="1" l="1"/>
  <c r="AM661" i="1"/>
  <c r="AN661" i="1"/>
  <c r="AO661" i="1"/>
  <c r="AH661" i="1"/>
  <c r="AP661" i="1"/>
  <c r="AK661" i="1"/>
  <c r="AJ661" i="1"/>
  <c r="AL661" i="1"/>
  <c r="AG661" i="1"/>
  <c r="AF661" i="1"/>
  <c r="AI661" i="1"/>
  <c r="AE663" i="1" l="1"/>
  <c r="AL662" i="1"/>
  <c r="AM662" i="1"/>
  <c r="AN662" i="1"/>
  <c r="AO662" i="1"/>
  <c r="AJ662" i="1"/>
  <c r="AH662" i="1"/>
  <c r="AI662" i="1"/>
  <c r="AK662" i="1"/>
  <c r="AG662" i="1"/>
  <c r="AP662" i="1"/>
  <c r="AF662" i="1"/>
  <c r="AE664" i="1" l="1"/>
  <c r="AK663" i="1"/>
  <c r="AL663" i="1"/>
  <c r="AM663" i="1"/>
  <c r="AN663" i="1"/>
  <c r="AI663" i="1"/>
  <c r="AO663" i="1"/>
  <c r="AP663" i="1"/>
  <c r="AH663" i="1"/>
  <c r="AG663" i="1"/>
  <c r="AF663" i="1"/>
  <c r="AJ663" i="1"/>
  <c r="AE665" i="1" l="1"/>
  <c r="AJ664" i="1"/>
  <c r="AK664" i="1"/>
  <c r="AL664" i="1"/>
  <c r="AM664" i="1"/>
  <c r="AH664" i="1"/>
  <c r="AP664" i="1"/>
  <c r="AI664" i="1"/>
  <c r="AN664" i="1"/>
  <c r="AO664" i="1"/>
  <c r="AG664" i="1"/>
  <c r="AF664" i="1"/>
  <c r="AE666" i="1" l="1"/>
  <c r="AI665" i="1"/>
  <c r="AJ665" i="1"/>
  <c r="AK665" i="1"/>
  <c r="AL665" i="1"/>
  <c r="AO665" i="1"/>
  <c r="AP665" i="1"/>
  <c r="AM665" i="1"/>
  <c r="AH665" i="1"/>
  <c r="AN665" i="1"/>
  <c r="AG665" i="1"/>
  <c r="AF665" i="1"/>
  <c r="AE667" i="1" l="1"/>
  <c r="AH666" i="1"/>
  <c r="AP666" i="1"/>
  <c r="AI666" i="1"/>
  <c r="AJ666" i="1"/>
  <c r="AK666" i="1"/>
  <c r="AN666" i="1"/>
  <c r="AL666" i="1"/>
  <c r="AM666" i="1"/>
  <c r="AO666" i="1"/>
  <c r="AG666" i="1"/>
  <c r="AF666" i="1"/>
  <c r="AE668" i="1" l="1"/>
  <c r="AO667" i="1"/>
  <c r="AH667" i="1"/>
  <c r="AP667" i="1"/>
  <c r="AI667" i="1"/>
  <c r="AJ667" i="1"/>
  <c r="AM667" i="1"/>
  <c r="AK667" i="1"/>
  <c r="AN667" i="1"/>
  <c r="AG667" i="1"/>
  <c r="AL667" i="1"/>
  <c r="AF667" i="1"/>
  <c r="AE669" i="1" l="1"/>
  <c r="AN668" i="1"/>
  <c r="AO668" i="1"/>
  <c r="AH668" i="1"/>
  <c r="AP668" i="1"/>
  <c r="AI668" i="1"/>
  <c r="AL668" i="1"/>
  <c r="AK668" i="1"/>
  <c r="AM668" i="1"/>
  <c r="AG668" i="1"/>
  <c r="AJ668" i="1"/>
  <c r="AF668" i="1"/>
  <c r="AE670" i="1" l="1"/>
  <c r="AM669" i="1"/>
  <c r="AN669" i="1"/>
  <c r="AO669" i="1"/>
  <c r="AH669" i="1"/>
  <c r="AP669" i="1"/>
  <c r="AK669" i="1"/>
  <c r="AI669" i="1"/>
  <c r="AJ669" i="1"/>
  <c r="AL669" i="1"/>
  <c r="AG669" i="1"/>
  <c r="AF669" i="1"/>
  <c r="AE671" i="1" l="1"/>
  <c r="AL670" i="1"/>
  <c r="AM670" i="1"/>
  <c r="AN670" i="1"/>
  <c r="AO670" i="1"/>
  <c r="AJ670" i="1"/>
  <c r="AP670" i="1"/>
  <c r="AI670" i="1"/>
  <c r="AH670" i="1"/>
  <c r="AG670" i="1"/>
  <c r="AF670" i="1"/>
  <c r="AK670" i="1"/>
  <c r="AE672" i="1" l="1"/>
  <c r="AK671" i="1"/>
  <c r="AL671" i="1"/>
  <c r="AM671" i="1"/>
  <c r="AN671" i="1"/>
  <c r="AI671" i="1"/>
  <c r="AH671" i="1"/>
  <c r="AJ671" i="1"/>
  <c r="AO671" i="1"/>
  <c r="AP671" i="1"/>
  <c r="AG671" i="1"/>
  <c r="AF671" i="1"/>
  <c r="AE673" i="1" l="1"/>
  <c r="AJ672" i="1"/>
  <c r="AK672" i="1"/>
  <c r="AL672" i="1"/>
  <c r="AM672" i="1"/>
  <c r="AH672" i="1"/>
  <c r="AP672" i="1"/>
  <c r="AN672" i="1"/>
  <c r="AI672" i="1"/>
  <c r="AG672" i="1"/>
  <c r="AO672" i="1"/>
  <c r="AF672" i="1"/>
  <c r="AE674" i="1" l="1"/>
  <c r="AI673" i="1"/>
  <c r="AJ673" i="1"/>
  <c r="AK673" i="1"/>
  <c r="AL673" i="1"/>
  <c r="AO673" i="1"/>
  <c r="AH673" i="1"/>
  <c r="AM673" i="1"/>
  <c r="AN673" i="1"/>
  <c r="AP673" i="1"/>
  <c r="AG673" i="1"/>
  <c r="AF673" i="1"/>
  <c r="AE675" i="1" l="1"/>
  <c r="AH674" i="1"/>
  <c r="AP674" i="1"/>
  <c r="AI674" i="1"/>
  <c r="AJ674" i="1"/>
  <c r="AK674" i="1"/>
  <c r="AN674" i="1"/>
  <c r="AL674" i="1"/>
  <c r="AO674" i="1"/>
  <c r="AM674" i="1"/>
  <c r="AG674" i="1"/>
  <c r="AF674" i="1"/>
  <c r="AE676" i="1" l="1"/>
  <c r="AO675" i="1"/>
  <c r="AH675" i="1"/>
  <c r="AP675" i="1"/>
  <c r="AI675" i="1"/>
  <c r="AJ675" i="1"/>
  <c r="AM675" i="1"/>
  <c r="AL675" i="1"/>
  <c r="AN675" i="1"/>
  <c r="AK675" i="1"/>
  <c r="AG675" i="1"/>
  <c r="AF675" i="1"/>
  <c r="AE677" i="1" l="1"/>
  <c r="AN676" i="1"/>
  <c r="AO676" i="1"/>
  <c r="AH676" i="1"/>
  <c r="AP676" i="1"/>
  <c r="AI676" i="1"/>
  <c r="AL676" i="1"/>
  <c r="AJ676" i="1"/>
  <c r="AK676" i="1"/>
  <c r="AM676" i="1"/>
  <c r="AG676" i="1"/>
  <c r="AF676" i="1"/>
  <c r="AE678" i="1" l="1"/>
  <c r="AM677" i="1"/>
  <c r="AN677" i="1"/>
  <c r="AO677" i="1"/>
  <c r="AH677" i="1"/>
  <c r="AP677" i="1"/>
  <c r="AK677" i="1"/>
  <c r="AJ677" i="1"/>
  <c r="AI677" i="1"/>
  <c r="AL677" i="1"/>
  <c r="AG677" i="1"/>
  <c r="AF677" i="1"/>
  <c r="AE679" i="1" l="1"/>
  <c r="AL678" i="1"/>
  <c r="AM678" i="1"/>
  <c r="AN678" i="1"/>
  <c r="AO678" i="1"/>
  <c r="AJ678" i="1"/>
  <c r="AH678" i="1"/>
  <c r="AI678" i="1"/>
  <c r="AK678" i="1"/>
  <c r="AP678" i="1"/>
  <c r="AG678" i="1"/>
  <c r="AF678" i="1"/>
  <c r="AE680" i="1" l="1"/>
  <c r="AL679" i="1"/>
  <c r="AM679" i="1"/>
  <c r="AN679" i="1"/>
  <c r="AO679" i="1"/>
  <c r="AH679" i="1"/>
  <c r="AP679" i="1"/>
  <c r="AJ679" i="1"/>
  <c r="AI679" i="1"/>
  <c r="AK679" i="1"/>
  <c r="AF679" i="1"/>
  <c r="AG679" i="1"/>
  <c r="AE681" i="1" l="1"/>
  <c r="AK680" i="1"/>
  <c r="AL680" i="1"/>
  <c r="AM680" i="1"/>
  <c r="AN680" i="1"/>
  <c r="AO680" i="1"/>
  <c r="AI680" i="1"/>
  <c r="AP680" i="1"/>
  <c r="AH680" i="1"/>
  <c r="AG680" i="1"/>
  <c r="AJ680" i="1"/>
  <c r="AF680" i="1"/>
  <c r="AE682" i="1" l="1"/>
  <c r="AJ681" i="1"/>
  <c r="AK681" i="1"/>
  <c r="AL681" i="1"/>
  <c r="AM681" i="1"/>
  <c r="AN681" i="1"/>
  <c r="AH681" i="1"/>
  <c r="AP681" i="1"/>
  <c r="AI681" i="1"/>
  <c r="AO681" i="1"/>
  <c r="AG681" i="1"/>
  <c r="AF681" i="1"/>
  <c r="AE683" i="1" l="1"/>
  <c r="AI682" i="1"/>
  <c r="AJ682" i="1"/>
  <c r="AK682" i="1"/>
  <c r="AL682" i="1"/>
  <c r="AM682" i="1"/>
  <c r="AO682" i="1"/>
  <c r="AG682" i="1"/>
  <c r="AH682" i="1"/>
  <c r="AN682" i="1"/>
  <c r="AP682" i="1"/>
  <c r="AF682" i="1"/>
  <c r="AE684" i="1" l="1"/>
  <c r="AH683" i="1"/>
  <c r="AP683" i="1"/>
  <c r="AI683" i="1"/>
  <c r="AJ683" i="1"/>
  <c r="AK683" i="1"/>
  <c r="AL683" i="1"/>
  <c r="AN683" i="1"/>
  <c r="AG683" i="1"/>
  <c r="AM683" i="1"/>
  <c r="AF683" i="1"/>
  <c r="AO683" i="1"/>
  <c r="AE685" i="1" l="1"/>
  <c r="AO684" i="1"/>
  <c r="AH684" i="1"/>
  <c r="AP684" i="1"/>
  <c r="AI684" i="1"/>
  <c r="AJ684" i="1"/>
  <c r="AK684" i="1"/>
  <c r="AM684" i="1"/>
  <c r="AL684" i="1"/>
  <c r="AN684" i="1"/>
  <c r="AG684" i="1"/>
  <c r="AF684" i="1"/>
  <c r="AE686" i="1" l="1"/>
  <c r="AN685" i="1"/>
  <c r="AO685" i="1"/>
  <c r="AH685" i="1"/>
  <c r="AP685" i="1"/>
  <c r="AI685" i="1"/>
  <c r="AJ685" i="1"/>
  <c r="AL685" i="1"/>
  <c r="AK685" i="1"/>
  <c r="AM685" i="1"/>
  <c r="AG685" i="1"/>
  <c r="AF685" i="1"/>
  <c r="AE687" i="1" l="1"/>
  <c r="AM686" i="1"/>
  <c r="AN686" i="1"/>
  <c r="AO686" i="1"/>
  <c r="AH686" i="1"/>
  <c r="AP686" i="1"/>
  <c r="AI686" i="1"/>
  <c r="AK686" i="1"/>
  <c r="AJ686" i="1"/>
  <c r="AG686" i="1"/>
  <c r="AF686" i="1"/>
  <c r="AL686" i="1"/>
  <c r="AE688" i="1" l="1"/>
  <c r="AL687" i="1"/>
  <c r="AM687" i="1"/>
  <c r="AN687" i="1"/>
  <c r="AO687" i="1"/>
  <c r="AH687" i="1"/>
  <c r="AP687" i="1"/>
  <c r="AJ687" i="1"/>
  <c r="AI687" i="1"/>
  <c r="AF687" i="1"/>
  <c r="AK687" i="1"/>
  <c r="AG687" i="1"/>
  <c r="AE689" i="1" l="1"/>
  <c r="AK688" i="1"/>
  <c r="AL688" i="1"/>
  <c r="AM688" i="1"/>
  <c r="AN688" i="1"/>
  <c r="AO688" i="1"/>
  <c r="AI688" i="1"/>
  <c r="AH688" i="1"/>
  <c r="AJ688" i="1"/>
  <c r="AP688" i="1"/>
  <c r="AG688" i="1"/>
  <c r="AF688" i="1"/>
  <c r="AE690" i="1" l="1"/>
  <c r="AJ689" i="1"/>
  <c r="AK689" i="1"/>
  <c r="AL689" i="1"/>
  <c r="AM689" i="1"/>
  <c r="AN689" i="1"/>
  <c r="AH689" i="1"/>
  <c r="AP689" i="1"/>
  <c r="AI689" i="1"/>
  <c r="AO689" i="1"/>
  <c r="AG689" i="1"/>
  <c r="AF689" i="1"/>
  <c r="AE691" i="1" l="1"/>
  <c r="AI690" i="1"/>
  <c r="AJ690" i="1"/>
  <c r="AK690" i="1"/>
  <c r="AL690" i="1"/>
  <c r="AM690" i="1"/>
  <c r="AO690" i="1"/>
  <c r="AG690" i="1"/>
  <c r="AN690" i="1"/>
  <c r="AH690" i="1"/>
  <c r="AF690" i="1"/>
  <c r="AP690" i="1"/>
  <c r="AE692" i="1" l="1"/>
  <c r="AH691" i="1"/>
  <c r="AP691" i="1"/>
  <c r="AI691" i="1"/>
  <c r="AJ691" i="1"/>
  <c r="AK691" i="1"/>
  <c r="AL691" i="1"/>
  <c r="AN691" i="1"/>
  <c r="AM691" i="1"/>
  <c r="AO691" i="1"/>
  <c r="AG691" i="1"/>
  <c r="AF691" i="1"/>
  <c r="AE693" i="1" l="1"/>
  <c r="AO692" i="1"/>
  <c r="AH692" i="1"/>
  <c r="AP692" i="1"/>
  <c r="AI692" i="1"/>
  <c r="AJ692" i="1"/>
  <c r="AK692" i="1"/>
  <c r="AM692" i="1"/>
  <c r="AL692" i="1"/>
  <c r="AG692" i="1"/>
  <c r="AN692" i="1"/>
  <c r="AF692" i="1"/>
  <c r="AE694" i="1" l="1"/>
  <c r="AN693" i="1"/>
  <c r="AO693" i="1"/>
  <c r="AH693" i="1"/>
  <c r="AP693" i="1"/>
  <c r="AI693" i="1"/>
  <c r="AJ693" i="1"/>
  <c r="AL693" i="1"/>
  <c r="AG693" i="1"/>
  <c r="AK693" i="1"/>
  <c r="AM693" i="1"/>
  <c r="AF693" i="1"/>
  <c r="AE695" i="1" l="1"/>
  <c r="AM694" i="1"/>
  <c r="AN694" i="1"/>
  <c r="AO694" i="1"/>
  <c r="AH694" i="1"/>
  <c r="AP694" i="1"/>
  <c r="AI694" i="1"/>
  <c r="AK694" i="1"/>
  <c r="AG694" i="1"/>
  <c r="AJ694" i="1"/>
  <c r="AL694" i="1"/>
  <c r="AF694" i="1"/>
  <c r="AE696" i="1" l="1"/>
  <c r="AL695" i="1"/>
  <c r="AM695" i="1"/>
  <c r="AN695" i="1"/>
  <c r="AO695" i="1"/>
  <c r="AH695" i="1"/>
  <c r="AP695" i="1"/>
  <c r="AJ695" i="1"/>
  <c r="AI695" i="1"/>
  <c r="AK695" i="1"/>
  <c r="AG695" i="1"/>
  <c r="AF695" i="1"/>
  <c r="AE697" i="1" l="1"/>
  <c r="AK696" i="1"/>
  <c r="AL696" i="1"/>
  <c r="AM696" i="1"/>
  <c r="AN696" i="1"/>
  <c r="AO696" i="1"/>
  <c r="AI696" i="1"/>
  <c r="AH696" i="1"/>
  <c r="AJ696" i="1"/>
  <c r="AP696" i="1"/>
  <c r="AG696" i="1"/>
  <c r="AF696" i="1"/>
  <c r="AE698" i="1" l="1"/>
  <c r="AJ697" i="1"/>
  <c r="AK697" i="1"/>
  <c r="AL697" i="1"/>
  <c r="AM697" i="1"/>
  <c r="AN697" i="1"/>
  <c r="AH697" i="1"/>
  <c r="AP697" i="1"/>
  <c r="AO697" i="1"/>
  <c r="AG697" i="1"/>
  <c r="AI697" i="1"/>
  <c r="AF697" i="1"/>
  <c r="AE699" i="1" l="1"/>
  <c r="AI698" i="1"/>
  <c r="AJ698" i="1"/>
  <c r="AK698" i="1"/>
  <c r="AL698" i="1"/>
  <c r="AM698" i="1"/>
  <c r="AO698" i="1"/>
  <c r="AN698" i="1"/>
  <c r="AG698" i="1"/>
  <c r="AP698" i="1"/>
  <c r="AH698" i="1"/>
  <c r="AF698" i="1"/>
  <c r="AE700" i="1" l="1"/>
  <c r="AH699" i="1"/>
  <c r="AP699" i="1"/>
  <c r="AI699" i="1"/>
  <c r="AJ699" i="1"/>
  <c r="AK699" i="1"/>
  <c r="AL699" i="1"/>
  <c r="AN699" i="1"/>
  <c r="AG699" i="1"/>
  <c r="AM699" i="1"/>
  <c r="AO699" i="1"/>
  <c r="AF699" i="1"/>
  <c r="AE701" i="1" l="1"/>
  <c r="AO700" i="1"/>
  <c r="AH700" i="1"/>
  <c r="AP700" i="1"/>
  <c r="AI700" i="1"/>
  <c r="AJ700" i="1"/>
  <c r="AK700" i="1"/>
  <c r="AM700" i="1"/>
  <c r="AG700" i="1"/>
  <c r="AL700" i="1"/>
  <c r="AF700" i="1"/>
  <c r="AN700" i="1"/>
  <c r="AE702" i="1" l="1"/>
  <c r="AN701" i="1"/>
  <c r="AO701" i="1"/>
  <c r="AH701" i="1"/>
  <c r="AP701" i="1"/>
  <c r="AI701" i="1"/>
  <c r="AJ701" i="1"/>
  <c r="AL701" i="1"/>
  <c r="AG701" i="1"/>
  <c r="AK701" i="1"/>
  <c r="AF701" i="1"/>
  <c r="AM701" i="1"/>
  <c r="AE703" i="1" l="1"/>
  <c r="AM702" i="1"/>
  <c r="AN702" i="1"/>
  <c r="AO702" i="1"/>
  <c r="AH702" i="1"/>
  <c r="AP702" i="1"/>
  <c r="AI702" i="1"/>
  <c r="AK702" i="1"/>
  <c r="AJ702" i="1"/>
  <c r="AL702" i="1"/>
  <c r="AG702" i="1"/>
  <c r="AF702" i="1"/>
  <c r="AE704" i="1" l="1"/>
  <c r="AL703" i="1"/>
  <c r="AM703" i="1"/>
  <c r="AN703" i="1"/>
  <c r="AO703" i="1"/>
  <c r="AH703" i="1"/>
  <c r="AP703" i="1"/>
  <c r="AJ703" i="1"/>
  <c r="AI703" i="1"/>
  <c r="AK703" i="1"/>
  <c r="AG703" i="1"/>
  <c r="AF703" i="1"/>
  <c r="AE705" i="1" l="1"/>
  <c r="AK704" i="1"/>
  <c r="AL704" i="1"/>
  <c r="AM704" i="1"/>
  <c r="AN704" i="1"/>
  <c r="AO704" i="1"/>
  <c r="AI704" i="1"/>
  <c r="AH704" i="1"/>
  <c r="AP704" i="1"/>
  <c r="AG704" i="1"/>
  <c r="AF704" i="1"/>
  <c r="AJ704" i="1"/>
  <c r="AE706" i="1" l="1"/>
  <c r="AJ705" i="1"/>
  <c r="AK705" i="1"/>
  <c r="AL705" i="1"/>
  <c r="AM705" i="1"/>
  <c r="AN705" i="1"/>
  <c r="AH705" i="1"/>
  <c r="AP705" i="1"/>
  <c r="AO705" i="1"/>
  <c r="AI705" i="1"/>
  <c r="AG705" i="1"/>
  <c r="AF705" i="1"/>
  <c r="AE707" i="1" l="1"/>
  <c r="AI706" i="1"/>
  <c r="AJ706" i="1"/>
  <c r="AK706" i="1"/>
  <c r="AL706" i="1"/>
  <c r="AM706" i="1"/>
  <c r="AO706" i="1"/>
  <c r="AG706" i="1"/>
  <c r="AH706" i="1"/>
  <c r="AN706" i="1"/>
  <c r="AP706" i="1"/>
  <c r="AF706" i="1"/>
  <c r="AE708" i="1" l="1"/>
  <c r="AH707" i="1"/>
  <c r="AP707" i="1"/>
  <c r="AI707" i="1"/>
  <c r="AJ707" i="1"/>
  <c r="AK707" i="1"/>
  <c r="AL707" i="1"/>
  <c r="AN707" i="1"/>
  <c r="AG707" i="1"/>
  <c r="AM707" i="1"/>
  <c r="AO707" i="1"/>
  <c r="AF707" i="1"/>
  <c r="AE709" i="1" l="1"/>
  <c r="AO708" i="1"/>
  <c r="AH708" i="1"/>
  <c r="AP708" i="1"/>
  <c r="AI708" i="1"/>
  <c r="AJ708" i="1"/>
  <c r="AK708" i="1"/>
  <c r="AM708" i="1"/>
  <c r="AG708" i="1"/>
  <c r="AL708" i="1"/>
  <c r="AF708" i="1"/>
  <c r="AN708" i="1"/>
  <c r="AE710" i="1" l="1"/>
  <c r="AN709" i="1"/>
  <c r="AO709" i="1"/>
  <c r="AH709" i="1"/>
  <c r="AP709" i="1"/>
  <c r="AI709" i="1"/>
  <c r="AJ709" i="1"/>
  <c r="AL709" i="1"/>
  <c r="AK709" i="1"/>
  <c r="AM709" i="1"/>
  <c r="AG709" i="1"/>
  <c r="AF709" i="1"/>
  <c r="AE711" i="1" l="1"/>
  <c r="AM710" i="1"/>
  <c r="AN710" i="1"/>
  <c r="AO710" i="1"/>
  <c r="AH710" i="1"/>
  <c r="AP710" i="1"/>
  <c r="AI710" i="1"/>
  <c r="AK710" i="1"/>
  <c r="AJ710" i="1"/>
  <c r="AL710" i="1"/>
  <c r="AG710" i="1"/>
  <c r="AF710" i="1"/>
  <c r="AE712" i="1" l="1"/>
  <c r="AL711" i="1"/>
  <c r="AM711" i="1"/>
  <c r="AN711" i="1"/>
  <c r="AO711" i="1"/>
  <c r="AH711" i="1"/>
  <c r="AP711" i="1"/>
  <c r="AJ711" i="1"/>
  <c r="AI711" i="1"/>
  <c r="AK711" i="1"/>
  <c r="AF711" i="1"/>
  <c r="AG711" i="1"/>
  <c r="AE713" i="1" l="1"/>
  <c r="AK712" i="1"/>
  <c r="AL712" i="1"/>
  <c r="AM712" i="1"/>
  <c r="AN712" i="1"/>
  <c r="AO712" i="1"/>
  <c r="AI712" i="1"/>
  <c r="AP712" i="1"/>
  <c r="AH712" i="1"/>
  <c r="AG712" i="1"/>
  <c r="AJ712" i="1"/>
  <c r="AF712" i="1"/>
  <c r="AE714" i="1" l="1"/>
  <c r="AJ713" i="1"/>
  <c r="AK713" i="1"/>
  <c r="AL713" i="1"/>
  <c r="AM713" i="1"/>
  <c r="AN713" i="1"/>
  <c r="AH713" i="1"/>
  <c r="AP713" i="1"/>
  <c r="AI713" i="1"/>
  <c r="AO713" i="1"/>
  <c r="AG713" i="1"/>
  <c r="AF713" i="1"/>
  <c r="AE715" i="1" l="1"/>
  <c r="AI714" i="1"/>
  <c r="AJ714" i="1"/>
  <c r="AK714" i="1"/>
  <c r="AL714" i="1"/>
  <c r="AM714" i="1"/>
  <c r="AO714" i="1"/>
  <c r="AG714" i="1"/>
  <c r="AH714" i="1"/>
  <c r="AN714" i="1"/>
  <c r="AP714" i="1"/>
  <c r="AF714" i="1"/>
  <c r="AE716" i="1" l="1"/>
  <c r="AH715" i="1"/>
  <c r="AP715" i="1"/>
  <c r="AI715" i="1"/>
  <c r="AJ715" i="1"/>
  <c r="AK715" i="1"/>
  <c r="AL715" i="1"/>
  <c r="AN715" i="1"/>
  <c r="AG715" i="1"/>
  <c r="AM715" i="1"/>
  <c r="AF715" i="1"/>
  <c r="AO715" i="1"/>
  <c r="AE717" i="1" l="1"/>
  <c r="AO716" i="1"/>
  <c r="AH716" i="1"/>
  <c r="AP716" i="1"/>
  <c r="AI716" i="1"/>
  <c r="AJ716" i="1"/>
  <c r="AK716" i="1"/>
  <c r="AM716" i="1"/>
  <c r="AL716" i="1"/>
  <c r="AN716" i="1"/>
  <c r="AG716" i="1"/>
  <c r="AF716" i="1"/>
  <c r="AE718" i="1" l="1"/>
  <c r="AN717" i="1"/>
  <c r="AO717" i="1"/>
  <c r="AH717" i="1"/>
  <c r="AP717" i="1"/>
  <c r="AI717" i="1"/>
  <c r="AJ717" i="1"/>
  <c r="AL717" i="1"/>
  <c r="AK717" i="1"/>
  <c r="AM717" i="1"/>
  <c r="AG717" i="1"/>
  <c r="AF717" i="1"/>
  <c r="AE719" i="1" l="1"/>
  <c r="AM718" i="1"/>
  <c r="AN718" i="1"/>
  <c r="AO718" i="1"/>
  <c r="AH718" i="1"/>
  <c r="AP718" i="1"/>
  <c r="AI718" i="1"/>
  <c r="AK718" i="1"/>
  <c r="AJ718" i="1"/>
  <c r="AG718" i="1"/>
  <c r="AF718" i="1"/>
  <c r="AL718" i="1"/>
  <c r="AE720" i="1" l="1"/>
  <c r="AL719" i="1"/>
  <c r="AM719" i="1"/>
  <c r="AN719" i="1"/>
  <c r="AO719" i="1"/>
  <c r="AH719" i="1"/>
  <c r="AP719" i="1"/>
  <c r="AJ719" i="1"/>
  <c r="AI719" i="1"/>
  <c r="AF719" i="1"/>
  <c r="AG719" i="1"/>
  <c r="AK719" i="1"/>
  <c r="AE721" i="1" l="1"/>
  <c r="AK720" i="1"/>
  <c r="AL720" i="1"/>
  <c r="AM720" i="1"/>
  <c r="AN720" i="1"/>
  <c r="AO720" i="1"/>
  <c r="AI720" i="1"/>
  <c r="AH720" i="1"/>
  <c r="AJ720" i="1"/>
  <c r="AP720" i="1"/>
  <c r="AG720" i="1"/>
  <c r="AF720" i="1"/>
  <c r="AE722" i="1" l="1"/>
  <c r="AJ721" i="1"/>
  <c r="AK721" i="1"/>
  <c r="AL721" i="1"/>
  <c r="AM721" i="1"/>
  <c r="AN721" i="1"/>
  <c r="AH721" i="1"/>
  <c r="AP721" i="1"/>
  <c r="AI721" i="1"/>
  <c r="AO721" i="1"/>
  <c r="AG721" i="1"/>
  <c r="AF721" i="1"/>
  <c r="AE723" i="1" l="1"/>
  <c r="AI722" i="1"/>
  <c r="AJ722" i="1"/>
  <c r="AK722" i="1"/>
  <c r="AL722" i="1"/>
  <c r="AM722" i="1"/>
  <c r="AO722" i="1"/>
  <c r="AG722" i="1"/>
  <c r="AN722" i="1"/>
  <c r="AH722" i="1"/>
  <c r="AP722" i="1"/>
  <c r="AF722" i="1"/>
  <c r="AE724" i="1" l="1"/>
  <c r="AH723" i="1"/>
  <c r="AP723" i="1"/>
  <c r="AI723" i="1"/>
  <c r="AJ723" i="1"/>
  <c r="AK723" i="1"/>
  <c r="AL723" i="1"/>
  <c r="AN723" i="1"/>
  <c r="AM723" i="1"/>
  <c r="AO723" i="1"/>
  <c r="AG723" i="1"/>
  <c r="AF723" i="1"/>
  <c r="AE725" i="1" l="1"/>
  <c r="AO724" i="1"/>
  <c r="AH724" i="1"/>
  <c r="AP724" i="1"/>
  <c r="AI724" i="1"/>
  <c r="AJ724" i="1"/>
  <c r="AK724" i="1"/>
  <c r="AM724" i="1"/>
  <c r="AL724" i="1"/>
  <c r="AG724" i="1"/>
  <c r="AN724" i="1"/>
  <c r="AF724" i="1"/>
  <c r="AE726" i="1" l="1"/>
  <c r="AN725" i="1"/>
  <c r="AO725" i="1"/>
  <c r="AH725" i="1"/>
  <c r="AP725" i="1"/>
  <c r="AI725" i="1"/>
  <c r="AJ725" i="1"/>
  <c r="AL725" i="1"/>
  <c r="AG725" i="1"/>
  <c r="AK725" i="1"/>
  <c r="AF725" i="1"/>
  <c r="AM725" i="1"/>
  <c r="AE727" i="1" l="1"/>
  <c r="AM726" i="1"/>
  <c r="AN726" i="1"/>
  <c r="AO726" i="1"/>
  <c r="AH726" i="1"/>
  <c r="AP726" i="1"/>
  <c r="AI726" i="1"/>
  <c r="AK726" i="1"/>
  <c r="AG726" i="1"/>
  <c r="AJ726" i="1"/>
  <c r="AF726" i="1"/>
  <c r="AL726" i="1"/>
  <c r="AE728" i="1" l="1"/>
  <c r="AL727" i="1"/>
  <c r="AM727" i="1"/>
  <c r="AN727" i="1"/>
  <c r="AO727" i="1"/>
  <c r="AH727" i="1"/>
  <c r="AP727" i="1"/>
  <c r="AJ727" i="1"/>
  <c r="AI727" i="1"/>
  <c r="AK727" i="1"/>
  <c r="AG727" i="1"/>
  <c r="AF727" i="1"/>
  <c r="AE729" i="1" l="1"/>
  <c r="AK728" i="1"/>
  <c r="AL728" i="1"/>
  <c r="AM728" i="1"/>
  <c r="AN728" i="1"/>
  <c r="AO728" i="1"/>
  <c r="AI728" i="1"/>
  <c r="AH728" i="1"/>
  <c r="AJ728" i="1"/>
  <c r="AP728" i="1"/>
  <c r="AG728" i="1"/>
  <c r="AF728" i="1"/>
  <c r="AE730" i="1" l="1"/>
  <c r="AJ729" i="1"/>
  <c r="AK729" i="1"/>
  <c r="AL729" i="1"/>
  <c r="AM729" i="1"/>
  <c r="AN729" i="1"/>
  <c r="AH729" i="1"/>
  <c r="AP729" i="1"/>
  <c r="AO729" i="1"/>
  <c r="AG729" i="1"/>
  <c r="AI729" i="1"/>
  <c r="AF729" i="1"/>
  <c r="AE731" i="1" l="1"/>
  <c r="AI730" i="1"/>
  <c r="AJ730" i="1"/>
  <c r="AK730" i="1"/>
  <c r="AL730" i="1"/>
  <c r="AM730" i="1"/>
  <c r="AO730" i="1"/>
  <c r="AN730" i="1"/>
  <c r="AG730" i="1"/>
  <c r="AP730" i="1"/>
  <c r="AH730" i="1"/>
  <c r="AF730" i="1"/>
  <c r="AE732" i="1" l="1"/>
  <c r="AH731" i="1"/>
  <c r="AP731" i="1"/>
  <c r="AI731" i="1"/>
  <c r="AJ731" i="1"/>
  <c r="AK731" i="1"/>
  <c r="AL731" i="1"/>
  <c r="AN731" i="1"/>
  <c r="AG731" i="1"/>
  <c r="AM731" i="1"/>
  <c r="AO731" i="1"/>
  <c r="AF731" i="1"/>
  <c r="AE733" i="1" l="1"/>
  <c r="AO732" i="1"/>
  <c r="AH732" i="1"/>
  <c r="AP732" i="1"/>
  <c r="AI732" i="1"/>
  <c r="AJ732" i="1"/>
  <c r="AK732" i="1"/>
  <c r="AM732" i="1"/>
  <c r="AG732" i="1"/>
  <c r="AL732" i="1"/>
  <c r="AF732" i="1"/>
  <c r="AN732" i="1"/>
  <c r="AE734" i="1" l="1"/>
  <c r="AN733" i="1"/>
  <c r="AO733" i="1"/>
  <c r="AH733" i="1"/>
  <c r="AP733" i="1"/>
  <c r="AI733" i="1"/>
  <c r="AJ733" i="1"/>
  <c r="AL733" i="1"/>
  <c r="AG733" i="1"/>
  <c r="AK733" i="1"/>
  <c r="AF733" i="1"/>
  <c r="AM733" i="1"/>
  <c r="AE735" i="1" l="1"/>
  <c r="AM734" i="1"/>
  <c r="AN734" i="1"/>
  <c r="AO734" i="1"/>
  <c r="AH734" i="1"/>
  <c r="AP734" i="1"/>
  <c r="AI734" i="1"/>
  <c r="AK734" i="1"/>
  <c r="AJ734" i="1"/>
  <c r="AL734" i="1"/>
  <c r="AG734" i="1"/>
  <c r="AF734" i="1"/>
  <c r="AE736" i="1" l="1"/>
  <c r="AL735" i="1"/>
  <c r="AM735" i="1"/>
  <c r="AN735" i="1"/>
  <c r="AO735" i="1"/>
  <c r="AH735" i="1"/>
  <c r="AP735" i="1"/>
  <c r="AJ735" i="1"/>
  <c r="AI735" i="1"/>
  <c r="AK735" i="1"/>
  <c r="AG735" i="1"/>
  <c r="AF735" i="1"/>
  <c r="AE737" i="1" l="1"/>
  <c r="AK736" i="1"/>
  <c r="AL736" i="1"/>
  <c r="AM736" i="1"/>
  <c r="AN736" i="1"/>
  <c r="AO736" i="1"/>
  <c r="AI736" i="1"/>
  <c r="AH736" i="1"/>
  <c r="AP736" i="1"/>
  <c r="AG736" i="1"/>
  <c r="AJ736" i="1"/>
  <c r="AF736" i="1"/>
  <c r="AE738" i="1" l="1"/>
  <c r="AJ737" i="1"/>
  <c r="AK737" i="1"/>
  <c r="AL737" i="1"/>
  <c r="AM737" i="1"/>
  <c r="AN737" i="1"/>
  <c r="AH737" i="1"/>
  <c r="AP737" i="1"/>
  <c r="AO737" i="1"/>
  <c r="AI737" i="1"/>
  <c r="AG737" i="1"/>
  <c r="AF737" i="1"/>
  <c r="AE739" i="1" l="1"/>
  <c r="AI738" i="1"/>
  <c r="AJ738" i="1"/>
  <c r="AK738" i="1"/>
  <c r="AL738" i="1"/>
  <c r="AM738" i="1"/>
  <c r="AO738" i="1"/>
  <c r="AG738" i="1"/>
  <c r="AH738" i="1"/>
  <c r="AN738" i="1"/>
  <c r="AP738" i="1"/>
  <c r="AF738" i="1"/>
  <c r="AE740" i="1" l="1"/>
  <c r="AH739" i="1"/>
  <c r="AP739" i="1"/>
  <c r="AI739" i="1"/>
  <c r="AJ739" i="1"/>
  <c r="AK739" i="1"/>
  <c r="AL739" i="1"/>
  <c r="AN739" i="1"/>
  <c r="AG739" i="1"/>
  <c r="AM739" i="1"/>
  <c r="AO739" i="1"/>
  <c r="AF739" i="1"/>
  <c r="AE741" i="1" l="1"/>
  <c r="AO740" i="1"/>
  <c r="AH740" i="1"/>
  <c r="AP740" i="1"/>
  <c r="AI740" i="1"/>
  <c r="AJ740" i="1"/>
  <c r="AK740" i="1"/>
  <c r="AM740" i="1"/>
  <c r="AG740" i="1"/>
  <c r="AL740" i="1"/>
  <c r="AF740" i="1"/>
  <c r="AN740" i="1"/>
  <c r="AE742" i="1" l="1"/>
  <c r="AN741" i="1"/>
  <c r="AO741" i="1"/>
  <c r="AH741" i="1"/>
  <c r="AP741" i="1"/>
  <c r="AI741" i="1"/>
  <c r="AJ741" i="1"/>
  <c r="AL741" i="1"/>
  <c r="AK741" i="1"/>
  <c r="AM741" i="1"/>
  <c r="AG741" i="1"/>
  <c r="AF741" i="1"/>
  <c r="AE743" i="1" l="1"/>
  <c r="AM742" i="1"/>
  <c r="AN742" i="1"/>
  <c r="AO742" i="1"/>
  <c r="AH742" i="1"/>
  <c r="AP742" i="1"/>
  <c r="AI742" i="1"/>
  <c r="AK742" i="1"/>
  <c r="AJ742" i="1"/>
  <c r="AL742" i="1"/>
  <c r="AG742" i="1"/>
  <c r="AF742" i="1"/>
  <c r="AE744" i="1" l="1"/>
  <c r="AL743" i="1"/>
  <c r="AM743" i="1"/>
  <c r="AN743" i="1"/>
  <c r="AO743" i="1"/>
  <c r="AH743" i="1"/>
  <c r="AP743" i="1"/>
  <c r="AJ743" i="1"/>
  <c r="AI743" i="1"/>
  <c r="AF743" i="1"/>
  <c r="AK743" i="1"/>
  <c r="AG743" i="1"/>
  <c r="AE745" i="1" l="1"/>
  <c r="AK744" i="1"/>
  <c r="AL744" i="1"/>
  <c r="AM744" i="1"/>
  <c r="AN744" i="1"/>
  <c r="AO744" i="1"/>
  <c r="AI744" i="1"/>
  <c r="AP744" i="1"/>
  <c r="AH744" i="1"/>
  <c r="AG744" i="1"/>
  <c r="AF744" i="1"/>
  <c r="AJ744" i="1"/>
  <c r="AE746" i="1" l="1"/>
  <c r="AJ745" i="1"/>
  <c r="AK745" i="1"/>
  <c r="AL745" i="1"/>
  <c r="AM745" i="1"/>
  <c r="AN745" i="1"/>
  <c r="AH745" i="1"/>
  <c r="AP745" i="1"/>
  <c r="AI745" i="1"/>
  <c r="AO745" i="1"/>
  <c r="AG745" i="1"/>
  <c r="AF745" i="1"/>
  <c r="AE747" i="1" l="1"/>
  <c r="AI746" i="1"/>
  <c r="AJ746" i="1"/>
  <c r="AK746" i="1"/>
  <c r="AL746" i="1"/>
  <c r="AM746" i="1"/>
  <c r="AO746" i="1"/>
  <c r="AG746" i="1"/>
  <c r="AH746" i="1"/>
  <c r="AN746" i="1"/>
  <c r="AP746" i="1"/>
  <c r="AF746" i="1"/>
  <c r="AE748" i="1" l="1"/>
  <c r="AH747" i="1"/>
  <c r="AP747" i="1"/>
  <c r="AI747" i="1"/>
  <c r="AJ747" i="1"/>
  <c r="AK747" i="1"/>
  <c r="AL747" i="1"/>
  <c r="AN747" i="1"/>
  <c r="AG747" i="1"/>
  <c r="AM747" i="1"/>
  <c r="AF747" i="1"/>
  <c r="AO747" i="1"/>
  <c r="AE749" i="1" l="1"/>
  <c r="AO748" i="1"/>
  <c r="AH748" i="1"/>
  <c r="AP748" i="1"/>
  <c r="AI748" i="1"/>
  <c r="AJ748" i="1"/>
  <c r="AK748" i="1"/>
  <c r="AM748" i="1"/>
  <c r="AL748" i="1"/>
  <c r="AN748" i="1"/>
  <c r="AG748" i="1"/>
  <c r="AF748" i="1"/>
  <c r="AE750" i="1" l="1"/>
  <c r="AN749" i="1"/>
  <c r="AO749" i="1"/>
  <c r="AH749" i="1"/>
  <c r="AP749" i="1"/>
  <c r="AI749" i="1"/>
  <c r="AJ749" i="1"/>
  <c r="AL749" i="1"/>
  <c r="AK749" i="1"/>
  <c r="AM749" i="1"/>
  <c r="AG749" i="1"/>
  <c r="AF749" i="1"/>
  <c r="AE751" i="1" l="1"/>
  <c r="AM750" i="1"/>
  <c r="AN750" i="1"/>
  <c r="AO750" i="1"/>
  <c r="AH750" i="1"/>
  <c r="AP750" i="1"/>
  <c r="AI750" i="1"/>
  <c r="AK750" i="1"/>
  <c r="AJ750" i="1"/>
  <c r="AG750" i="1"/>
  <c r="AL750" i="1"/>
  <c r="AF750" i="1"/>
  <c r="AE752" i="1" l="1"/>
  <c r="AL751" i="1"/>
  <c r="AM751" i="1"/>
  <c r="AN751" i="1"/>
  <c r="AO751" i="1"/>
  <c r="AH751" i="1"/>
  <c r="AP751" i="1"/>
  <c r="AJ751" i="1"/>
  <c r="AI751" i="1"/>
  <c r="AK751" i="1"/>
  <c r="AF751" i="1"/>
  <c r="AG751" i="1"/>
  <c r="AE753" i="1" l="1"/>
  <c r="AK752" i="1"/>
  <c r="AL752" i="1"/>
  <c r="AM752" i="1"/>
  <c r="AN752" i="1"/>
  <c r="AO752" i="1"/>
  <c r="AI752" i="1"/>
  <c r="AH752" i="1"/>
  <c r="AJ752" i="1"/>
  <c r="AP752" i="1"/>
  <c r="AG752" i="1"/>
  <c r="AF752" i="1"/>
  <c r="AE754" i="1" l="1"/>
  <c r="AJ753" i="1"/>
  <c r="AK753" i="1"/>
  <c r="AL753" i="1"/>
  <c r="AM753" i="1"/>
  <c r="AN753" i="1"/>
  <c r="AH753" i="1"/>
  <c r="AP753" i="1"/>
  <c r="AI753" i="1"/>
  <c r="AO753" i="1"/>
  <c r="AF753" i="1"/>
  <c r="AG753" i="1"/>
  <c r="AE755" i="1" l="1"/>
  <c r="AI754" i="1"/>
  <c r="AJ754" i="1"/>
  <c r="AK754" i="1"/>
  <c r="AL754" i="1"/>
  <c r="AM754" i="1"/>
  <c r="AO754" i="1"/>
  <c r="AG754" i="1"/>
  <c r="AN754" i="1"/>
  <c r="AH754" i="1"/>
  <c r="AP754" i="1"/>
  <c r="AF754" i="1"/>
  <c r="AE756" i="1" l="1"/>
  <c r="AH755" i="1"/>
  <c r="AP755" i="1"/>
  <c r="AI755" i="1"/>
  <c r="AJ755" i="1"/>
  <c r="AK755" i="1"/>
  <c r="AL755" i="1"/>
  <c r="AN755" i="1"/>
  <c r="AM755" i="1"/>
  <c r="AO755" i="1"/>
  <c r="AG755" i="1"/>
  <c r="AF755" i="1"/>
  <c r="AE757" i="1" l="1"/>
  <c r="AO756" i="1"/>
  <c r="AH756" i="1"/>
  <c r="AP756" i="1"/>
  <c r="AI756" i="1"/>
  <c r="AJ756" i="1"/>
  <c r="AK756" i="1"/>
  <c r="AM756" i="1"/>
  <c r="AL756" i="1"/>
  <c r="AG756" i="1"/>
  <c r="AN756" i="1"/>
  <c r="AF756" i="1"/>
  <c r="AE758" i="1" l="1"/>
  <c r="AN757" i="1"/>
  <c r="AO757" i="1"/>
  <c r="AH757" i="1"/>
  <c r="AP757" i="1"/>
  <c r="AI757" i="1"/>
  <c r="AJ757" i="1"/>
  <c r="AL757" i="1"/>
  <c r="AG757" i="1"/>
  <c r="AK757" i="1"/>
  <c r="AF757" i="1"/>
  <c r="AM757" i="1"/>
  <c r="AE759" i="1" l="1"/>
  <c r="AM758" i="1"/>
  <c r="AN758" i="1"/>
  <c r="AO758" i="1"/>
  <c r="AH758" i="1"/>
  <c r="AP758" i="1"/>
  <c r="AI758" i="1"/>
  <c r="AK758" i="1"/>
  <c r="AG758" i="1"/>
  <c r="AJ758" i="1"/>
  <c r="AF758" i="1"/>
  <c r="AL758" i="1"/>
  <c r="AE760" i="1" l="1"/>
  <c r="AL759" i="1"/>
  <c r="AM759" i="1"/>
  <c r="AN759" i="1"/>
  <c r="AO759" i="1"/>
  <c r="AH759" i="1"/>
  <c r="AP759" i="1"/>
  <c r="AJ759" i="1"/>
  <c r="AI759" i="1"/>
  <c r="AK759" i="1"/>
  <c r="AG759" i="1"/>
  <c r="AF759" i="1"/>
  <c r="AE761" i="1" l="1"/>
  <c r="AK760" i="1"/>
  <c r="AL760" i="1"/>
  <c r="AM760" i="1"/>
  <c r="AN760" i="1"/>
  <c r="AO760" i="1"/>
  <c r="AI760" i="1"/>
  <c r="AH760" i="1"/>
  <c r="AJ760" i="1"/>
  <c r="AP760" i="1"/>
  <c r="AG760" i="1"/>
  <c r="AF760" i="1"/>
  <c r="AE762" i="1" l="1"/>
  <c r="AJ761" i="1"/>
  <c r="AK761" i="1"/>
  <c r="AL761" i="1"/>
  <c r="AM761" i="1"/>
  <c r="AN761" i="1"/>
  <c r="AH761" i="1"/>
  <c r="AP761" i="1"/>
  <c r="AO761" i="1"/>
  <c r="AG761" i="1"/>
  <c r="AF761" i="1"/>
  <c r="AI761" i="1"/>
  <c r="AE763" i="1" l="1"/>
  <c r="AI762" i="1"/>
  <c r="AJ762" i="1"/>
  <c r="AK762" i="1"/>
  <c r="AL762" i="1"/>
  <c r="AM762" i="1"/>
  <c r="AO762" i="1"/>
  <c r="AN762" i="1"/>
  <c r="AG762" i="1"/>
  <c r="AP762" i="1"/>
  <c r="AH762" i="1"/>
  <c r="AF762" i="1"/>
  <c r="AE764" i="1" l="1"/>
  <c r="AH763" i="1"/>
  <c r="AP763" i="1"/>
  <c r="AI763" i="1"/>
  <c r="AJ763" i="1"/>
  <c r="AK763" i="1"/>
  <c r="AL763" i="1"/>
  <c r="AN763" i="1"/>
  <c r="AG763" i="1"/>
  <c r="AM763" i="1"/>
  <c r="AO763" i="1"/>
  <c r="AF763" i="1"/>
  <c r="AE765" i="1" l="1"/>
  <c r="AO764" i="1"/>
  <c r="AH764" i="1"/>
  <c r="AP764" i="1"/>
  <c r="AI764" i="1"/>
  <c r="AJ764" i="1"/>
  <c r="AK764" i="1"/>
  <c r="AM764" i="1"/>
  <c r="AG764" i="1"/>
  <c r="AL764" i="1"/>
  <c r="AN764" i="1"/>
  <c r="AF764" i="1"/>
  <c r="AE766" i="1" l="1"/>
  <c r="AN765" i="1"/>
  <c r="AO765" i="1"/>
  <c r="AH765" i="1"/>
  <c r="AP765" i="1"/>
  <c r="AI765" i="1"/>
  <c r="AJ765" i="1"/>
  <c r="AL765" i="1"/>
  <c r="AG765" i="1"/>
  <c r="AK765" i="1"/>
  <c r="AM765" i="1"/>
  <c r="AF765" i="1"/>
  <c r="AE767" i="1" l="1"/>
  <c r="AM766" i="1"/>
  <c r="AN766" i="1"/>
  <c r="AO766" i="1"/>
  <c r="AH766" i="1"/>
  <c r="AP766" i="1"/>
  <c r="AI766" i="1"/>
  <c r="AK766" i="1"/>
  <c r="AJ766" i="1"/>
  <c r="AL766" i="1"/>
  <c r="AG766" i="1"/>
  <c r="AF766" i="1"/>
  <c r="AE768" i="1" l="1"/>
  <c r="AL767" i="1"/>
  <c r="AM767" i="1"/>
  <c r="AN767" i="1"/>
  <c r="AO767" i="1"/>
  <c r="AH767" i="1"/>
  <c r="AP767" i="1"/>
  <c r="AJ767" i="1"/>
  <c r="AI767" i="1"/>
  <c r="AK767" i="1"/>
  <c r="AG767" i="1"/>
  <c r="AF767" i="1"/>
  <c r="AE769" i="1" l="1"/>
  <c r="AK768" i="1"/>
  <c r="AL768" i="1"/>
  <c r="AM768" i="1"/>
  <c r="AN768" i="1"/>
  <c r="AO768" i="1"/>
  <c r="AI768" i="1"/>
  <c r="AH768" i="1"/>
  <c r="AP768" i="1"/>
  <c r="AG768" i="1"/>
  <c r="AJ768" i="1"/>
  <c r="AF768" i="1"/>
  <c r="AE770" i="1" l="1"/>
  <c r="AJ769" i="1"/>
  <c r="AK769" i="1"/>
  <c r="AL769" i="1"/>
  <c r="AM769" i="1"/>
  <c r="AN769" i="1"/>
  <c r="AH769" i="1"/>
  <c r="AP769" i="1"/>
  <c r="AO769" i="1"/>
  <c r="AI769" i="1"/>
  <c r="AG769" i="1"/>
  <c r="AF769" i="1"/>
  <c r="AE771" i="1" l="1"/>
  <c r="AI770" i="1"/>
  <c r="AJ770" i="1"/>
  <c r="AK770" i="1"/>
  <c r="AL770" i="1"/>
  <c r="AM770" i="1"/>
  <c r="AO770" i="1"/>
  <c r="AG770" i="1"/>
  <c r="AH770" i="1"/>
  <c r="AN770" i="1"/>
  <c r="AP770" i="1"/>
  <c r="AF770" i="1"/>
  <c r="AE772" i="1" l="1"/>
  <c r="AH771" i="1"/>
  <c r="AP771" i="1"/>
  <c r="AI771" i="1"/>
  <c r="AJ771" i="1"/>
  <c r="AK771" i="1"/>
  <c r="AL771" i="1"/>
  <c r="AN771" i="1"/>
  <c r="AG771" i="1"/>
  <c r="AM771" i="1"/>
  <c r="AF771" i="1"/>
  <c r="AO771" i="1"/>
  <c r="AE773" i="1" l="1"/>
  <c r="AO772" i="1"/>
  <c r="AH772" i="1"/>
  <c r="AP772" i="1"/>
  <c r="AI772" i="1"/>
  <c r="AJ772" i="1"/>
  <c r="AK772" i="1"/>
  <c r="AM772" i="1"/>
  <c r="AG772" i="1"/>
  <c r="AL772" i="1"/>
  <c r="AF772" i="1"/>
  <c r="AN772" i="1"/>
  <c r="AE774" i="1" l="1"/>
  <c r="AN773" i="1"/>
  <c r="AO773" i="1"/>
  <c r="AH773" i="1"/>
  <c r="AP773" i="1"/>
  <c r="AI773" i="1"/>
  <c r="AJ773" i="1"/>
  <c r="AL773" i="1"/>
  <c r="AK773" i="1"/>
  <c r="AM773" i="1"/>
  <c r="AG773" i="1"/>
  <c r="AF773" i="1"/>
  <c r="AE775" i="1" l="1"/>
  <c r="AM774" i="1"/>
  <c r="AN774" i="1"/>
  <c r="AO774" i="1"/>
  <c r="AH774" i="1"/>
  <c r="AP774" i="1"/>
  <c r="AI774" i="1"/>
  <c r="AK774" i="1"/>
  <c r="AJ774" i="1"/>
  <c r="AL774" i="1"/>
  <c r="AG774" i="1"/>
  <c r="AF774" i="1"/>
  <c r="AE776" i="1" l="1"/>
  <c r="AL775" i="1"/>
  <c r="AM775" i="1"/>
  <c r="AN775" i="1"/>
  <c r="AO775" i="1"/>
  <c r="AH775" i="1"/>
  <c r="AP775" i="1"/>
  <c r="AJ775" i="1"/>
  <c r="AI775" i="1"/>
  <c r="AF775" i="1"/>
  <c r="AG775" i="1"/>
  <c r="AK775" i="1"/>
  <c r="AE777" i="1" l="1"/>
  <c r="AK776" i="1"/>
  <c r="AL776" i="1"/>
  <c r="AM776" i="1"/>
  <c r="AN776" i="1"/>
  <c r="AO776" i="1"/>
  <c r="AI776" i="1"/>
  <c r="AP776" i="1"/>
  <c r="AH776" i="1"/>
  <c r="AG776" i="1"/>
  <c r="AF776" i="1"/>
  <c r="AJ776" i="1"/>
  <c r="AE778" i="1" l="1"/>
  <c r="AJ777" i="1"/>
  <c r="AK777" i="1"/>
  <c r="AL777" i="1"/>
  <c r="AM777" i="1"/>
  <c r="AN777" i="1"/>
  <c r="AH777" i="1"/>
  <c r="AP777" i="1"/>
  <c r="AI777" i="1"/>
  <c r="AO777" i="1"/>
  <c r="AF777" i="1"/>
  <c r="AG777" i="1"/>
  <c r="AE779" i="1" l="1"/>
  <c r="AI778" i="1"/>
  <c r="AJ778" i="1"/>
  <c r="AK778" i="1"/>
  <c r="AL778" i="1"/>
  <c r="AM778" i="1"/>
  <c r="AO778" i="1"/>
  <c r="AG778" i="1"/>
  <c r="AH778" i="1"/>
  <c r="AN778" i="1"/>
  <c r="AP778" i="1"/>
  <c r="AF778" i="1"/>
  <c r="AE780" i="1" l="1"/>
  <c r="AH779" i="1"/>
  <c r="AP779" i="1"/>
  <c r="AI779" i="1"/>
  <c r="AJ779" i="1"/>
  <c r="AK779" i="1"/>
  <c r="AL779" i="1"/>
  <c r="AN779" i="1"/>
  <c r="AG779" i="1"/>
  <c r="AM779" i="1"/>
  <c r="AO779" i="1"/>
  <c r="AF779" i="1"/>
  <c r="AE781" i="1" l="1"/>
  <c r="AO780" i="1"/>
  <c r="AH780" i="1"/>
  <c r="AP780" i="1"/>
  <c r="AI780" i="1"/>
  <c r="AJ780" i="1"/>
  <c r="AK780" i="1"/>
  <c r="AM780" i="1"/>
  <c r="AL780" i="1"/>
  <c r="AN780" i="1"/>
  <c r="AG780" i="1"/>
  <c r="AF780" i="1"/>
  <c r="AE782" i="1" l="1"/>
  <c r="AN781" i="1"/>
  <c r="AO781" i="1"/>
  <c r="AH781" i="1"/>
  <c r="AP781" i="1"/>
  <c r="AI781" i="1"/>
  <c r="AJ781" i="1"/>
  <c r="AL781" i="1"/>
  <c r="AK781" i="1"/>
  <c r="AM781" i="1"/>
  <c r="AG781" i="1"/>
  <c r="AF781" i="1"/>
  <c r="AE783" i="1" l="1"/>
  <c r="AM782" i="1"/>
  <c r="AN782" i="1"/>
  <c r="AO782" i="1"/>
  <c r="AH782" i="1"/>
  <c r="AP782" i="1"/>
  <c r="AI782" i="1"/>
  <c r="AK782" i="1"/>
  <c r="AJ782" i="1"/>
  <c r="AG782" i="1"/>
  <c r="AL782" i="1"/>
  <c r="AF782" i="1"/>
  <c r="AE784" i="1" l="1"/>
  <c r="AL783" i="1"/>
  <c r="AM783" i="1"/>
  <c r="AN783" i="1"/>
  <c r="AO783" i="1"/>
  <c r="AH783" i="1"/>
  <c r="AP783" i="1"/>
  <c r="AJ783" i="1"/>
  <c r="AI783" i="1"/>
  <c r="AK783" i="1"/>
  <c r="AF783" i="1"/>
  <c r="AG783" i="1"/>
  <c r="AE785" i="1" l="1"/>
  <c r="AK784" i="1"/>
  <c r="AL784" i="1"/>
  <c r="AM784" i="1"/>
  <c r="AN784" i="1"/>
  <c r="AO784" i="1"/>
  <c r="AI784" i="1"/>
  <c r="AH784" i="1"/>
  <c r="AJ784" i="1"/>
  <c r="AP784" i="1"/>
  <c r="AG784" i="1"/>
  <c r="AF784" i="1"/>
  <c r="AE786" i="1" l="1"/>
  <c r="AJ785" i="1"/>
  <c r="AK785" i="1"/>
  <c r="AL785" i="1"/>
  <c r="AM785" i="1"/>
  <c r="AN785" i="1"/>
  <c r="AH785" i="1"/>
  <c r="AP785" i="1"/>
  <c r="AI785" i="1"/>
  <c r="AO785" i="1"/>
  <c r="AG785" i="1"/>
  <c r="AF785" i="1"/>
  <c r="AE787" i="1" l="1"/>
  <c r="AI786" i="1"/>
  <c r="AJ786" i="1"/>
  <c r="AK786" i="1"/>
  <c r="AL786" i="1"/>
  <c r="AM786" i="1"/>
  <c r="AO786" i="1"/>
  <c r="AG786" i="1"/>
  <c r="AN786" i="1"/>
  <c r="AH786" i="1"/>
  <c r="AP786" i="1"/>
  <c r="AF786" i="1"/>
  <c r="AE788" i="1" l="1"/>
  <c r="AH787" i="1"/>
  <c r="AP787" i="1"/>
  <c r="AI787" i="1"/>
  <c r="AJ787" i="1"/>
  <c r="AK787" i="1"/>
  <c r="AL787" i="1"/>
  <c r="AN787" i="1"/>
  <c r="AM787" i="1"/>
  <c r="AO787" i="1"/>
  <c r="AG787" i="1"/>
  <c r="AF787" i="1"/>
  <c r="AE789" i="1" l="1"/>
  <c r="AO788" i="1"/>
  <c r="AH788" i="1"/>
  <c r="AP788" i="1"/>
  <c r="AI788" i="1"/>
  <c r="AJ788" i="1"/>
  <c r="AK788" i="1"/>
  <c r="AM788" i="1"/>
  <c r="AL788" i="1"/>
  <c r="AG788" i="1"/>
  <c r="AN788" i="1"/>
  <c r="AF788" i="1"/>
  <c r="AE790" i="1" l="1"/>
  <c r="AN789" i="1"/>
  <c r="AO789" i="1"/>
  <c r="AH789" i="1"/>
  <c r="AP789" i="1"/>
  <c r="AI789" i="1"/>
  <c r="AJ789" i="1"/>
  <c r="AL789" i="1"/>
  <c r="AG789" i="1"/>
  <c r="AK789" i="1"/>
  <c r="AF789" i="1"/>
  <c r="AM789" i="1"/>
  <c r="AE791" i="1" l="1"/>
  <c r="AM790" i="1"/>
  <c r="AN790" i="1"/>
  <c r="AO790" i="1"/>
  <c r="AH790" i="1"/>
  <c r="AP790" i="1"/>
  <c r="AI790" i="1"/>
  <c r="AK790" i="1"/>
  <c r="AG790" i="1"/>
  <c r="AJ790" i="1"/>
  <c r="AF790" i="1"/>
  <c r="AL790" i="1"/>
  <c r="AE792" i="1" l="1"/>
  <c r="AL791" i="1"/>
  <c r="AM791" i="1"/>
  <c r="AN791" i="1"/>
  <c r="AO791" i="1"/>
  <c r="AH791" i="1"/>
  <c r="AP791" i="1"/>
  <c r="AJ791" i="1"/>
  <c r="AI791" i="1"/>
  <c r="AK791" i="1"/>
  <c r="AG791" i="1"/>
  <c r="AF791" i="1"/>
  <c r="AE793" i="1" l="1"/>
  <c r="AK792" i="1"/>
  <c r="AL792" i="1"/>
  <c r="AM792" i="1"/>
  <c r="AN792" i="1"/>
  <c r="AO792" i="1"/>
  <c r="AI792" i="1"/>
  <c r="AH792" i="1"/>
  <c r="AJ792" i="1"/>
  <c r="AP792" i="1"/>
  <c r="AG792" i="1"/>
  <c r="AF792" i="1"/>
  <c r="AE794" i="1" l="1"/>
  <c r="AJ793" i="1"/>
  <c r="AK793" i="1"/>
  <c r="AL793" i="1"/>
  <c r="AM793" i="1"/>
  <c r="AN793" i="1"/>
  <c r="AH793" i="1"/>
  <c r="AP793" i="1"/>
  <c r="AO793" i="1"/>
  <c r="AI793" i="1"/>
  <c r="AG793" i="1"/>
  <c r="AF793" i="1"/>
  <c r="AE795" i="1" l="1"/>
  <c r="AI794" i="1"/>
  <c r="AJ794" i="1"/>
  <c r="AK794" i="1"/>
  <c r="AL794" i="1"/>
  <c r="AM794" i="1"/>
  <c r="AO794" i="1"/>
  <c r="AN794" i="1"/>
  <c r="AG794" i="1"/>
  <c r="AP794" i="1"/>
  <c r="AH794" i="1"/>
  <c r="AF794" i="1"/>
  <c r="AE796" i="1" l="1"/>
  <c r="AH795" i="1"/>
  <c r="AP795" i="1"/>
  <c r="AI795" i="1"/>
  <c r="AJ795" i="1"/>
  <c r="AK795" i="1"/>
  <c r="AL795" i="1"/>
  <c r="AN795" i="1"/>
  <c r="AG795" i="1"/>
  <c r="AM795" i="1"/>
  <c r="AO795" i="1"/>
  <c r="AF795" i="1"/>
  <c r="AE797" i="1" l="1"/>
  <c r="AO796" i="1"/>
  <c r="AH796" i="1"/>
  <c r="AP796" i="1"/>
  <c r="AI796" i="1"/>
  <c r="AJ796" i="1"/>
  <c r="AK796" i="1"/>
  <c r="AM796" i="1"/>
  <c r="AG796" i="1"/>
  <c r="AL796" i="1"/>
  <c r="AF796" i="1"/>
  <c r="AN796" i="1"/>
  <c r="AE798" i="1" l="1"/>
  <c r="AN797" i="1"/>
  <c r="AO797" i="1"/>
  <c r="AH797" i="1"/>
  <c r="AP797" i="1"/>
  <c r="AI797" i="1"/>
  <c r="AJ797" i="1"/>
  <c r="AL797" i="1"/>
  <c r="AG797" i="1"/>
  <c r="AK797" i="1"/>
  <c r="AF797" i="1"/>
  <c r="AM797" i="1"/>
  <c r="AE799" i="1" l="1"/>
  <c r="AM798" i="1"/>
  <c r="AN798" i="1"/>
  <c r="AO798" i="1"/>
  <c r="AH798" i="1"/>
  <c r="AP798" i="1"/>
  <c r="AI798" i="1"/>
  <c r="AK798" i="1"/>
  <c r="AJ798" i="1"/>
  <c r="AL798" i="1"/>
  <c r="AG798" i="1"/>
  <c r="AF798" i="1"/>
  <c r="AE800" i="1" l="1"/>
  <c r="AL799" i="1"/>
  <c r="AM799" i="1"/>
  <c r="AN799" i="1"/>
  <c r="AO799" i="1"/>
  <c r="AH799" i="1"/>
  <c r="AP799" i="1"/>
  <c r="AJ799" i="1"/>
  <c r="AI799" i="1"/>
  <c r="AK799" i="1"/>
  <c r="AG799" i="1"/>
  <c r="AF799" i="1"/>
  <c r="AE801" i="1" l="1"/>
  <c r="AK800" i="1"/>
  <c r="AL800" i="1"/>
  <c r="AM800" i="1"/>
  <c r="AN800" i="1"/>
  <c r="AO800" i="1"/>
  <c r="AI800" i="1"/>
  <c r="AH800" i="1"/>
  <c r="AP800" i="1"/>
  <c r="AG800" i="1"/>
  <c r="AJ800" i="1"/>
  <c r="AF800" i="1"/>
  <c r="AE802" i="1" l="1"/>
  <c r="AJ801" i="1"/>
  <c r="AK801" i="1"/>
  <c r="AL801" i="1"/>
  <c r="AM801" i="1"/>
  <c r="AN801" i="1"/>
  <c r="AH801" i="1"/>
  <c r="AP801" i="1"/>
  <c r="AO801" i="1"/>
  <c r="AG801" i="1"/>
  <c r="AI801" i="1"/>
  <c r="AF801" i="1"/>
  <c r="AE803" i="1" l="1"/>
  <c r="AI802" i="1"/>
  <c r="AJ802" i="1"/>
  <c r="AK802" i="1"/>
  <c r="AL802" i="1"/>
  <c r="AM802" i="1"/>
  <c r="AO802" i="1"/>
  <c r="AG802" i="1"/>
  <c r="AH802" i="1"/>
  <c r="AN802" i="1"/>
  <c r="AP802" i="1"/>
  <c r="AF802" i="1"/>
  <c r="AE804" i="1" l="1"/>
  <c r="AH803" i="1"/>
  <c r="AP803" i="1"/>
  <c r="AI803" i="1"/>
  <c r="AJ803" i="1"/>
  <c r="AK803" i="1"/>
  <c r="AL803" i="1"/>
  <c r="AN803" i="1"/>
  <c r="AG803" i="1"/>
  <c r="AM803" i="1"/>
  <c r="AO803" i="1"/>
  <c r="AF803" i="1"/>
  <c r="AE805" i="1" l="1"/>
  <c r="AO804" i="1"/>
  <c r="AH804" i="1"/>
  <c r="AP804" i="1"/>
  <c r="AI804" i="1"/>
  <c r="AJ804" i="1"/>
  <c r="AK804" i="1"/>
  <c r="AM804" i="1"/>
  <c r="AG804" i="1"/>
  <c r="AL804" i="1"/>
  <c r="AF804" i="1"/>
  <c r="AN804" i="1"/>
  <c r="AE806" i="1" l="1"/>
  <c r="AN805" i="1"/>
  <c r="AO805" i="1"/>
  <c r="AH805" i="1"/>
  <c r="AP805" i="1"/>
  <c r="AI805" i="1"/>
  <c r="AJ805" i="1"/>
  <c r="AL805" i="1"/>
  <c r="AK805" i="1"/>
  <c r="AM805" i="1"/>
  <c r="AG805" i="1"/>
  <c r="AF805" i="1"/>
  <c r="AE807" i="1" l="1"/>
  <c r="AM806" i="1"/>
  <c r="AN806" i="1"/>
  <c r="AO806" i="1"/>
  <c r="AH806" i="1"/>
  <c r="AP806" i="1"/>
  <c r="AI806" i="1"/>
  <c r="AK806" i="1"/>
  <c r="AJ806" i="1"/>
  <c r="AL806" i="1"/>
  <c r="AG806" i="1"/>
  <c r="AF806" i="1"/>
  <c r="AE808" i="1" l="1"/>
  <c r="AL807" i="1"/>
  <c r="AM807" i="1"/>
  <c r="AN807" i="1"/>
  <c r="AO807" i="1"/>
  <c r="AH807" i="1"/>
  <c r="AP807" i="1"/>
  <c r="AJ807" i="1"/>
  <c r="AI807" i="1"/>
  <c r="AK807" i="1"/>
  <c r="AF807" i="1"/>
  <c r="AG807" i="1"/>
  <c r="AE809" i="1" l="1"/>
  <c r="AK808" i="1"/>
  <c r="AL808" i="1"/>
  <c r="AM808" i="1"/>
  <c r="AN808" i="1"/>
  <c r="AO808" i="1"/>
  <c r="AI808" i="1"/>
  <c r="AP808" i="1"/>
  <c r="AH808" i="1"/>
  <c r="AG808" i="1"/>
  <c r="AJ808" i="1"/>
  <c r="AF808" i="1"/>
  <c r="AE810" i="1" l="1"/>
  <c r="AJ809" i="1"/>
  <c r="AK809" i="1"/>
  <c r="AL809" i="1"/>
  <c r="AM809" i="1"/>
  <c r="AN809" i="1"/>
  <c r="AH809" i="1"/>
  <c r="AP809" i="1"/>
  <c r="AI809" i="1"/>
  <c r="AO809" i="1"/>
  <c r="AG809" i="1"/>
  <c r="AF809" i="1"/>
  <c r="AE811" i="1" l="1"/>
  <c r="AI810" i="1"/>
  <c r="AJ810" i="1"/>
  <c r="AK810" i="1"/>
  <c r="AL810" i="1"/>
  <c r="AM810" i="1"/>
  <c r="AO810" i="1"/>
  <c r="AG810" i="1"/>
  <c r="AH810" i="1"/>
  <c r="AN810" i="1"/>
  <c r="AP810" i="1"/>
  <c r="AF810" i="1"/>
  <c r="AE812" i="1" l="1"/>
  <c r="AH811" i="1"/>
  <c r="AP811" i="1"/>
  <c r="AI811" i="1"/>
  <c r="AJ811" i="1"/>
  <c r="AK811" i="1"/>
  <c r="AL811" i="1"/>
  <c r="AN811" i="1"/>
  <c r="AG811" i="1"/>
  <c r="AM811" i="1"/>
  <c r="AO811" i="1"/>
  <c r="AF811" i="1"/>
  <c r="AE813" i="1" l="1"/>
  <c r="AO812" i="1"/>
  <c r="AH812" i="1"/>
  <c r="AP812" i="1"/>
  <c r="AI812" i="1"/>
  <c r="AJ812" i="1"/>
  <c r="AK812" i="1"/>
  <c r="AM812" i="1"/>
  <c r="AL812" i="1"/>
  <c r="AN812" i="1"/>
  <c r="AG812" i="1"/>
  <c r="AF812" i="1"/>
  <c r="AE814" i="1" l="1"/>
  <c r="AN813" i="1"/>
  <c r="AO813" i="1"/>
  <c r="AH813" i="1"/>
  <c r="AP813" i="1"/>
  <c r="AI813" i="1"/>
  <c r="AJ813" i="1"/>
  <c r="AL813" i="1"/>
  <c r="AK813" i="1"/>
  <c r="AM813" i="1"/>
  <c r="AG813" i="1"/>
  <c r="AF813" i="1"/>
  <c r="AE815" i="1" l="1"/>
  <c r="AM814" i="1"/>
  <c r="AN814" i="1"/>
  <c r="AO814" i="1"/>
  <c r="AH814" i="1"/>
  <c r="AP814" i="1"/>
  <c r="AI814" i="1"/>
  <c r="AK814" i="1"/>
  <c r="AJ814" i="1"/>
  <c r="AG814" i="1"/>
  <c r="AF814" i="1"/>
  <c r="AL814" i="1"/>
  <c r="AE816" i="1" l="1"/>
  <c r="AL815" i="1"/>
  <c r="AM815" i="1"/>
  <c r="AN815" i="1"/>
  <c r="AO815" i="1"/>
  <c r="AH815" i="1"/>
  <c r="AP815" i="1"/>
  <c r="AJ815" i="1"/>
  <c r="AI815" i="1"/>
  <c r="AF815" i="1"/>
  <c r="AK815" i="1"/>
  <c r="AG815" i="1"/>
  <c r="AE817" i="1" l="1"/>
  <c r="AK816" i="1"/>
  <c r="AL816" i="1"/>
  <c r="AM816" i="1"/>
  <c r="AN816" i="1"/>
  <c r="AO816" i="1"/>
  <c r="AI816" i="1"/>
  <c r="AH816" i="1"/>
  <c r="AJ816" i="1"/>
  <c r="AP816" i="1"/>
  <c r="AG816" i="1"/>
  <c r="AF816" i="1"/>
  <c r="AE818" i="1" l="1"/>
  <c r="AJ817" i="1"/>
  <c r="AK817" i="1"/>
  <c r="AL817" i="1"/>
  <c r="AM817" i="1"/>
  <c r="AN817" i="1"/>
  <c r="AH817" i="1"/>
  <c r="AP817" i="1"/>
  <c r="AI817" i="1"/>
  <c r="AO817" i="1"/>
  <c r="AG817" i="1"/>
  <c r="AF817" i="1"/>
  <c r="AE819" i="1" l="1"/>
  <c r="AI818" i="1"/>
  <c r="AJ818" i="1"/>
  <c r="AK818" i="1"/>
  <c r="AL818" i="1"/>
  <c r="AM818" i="1"/>
  <c r="AO818" i="1"/>
  <c r="AG818" i="1"/>
  <c r="AN818" i="1"/>
  <c r="AP818" i="1"/>
  <c r="AH818" i="1"/>
  <c r="AF818" i="1"/>
  <c r="AE820" i="1" l="1"/>
  <c r="AH819" i="1"/>
  <c r="AP819" i="1"/>
  <c r="AI819" i="1"/>
  <c r="AJ819" i="1"/>
  <c r="AK819" i="1"/>
  <c r="AL819" i="1"/>
  <c r="AN819" i="1"/>
  <c r="AM819" i="1"/>
  <c r="AO819" i="1"/>
  <c r="AG819" i="1"/>
  <c r="AF819" i="1"/>
  <c r="AE821" i="1" l="1"/>
  <c r="AO820" i="1"/>
  <c r="AH820" i="1"/>
  <c r="AP820" i="1"/>
  <c r="AI820" i="1"/>
  <c r="AJ820" i="1"/>
  <c r="AK820" i="1"/>
  <c r="AM820" i="1"/>
  <c r="AL820" i="1"/>
  <c r="AG820" i="1"/>
  <c r="AN820" i="1"/>
  <c r="AF820" i="1"/>
  <c r="AE822" i="1" l="1"/>
  <c r="AN821" i="1"/>
  <c r="AO821" i="1"/>
  <c r="AH821" i="1"/>
  <c r="AP821" i="1"/>
  <c r="AI821" i="1"/>
  <c r="AJ821" i="1"/>
  <c r="AL821" i="1"/>
  <c r="AG821" i="1"/>
  <c r="AK821" i="1"/>
  <c r="AM821" i="1"/>
  <c r="AF821" i="1"/>
  <c r="AE823" i="1" l="1"/>
  <c r="AM822" i="1"/>
  <c r="AN822" i="1"/>
  <c r="AO822" i="1"/>
  <c r="AH822" i="1"/>
  <c r="AP822" i="1"/>
  <c r="AI822" i="1"/>
  <c r="AK822" i="1"/>
  <c r="AG822" i="1"/>
  <c r="AJ822" i="1"/>
  <c r="AL822" i="1"/>
  <c r="AF822" i="1"/>
  <c r="AE824" i="1" l="1"/>
  <c r="AL823" i="1"/>
  <c r="AM823" i="1"/>
  <c r="AN823" i="1"/>
  <c r="AO823" i="1"/>
  <c r="AH823" i="1"/>
  <c r="AP823" i="1"/>
  <c r="AJ823" i="1"/>
  <c r="AI823" i="1"/>
  <c r="AK823" i="1"/>
  <c r="AG823" i="1"/>
  <c r="AF823" i="1"/>
  <c r="AE825" i="1" l="1"/>
  <c r="AK824" i="1"/>
  <c r="AL824" i="1"/>
  <c r="AM824" i="1"/>
  <c r="AN824" i="1"/>
  <c r="AO824" i="1"/>
  <c r="AI824" i="1"/>
  <c r="AH824" i="1"/>
  <c r="AJ824" i="1"/>
  <c r="AP824" i="1"/>
  <c r="AG824" i="1"/>
  <c r="AF824" i="1"/>
  <c r="AE826" i="1" l="1"/>
  <c r="AJ825" i="1"/>
  <c r="AK825" i="1"/>
  <c r="AL825" i="1"/>
  <c r="AM825" i="1"/>
  <c r="AN825" i="1"/>
  <c r="AH825" i="1"/>
  <c r="AP825" i="1"/>
  <c r="AO825" i="1"/>
  <c r="AG825" i="1"/>
  <c r="AI825" i="1"/>
  <c r="AF825" i="1"/>
  <c r="AE827" i="1" l="1"/>
  <c r="AI826" i="1"/>
  <c r="AJ826" i="1"/>
  <c r="AK826" i="1"/>
  <c r="AL826" i="1"/>
  <c r="AM826" i="1"/>
  <c r="AO826" i="1"/>
  <c r="AN826" i="1"/>
  <c r="AG826" i="1"/>
  <c r="AP826" i="1"/>
  <c r="AH826" i="1"/>
  <c r="AF826" i="1"/>
  <c r="AE828" i="1" l="1"/>
  <c r="AH827" i="1"/>
  <c r="AP827" i="1"/>
  <c r="AI827" i="1"/>
  <c r="AJ827" i="1"/>
  <c r="AK827" i="1"/>
  <c r="AL827" i="1"/>
  <c r="AN827" i="1"/>
  <c r="AG827" i="1"/>
  <c r="AM827" i="1"/>
  <c r="AO827" i="1"/>
  <c r="AF827" i="1"/>
  <c r="AE829" i="1" l="1"/>
  <c r="AO828" i="1"/>
  <c r="AH828" i="1"/>
  <c r="AP828" i="1"/>
  <c r="AI828" i="1"/>
  <c r="AJ828" i="1"/>
  <c r="AK828" i="1"/>
  <c r="AM828" i="1"/>
  <c r="AG828" i="1"/>
  <c r="AL828" i="1"/>
  <c r="AF828" i="1"/>
  <c r="AN828" i="1"/>
  <c r="AE830" i="1" l="1"/>
  <c r="AN829" i="1"/>
  <c r="AO829" i="1"/>
  <c r="AH829" i="1"/>
  <c r="AP829" i="1"/>
  <c r="AI829" i="1"/>
  <c r="AJ829" i="1"/>
  <c r="AL829" i="1"/>
  <c r="AG829" i="1"/>
  <c r="AK829" i="1"/>
  <c r="AF829" i="1"/>
  <c r="AM829" i="1"/>
  <c r="AE831" i="1" l="1"/>
  <c r="AM830" i="1"/>
  <c r="AN830" i="1"/>
  <c r="AO830" i="1"/>
  <c r="AH830" i="1"/>
  <c r="AP830" i="1"/>
  <c r="AI830" i="1"/>
  <c r="AK830" i="1"/>
  <c r="AJ830" i="1"/>
  <c r="AL830" i="1"/>
  <c r="AG830" i="1"/>
  <c r="AF830" i="1"/>
  <c r="AE832" i="1" l="1"/>
  <c r="AL831" i="1"/>
  <c r="AM831" i="1"/>
  <c r="AN831" i="1"/>
  <c r="AO831" i="1"/>
  <c r="AH831" i="1"/>
  <c r="AP831" i="1"/>
  <c r="AJ831" i="1"/>
  <c r="AI831" i="1"/>
  <c r="AK831" i="1"/>
  <c r="AG831" i="1"/>
  <c r="AF831" i="1"/>
  <c r="AE833" i="1" l="1"/>
  <c r="AK832" i="1"/>
  <c r="AL832" i="1"/>
  <c r="AM832" i="1"/>
  <c r="AN832" i="1"/>
  <c r="AO832" i="1"/>
  <c r="AI832" i="1"/>
  <c r="AH832" i="1"/>
  <c r="AP832" i="1"/>
  <c r="AG832" i="1"/>
  <c r="AF832" i="1"/>
  <c r="AJ832" i="1"/>
  <c r="AE834" i="1" l="1"/>
  <c r="AJ833" i="1"/>
  <c r="AK833" i="1"/>
  <c r="AL833" i="1"/>
  <c r="AM833" i="1"/>
  <c r="AN833" i="1"/>
  <c r="AH833" i="1"/>
  <c r="AP833" i="1"/>
  <c r="AO833" i="1"/>
  <c r="AF833" i="1"/>
  <c r="AG833" i="1"/>
  <c r="AI833" i="1"/>
  <c r="AE835" i="1" l="1"/>
  <c r="AI834" i="1"/>
  <c r="AJ834" i="1"/>
  <c r="AK834" i="1"/>
  <c r="AL834" i="1"/>
  <c r="AM834" i="1"/>
  <c r="AO834" i="1"/>
  <c r="AG834" i="1"/>
  <c r="AH834" i="1"/>
  <c r="AN834" i="1"/>
  <c r="AP834" i="1"/>
  <c r="AF834" i="1"/>
  <c r="AE836" i="1" l="1"/>
  <c r="AH835" i="1"/>
  <c r="AP835" i="1"/>
  <c r="AI835" i="1"/>
  <c r="AJ835" i="1"/>
  <c r="AK835" i="1"/>
  <c r="AL835" i="1"/>
  <c r="AN835" i="1"/>
  <c r="AG835" i="1"/>
  <c r="AM835" i="1"/>
  <c r="AO835" i="1"/>
  <c r="AF835" i="1"/>
  <c r="AE837" i="1" l="1"/>
  <c r="AO836" i="1"/>
  <c r="AH836" i="1"/>
  <c r="AP836" i="1"/>
  <c r="AI836" i="1"/>
  <c r="AJ836" i="1"/>
  <c r="AK836" i="1"/>
  <c r="AM836" i="1"/>
  <c r="AG836" i="1"/>
  <c r="AL836" i="1"/>
  <c r="AF836" i="1"/>
  <c r="AN836" i="1"/>
  <c r="AE838" i="1" l="1"/>
  <c r="AN837" i="1"/>
  <c r="AO837" i="1"/>
  <c r="AH837" i="1"/>
  <c r="AP837" i="1"/>
  <c r="AI837" i="1"/>
  <c r="AJ837" i="1"/>
  <c r="AL837" i="1"/>
  <c r="AK837" i="1"/>
  <c r="AM837" i="1"/>
  <c r="AG837" i="1"/>
  <c r="AF837" i="1"/>
  <c r="AE839" i="1" l="1"/>
  <c r="AM838" i="1"/>
  <c r="AN838" i="1"/>
  <c r="AO838" i="1"/>
  <c r="AH838" i="1"/>
  <c r="AP838" i="1"/>
  <c r="AI838" i="1"/>
  <c r="AK838" i="1"/>
  <c r="AJ838" i="1"/>
  <c r="AL838" i="1"/>
  <c r="AG838" i="1"/>
  <c r="AF838" i="1"/>
  <c r="AE840" i="1" l="1"/>
  <c r="AL839" i="1"/>
  <c r="AM839" i="1"/>
  <c r="AN839" i="1"/>
  <c r="AO839" i="1"/>
  <c r="AH839" i="1"/>
  <c r="AP839" i="1"/>
  <c r="AJ839" i="1"/>
  <c r="AI839" i="1"/>
  <c r="AK839" i="1"/>
  <c r="AF839" i="1"/>
  <c r="AG839" i="1"/>
  <c r="AE841" i="1" l="1"/>
  <c r="AK840" i="1"/>
  <c r="AL840" i="1"/>
  <c r="AM840" i="1"/>
  <c r="AN840" i="1"/>
  <c r="AO840" i="1"/>
  <c r="AI840" i="1"/>
  <c r="AP840" i="1"/>
  <c r="AH840" i="1"/>
  <c r="AG840" i="1"/>
  <c r="AJ840" i="1"/>
  <c r="AF840" i="1"/>
  <c r="AE842" i="1" l="1"/>
  <c r="AJ841" i="1"/>
  <c r="AK841" i="1"/>
  <c r="AL841" i="1"/>
  <c r="AM841" i="1"/>
  <c r="AN841" i="1"/>
  <c r="AH841" i="1"/>
  <c r="AP841" i="1"/>
  <c r="AI841" i="1"/>
  <c r="AO841" i="1"/>
  <c r="AF841" i="1"/>
  <c r="AG841" i="1"/>
  <c r="AE843" i="1" l="1"/>
  <c r="AI842" i="1"/>
  <c r="AJ842" i="1"/>
  <c r="AK842" i="1"/>
  <c r="AL842" i="1"/>
  <c r="AM842" i="1"/>
  <c r="AO842" i="1"/>
  <c r="AG842" i="1"/>
  <c r="AH842" i="1"/>
  <c r="AN842" i="1"/>
  <c r="AP842" i="1"/>
  <c r="AF842" i="1"/>
  <c r="AE844" i="1" l="1"/>
  <c r="AH843" i="1"/>
  <c r="AP843" i="1"/>
  <c r="AI843" i="1"/>
  <c r="AJ843" i="1"/>
  <c r="AK843" i="1"/>
  <c r="AL843" i="1"/>
  <c r="AN843" i="1"/>
  <c r="AG843" i="1"/>
  <c r="AM843" i="1"/>
  <c r="AF843" i="1"/>
  <c r="AO843" i="1"/>
  <c r="AE845" i="1" l="1"/>
  <c r="AO844" i="1"/>
  <c r="AH844" i="1"/>
  <c r="AP844" i="1"/>
  <c r="AI844" i="1"/>
  <c r="AJ844" i="1"/>
  <c r="AK844" i="1"/>
  <c r="AM844" i="1"/>
  <c r="AL844" i="1"/>
  <c r="AN844" i="1"/>
  <c r="AG844" i="1"/>
  <c r="AF844" i="1"/>
  <c r="AE846" i="1" l="1"/>
  <c r="AN845" i="1"/>
  <c r="AO845" i="1"/>
  <c r="AH845" i="1"/>
  <c r="AP845" i="1"/>
  <c r="AI845" i="1"/>
  <c r="AJ845" i="1"/>
  <c r="AL845" i="1"/>
  <c r="AK845" i="1"/>
  <c r="AM845" i="1"/>
  <c r="AG845" i="1"/>
  <c r="AF845" i="1"/>
  <c r="AE847" i="1" l="1"/>
  <c r="AM846" i="1"/>
  <c r="AN846" i="1"/>
  <c r="AO846" i="1"/>
  <c r="AH846" i="1"/>
  <c r="AP846" i="1"/>
  <c r="AI846" i="1"/>
  <c r="AK846" i="1"/>
  <c r="AJ846" i="1"/>
  <c r="AG846" i="1"/>
  <c r="AF846" i="1"/>
  <c r="AL846" i="1"/>
  <c r="AE848" i="1" l="1"/>
  <c r="AL847" i="1"/>
  <c r="AM847" i="1"/>
  <c r="AN847" i="1"/>
  <c r="AO847" i="1"/>
  <c r="AH847" i="1"/>
  <c r="AP847" i="1"/>
  <c r="AJ847" i="1"/>
  <c r="AI847" i="1"/>
  <c r="AK847" i="1"/>
  <c r="AF847" i="1"/>
  <c r="AG847" i="1"/>
  <c r="AE849" i="1" l="1"/>
  <c r="AK848" i="1"/>
  <c r="AL848" i="1"/>
  <c r="AM848" i="1"/>
  <c r="AN848" i="1"/>
  <c r="AO848" i="1"/>
  <c r="AI848" i="1"/>
  <c r="AH848" i="1"/>
  <c r="AJ848" i="1"/>
  <c r="AP848" i="1"/>
  <c r="AG848" i="1"/>
  <c r="AF848" i="1"/>
  <c r="AE850" i="1" l="1"/>
  <c r="AJ849" i="1"/>
  <c r="AK849" i="1"/>
  <c r="AL849" i="1"/>
  <c r="AM849" i="1"/>
  <c r="AN849" i="1"/>
  <c r="AH849" i="1"/>
  <c r="AP849" i="1"/>
  <c r="AI849" i="1"/>
  <c r="AO849" i="1"/>
  <c r="AG849" i="1"/>
  <c r="AF849" i="1"/>
  <c r="AE851" i="1" l="1"/>
  <c r="AI850" i="1"/>
  <c r="AJ850" i="1"/>
  <c r="AK850" i="1"/>
  <c r="AL850" i="1"/>
  <c r="AM850" i="1"/>
  <c r="AO850" i="1"/>
  <c r="AG850" i="1"/>
  <c r="AN850" i="1"/>
  <c r="AH850" i="1"/>
  <c r="AP850" i="1"/>
  <c r="AF850" i="1"/>
  <c r="AE852" i="1" l="1"/>
  <c r="AH851" i="1"/>
  <c r="AP851" i="1"/>
  <c r="AI851" i="1"/>
  <c r="AJ851" i="1"/>
  <c r="AK851" i="1"/>
  <c r="AL851" i="1"/>
  <c r="AN851" i="1"/>
  <c r="AM851" i="1"/>
  <c r="AO851" i="1"/>
  <c r="AG851" i="1"/>
  <c r="AF851" i="1"/>
  <c r="AE853" i="1" l="1"/>
  <c r="AO852" i="1"/>
  <c r="AH852" i="1"/>
  <c r="AP852" i="1"/>
  <c r="AI852" i="1"/>
  <c r="AJ852" i="1"/>
  <c r="AK852" i="1"/>
  <c r="AM852" i="1"/>
  <c r="AL852" i="1"/>
  <c r="AG852" i="1"/>
  <c r="AN852" i="1"/>
  <c r="AF852" i="1"/>
  <c r="AE854" i="1" l="1"/>
  <c r="AN853" i="1"/>
  <c r="AO853" i="1"/>
  <c r="AH853" i="1"/>
  <c r="AP853" i="1"/>
  <c r="AI853" i="1"/>
  <c r="AJ853" i="1"/>
  <c r="AL853" i="1"/>
  <c r="AG853" i="1"/>
  <c r="AK853" i="1"/>
  <c r="AF853" i="1"/>
  <c r="AM853" i="1"/>
  <c r="AE855" i="1" l="1"/>
  <c r="AM854" i="1"/>
  <c r="AN854" i="1"/>
  <c r="AO854" i="1"/>
  <c r="AH854" i="1"/>
  <c r="AP854" i="1"/>
  <c r="AI854" i="1"/>
  <c r="AK854" i="1"/>
  <c r="AG854" i="1"/>
  <c r="AJ854" i="1"/>
  <c r="AF854" i="1"/>
  <c r="AL854" i="1"/>
  <c r="AE856" i="1" l="1"/>
  <c r="AL855" i="1"/>
  <c r="AM855" i="1"/>
  <c r="AN855" i="1"/>
  <c r="AO855" i="1"/>
  <c r="AH855" i="1"/>
  <c r="AP855" i="1"/>
  <c r="AJ855" i="1"/>
  <c r="AI855" i="1"/>
  <c r="AK855" i="1"/>
  <c r="AG855" i="1"/>
  <c r="AF855" i="1"/>
  <c r="AE857" i="1" l="1"/>
  <c r="AK856" i="1"/>
  <c r="AL856" i="1"/>
  <c r="AM856" i="1"/>
  <c r="AN856" i="1"/>
  <c r="AO856" i="1"/>
  <c r="AI856" i="1"/>
  <c r="AH856" i="1"/>
  <c r="AJ856" i="1"/>
  <c r="AP856" i="1"/>
  <c r="AG856" i="1"/>
  <c r="AF856" i="1"/>
  <c r="AE858" i="1" l="1"/>
  <c r="AJ857" i="1"/>
  <c r="AK857" i="1"/>
  <c r="AL857" i="1"/>
  <c r="AM857" i="1"/>
  <c r="AN857" i="1"/>
  <c r="AH857" i="1"/>
  <c r="AP857" i="1"/>
  <c r="AO857" i="1"/>
  <c r="AG857" i="1"/>
  <c r="AI857" i="1"/>
  <c r="AF857" i="1"/>
  <c r="AE859" i="1" l="1"/>
  <c r="AI858" i="1"/>
  <c r="AJ858" i="1"/>
  <c r="AK858" i="1"/>
  <c r="AL858" i="1"/>
  <c r="AM858" i="1"/>
  <c r="AO858" i="1"/>
  <c r="AN858" i="1"/>
  <c r="AG858" i="1"/>
  <c r="AP858" i="1"/>
  <c r="AH858" i="1"/>
  <c r="AF858" i="1"/>
  <c r="AE860" i="1" l="1"/>
  <c r="AH859" i="1"/>
  <c r="AP859" i="1"/>
  <c r="AI859" i="1"/>
  <c r="AJ859" i="1"/>
  <c r="AK859" i="1"/>
  <c r="AL859" i="1"/>
  <c r="AN859" i="1"/>
  <c r="AG859" i="1"/>
  <c r="AM859" i="1"/>
  <c r="AO859" i="1"/>
  <c r="AF859" i="1"/>
  <c r="AE861" i="1" l="1"/>
  <c r="AO860" i="1"/>
  <c r="AH860" i="1"/>
  <c r="AP860" i="1"/>
  <c r="AI860" i="1"/>
  <c r="AJ860" i="1"/>
  <c r="AK860" i="1"/>
  <c r="AM860" i="1"/>
  <c r="AG860" i="1"/>
  <c r="AL860" i="1"/>
  <c r="AF860" i="1"/>
  <c r="AN860" i="1"/>
  <c r="AE862" i="1" l="1"/>
  <c r="AN861" i="1"/>
  <c r="AO861" i="1"/>
  <c r="AH861" i="1"/>
  <c r="AP861" i="1"/>
  <c r="AI861" i="1"/>
  <c r="AJ861" i="1"/>
  <c r="AL861" i="1"/>
  <c r="AG861" i="1"/>
  <c r="AK861" i="1"/>
  <c r="AF861" i="1"/>
  <c r="AM861" i="1"/>
  <c r="AE863" i="1" l="1"/>
  <c r="AM862" i="1"/>
  <c r="AN862" i="1"/>
  <c r="AO862" i="1"/>
  <c r="AH862" i="1"/>
  <c r="AP862" i="1"/>
  <c r="AI862" i="1"/>
  <c r="AK862" i="1"/>
  <c r="AJ862" i="1"/>
  <c r="AL862" i="1"/>
  <c r="AG862" i="1"/>
  <c r="AF862" i="1"/>
  <c r="AE864" i="1" l="1"/>
  <c r="AL863" i="1"/>
  <c r="AM863" i="1"/>
  <c r="AN863" i="1"/>
  <c r="AO863" i="1"/>
  <c r="AH863" i="1"/>
  <c r="AP863" i="1"/>
  <c r="AJ863" i="1"/>
  <c r="AI863" i="1"/>
  <c r="AK863" i="1"/>
  <c r="AG863" i="1"/>
  <c r="AF863" i="1"/>
  <c r="AE865" i="1" l="1"/>
  <c r="AK864" i="1"/>
  <c r="AL864" i="1"/>
  <c r="AM864" i="1"/>
  <c r="AN864" i="1"/>
  <c r="AO864" i="1"/>
  <c r="AI864" i="1"/>
  <c r="AH864" i="1"/>
  <c r="AP864" i="1"/>
  <c r="AG864" i="1"/>
  <c r="AJ864" i="1"/>
  <c r="AF864" i="1"/>
  <c r="AE866" i="1" l="1"/>
  <c r="AJ865" i="1"/>
  <c r="AK865" i="1"/>
  <c r="AL865" i="1"/>
  <c r="AM865" i="1"/>
  <c r="AN865" i="1"/>
  <c r="AH865" i="1"/>
  <c r="AP865" i="1"/>
  <c r="AO865" i="1"/>
  <c r="AI865" i="1"/>
  <c r="AF865" i="1"/>
  <c r="AG865" i="1"/>
  <c r="AE867" i="1" l="1"/>
  <c r="AI866" i="1"/>
  <c r="AJ866" i="1"/>
  <c r="AK866" i="1"/>
  <c r="AL866" i="1"/>
  <c r="AM866" i="1"/>
  <c r="AO866" i="1"/>
  <c r="AG866" i="1"/>
  <c r="AH866" i="1"/>
  <c r="AN866" i="1"/>
  <c r="AP866" i="1"/>
  <c r="AF866" i="1"/>
  <c r="AE868" i="1" l="1"/>
  <c r="AH867" i="1"/>
  <c r="AP867" i="1"/>
  <c r="AI867" i="1"/>
  <c r="AJ867" i="1"/>
  <c r="AK867" i="1"/>
  <c r="AL867" i="1"/>
  <c r="AN867" i="1"/>
  <c r="AG867" i="1"/>
  <c r="AM867" i="1"/>
  <c r="AO867" i="1"/>
  <c r="AF867" i="1"/>
  <c r="AE869" i="1" l="1"/>
  <c r="AO868" i="1"/>
  <c r="AH868" i="1"/>
  <c r="AP868" i="1"/>
  <c r="AI868" i="1"/>
  <c r="AJ868" i="1"/>
  <c r="AK868" i="1"/>
  <c r="AM868" i="1"/>
  <c r="AG868" i="1"/>
  <c r="AL868" i="1"/>
  <c r="AF868" i="1"/>
  <c r="AN868" i="1"/>
  <c r="AE870" i="1" l="1"/>
  <c r="AN869" i="1"/>
  <c r="AO869" i="1"/>
  <c r="AH869" i="1"/>
  <c r="AP869" i="1"/>
  <c r="AI869" i="1"/>
  <c r="AJ869" i="1"/>
  <c r="AL869" i="1"/>
  <c r="AK869" i="1"/>
  <c r="AM869" i="1"/>
  <c r="AG869" i="1"/>
  <c r="AF869" i="1"/>
  <c r="AE871" i="1" l="1"/>
  <c r="AM870" i="1"/>
  <c r="AN870" i="1"/>
  <c r="AO870" i="1"/>
  <c r="AH870" i="1"/>
  <c r="AP870" i="1"/>
  <c r="AI870" i="1"/>
  <c r="AK870" i="1"/>
  <c r="AJ870" i="1"/>
  <c r="AL870" i="1"/>
  <c r="AG870" i="1"/>
  <c r="AF870" i="1"/>
  <c r="AE872" i="1" l="1"/>
  <c r="AL871" i="1"/>
  <c r="AM871" i="1"/>
  <c r="AN871" i="1"/>
  <c r="AO871" i="1"/>
  <c r="AH871" i="1"/>
  <c r="AP871" i="1"/>
  <c r="AJ871" i="1"/>
  <c r="AI871" i="1"/>
  <c r="AF871" i="1"/>
  <c r="AK871" i="1"/>
  <c r="AG871" i="1"/>
  <c r="AE873" i="1" l="1"/>
  <c r="AK872" i="1"/>
  <c r="AL872" i="1"/>
  <c r="AM872" i="1"/>
  <c r="AN872" i="1"/>
  <c r="AO872" i="1"/>
  <c r="AI872" i="1"/>
  <c r="AP872" i="1"/>
  <c r="AH872" i="1"/>
  <c r="AG872" i="1"/>
  <c r="AF872" i="1"/>
  <c r="AJ872" i="1"/>
  <c r="AE874" i="1" l="1"/>
  <c r="AJ873" i="1"/>
  <c r="AK873" i="1"/>
  <c r="AL873" i="1"/>
  <c r="AM873" i="1"/>
  <c r="AN873" i="1"/>
  <c r="AH873" i="1"/>
  <c r="AP873" i="1"/>
  <c r="AI873" i="1"/>
  <c r="AO873" i="1"/>
  <c r="AF873" i="1"/>
  <c r="AG873" i="1"/>
  <c r="AE875" i="1" l="1"/>
  <c r="AI874" i="1"/>
  <c r="AJ874" i="1"/>
  <c r="AK874" i="1"/>
  <c r="AL874" i="1"/>
  <c r="AM874" i="1"/>
  <c r="AO874" i="1"/>
  <c r="AG874" i="1"/>
  <c r="AH874" i="1"/>
  <c r="AN874" i="1"/>
  <c r="AP874" i="1"/>
  <c r="AF874" i="1"/>
  <c r="AE876" i="1" l="1"/>
  <c r="AH875" i="1"/>
  <c r="AP875" i="1"/>
  <c r="AI875" i="1"/>
  <c r="AJ875" i="1"/>
  <c r="AK875" i="1"/>
  <c r="AL875" i="1"/>
  <c r="AN875" i="1"/>
  <c r="AG875" i="1"/>
  <c r="AM875" i="1"/>
  <c r="AF875" i="1"/>
  <c r="AO875" i="1"/>
  <c r="AE877" i="1" l="1"/>
  <c r="AO876" i="1"/>
  <c r="AH876" i="1"/>
  <c r="AP876" i="1"/>
  <c r="AI876" i="1"/>
  <c r="AJ876" i="1"/>
  <c r="AK876" i="1"/>
  <c r="AM876" i="1"/>
  <c r="AL876" i="1"/>
  <c r="AN876" i="1"/>
  <c r="AG876" i="1"/>
  <c r="AF876" i="1"/>
  <c r="AE878" i="1" l="1"/>
  <c r="AN877" i="1"/>
  <c r="AO877" i="1"/>
  <c r="AH877" i="1"/>
  <c r="AP877" i="1"/>
  <c r="AI877" i="1"/>
  <c r="AJ877" i="1"/>
  <c r="AL877" i="1"/>
  <c r="AK877" i="1"/>
  <c r="AM877" i="1"/>
  <c r="AG877" i="1"/>
  <c r="AF877" i="1"/>
  <c r="AE879" i="1" l="1"/>
  <c r="AM878" i="1"/>
  <c r="AN878" i="1"/>
  <c r="AO878" i="1"/>
  <c r="AH878" i="1"/>
  <c r="AP878" i="1"/>
  <c r="AI878" i="1"/>
  <c r="AK878" i="1"/>
  <c r="AJ878" i="1"/>
  <c r="AG878" i="1"/>
  <c r="AL878" i="1"/>
  <c r="AF878" i="1"/>
  <c r="AE880" i="1" l="1"/>
  <c r="AL879" i="1"/>
  <c r="AM879" i="1"/>
  <c r="AN879" i="1"/>
  <c r="AO879" i="1"/>
  <c r="AH879" i="1"/>
  <c r="AP879" i="1"/>
  <c r="AJ879" i="1"/>
  <c r="AI879" i="1"/>
  <c r="AK879" i="1"/>
  <c r="AF879" i="1"/>
  <c r="AG879" i="1"/>
  <c r="AE881" i="1" l="1"/>
  <c r="AK880" i="1"/>
  <c r="AL880" i="1"/>
  <c r="AM880" i="1"/>
  <c r="AN880" i="1"/>
  <c r="AO880" i="1"/>
  <c r="AI880" i="1"/>
  <c r="AH880" i="1"/>
  <c r="AJ880" i="1"/>
  <c r="AP880" i="1"/>
  <c r="AG880" i="1"/>
  <c r="AF880" i="1"/>
  <c r="AE882" i="1" l="1"/>
  <c r="AJ881" i="1"/>
  <c r="AK881" i="1"/>
  <c r="AL881" i="1"/>
  <c r="AM881" i="1"/>
  <c r="AN881" i="1"/>
  <c r="AH881" i="1"/>
  <c r="AP881" i="1"/>
  <c r="AI881" i="1"/>
  <c r="AO881" i="1"/>
  <c r="AF881" i="1"/>
  <c r="AG881" i="1"/>
  <c r="AE883" i="1" l="1"/>
  <c r="AI882" i="1"/>
  <c r="AJ882" i="1"/>
  <c r="AK882" i="1"/>
  <c r="AL882" i="1"/>
  <c r="AM882" i="1"/>
  <c r="AO882" i="1"/>
  <c r="AG882" i="1"/>
  <c r="AN882" i="1"/>
  <c r="AH882" i="1"/>
  <c r="AP882" i="1"/>
  <c r="AF882" i="1"/>
  <c r="AE884" i="1" l="1"/>
  <c r="AH883" i="1"/>
  <c r="AP883" i="1"/>
  <c r="AI883" i="1"/>
  <c r="AJ883" i="1"/>
  <c r="AK883" i="1"/>
  <c r="AL883" i="1"/>
  <c r="AN883" i="1"/>
  <c r="AM883" i="1"/>
  <c r="AO883" i="1"/>
  <c r="AG883" i="1"/>
  <c r="AF883" i="1"/>
  <c r="AE885" i="1" l="1"/>
  <c r="AO884" i="1"/>
  <c r="AH884" i="1"/>
  <c r="AP884" i="1"/>
  <c r="AI884" i="1"/>
  <c r="AJ884" i="1"/>
  <c r="AK884" i="1"/>
  <c r="AM884" i="1"/>
  <c r="AL884" i="1"/>
  <c r="AG884" i="1"/>
  <c r="AN884" i="1"/>
  <c r="AF884" i="1"/>
  <c r="AE886" i="1" l="1"/>
  <c r="AN885" i="1"/>
  <c r="AO885" i="1"/>
  <c r="AH885" i="1"/>
  <c r="AP885" i="1"/>
  <c r="AI885" i="1"/>
  <c r="AJ885" i="1"/>
  <c r="AL885" i="1"/>
  <c r="AG885" i="1"/>
  <c r="AK885" i="1"/>
  <c r="AF885" i="1"/>
  <c r="AM885" i="1"/>
  <c r="AE887" i="1" l="1"/>
  <c r="AM886" i="1"/>
  <c r="AN886" i="1"/>
  <c r="AO886" i="1"/>
  <c r="AH886" i="1"/>
  <c r="AP886" i="1"/>
  <c r="AI886" i="1"/>
  <c r="AK886" i="1"/>
  <c r="AG886" i="1"/>
  <c r="AJ886" i="1"/>
  <c r="AF886" i="1"/>
  <c r="AL886" i="1"/>
  <c r="AE888" i="1" l="1"/>
  <c r="AL887" i="1"/>
  <c r="AM887" i="1"/>
  <c r="AN887" i="1"/>
  <c r="AO887" i="1"/>
  <c r="AH887" i="1"/>
  <c r="AP887" i="1"/>
  <c r="AJ887" i="1"/>
  <c r="AI887" i="1"/>
  <c r="AK887" i="1"/>
  <c r="AG887" i="1"/>
  <c r="AF887" i="1"/>
  <c r="AE889" i="1" l="1"/>
  <c r="AK888" i="1"/>
  <c r="AL888" i="1"/>
  <c r="AM888" i="1"/>
  <c r="AN888" i="1"/>
  <c r="AO888" i="1"/>
  <c r="AI888" i="1"/>
  <c r="AH888" i="1"/>
  <c r="AJ888" i="1"/>
  <c r="AP888" i="1"/>
  <c r="AG888" i="1"/>
  <c r="AF888" i="1"/>
  <c r="AE890" i="1" l="1"/>
  <c r="AJ889" i="1"/>
  <c r="AK889" i="1"/>
  <c r="AL889" i="1"/>
  <c r="AM889" i="1"/>
  <c r="AN889" i="1"/>
  <c r="AH889" i="1"/>
  <c r="AP889" i="1"/>
  <c r="AO889" i="1"/>
  <c r="AG889" i="1"/>
  <c r="AF889" i="1"/>
  <c r="AI889" i="1"/>
  <c r="AE891" i="1" l="1"/>
  <c r="AI890" i="1"/>
  <c r="AJ890" i="1"/>
  <c r="AK890" i="1"/>
  <c r="AL890" i="1"/>
  <c r="AM890" i="1"/>
  <c r="AO890" i="1"/>
  <c r="AN890" i="1"/>
  <c r="AG890" i="1"/>
  <c r="AP890" i="1"/>
  <c r="AF890" i="1"/>
  <c r="AH890" i="1"/>
  <c r="AE892" i="1" l="1"/>
  <c r="AH891" i="1"/>
  <c r="AP891" i="1"/>
  <c r="AI891" i="1"/>
  <c r="AJ891" i="1"/>
  <c r="AK891" i="1"/>
  <c r="AL891" i="1"/>
  <c r="AN891" i="1"/>
  <c r="AG891" i="1"/>
  <c r="AM891" i="1"/>
  <c r="AO891" i="1"/>
  <c r="AF891" i="1"/>
  <c r="AE893" i="1" l="1"/>
  <c r="AO892" i="1"/>
  <c r="AH892" i="1"/>
  <c r="AP892" i="1"/>
  <c r="AI892" i="1"/>
  <c r="AJ892" i="1"/>
  <c r="AK892" i="1"/>
  <c r="AM892" i="1"/>
  <c r="AG892" i="1"/>
  <c r="AL892" i="1"/>
  <c r="AN892" i="1"/>
  <c r="AF892" i="1"/>
  <c r="AE894" i="1" l="1"/>
  <c r="AN893" i="1"/>
  <c r="AO893" i="1"/>
  <c r="AH893" i="1"/>
  <c r="AP893" i="1"/>
  <c r="AI893" i="1"/>
  <c r="AJ893" i="1"/>
  <c r="AL893" i="1"/>
  <c r="AG893" i="1"/>
  <c r="AK893" i="1"/>
  <c r="AM893" i="1"/>
  <c r="AF893" i="1"/>
  <c r="AE895" i="1" l="1"/>
  <c r="AO894" i="1"/>
  <c r="AH894" i="1"/>
  <c r="AI894" i="1"/>
  <c r="AK894" i="1"/>
  <c r="AJ894" i="1"/>
  <c r="AL894" i="1"/>
  <c r="AM894" i="1"/>
  <c r="AN894" i="1"/>
  <c r="AP894" i="1"/>
  <c r="AG894" i="1"/>
  <c r="AF894" i="1"/>
  <c r="AE896" i="1" l="1"/>
  <c r="AK895" i="1"/>
  <c r="AL895" i="1"/>
  <c r="AM895" i="1"/>
  <c r="AN895" i="1"/>
  <c r="AO895" i="1"/>
  <c r="AI895" i="1"/>
  <c r="AH895" i="1"/>
  <c r="AG895" i="1"/>
  <c r="AJ895" i="1"/>
  <c r="AF895" i="1"/>
  <c r="AP895" i="1"/>
  <c r="AE897" i="1" l="1"/>
  <c r="AJ896" i="1"/>
  <c r="AK896" i="1"/>
  <c r="AL896" i="1"/>
  <c r="AM896" i="1"/>
  <c r="AN896" i="1"/>
  <c r="AH896" i="1"/>
  <c r="AP896" i="1"/>
  <c r="AG896" i="1"/>
  <c r="AF896" i="1"/>
  <c r="AI896" i="1"/>
  <c r="AO896" i="1"/>
  <c r="AE898" i="1" l="1"/>
  <c r="AI897" i="1"/>
  <c r="AJ897" i="1"/>
  <c r="AK897" i="1"/>
  <c r="AL897" i="1"/>
  <c r="AM897" i="1"/>
  <c r="AO897" i="1"/>
  <c r="AN897" i="1"/>
  <c r="AP897" i="1"/>
  <c r="AH897" i="1"/>
  <c r="AG897" i="1"/>
  <c r="AF897" i="1"/>
  <c r="AE899" i="1" l="1"/>
  <c r="AH898" i="1"/>
  <c r="AP898" i="1"/>
  <c r="AG898" i="1"/>
  <c r="AI898" i="1"/>
  <c r="AJ898" i="1"/>
  <c r="AK898" i="1"/>
  <c r="AL898" i="1"/>
  <c r="AN898" i="1"/>
  <c r="AM898" i="1"/>
  <c r="AO898" i="1"/>
  <c r="AF898" i="1"/>
  <c r="AE900" i="1" l="1"/>
  <c r="AO899" i="1"/>
  <c r="AH899" i="1"/>
  <c r="AP899" i="1"/>
  <c r="AG899" i="1"/>
  <c r="AI899" i="1"/>
  <c r="AJ899" i="1"/>
  <c r="AK899" i="1"/>
  <c r="AM899" i="1"/>
  <c r="AL899" i="1"/>
  <c r="AN899" i="1"/>
  <c r="AF899" i="1"/>
  <c r="AE901" i="1" l="1"/>
  <c r="AN900" i="1"/>
  <c r="AO900" i="1"/>
  <c r="AH900" i="1"/>
  <c r="AP900" i="1"/>
  <c r="AG900" i="1"/>
  <c r="AI900" i="1"/>
  <c r="AJ900" i="1"/>
  <c r="AL900" i="1"/>
  <c r="AF900" i="1"/>
  <c r="AK900" i="1"/>
  <c r="AM900" i="1"/>
  <c r="AE902" i="1" l="1"/>
  <c r="AM901" i="1"/>
  <c r="AN901" i="1"/>
  <c r="AO901" i="1"/>
  <c r="AH901" i="1"/>
  <c r="AP901" i="1"/>
  <c r="AG901" i="1"/>
  <c r="AI901" i="1"/>
  <c r="AK901" i="1"/>
  <c r="AJ901" i="1"/>
  <c r="AL901" i="1"/>
  <c r="AF901" i="1"/>
  <c r="AE903" i="1" l="1"/>
  <c r="AL902" i="1"/>
  <c r="AM902" i="1"/>
  <c r="AN902" i="1"/>
  <c r="AO902" i="1"/>
  <c r="AH902" i="1"/>
  <c r="AP902" i="1"/>
  <c r="AG902" i="1"/>
  <c r="AJ902" i="1"/>
  <c r="AI902" i="1"/>
  <c r="AF902" i="1"/>
  <c r="AK902" i="1"/>
  <c r="AE904" i="1" l="1"/>
  <c r="AK903" i="1"/>
  <c r="AL903" i="1"/>
  <c r="AM903" i="1"/>
  <c r="AN903" i="1"/>
  <c r="AO903" i="1"/>
  <c r="AI903" i="1"/>
  <c r="AF903" i="1"/>
  <c r="AH903" i="1"/>
  <c r="AG903" i="1"/>
  <c r="AJ903" i="1"/>
  <c r="AP903" i="1"/>
  <c r="AE905" i="1" l="1"/>
  <c r="AJ904" i="1"/>
  <c r="AK904" i="1"/>
  <c r="AL904" i="1"/>
  <c r="AM904" i="1"/>
  <c r="AN904" i="1"/>
  <c r="AH904" i="1"/>
  <c r="AP904" i="1"/>
  <c r="AG904" i="1"/>
  <c r="AO904" i="1"/>
  <c r="AI904" i="1"/>
  <c r="AF904" i="1"/>
  <c r="AE906" i="1" l="1"/>
  <c r="AI905" i="1"/>
  <c r="AJ905" i="1"/>
  <c r="AK905" i="1"/>
  <c r="AL905" i="1"/>
  <c r="AM905" i="1"/>
  <c r="AO905" i="1"/>
  <c r="AH905" i="1"/>
  <c r="AF905" i="1"/>
  <c r="AN905" i="1"/>
  <c r="AP905" i="1"/>
  <c r="AG905" i="1"/>
  <c r="AE907" i="1" l="1"/>
  <c r="AH906" i="1"/>
  <c r="AP906" i="1"/>
  <c r="AG906" i="1"/>
  <c r="AI906" i="1"/>
  <c r="AJ906" i="1"/>
  <c r="AK906" i="1"/>
  <c r="AL906" i="1"/>
  <c r="AN906" i="1"/>
  <c r="AM906" i="1"/>
  <c r="AO906" i="1"/>
  <c r="AF906" i="1"/>
  <c r="AE908" i="1" l="1"/>
  <c r="AO907" i="1"/>
  <c r="AH907" i="1"/>
  <c r="AP907" i="1"/>
  <c r="AG907" i="1"/>
  <c r="AI907" i="1"/>
  <c r="AJ907" i="1"/>
  <c r="AK907" i="1"/>
  <c r="AM907" i="1"/>
  <c r="AF907" i="1"/>
  <c r="AL907" i="1"/>
  <c r="AN907" i="1"/>
  <c r="AE909" i="1" l="1"/>
  <c r="AN908" i="1"/>
  <c r="AO908" i="1"/>
  <c r="AH908" i="1"/>
  <c r="AP908" i="1"/>
  <c r="AG908" i="1"/>
  <c r="AI908" i="1"/>
  <c r="AJ908" i="1"/>
  <c r="AL908" i="1"/>
  <c r="AK908" i="1"/>
  <c r="AF908" i="1"/>
  <c r="AM908" i="1"/>
  <c r="AE910" i="1" l="1"/>
  <c r="AM909" i="1"/>
  <c r="AN909" i="1"/>
  <c r="AO909" i="1"/>
  <c r="AH909" i="1"/>
  <c r="AP909" i="1"/>
  <c r="AG909" i="1"/>
  <c r="AI909" i="1"/>
  <c r="AK909" i="1"/>
  <c r="AF909" i="1"/>
  <c r="AJ909" i="1"/>
  <c r="AL909" i="1"/>
  <c r="AE911" i="1" l="1"/>
  <c r="AL910" i="1"/>
  <c r="AM910" i="1"/>
  <c r="AN910" i="1"/>
  <c r="AO910" i="1"/>
  <c r="AH910" i="1"/>
  <c r="AP910" i="1"/>
  <c r="AG910" i="1"/>
  <c r="AJ910" i="1"/>
  <c r="AF910" i="1"/>
  <c r="AI910" i="1"/>
  <c r="AK910" i="1"/>
  <c r="AE912" i="1" l="1"/>
  <c r="AK911" i="1"/>
  <c r="AL911" i="1"/>
  <c r="AM911" i="1"/>
  <c r="AN911" i="1"/>
  <c r="AO911" i="1"/>
  <c r="AI911" i="1"/>
  <c r="AP911" i="1"/>
  <c r="AJ911" i="1"/>
  <c r="AF911" i="1"/>
  <c r="AH911" i="1"/>
  <c r="AG911" i="1"/>
  <c r="AE913" i="1" l="1"/>
  <c r="AJ912" i="1"/>
  <c r="AK912" i="1"/>
  <c r="AL912" i="1"/>
  <c r="AM912" i="1"/>
  <c r="AN912" i="1"/>
  <c r="AH912" i="1"/>
  <c r="AP912" i="1"/>
  <c r="AG912" i="1"/>
  <c r="AI912" i="1"/>
  <c r="AO912" i="1"/>
  <c r="AF912" i="1"/>
  <c r="AE914" i="1" l="1"/>
  <c r="AI913" i="1"/>
  <c r="AJ913" i="1"/>
  <c r="AK913" i="1"/>
  <c r="AL913" i="1"/>
  <c r="AM913" i="1"/>
  <c r="AO913" i="1"/>
  <c r="AH913" i="1"/>
  <c r="AF913" i="1"/>
  <c r="AN913" i="1"/>
  <c r="AP913" i="1"/>
  <c r="AG913" i="1"/>
  <c r="AE915" i="1" l="1"/>
  <c r="AH914" i="1"/>
  <c r="AP914" i="1"/>
  <c r="AG914" i="1"/>
  <c r="AI914" i="1"/>
  <c r="AJ914" i="1"/>
  <c r="AK914" i="1"/>
  <c r="AL914" i="1"/>
  <c r="AN914" i="1"/>
  <c r="AM914" i="1"/>
  <c r="AF914" i="1"/>
  <c r="AO914" i="1"/>
  <c r="AE916" i="1" l="1"/>
  <c r="AO915" i="1"/>
  <c r="AH915" i="1"/>
  <c r="AP915" i="1"/>
  <c r="AG915" i="1"/>
  <c r="AI915" i="1"/>
  <c r="AJ915" i="1"/>
  <c r="AK915" i="1"/>
  <c r="AM915" i="1"/>
  <c r="AL915" i="1"/>
  <c r="AN915" i="1"/>
  <c r="AF915" i="1"/>
  <c r="AE917" i="1" l="1"/>
  <c r="AN916" i="1"/>
  <c r="AO916" i="1"/>
  <c r="AH916" i="1"/>
  <c r="AP916" i="1"/>
  <c r="AG916" i="1"/>
  <c r="AI916" i="1"/>
  <c r="AJ916" i="1"/>
  <c r="AL916" i="1"/>
  <c r="AF916" i="1"/>
  <c r="AK916" i="1"/>
  <c r="AM916" i="1"/>
  <c r="AE918" i="1" l="1"/>
  <c r="AM917" i="1"/>
  <c r="AN917" i="1"/>
  <c r="AO917" i="1"/>
  <c r="AH917" i="1"/>
  <c r="AP917" i="1"/>
  <c r="AG917" i="1"/>
  <c r="AI917" i="1"/>
  <c r="AK917" i="1"/>
  <c r="AF917" i="1"/>
  <c r="AJ917" i="1"/>
  <c r="AL917" i="1"/>
  <c r="AE919" i="1" l="1"/>
  <c r="AL918" i="1"/>
  <c r="AM918" i="1"/>
  <c r="AN918" i="1"/>
  <c r="AO918" i="1"/>
  <c r="AH918" i="1"/>
  <c r="AP918" i="1"/>
  <c r="AG918" i="1"/>
  <c r="AJ918" i="1"/>
  <c r="AF918" i="1"/>
  <c r="AK918" i="1"/>
  <c r="AI918" i="1"/>
  <c r="AE920" i="1" l="1"/>
  <c r="AK919" i="1"/>
  <c r="AL919" i="1"/>
  <c r="AM919" i="1"/>
  <c r="AN919" i="1"/>
  <c r="AO919" i="1"/>
  <c r="AI919" i="1"/>
  <c r="AH919" i="1"/>
  <c r="AG919" i="1"/>
  <c r="AJ919" i="1"/>
  <c r="AP919" i="1"/>
  <c r="AF919" i="1"/>
  <c r="AE921" i="1" l="1"/>
  <c r="AJ920" i="1"/>
  <c r="AK920" i="1"/>
  <c r="AL920" i="1"/>
  <c r="AM920" i="1"/>
  <c r="AN920" i="1"/>
  <c r="AH920" i="1"/>
  <c r="AP920" i="1"/>
  <c r="AG920" i="1"/>
  <c r="AI920" i="1"/>
  <c r="AO920" i="1"/>
  <c r="AF920" i="1"/>
  <c r="AE922" i="1" l="1"/>
  <c r="AI921" i="1"/>
  <c r="AJ921" i="1"/>
  <c r="AK921" i="1"/>
  <c r="AL921" i="1"/>
  <c r="AM921" i="1"/>
  <c r="AO921" i="1"/>
  <c r="AG921" i="1"/>
  <c r="AH921" i="1"/>
  <c r="AF921" i="1"/>
  <c r="AN921" i="1"/>
  <c r="AP921" i="1"/>
  <c r="AE923" i="1" l="1"/>
  <c r="AH922" i="1"/>
  <c r="AP922" i="1"/>
  <c r="AG922" i="1"/>
  <c r="AI922" i="1"/>
  <c r="AJ922" i="1"/>
  <c r="AK922" i="1"/>
  <c r="AL922" i="1"/>
  <c r="AN922" i="1"/>
  <c r="AM922" i="1"/>
  <c r="AO922" i="1"/>
  <c r="AF922" i="1"/>
  <c r="AE924" i="1" l="1"/>
  <c r="AO923" i="1"/>
  <c r="AH923" i="1"/>
  <c r="AP923" i="1"/>
  <c r="AG923" i="1"/>
  <c r="AI923" i="1"/>
  <c r="AJ923" i="1"/>
  <c r="AK923" i="1"/>
  <c r="AM923" i="1"/>
  <c r="AF923" i="1"/>
  <c r="AL923" i="1"/>
  <c r="AN923" i="1"/>
  <c r="AE925" i="1" l="1"/>
  <c r="AN924" i="1"/>
  <c r="AO924" i="1"/>
  <c r="AH924" i="1"/>
  <c r="AP924" i="1"/>
  <c r="AG924" i="1"/>
  <c r="AI924" i="1"/>
  <c r="AJ924" i="1"/>
  <c r="AL924" i="1"/>
  <c r="AF924" i="1"/>
  <c r="AK924" i="1"/>
  <c r="AM924" i="1"/>
  <c r="AE926" i="1" l="1"/>
  <c r="AM925" i="1"/>
  <c r="AN925" i="1"/>
  <c r="AO925" i="1"/>
  <c r="AH925" i="1"/>
  <c r="AP925" i="1"/>
  <c r="AG925" i="1"/>
  <c r="AI925" i="1"/>
  <c r="AK925" i="1"/>
  <c r="AF925" i="1"/>
  <c r="AL925" i="1"/>
  <c r="AJ925" i="1"/>
  <c r="AE927" i="1" l="1"/>
  <c r="AL926" i="1"/>
  <c r="AM926" i="1"/>
  <c r="AN926" i="1"/>
  <c r="AO926" i="1"/>
  <c r="AH926" i="1"/>
  <c r="AP926" i="1"/>
  <c r="AG926" i="1"/>
  <c r="AJ926" i="1"/>
  <c r="AI926" i="1"/>
  <c r="AK926" i="1"/>
  <c r="AF926" i="1"/>
  <c r="AE928" i="1" l="1"/>
  <c r="AK927" i="1"/>
  <c r="AL927" i="1"/>
  <c r="AM927" i="1"/>
  <c r="AN927" i="1"/>
  <c r="AO927" i="1"/>
  <c r="AI927" i="1"/>
  <c r="AH927" i="1"/>
  <c r="AG927" i="1"/>
  <c r="AJ927" i="1"/>
  <c r="AF927" i="1"/>
  <c r="AP927" i="1"/>
  <c r="AE929" i="1" l="1"/>
  <c r="AJ928" i="1"/>
  <c r="AK928" i="1"/>
  <c r="AL928" i="1"/>
  <c r="AM928" i="1"/>
  <c r="AN928" i="1"/>
  <c r="AH928" i="1"/>
  <c r="AP928" i="1"/>
  <c r="AG928" i="1"/>
  <c r="AF928" i="1"/>
  <c r="AI928" i="1"/>
  <c r="AO928" i="1"/>
  <c r="AE930" i="1" l="1"/>
  <c r="AI929" i="1"/>
  <c r="AJ929" i="1"/>
  <c r="AK929" i="1"/>
  <c r="AL929" i="1"/>
  <c r="AM929" i="1"/>
  <c r="AO929" i="1"/>
  <c r="AN929" i="1"/>
  <c r="AP929" i="1"/>
  <c r="AG929" i="1"/>
  <c r="AF929" i="1"/>
  <c r="AH929" i="1"/>
  <c r="AE931" i="1" l="1"/>
  <c r="AH930" i="1"/>
  <c r="AP930" i="1"/>
  <c r="AG930" i="1"/>
  <c r="AI930" i="1"/>
  <c r="AJ930" i="1"/>
  <c r="AK930" i="1"/>
  <c r="AL930" i="1"/>
  <c r="AN930" i="1"/>
  <c r="AM930" i="1"/>
  <c r="AO930" i="1"/>
  <c r="AF930" i="1"/>
  <c r="AE932" i="1" l="1"/>
  <c r="AO931" i="1"/>
  <c r="AH931" i="1"/>
  <c r="AP931" i="1"/>
  <c r="AG931" i="1"/>
  <c r="AI931" i="1"/>
  <c r="AJ931" i="1"/>
  <c r="AK931" i="1"/>
  <c r="AM931" i="1"/>
  <c r="AL931" i="1"/>
  <c r="AF931" i="1"/>
  <c r="AN931" i="1"/>
  <c r="AE933" i="1" l="1"/>
  <c r="AN932" i="1"/>
  <c r="AO932" i="1"/>
  <c r="AH932" i="1"/>
  <c r="AP932" i="1"/>
  <c r="AG932" i="1"/>
  <c r="AI932" i="1"/>
  <c r="AJ932" i="1"/>
  <c r="AL932" i="1"/>
  <c r="AF932" i="1"/>
  <c r="AM932" i="1"/>
  <c r="AK932" i="1"/>
  <c r="AE934" i="1" l="1"/>
  <c r="AM933" i="1"/>
  <c r="AN933" i="1"/>
  <c r="AO933" i="1"/>
  <c r="AH933" i="1"/>
  <c r="AP933" i="1"/>
  <c r="AG933" i="1"/>
  <c r="AI933" i="1"/>
  <c r="AK933" i="1"/>
  <c r="AJ933" i="1"/>
  <c r="AL933" i="1"/>
  <c r="AF933" i="1"/>
  <c r="AE935" i="1" l="1"/>
  <c r="AL934" i="1"/>
  <c r="AM934" i="1"/>
  <c r="AN934" i="1"/>
  <c r="AO934" i="1"/>
  <c r="AH934" i="1"/>
  <c r="AP934" i="1"/>
  <c r="AG934" i="1"/>
  <c r="AJ934" i="1"/>
  <c r="AI934" i="1"/>
  <c r="AF934" i="1"/>
  <c r="AK934" i="1"/>
  <c r="AE936" i="1" l="1"/>
  <c r="AK935" i="1"/>
  <c r="AL935" i="1"/>
  <c r="AM935" i="1"/>
  <c r="AN935" i="1"/>
  <c r="AO935" i="1"/>
  <c r="AI935" i="1"/>
  <c r="AF935" i="1"/>
  <c r="AH935" i="1"/>
  <c r="AG935" i="1"/>
  <c r="AJ935" i="1"/>
  <c r="AP935" i="1"/>
  <c r="AE937" i="1" l="1"/>
  <c r="AJ936" i="1"/>
  <c r="AK936" i="1"/>
  <c r="AL936" i="1"/>
  <c r="AM936" i="1"/>
  <c r="AN936" i="1"/>
  <c r="AH936" i="1"/>
  <c r="AP936" i="1"/>
  <c r="AG936" i="1"/>
  <c r="AO936" i="1"/>
  <c r="AF936" i="1"/>
  <c r="AI936" i="1"/>
  <c r="AE938" i="1" l="1"/>
  <c r="AI937" i="1"/>
  <c r="AJ937" i="1"/>
  <c r="AK937" i="1"/>
  <c r="AL937" i="1"/>
  <c r="AM937" i="1"/>
  <c r="AO937" i="1"/>
  <c r="AH937" i="1"/>
  <c r="AN937" i="1"/>
  <c r="AF937" i="1"/>
  <c r="AP937" i="1"/>
  <c r="AG937" i="1"/>
  <c r="AE939" i="1" l="1"/>
  <c r="AH938" i="1"/>
  <c r="AP938" i="1"/>
  <c r="AG938" i="1"/>
  <c r="AI938" i="1"/>
  <c r="AJ938" i="1"/>
  <c r="AK938" i="1"/>
  <c r="AL938" i="1"/>
  <c r="AN938" i="1"/>
  <c r="AM938" i="1"/>
  <c r="AO938" i="1"/>
  <c r="AF938" i="1"/>
  <c r="AE940" i="1" l="1"/>
  <c r="AO939" i="1"/>
  <c r="AH939" i="1"/>
  <c r="AP939" i="1"/>
  <c r="AG939" i="1"/>
  <c r="AI939" i="1"/>
  <c r="AJ939" i="1"/>
  <c r="AK939" i="1"/>
  <c r="AM939" i="1"/>
  <c r="AN939" i="1"/>
  <c r="AF939" i="1"/>
  <c r="AL939" i="1"/>
  <c r="AE941" i="1" l="1"/>
  <c r="AN940" i="1"/>
  <c r="AO940" i="1"/>
  <c r="AH940" i="1"/>
  <c r="AP940" i="1"/>
  <c r="AG940" i="1"/>
  <c r="AI940" i="1"/>
  <c r="AJ940" i="1"/>
  <c r="AL940" i="1"/>
  <c r="AK940" i="1"/>
  <c r="AF940" i="1"/>
  <c r="AM940" i="1"/>
  <c r="AE942" i="1" l="1"/>
  <c r="AM941" i="1"/>
  <c r="AN941" i="1"/>
  <c r="AO941" i="1"/>
  <c r="AH941" i="1"/>
  <c r="AP941" i="1"/>
  <c r="AG941" i="1"/>
  <c r="AI941" i="1"/>
  <c r="AK941" i="1"/>
  <c r="AF941" i="1"/>
  <c r="AJ941" i="1"/>
  <c r="AL941" i="1"/>
  <c r="AE943" i="1" l="1"/>
  <c r="AL942" i="1"/>
  <c r="AM942" i="1"/>
  <c r="AN942" i="1"/>
  <c r="AO942" i="1"/>
  <c r="AH942" i="1"/>
  <c r="AP942" i="1"/>
  <c r="AG942" i="1"/>
  <c r="AJ942" i="1"/>
  <c r="AF942" i="1"/>
  <c r="AI942" i="1"/>
  <c r="AK942" i="1"/>
  <c r="AE944" i="1" l="1"/>
  <c r="AK943" i="1"/>
  <c r="AL943" i="1"/>
  <c r="AM943" i="1"/>
  <c r="AN943" i="1"/>
  <c r="AO943" i="1"/>
  <c r="AI943" i="1"/>
  <c r="AP943" i="1"/>
  <c r="AF943" i="1"/>
  <c r="AH943" i="1"/>
  <c r="AG943" i="1"/>
  <c r="AJ943" i="1"/>
  <c r="AE945" i="1" l="1"/>
  <c r="AJ944" i="1"/>
  <c r="AK944" i="1"/>
  <c r="AL944" i="1"/>
  <c r="AM944" i="1"/>
  <c r="AN944" i="1"/>
  <c r="AH944" i="1"/>
  <c r="AP944" i="1"/>
  <c r="AG944" i="1"/>
  <c r="AI944" i="1"/>
  <c r="AO944" i="1"/>
  <c r="AF944" i="1"/>
  <c r="AE946" i="1" l="1"/>
  <c r="AI945" i="1"/>
  <c r="AJ945" i="1"/>
  <c r="AK945" i="1"/>
  <c r="AL945" i="1"/>
  <c r="AM945" i="1"/>
  <c r="AO945" i="1"/>
  <c r="AG945" i="1"/>
  <c r="AH945" i="1"/>
  <c r="AF945" i="1"/>
  <c r="AN945" i="1"/>
  <c r="AP945" i="1"/>
  <c r="AE947" i="1" l="1"/>
  <c r="AH946" i="1"/>
  <c r="AP946" i="1"/>
  <c r="AG946" i="1"/>
  <c r="AI946" i="1"/>
  <c r="AJ946" i="1"/>
  <c r="AK946" i="1"/>
  <c r="AL946" i="1"/>
  <c r="AN946" i="1"/>
  <c r="AO946" i="1"/>
  <c r="AM946" i="1"/>
  <c r="AF946" i="1"/>
  <c r="AE948" i="1" l="1"/>
  <c r="AO947" i="1"/>
  <c r="AH947" i="1"/>
  <c r="AP947" i="1"/>
  <c r="AG947" i="1"/>
  <c r="AI947" i="1"/>
  <c r="AJ947" i="1"/>
  <c r="AK947" i="1"/>
  <c r="AM947" i="1"/>
  <c r="AL947" i="1"/>
  <c r="AF947" i="1"/>
  <c r="AN947" i="1"/>
  <c r="AE949" i="1" l="1"/>
  <c r="AN948" i="1"/>
  <c r="AO948" i="1"/>
  <c r="AH948" i="1"/>
  <c r="AP948" i="1"/>
  <c r="AG948" i="1"/>
  <c r="AI948" i="1"/>
  <c r="AJ948" i="1"/>
  <c r="AL948" i="1"/>
  <c r="AF948" i="1"/>
  <c r="AK948" i="1"/>
  <c r="AM948" i="1"/>
  <c r="AE950" i="1" l="1"/>
  <c r="AM949" i="1"/>
  <c r="AN949" i="1"/>
  <c r="AO949" i="1"/>
  <c r="AH949" i="1"/>
  <c r="AP949" i="1"/>
  <c r="AG949" i="1"/>
  <c r="AI949" i="1"/>
  <c r="AK949" i="1"/>
  <c r="AF949" i="1"/>
  <c r="AJ949" i="1"/>
  <c r="AL949" i="1"/>
  <c r="AE951" i="1" l="1"/>
  <c r="AL950" i="1"/>
  <c r="AM950" i="1"/>
  <c r="AN950" i="1"/>
  <c r="AO950" i="1"/>
  <c r="AH950" i="1"/>
  <c r="AP950" i="1"/>
  <c r="AG950" i="1"/>
  <c r="AJ950" i="1"/>
  <c r="AF950" i="1"/>
  <c r="AI950" i="1"/>
  <c r="AK950" i="1"/>
  <c r="AE952" i="1" l="1"/>
  <c r="AK951" i="1"/>
  <c r="AL951" i="1"/>
  <c r="AM951" i="1"/>
  <c r="AN951" i="1"/>
  <c r="AO951" i="1"/>
  <c r="AI951" i="1"/>
  <c r="AH951" i="1"/>
  <c r="AG951" i="1"/>
  <c r="AJ951" i="1"/>
  <c r="AP951" i="1"/>
  <c r="AF951" i="1"/>
  <c r="AE953" i="1" l="1"/>
  <c r="AJ952" i="1"/>
  <c r="AK952" i="1"/>
  <c r="AL952" i="1"/>
  <c r="AM952" i="1"/>
  <c r="AN952" i="1"/>
  <c r="AH952" i="1"/>
  <c r="AP952" i="1"/>
  <c r="AG952" i="1"/>
  <c r="AI952" i="1"/>
  <c r="AO952" i="1"/>
  <c r="AF952" i="1"/>
  <c r="AE954" i="1" l="1"/>
  <c r="AI953" i="1"/>
  <c r="AJ953" i="1"/>
  <c r="AK953" i="1"/>
  <c r="AL953" i="1"/>
  <c r="AM953" i="1"/>
  <c r="AO953" i="1"/>
  <c r="AG953" i="1"/>
  <c r="AP953" i="1"/>
  <c r="AH953" i="1"/>
  <c r="AF953" i="1"/>
  <c r="AN953" i="1"/>
  <c r="AE955" i="1" l="1"/>
  <c r="AH954" i="1"/>
  <c r="AP954" i="1"/>
  <c r="AG954" i="1"/>
  <c r="AI954" i="1"/>
  <c r="AJ954" i="1"/>
  <c r="AK954" i="1"/>
  <c r="AL954" i="1"/>
  <c r="AN954" i="1"/>
  <c r="AM954" i="1"/>
  <c r="AO954" i="1"/>
  <c r="AF954" i="1"/>
  <c r="AE956" i="1" l="1"/>
  <c r="AO955" i="1"/>
  <c r="AH955" i="1"/>
  <c r="AP955" i="1"/>
  <c r="AG955" i="1"/>
  <c r="AI955" i="1"/>
  <c r="AJ955" i="1"/>
  <c r="AK955" i="1"/>
  <c r="AM955" i="1"/>
  <c r="AL955" i="1"/>
  <c r="AN955" i="1"/>
  <c r="AF955" i="1"/>
  <c r="AE957" i="1" l="1"/>
  <c r="AN956" i="1"/>
  <c r="AO956" i="1"/>
  <c r="AH956" i="1"/>
  <c r="AP956" i="1"/>
  <c r="AG956" i="1"/>
  <c r="AI956" i="1"/>
  <c r="AJ956" i="1"/>
  <c r="AL956" i="1"/>
  <c r="AF956" i="1"/>
  <c r="AK956" i="1"/>
  <c r="AM956" i="1"/>
  <c r="AE958" i="1" l="1"/>
  <c r="AM957" i="1"/>
  <c r="AN957" i="1"/>
  <c r="AO957" i="1"/>
  <c r="AH957" i="1"/>
  <c r="AP957" i="1"/>
  <c r="AG957" i="1"/>
  <c r="AI957" i="1"/>
  <c r="AK957" i="1"/>
  <c r="AF957" i="1"/>
  <c r="AJ957" i="1"/>
  <c r="AL957" i="1"/>
  <c r="AE959" i="1" l="1"/>
  <c r="AL958" i="1"/>
  <c r="AM958" i="1"/>
  <c r="AN958" i="1"/>
  <c r="AO958" i="1"/>
  <c r="AH958" i="1"/>
  <c r="AP958" i="1"/>
  <c r="AG958" i="1"/>
  <c r="AJ958" i="1"/>
  <c r="AI958" i="1"/>
  <c r="AK958" i="1"/>
  <c r="AF958" i="1"/>
  <c r="AE960" i="1" l="1"/>
  <c r="AK959" i="1"/>
  <c r="AL959" i="1"/>
  <c r="AM959" i="1"/>
  <c r="AN959" i="1"/>
  <c r="AO959" i="1"/>
  <c r="AI959" i="1"/>
  <c r="AH959" i="1"/>
  <c r="AG959" i="1"/>
  <c r="AJ959" i="1"/>
  <c r="AF959" i="1"/>
  <c r="AP959" i="1"/>
  <c r="AE961" i="1" l="1"/>
  <c r="AJ960" i="1"/>
  <c r="AK960" i="1"/>
  <c r="AL960" i="1"/>
  <c r="AM960" i="1"/>
  <c r="AN960" i="1"/>
  <c r="AH960" i="1"/>
  <c r="AP960" i="1"/>
  <c r="AG960" i="1"/>
  <c r="AF960" i="1"/>
  <c r="AI960" i="1"/>
  <c r="AO960" i="1"/>
  <c r="AE962" i="1" l="1"/>
  <c r="AI961" i="1"/>
  <c r="AJ961" i="1"/>
  <c r="AK961" i="1"/>
  <c r="AL961" i="1"/>
  <c r="AM961" i="1"/>
  <c r="AO961" i="1"/>
  <c r="AN961" i="1"/>
  <c r="AP961" i="1"/>
  <c r="AH961" i="1"/>
  <c r="AG961" i="1"/>
  <c r="AF961" i="1"/>
  <c r="AE963" i="1" l="1"/>
  <c r="AH962" i="1"/>
  <c r="AP962" i="1"/>
  <c r="AG962" i="1"/>
  <c r="AI962" i="1"/>
  <c r="AJ962" i="1"/>
  <c r="AK962" i="1"/>
  <c r="AL962" i="1"/>
  <c r="AN962" i="1"/>
  <c r="AM962" i="1"/>
  <c r="AO962" i="1"/>
  <c r="AF962" i="1"/>
  <c r="AE964" i="1" l="1"/>
  <c r="AO963" i="1"/>
  <c r="AH963" i="1"/>
  <c r="AP963" i="1"/>
  <c r="AG963" i="1"/>
  <c r="AI963" i="1"/>
  <c r="AJ963" i="1"/>
  <c r="AK963" i="1"/>
  <c r="AM963" i="1"/>
  <c r="AF963" i="1"/>
  <c r="AL963" i="1"/>
  <c r="AN963" i="1"/>
  <c r="AE965" i="1" l="1"/>
  <c r="AN964" i="1"/>
  <c r="AO964" i="1"/>
  <c r="AH964" i="1"/>
  <c r="AP964" i="1"/>
  <c r="AG964" i="1"/>
  <c r="AI964" i="1"/>
  <c r="AJ964" i="1"/>
  <c r="AL964" i="1"/>
  <c r="AF964" i="1"/>
  <c r="AK964" i="1"/>
  <c r="AM964" i="1"/>
  <c r="AE966" i="1" l="1"/>
  <c r="AM965" i="1"/>
  <c r="AN965" i="1"/>
  <c r="AO965" i="1"/>
  <c r="AH965" i="1"/>
  <c r="AP965" i="1"/>
  <c r="AG965" i="1"/>
  <c r="AI965" i="1"/>
  <c r="AK965" i="1"/>
  <c r="AJ965" i="1"/>
  <c r="AL965" i="1"/>
  <c r="AF965" i="1"/>
  <c r="AE967" i="1" l="1"/>
  <c r="AL966" i="1"/>
  <c r="AM966" i="1"/>
  <c r="AN966" i="1"/>
  <c r="AO966" i="1"/>
  <c r="AH966" i="1"/>
  <c r="AP966" i="1"/>
  <c r="AG966" i="1"/>
  <c r="AJ966" i="1"/>
  <c r="AI966" i="1"/>
  <c r="AF966" i="1"/>
  <c r="AK966" i="1"/>
  <c r="AE968" i="1" l="1"/>
  <c r="AK967" i="1"/>
  <c r="AL967" i="1"/>
  <c r="AM967" i="1"/>
  <c r="AN967" i="1"/>
  <c r="AO967" i="1"/>
  <c r="AI967" i="1"/>
  <c r="AF967" i="1"/>
  <c r="AH967" i="1"/>
  <c r="AG967" i="1"/>
  <c r="AJ967" i="1"/>
  <c r="AP967" i="1"/>
  <c r="AE969" i="1" l="1"/>
  <c r="AJ968" i="1"/>
  <c r="AK968" i="1"/>
  <c r="AL968" i="1"/>
  <c r="AM968" i="1"/>
  <c r="AN968" i="1"/>
  <c r="AH968" i="1"/>
  <c r="AP968" i="1"/>
  <c r="AG968" i="1"/>
  <c r="AO968" i="1"/>
  <c r="AI968" i="1"/>
  <c r="AF968" i="1"/>
  <c r="AE970" i="1" l="1"/>
  <c r="AI969" i="1"/>
  <c r="AJ969" i="1"/>
  <c r="AK969" i="1"/>
  <c r="AL969" i="1"/>
  <c r="AM969" i="1"/>
  <c r="AO969" i="1"/>
  <c r="AH969" i="1"/>
  <c r="AF969" i="1"/>
  <c r="AN969" i="1"/>
  <c r="AP969" i="1"/>
  <c r="AG969" i="1"/>
  <c r="AE971" i="1" l="1"/>
  <c r="AH970" i="1"/>
  <c r="AP970" i="1"/>
  <c r="AG970" i="1"/>
  <c r="AI970" i="1"/>
  <c r="AJ970" i="1"/>
  <c r="AK970" i="1"/>
  <c r="AL970" i="1"/>
  <c r="AN970" i="1"/>
  <c r="AM970" i="1"/>
  <c r="AO970" i="1"/>
  <c r="AF970" i="1"/>
  <c r="AE972" i="1" l="1"/>
  <c r="AO971" i="1"/>
  <c r="AH971" i="1"/>
  <c r="AP971" i="1"/>
  <c r="AG971" i="1"/>
  <c r="AI971" i="1"/>
  <c r="AJ971" i="1"/>
  <c r="AK971" i="1"/>
  <c r="AM971" i="1"/>
  <c r="AF971" i="1"/>
  <c r="AL971" i="1"/>
  <c r="AN971" i="1"/>
  <c r="AE973" i="1" l="1"/>
  <c r="AN972" i="1"/>
  <c r="AO972" i="1"/>
  <c r="AH972" i="1"/>
  <c r="AP972" i="1"/>
  <c r="AG972" i="1"/>
  <c r="AI972" i="1"/>
  <c r="AJ972" i="1"/>
  <c r="AL972" i="1"/>
  <c r="AK972" i="1"/>
  <c r="AF972" i="1"/>
  <c r="AM972" i="1"/>
  <c r="AE974" i="1" l="1"/>
  <c r="AM973" i="1"/>
  <c r="AN973" i="1"/>
  <c r="AO973" i="1"/>
  <c r="AH973" i="1"/>
  <c r="AP973" i="1"/>
  <c r="AG973" i="1"/>
  <c r="AI973" i="1"/>
  <c r="AK973" i="1"/>
  <c r="AF973" i="1"/>
  <c r="AJ973" i="1"/>
  <c r="AL973" i="1"/>
  <c r="AE975" i="1" l="1"/>
  <c r="AL974" i="1"/>
  <c r="AM974" i="1"/>
  <c r="AN974" i="1"/>
  <c r="AO974" i="1"/>
  <c r="AH974" i="1"/>
  <c r="AP974" i="1"/>
  <c r="AG974" i="1"/>
  <c r="AJ974" i="1"/>
  <c r="AF974" i="1"/>
  <c r="AI974" i="1"/>
  <c r="AK974" i="1"/>
  <c r="AE976" i="1" l="1"/>
  <c r="AK975" i="1"/>
  <c r="AL975" i="1"/>
  <c r="AM975" i="1"/>
  <c r="AN975" i="1"/>
  <c r="AO975" i="1"/>
  <c r="AI975" i="1"/>
  <c r="AP975" i="1"/>
  <c r="AJ975" i="1"/>
  <c r="AF975" i="1"/>
  <c r="AH975" i="1"/>
  <c r="AG975" i="1"/>
  <c r="AE977" i="1" l="1"/>
  <c r="AJ976" i="1"/>
  <c r="AK976" i="1"/>
  <c r="AL976" i="1"/>
  <c r="AM976" i="1"/>
  <c r="AN976" i="1"/>
  <c r="AH976" i="1"/>
  <c r="AP976" i="1"/>
  <c r="AG976" i="1"/>
  <c r="AI976" i="1"/>
  <c r="AO976" i="1"/>
  <c r="AF976" i="1"/>
  <c r="AE978" i="1" l="1"/>
  <c r="AI977" i="1"/>
  <c r="AJ977" i="1"/>
  <c r="AK977" i="1"/>
  <c r="AL977" i="1"/>
  <c r="AM977" i="1"/>
  <c r="AO977" i="1"/>
  <c r="AH977" i="1"/>
  <c r="AF977" i="1"/>
  <c r="AG977" i="1"/>
  <c r="AN977" i="1"/>
  <c r="AP977" i="1"/>
  <c r="AE979" i="1" l="1"/>
  <c r="AH978" i="1"/>
  <c r="AP978" i="1"/>
  <c r="AG978" i="1"/>
  <c r="AI978" i="1"/>
  <c r="AJ978" i="1"/>
  <c r="AK978" i="1"/>
  <c r="AL978" i="1"/>
  <c r="AN978" i="1"/>
  <c r="AM978" i="1"/>
  <c r="AF978" i="1"/>
  <c r="AO978" i="1"/>
  <c r="AE980" i="1" l="1"/>
  <c r="AO979" i="1"/>
  <c r="AH979" i="1"/>
  <c r="AP979" i="1"/>
  <c r="AG979" i="1"/>
  <c r="AI979" i="1"/>
  <c r="AJ979" i="1"/>
  <c r="AK979" i="1"/>
  <c r="AM979" i="1"/>
  <c r="AL979" i="1"/>
  <c r="AN979" i="1"/>
  <c r="AF979" i="1"/>
  <c r="AE981" i="1" l="1"/>
  <c r="AN980" i="1"/>
  <c r="AO980" i="1"/>
  <c r="AH980" i="1"/>
  <c r="AP980" i="1"/>
  <c r="AG980" i="1"/>
  <c r="AI980" i="1"/>
  <c r="AJ980" i="1"/>
  <c r="AL980" i="1"/>
  <c r="AF980" i="1"/>
  <c r="AK980" i="1"/>
  <c r="AM980" i="1"/>
  <c r="AE982" i="1" l="1"/>
  <c r="AM981" i="1"/>
  <c r="AN981" i="1"/>
  <c r="AO981" i="1"/>
  <c r="AH981" i="1"/>
  <c r="AP981" i="1"/>
  <c r="AG981" i="1"/>
  <c r="AI981" i="1"/>
  <c r="AK981" i="1"/>
  <c r="AF981" i="1"/>
  <c r="AJ981" i="1"/>
  <c r="AL981" i="1"/>
  <c r="AE983" i="1" l="1"/>
  <c r="AL982" i="1"/>
  <c r="AM982" i="1"/>
  <c r="AN982" i="1"/>
  <c r="AO982" i="1"/>
  <c r="AH982" i="1"/>
  <c r="AP982" i="1"/>
  <c r="AG982" i="1"/>
  <c r="AJ982" i="1"/>
  <c r="AF982" i="1"/>
  <c r="AK982" i="1"/>
  <c r="AI982" i="1"/>
  <c r="AE984" i="1" l="1"/>
  <c r="AK983" i="1"/>
  <c r="AL983" i="1"/>
  <c r="AM983" i="1"/>
  <c r="AN983" i="1"/>
  <c r="AO983" i="1"/>
  <c r="AI983" i="1"/>
  <c r="AH983" i="1"/>
  <c r="AG983" i="1"/>
  <c r="AJ983" i="1"/>
  <c r="AP983" i="1"/>
  <c r="AF983" i="1"/>
  <c r="AE985" i="1" l="1"/>
  <c r="AJ984" i="1"/>
  <c r="AK984" i="1"/>
  <c r="AL984" i="1"/>
  <c r="AM984" i="1"/>
  <c r="AN984" i="1"/>
  <c r="AH984" i="1"/>
  <c r="AP984" i="1"/>
  <c r="AG984" i="1"/>
  <c r="AI984" i="1"/>
  <c r="AO984" i="1"/>
  <c r="AF984" i="1"/>
  <c r="AE986" i="1" l="1"/>
  <c r="AI985" i="1"/>
  <c r="AJ985" i="1"/>
  <c r="AK985" i="1"/>
  <c r="AL985" i="1"/>
  <c r="AM985" i="1"/>
  <c r="AO985" i="1"/>
  <c r="AG985" i="1"/>
  <c r="AF985" i="1"/>
  <c r="AH985" i="1"/>
  <c r="AN985" i="1"/>
  <c r="AP985" i="1"/>
  <c r="AE987" i="1" l="1"/>
  <c r="AH986" i="1"/>
  <c r="AP986" i="1"/>
  <c r="AG986" i="1"/>
  <c r="AI986" i="1"/>
  <c r="AJ986" i="1"/>
  <c r="AK986" i="1"/>
  <c r="AL986" i="1"/>
  <c r="AN986" i="1"/>
  <c r="AM986" i="1"/>
  <c r="AO986" i="1"/>
  <c r="AF986" i="1"/>
  <c r="AE988" i="1" l="1"/>
  <c r="AO987" i="1"/>
  <c r="AH987" i="1"/>
  <c r="AP987" i="1"/>
  <c r="AG987" i="1"/>
  <c r="AI987" i="1"/>
  <c r="AJ987" i="1"/>
  <c r="AK987" i="1"/>
  <c r="AM987" i="1"/>
  <c r="AL987" i="1"/>
  <c r="AN987" i="1"/>
  <c r="AF987" i="1"/>
  <c r="AE989" i="1" l="1"/>
  <c r="AN988" i="1"/>
  <c r="AO988" i="1"/>
  <c r="AH988" i="1"/>
  <c r="AP988" i="1"/>
  <c r="AG988" i="1"/>
  <c r="AI988" i="1"/>
  <c r="AJ988" i="1"/>
  <c r="AL988" i="1"/>
  <c r="AF988" i="1"/>
  <c r="AK988" i="1"/>
  <c r="AM988" i="1"/>
  <c r="AE990" i="1" l="1"/>
  <c r="AM989" i="1"/>
  <c r="AN989" i="1"/>
  <c r="AO989" i="1"/>
  <c r="AH989" i="1"/>
  <c r="AP989" i="1"/>
  <c r="AG989" i="1"/>
  <c r="AI989" i="1"/>
  <c r="AK989" i="1"/>
  <c r="AF989" i="1"/>
  <c r="AL989" i="1"/>
  <c r="AJ989" i="1"/>
  <c r="AE991" i="1" l="1"/>
  <c r="AL990" i="1"/>
  <c r="AM990" i="1"/>
  <c r="AN990" i="1"/>
  <c r="AO990" i="1"/>
  <c r="AH990" i="1"/>
  <c r="AP990" i="1"/>
  <c r="AG990" i="1"/>
  <c r="AJ990" i="1"/>
  <c r="AI990" i="1"/>
  <c r="AK990" i="1"/>
  <c r="AF990" i="1"/>
  <c r="AE992" i="1" l="1"/>
  <c r="AK991" i="1"/>
  <c r="AL991" i="1"/>
  <c r="AM991" i="1"/>
  <c r="AN991" i="1"/>
  <c r="AO991" i="1"/>
  <c r="AI991" i="1"/>
  <c r="AH991" i="1"/>
  <c r="AG991" i="1"/>
  <c r="AJ991" i="1"/>
  <c r="AF991" i="1"/>
  <c r="AP991" i="1"/>
  <c r="AE993" i="1" l="1"/>
  <c r="AJ992" i="1"/>
  <c r="AK992" i="1"/>
  <c r="AL992" i="1"/>
  <c r="AM992" i="1"/>
  <c r="AN992" i="1"/>
  <c r="AH992" i="1"/>
  <c r="AP992" i="1"/>
  <c r="AG992" i="1"/>
  <c r="AF992" i="1"/>
  <c r="AI992" i="1"/>
  <c r="AO992" i="1"/>
  <c r="AE994" i="1" l="1"/>
  <c r="AI993" i="1"/>
  <c r="AJ993" i="1"/>
  <c r="AK993" i="1"/>
  <c r="AL993" i="1"/>
  <c r="AM993" i="1"/>
  <c r="AO993" i="1"/>
  <c r="AN993" i="1"/>
  <c r="AP993" i="1"/>
  <c r="AH993" i="1"/>
  <c r="AG993" i="1"/>
  <c r="AF993" i="1"/>
  <c r="AE995" i="1" l="1"/>
  <c r="AH994" i="1"/>
  <c r="AP994" i="1"/>
  <c r="AG994" i="1"/>
  <c r="AI994" i="1"/>
  <c r="AJ994" i="1"/>
  <c r="AK994" i="1"/>
  <c r="AL994" i="1"/>
  <c r="AN994" i="1"/>
  <c r="AM994" i="1"/>
  <c r="AO994" i="1"/>
  <c r="AF994" i="1"/>
  <c r="AE996" i="1" l="1"/>
  <c r="AO995" i="1"/>
  <c r="AH995" i="1"/>
  <c r="AP995" i="1"/>
  <c r="AG995" i="1"/>
  <c r="AI995" i="1"/>
  <c r="AJ995" i="1"/>
  <c r="AK995" i="1"/>
  <c r="AM995" i="1"/>
  <c r="AF995" i="1"/>
  <c r="AL995" i="1"/>
  <c r="AN995" i="1"/>
  <c r="AE997" i="1" l="1"/>
  <c r="AN996" i="1"/>
  <c r="AO996" i="1"/>
  <c r="AH996" i="1"/>
  <c r="AP996" i="1"/>
  <c r="AG996" i="1"/>
  <c r="AI996" i="1"/>
  <c r="AJ996" i="1"/>
  <c r="AL996" i="1"/>
  <c r="AF996" i="1"/>
  <c r="AK996" i="1"/>
  <c r="AM996" i="1"/>
  <c r="AE998" i="1" l="1"/>
  <c r="AM997" i="1"/>
  <c r="AN997" i="1"/>
  <c r="AO997" i="1"/>
  <c r="AH997" i="1"/>
  <c r="AP997" i="1"/>
  <c r="AG997" i="1"/>
  <c r="AI997" i="1"/>
  <c r="AK997" i="1"/>
  <c r="AJ997" i="1"/>
  <c r="AL997" i="1"/>
  <c r="AF997" i="1"/>
  <c r="AE999" i="1" l="1"/>
  <c r="AL998" i="1"/>
  <c r="AM998" i="1"/>
  <c r="AN998" i="1"/>
  <c r="AO998" i="1"/>
  <c r="AH998" i="1"/>
  <c r="AP998" i="1"/>
  <c r="AG998" i="1"/>
  <c r="AJ998" i="1"/>
  <c r="AI998" i="1"/>
  <c r="AF998" i="1"/>
  <c r="AK998" i="1"/>
  <c r="AE1000" i="1" l="1"/>
  <c r="AK999" i="1"/>
  <c r="AL999" i="1"/>
  <c r="AM999" i="1"/>
  <c r="AN999" i="1"/>
  <c r="AO999" i="1"/>
  <c r="AI999" i="1"/>
  <c r="AF999" i="1"/>
  <c r="AH999" i="1"/>
  <c r="AG999" i="1"/>
  <c r="AJ999" i="1"/>
  <c r="AP999" i="1"/>
  <c r="AE1001" i="1" l="1"/>
  <c r="AJ1000" i="1"/>
  <c r="AK1000" i="1"/>
  <c r="AL1000" i="1"/>
  <c r="AM1000" i="1"/>
  <c r="AN1000" i="1"/>
  <c r="AH1000" i="1"/>
  <c r="AP1000" i="1"/>
  <c r="AG1000" i="1"/>
  <c r="AO1000" i="1"/>
  <c r="AI1000" i="1"/>
  <c r="AF1000" i="1"/>
  <c r="AE1002" i="1" l="1"/>
  <c r="AI1001" i="1"/>
  <c r="AJ1001" i="1"/>
  <c r="AK1001" i="1"/>
  <c r="AL1001" i="1"/>
  <c r="AM1001" i="1"/>
  <c r="AO1001" i="1"/>
  <c r="AH1001" i="1"/>
  <c r="AN1001" i="1"/>
  <c r="AP1001" i="1"/>
  <c r="AF1001" i="1"/>
  <c r="AG1001" i="1"/>
  <c r="AE1003" i="1" l="1"/>
  <c r="AH1002" i="1"/>
  <c r="AP1002" i="1"/>
  <c r="AG1002" i="1"/>
  <c r="AI1002" i="1"/>
  <c r="AJ1002" i="1"/>
  <c r="AK1002" i="1"/>
  <c r="AL1002" i="1"/>
  <c r="AN1002" i="1"/>
  <c r="AM1002" i="1"/>
  <c r="AO1002" i="1"/>
  <c r="AF1002" i="1"/>
  <c r="AE1004" i="1" l="1"/>
  <c r="AO1003" i="1"/>
  <c r="AH1003" i="1"/>
  <c r="AP1003" i="1"/>
  <c r="AG1003" i="1"/>
  <c r="AI1003" i="1"/>
  <c r="AJ1003" i="1"/>
  <c r="AK1003" i="1"/>
  <c r="AM1003" i="1"/>
  <c r="AF1003" i="1"/>
  <c r="AL1003" i="1"/>
  <c r="AN1003" i="1"/>
  <c r="AE1005" i="1" l="1"/>
  <c r="AN1004" i="1"/>
  <c r="AO1004" i="1"/>
  <c r="AH1004" i="1"/>
  <c r="AP1004" i="1"/>
  <c r="AG1004" i="1"/>
  <c r="AI1004" i="1"/>
  <c r="AJ1004" i="1"/>
  <c r="AL1004" i="1"/>
  <c r="AK1004" i="1"/>
  <c r="AF1004" i="1"/>
  <c r="AM1004" i="1"/>
  <c r="AE1006" i="1" l="1"/>
  <c r="AM1005" i="1"/>
  <c r="AN1005" i="1"/>
  <c r="AO1005" i="1"/>
  <c r="AH1005" i="1"/>
  <c r="AP1005" i="1"/>
  <c r="AG1005" i="1"/>
  <c r="AI1005" i="1"/>
  <c r="AK1005" i="1"/>
  <c r="AF1005" i="1"/>
  <c r="AJ1005" i="1"/>
  <c r="AL1005" i="1"/>
  <c r="AE1007" i="1" l="1"/>
  <c r="AL1006" i="1"/>
  <c r="AM1006" i="1"/>
  <c r="AN1006" i="1"/>
  <c r="AO1006" i="1"/>
  <c r="AH1006" i="1"/>
  <c r="AP1006" i="1"/>
  <c r="AG1006" i="1"/>
  <c r="AJ1006" i="1"/>
  <c r="AF1006" i="1"/>
  <c r="AI1006" i="1"/>
  <c r="AK1006" i="1"/>
  <c r="AE1008" i="1" l="1"/>
  <c r="AK1007" i="1"/>
  <c r="AL1007" i="1"/>
  <c r="AM1007" i="1"/>
  <c r="AN1007" i="1"/>
  <c r="AO1007" i="1"/>
  <c r="AI1007" i="1"/>
  <c r="AP1007" i="1"/>
  <c r="AJ1007" i="1"/>
  <c r="AF1007" i="1"/>
  <c r="AH1007" i="1"/>
  <c r="AG1007" i="1"/>
  <c r="AE1009" i="1" l="1"/>
  <c r="AJ1008" i="1"/>
  <c r="AK1008" i="1"/>
  <c r="AL1008" i="1"/>
  <c r="AM1008" i="1"/>
  <c r="AN1008" i="1"/>
  <c r="AH1008" i="1"/>
  <c r="AP1008" i="1"/>
  <c r="AG1008" i="1"/>
  <c r="AI1008" i="1"/>
  <c r="AO1008" i="1"/>
  <c r="AF1008" i="1"/>
  <c r="AE1010" i="1" l="1"/>
  <c r="AI1009" i="1"/>
  <c r="AJ1009" i="1"/>
  <c r="AK1009" i="1"/>
  <c r="AL1009" i="1"/>
  <c r="AM1009" i="1"/>
  <c r="AO1009" i="1"/>
  <c r="AG1009" i="1"/>
  <c r="AH1009" i="1"/>
  <c r="AF1009" i="1"/>
  <c r="AN1009" i="1"/>
  <c r="AP1009" i="1"/>
  <c r="AE1011" i="1" l="1"/>
  <c r="AH1010" i="1"/>
  <c r="AP1010" i="1"/>
  <c r="AG1010" i="1"/>
  <c r="AI1010" i="1"/>
  <c r="AJ1010" i="1"/>
  <c r="AK1010" i="1"/>
  <c r="AL1010" i="1"/>
  <c r="AN1010" i="1"/>
  <c r="AO1010" i="1"/>
  <c r="AM1010" i="1"/>
  <c r="AF1010" i="1"/>
  <c r="AE1012" i="1" l="1"/>
  <c r="AO1011" i="1"/>
  <c r="AH1011" i="1"/>
  <c r="AP1011" i="1"/>
  <c r="AG1011" i="1"/>
  <c r="AI1011" i="1"/>
  <c r="AJ1011" i="1"/>
  <c r="AK1011" i="1"/>
  <c r="AM1011" i="1"/>
  <c r="AL1011" i="1"/>
  <c r="AN1011" i="1"/>
  <c r="AF1011" i="1"/>
  <c r="AE1013" i="1" l="1"/>
  <c r="AN1012" i="1"/>
  <c r="AO1012" i="1"/>
  <c r="AH1012" i="1"/>
  <c r="AP1012" i="1"/>
  <c r="AG1012" i="1"/>
  <c r="AI1012" i="1"/>
  <c r="AJ1012" i="1"/>
  <c r="AL1012" i="1"/>
  <c r="AF1012" i="1"/>
  <c r="AK1012" i="1"/>
  <c r="AM1012" i="1"/>
  <c r="AE1014" i="1" l="1"/>
  <c r="AM1013" i="1"/>
  <c r="AN1013" i="1"/>
  <c r="AO1013" i="1"/>
  <c r="AH1013" i="1"/>
  <c r="AP1013" i="1"/>
  <c r="AG1013" i="1"/>
  <c r="AI1013" i="1"/>
  <c r="AK1013" i="1"/>
  <c r="AF1013" i="1"/>
  <c r="AJ1013" i="1"/>
  <c r="AL1013" i="1"/>
  <c r="AE1015" i="1" l="1"/>
  <c r="AL1014" i="1"/>
  <c r="AM1014" i="1"/>
  <c r="AN1014" i="1"/>
  <c r="AO1014" i="1"/>
  <c r="AH1014" i="1"/>
  <c r="AP1014" i="1"/>
  <c r="AG1014" i="1"/>
  <c r="AJ1014" i="1"/>
  <c r="AF1014" i="1"/>
  <c r="AK1014" i="1"/>
  <c r="AI1014" i="1"/>
  <c r="AE1016" i="1" l="1"/>
  <c r="AK1015" i="1"/>
  <c r="AL1015" i="1"/>
  <c r="AM1015" i="1"/>
  <c r="AN1015" i="1"/>
  <c r="AO1015" i="1"/>
  <c r="AI1015" i="1"/>
  <c r="AH1015" i="1"/>
  <c r="AG1015" i="1"/>
  <c r="AJ1015" i="1"/>
  <c r="AP1015" i="1"/>
  <c r="AF1015" i="1"/>
  <c r="AE1017" i="1" l="1"/>
  <c r="AJ1016" i="1"/>
  <c r="AK1016" i="1"/>
  <c r="AL1016" i="1"/>
  <c r="AM1016" i="1"/>
  <c r="AN1016" i="1"/>
  <c r="AH1016" i="1"/>
  <c r="AP1016" i="1"/>
  <c r="AG1016" i="1"/>
  <c r="AI1016" i="1"/>
  <c r="AO1016" i="1"/>
  <c r="AF1016" i="1"/>
  <c r="AE1018" i="1" l="1"/>
  <c r="AI1017" i="1"/>
  <c r="AJ1017" i="1"/>
  <c r="AK1017" i="1"/>
  <c r="AL1017" i="1"/>
  <c r="AM1017" i="1"/>
  <c r="AO1017" i="1"/>
  <c r="AG1017" i="1"/>
  <c r="AP1017" i="1"/>
  <c r="AF1017" i="1"/>
  <c r="AH1017" i="1"/>
  <c r="AN1017" i="1"/>
  <c r="AE1019" i="1" l="1"/>
  <c r="AH1018" i="1"/>
  <c r="AP1018" i="1"/>
  <c r="AG1018" i="1"/>
  <c r="AI1018" i="1"/>
  <c r="AJ1018" i="1"/>
  <c r="AK1018" i="1"/>
  <c r="AL1018" i="1"/>
  <c r="AN1018" i="1"/>
  <c r="AM1018" i="1"/>
  <c r="AO1018" i="1"/>
  <c r="AF1018" i="1"/>
  <c r="AE1020" i="1" l="1"/>
  <c r="AO1019" i="1"/>
  <c r="AH1019" i="1"/>
  <c r="AP1019" i="1"/>
  <c r="AG1019" i="1"/>
  <c r="AI1019" i="1"/>
  <c r="AJ1019" i="1"/>
  <c r="AK1019" i="1"/>
  <c r="AM1019" i="1"/>
  <c r="AL1019" i="1"/>
  <c r="AN1019" i="1"/>
  <c r="AF1019" i="1"/>
  <c r="AE1021" i="1" l="1"/>
  <c r="AN1020" i="1"/>
  <c r="AO1020" i="1"/>
  <c r="AH1020" i="1"/>
  <c r="AP1020" i="1"/>
  <c r="AG1020" i="1"/>
  <c r="AI1020" i="1"/>
  <c r="AJ1020" i="1"/>
  <c r="AL1020" i="1"/>
  <c r="AF1020" i="1"/>
  <c r="AK1020" i="1"/>
  <c r="AM1020" i="1"/>
  <c r="AE1022" i="1" l="1"/>
  <c r="AM1021" i="1"/>
  <c r="AN1021" i="1"/>
  <c r="AO1021" i="1"/>
  <c r="AH1021" i="1"/>
  <c r="AP1021" i="1"/>
  <c r="AG1021" i="1"/>
  <c r="AI1021" i="1"/>
  <c r="AK1021" i="1"/>
  <c r="AF1021" i="1"/>
  <c r="AJ1021" i="1"/>
  <c r="AL1021" i="1"/>
  <c r="AE1023" i="1" l="1"/>
  <c r="AL1022" i="1"/>
  <c r="AM1022" i="1"/>
  <c r="AN1022" i="1"/>
  <c r="AO1022" i="1"/>
  <c r="AH1022" i="1"/>
  <c r="AP1022" i="1"/>
  <c r="AG1022" i="1"/>
  <c r="AJ1022" i="1"/>
  <c r="AI1022" i="1"/>
  <c r="AK1022" i="1"/>
  <c r="AF1022" i="1"/>
  <c r="AE1024" i="1" l="1"/>
  <c r="AK1023" i="1"/>
  <c r="AL1023" i="1"/>
  <c r="AM1023" i="1"/>
  <c r="AN1023" i="1"/>
  <c r="AO1023" i="1"/>
  <c r="AI1023" i="1"/>
  <c r="AH1023" i="1"/>
  <c r="AG1023" i="1"/>
  <c r="AJ1023" i="1"/>
  <c r="AF1023" i="1"/>
  <c r="AP1023" i="1"/>
  <c r="AE1025" i="1" l="1"/>
  <c r="AJ1024" i="1"/>
  <c r="AK1024" i="1"/>
  <c r="AL1024" i="1"/>
  <c r="AM1024" i="1"/>
  <c r="AN1024" i="1"/>
  <c r="AH1024" i="1"/>
  <c r="AP1024" i="1"/>
  <c r="AG1024" i="1"/>
  <c r="AF1024" i="1"/>
  <c r="AI1024" i="1"/>
  <c r="AO1024" i="1"/>
  <c r="AE1026" i="1" l="1"/>
  <c r="AI1025" i="1"/>
  <c r="AJ1025" i="1"/>
  <c r="AK1025" i="1"/>
  <c r="AL1025" i="1"/>
  <c r="AM1025" i="1"/>
  <c r="AO1025" i="1"/>
  <c r="AN1025" i="1"/>
  <c r="AP1025" i="1"/>
  <c r="AF1025" i="1"/>
  <c r="AH1025" i="1"/>
  <c r="AG1025" i="1"/>
  <c r="AE1027" i="1" l="1"/>
  <c r="AH1026" i="1"/>
  <c r="AP1026" i="1"/>
  <c r="AG1026" i="1"/>
  <c r="AI1026" i="1"/>
  <c r="AJ1026" i="1"/>
  <c r="AK1026" i="1"/>
  <c r="AL1026" i="1"/>
  <c r="AN1026" i="1"/>
  <c r="AM1026" i="1"/>
  <c r="AO1026" i="1"/>
  <c r="AF1026" i="1"/>
  <c r="AE1028" i="1" l="1"/>
  <c r="AO1027" i="1"/>
  <c r="AH1027" i="1"/>
  <c r="AP1027" i="1"/>
  <c r="AG1027" i="1"/>
  <c r="AI1027" i="1"/>
  <c r="AJ1027" i="1"/>
  <c r="AK1027" i="1"/>
  <c r="AM1027" i="1"/>
  <c r="AF1027" i="1"/>
  <c r="AL1027" i="1"/>
  <c r="AN1027" i="1"/>
  <c r="AE1029" i="1" l="1"/>
  <c r="AN1028" i="1"/>
  <c r="AO1028" i="1"/>
  <c r="AH1028" i="1"/>
  <c r="AP1028" i="1"/>
  <c r="AG1028" i="1"/>
  <c r="AI1028" i="1"/>
  <c r="AJ1028" i="1"/>
  <c r="AL1028" i="1"/>
  <c r="AF1028" i="1"/>
  <c r="AK1028" i="1"/>
  <c r="AM1028" i="1"/>
  <c r="AE1030" i="1" l="1"/>
  <c r="AM1029" i="1"/>
  <c r="AN1029" i="1"/>
  <c r="AO1029" i="1"/>
  <c r="AH1029" i="1"/>
  <c r="AP1029" i="1"/>
  <c r="AG1029" i="1"/>
  <c r="AI1029" i="1"/>
  <c r="AK1029" i="1"/>
  <c r="AJ1029" i="1"/>
  <c r="AL1029" i="1"/>
  <c r="AF1029" i="1"/>
  <c r="AE1031" i="1" l="1"/>
  <c r="AL1030" i="1"/>
  <c r="AM1030" i="1"/>
  <c r="AN1030" i="1"/>
  <c r="AO1030" i="1"/>
  <c r="AH1030" i="1"/>
  <c r="AP1030" i="1"/>
  <c r="AG1030" i="1"/>
  <c r="AJ1030" i="1"/>
  <c r="AI1030" i="1"/>
  <c r="AF1030" i="1"/>
  <c r="AK1030" i="1"/>
  <c r="AE1032" i="1" l="1"/>
  <c r="AK1031" i="1"/>
  <c r="AL1031" i="1"/>
  <c r="AM1031" i="1"/>
  <c r="AN1031" i="1"/>
  <c r="AO1031" i="1"/>
  <c r="AI1031" i="1"/>
  <c r="AF1031" i="1"/>
  <c r="AH1031" i="1"/>
  <c r="AG1031" i="1"/>
  <c r="AJ1031" i="1"/>
  <c r="AP1031" i="1"/>
  <c r="AE1033" i="1" l="1"/>
  <c r="AJ1032" i="1"/>
  <c r="AK1032" i="1"/>
  <c r="AL1032" i="1"/>
  <c r="AM1032" i="1"/>
  <c r="AN1032" i="1"/>
  <c r="AH1032" i="1"/>
  <c r="AP1032" i="1"/>
  <c r="AG1032" i="1"/>
  <c r="AO1032" i="1"/>
  <c r="AI1032" i="1"/>
  <c r="AF1032" i="1"/>
  <c r="AE1034" i="1" l="1"/>
  <c r="AI1033" i="1"/>
  <c r="AJ1033" i="1"/>
  <c r="AK1033" i="1"/>
  <c r="AL1033" i="1"/>
  <c r="AM1033" i="1"/>
  <c r="AO1033" i="1"/>
  <c r="AH1033" i="1"/>
  <c r="AF1033" i="1"/>
  <c r="AN1033" i="1"/>
  <c r="AP1033" i="1"/>
  <c r="AG1033" i="1"/>
  <c r="AE1035" i="1" l="1"/>
  <c r="AH1034" i="1"/>
  <c r="AP1034" i="1"/>
  <c r="AG1034" i="1"/>
  <c r="AI1034" i="1"/>
  <c r="AJ1034" i="1"/>
  <c r="AK1034" i="1"/>
  <c r="AL1034" i="1"/>
  <c r="AN1034" i="1"/>
  <c r="AM1034" i="1"/>
  <c r="AO1034" i="1"/>
  <c r="AF1034" i="1"/>
  <c r="AE1036" i="1" l="1"/>
  <c r="AO1035" i="1"/>
  <c r="AH1035" i="1"/>
  <c r="AP1035" i="1"/>
  <c r="AG1035" i="1"/>
  <c r="AI1035" i="1"/>
  <c r="AJ1035" i="1"/>
  <c r="AK1035" i="1"/>
  <c r="AM1035" i="1"/>
  <c r="AF1035" i="1"/>
  <c r="AL1035" i="1"/>
  <c r="AN1035" i="1"/>
  <c r="AE1037" i="1" l="1"/>
  <c r="AN1036" i="1"/>
  <c r="AO1036" i="1"/>
  <c r="AH1036" i="1"/>
  <c r="AP1036" i="1"/>
  <c r="AG1036" i="1"/>
  <c r="AI1036" i="1"/>
  <c r="AJ1036" i="1"/>
  <c r="AL1036" i="1"/>
  <c r="AK1036" i="1"/>
  <c r="AF1036" i="1"/>
  <c r="AM1036" i="1"/>
  <c r="AE1038" i="1" l="1"/>
  <c r="AM1037" i="1"/>
  <c r="AN1037" i="1"/>
  <c r="AO1037" i="1"/>
  <c r="AH1037" i="1"/>
  <c r="AP1037" i="1"/>
  <c r="AG1037" i="1"/>
  <c r="AI1037" i="1"/>
  <c r="AK1037" i="1"/>
  <c r="AF1037" i="1"/>
  <c r="AJ1037" i="1"/>
  <c r="AL1037" i="1"/>
  <c r="AE1039" i="1" l="1"/>
  <c r="AL1038" i="1"/>
  <c r="AM1038" i="1"/>
  <c r="AN1038" i="1"/>
  <c r="AO1038" i="1"/>
  <c r="AH1038" i="1"/>
  <c r="AP1038" i="1"/>
  <c r="AG1038" i="1"/>
  <c r="AJ1038" i="1"/>
  <c r="AF1038" i="1"/>
  <c r="AI1038" i="1"/>
  <c r="AK1038" i="1"/>
  <c r="AE1040" i="1" l="1"/>
  <c r="AK1039" i="1"/>
  <c r="AL1039" i="1"/>
  <c r="AM1039" i="1"/>
  <c r="AN1039" i="1"/>
  <c r="AO1039" i="1"/>
  <c r="AI1039" i="1"/>
  <c r="AP1039" i="1"/>
  <c r="AF1039" i="1"/>
  <c r="AH1039" i="1"/>
  <c r="AG1039" i="1"/>
  <c r="AJ1039" i="1"/>
  <c r="AE1041" i="1" l="1"/>
  <c r="AJ1040" i="1"/>
  <c r="AK1040" i="1"/>
  <c r="AL1040" i="1"/>
  <c r="AM1040" i="1"/>
  <c r="AN1040" i="1"/>
  <c r="AH1040" i="1"/>
  <c r="AP1040" i="1"/>
  <c r="AG1040" i="1"/>
  <c r="AI1040" i="1"/>
  <c r="AO1040" i="1"/>
  <c r="AF1040" i="1"/>
  <c r="AE1042" i="1" l="1"/>
  <c r="AI1041" i="1"/>
  <c r="AJ1041" i="1"/>
  <c r="AK1041" i="1"/>
  <c r="AL1041" i="1"/>
  <c r="AM1041" i="1"/>
  <c r="AO1041" i="1"/>
  <c r="AH1041" i="1"/>
  <c r="AN1041" i="1"/>
  <c r="AG1041" i="1"/>
  <c r="AP1041" i="1"/>
  <c r="AF1041" i="1"/>
  <c r="AE1043" i="1" l="1"/>
  <c r="AH1042" i="1"/>
  <c r="AP1042" i="1"/>
  <c r="AG1042" i="1"/>
  <c r="AI1042" i="1"/>
  <c r="AJ1042" i="1"/>
  <c r="AK1042" i="1"/>
  <c r="AL1042" i="1"/>
  <c r="AN1042" i="1"/>
  <c r="AO1042" i="1"/>
  <c r="AM1042" i="1"/>
  <c r="AF1042" i="1"/>
  <c r="AE1044" i="1" l="1"/>
  <c r="AO1043" i="1"/>
  <c r="AH1043" i="1"/>
  <c r="AP1043" i="1"/>
  <c r="AG1043" i="1"/>
  <c r="AI1043" i="1"/>
  <c r="AJ1043" i="1"/>
  <c r="AK1043" i="1"/>
  <c r="AM1043" i="1"/>
  <c r="AL1043" i="1"/>
  <c r="AF1043" i="1"/>
  <c r="AN1043" i="1"/>
  <c r="AE1045" i="1" l="1"/>
  <c r="AN1044" i="1"/>
  <c r="AO1044" i="1"/>
  <c r="AH1044" i="1"/>
  <c r="AP1044" i="1"/>
  <c r="AG1044" i="1"/>
  <c r="AI1044" i="1"/>
  <c r="AJ1044" i="1"/>
  <c r="AL1044" i="1"/>
  <c r="AF1044" i="1"/>
  <c r="AK1044" i="1"/>
  <c r="AM1044" i="1"/>
  <c r="AE1046" i="1" l="1"/>
  <c r="AM1045" i="1"/>
  <c r="AN1045" i="1"/>
  <c r="AO1045" i="1"/>
  <c r="AH1045" i="1"/>
  <c r="AP1045" i="1"/>
  <c r="AG1045" i="1"/>
  <c r="AI1045" i="1"/>
  <c r="AK1045" i="1"/>
  <c r="AF1045" i="1"/>
  <c r="AJ1045" i="1"/>
  <c r="AL1045" i="1"/>
  <c r="AE1047" i="1" l="1"/>
  <c r="AL1046" i="1"/>
  <c r="AM1046" i="1"/>
  <c r="AN1046" i="1"/>
  <c r="AO1046" i="1"/>
  <c r="AH1046" i="1"/>
  <c r="AP1046" i="1"/>
  <c r="AG1046" i="1"/>
  <c r="AJ1046" i="1"/>
  <c r="AK1046" i="1"/>
  <c r="AF1046" i="1"/>
  <c r="AI1046" i="1"/>
  <c r="AE1048" i="1" l="1"/>
  <c r="AK1047" i="1"/>
  <c r="AL1047" i="1"/>
  <c r="AM1047" i="1"/>
  <c r="AN1047" i="1"/>
  <c r="AO1047" i="1"/>
  <c r="AI1047" i="1"/>
  <c r="AH1047" i="1"/>
  <c r="AG1047" i="1"/>
  <c r="AJ1047" i="1"/>
  <c r="AP1047" i="1"/>
  <c r="AF1047" i="1"/>
  <c r="AE1049" i="1" l="1"/>
  <c r="AJ1048" i="1"/>
  <c r="AK1048" i="1"/>
  <c r="AL1048" i="1"/>
  <c r="AM1048" i="1"/>
  <c r="AN1048" i="1"/>
  <c r="AH1048" i="1"/>
  <c r="AP1048" i="1"/>
  <c r="AG1048" i="1"/>
  <c r="AI1048" i="1"/>
  <c r="AO1048" i="1"/>
  <c r="AF1048" i="1"/>
  <c r="AE1050" i="1" l="1"/>
  <c r="AI1049" i="1"/>
  <c r="AJ1049" i="1"/>
  <c r="AK1049" i="1"/>
  <c r="AL1049" i="1"/>
  <c r="AM1049" i="1"/>
  <c r="AO1049" i="1"/>
  <c r="AG1049" i="1"/>
  <c r="AF1049" i="1"/>
  <c r="AH1049" i="1"/>
  <c r="AN1049" i="1"/>
  <c r="AP1049" i="1"/>
  <c r="AE1051" i="1" l="1"/>
  <c r="AH1050" i="1"/>
  <c r="AP1050" i="1"/>
  <c r="AG1050" i="1"/>
  <c r="AI1050" i="1"/>
  <c r="AJ1050" i="1"/>
  <c r="AK1050" i="1"/>
  <c r="AL1050" i="1"/>
  <c r="AN1050" i="1"/>
  <c r="AM1050" i="1"/>
  <c r="AO1050" i="1"/>
  <c r="AF1050" i="1"/>
  <c r="AE1052" i="1" l="1"/>
  <c r="AO1051" i="1"/>
  <c r="AH1051" i="1"/>
  <c r="AP1051" i="1"/>
  <c r="AG1051" i="1"/>
  <c r="AI1051" i="1"/>
  <c r="AJ1051" i="1"/>
  <c r="AK1051" i="1"/>
  <c r="AM1051" i="1"/>
  <c r="AL1051" i="1"/>
  <c r="AN1051" i="1"/>
  <c r="AF1051" i="1"/>
  <c r="AE1053" i="1" l="1"/>
  <c r="AN1052" i="1"/>
  <c r="AO1052" i="1"/>
  <c r="AH1052" i="1"/>
  <c r="AP1052" i="1"/>
  <c r="AG1052" i="1"/>
  <c r="AI1052" i="1"/>
  <c r="AJ1052" i="1"/>
  <c r="AL1052" i="1"/>
  <c r="AF1052" i="1"/>
  <c r="AK1052" i="1"/>
  <c r="AM1052" i="1"/>
  <c r="AE1054" i="1" l="1"/>
  <c r="AM1053" i="1"/>
  <c r="AN1053" i="1"/>
  <c r="AO1053" i="1"/>
  <c r="AH1053" i="1"/>
  <c r="AP1053" i="1"/>
  <c r="AG1053" i="1"/>
  <c r="AI1053" i="1"/>
  <c r="AK1053" i="1"/>
  <c r="AF1053" i="1"/>
  <c r="AL1053" i="1"/>
  <c r="AJ1053" i="1"/>
  <c r="AE1055" i="1" l="1"/>
  <c r="AL1054" i="1"/>
  <c r="AM1054" i="1"/>
  <c r="AN1054" i="1"/>
  <c r="AO1054" i="1"/>
  <c r="AH1054" i="1"/>
  <c r="AP1054" i="1"/>
  <c r="AG1054" i="1"/>
  <c r="AJ1054" i="1"/>
  <c r="AI1054" i="1"/>
  <c r="AK1054" i="1"/>
  <c r="AF1054" i="1"/>
  <c r="AE1056" i="1" l="1"/>
  <c r="AK1055" i="1"/>
  <c r="AL1055" i="1"/>
  <c r="AM1055" i="1"/>
  <c r="AN1055" i="1"/>
  <c r="AO1055" i="1"/>
  <c r="AI1055" i="1"/>
  <c r="AH1055" i="1"/>
  <c r="AG1055" i="1"/>
  <c r="AJ1055" i="1"/>
  <c r="AF1055" i="1"/>
  <c r="AP1055" i="1"/>
  <c r="AE1057" i="1" l="1"/>
  <c r="AJ1056" i="1"/>
  <c r="AK1056" i="1"/>
  <c r="AL1056" i="1"/>
  <c r="AM1056" i="1"/>
  <c r="AN1056" i="1"/>
  <c r="AH1056" i="1"/>
  <c r="AP1056" i="1"/>
  <c r="AG1056" i="1"/>
  <c r="AF1056" i="1"/>
  <c r="AI1056" i="1"/>
  <c r="AO1056" i="1"/>
  <c r="AE1058" i="1" l="1"/>
  <c r="AI1057" i="1"/>
  <c r="AJ1057" i="1"/>
  <c r="AK1057" i="1"/>
  <c r="AL1057" i="1"/>
  <c r="AM1057" i="1"/>
  <c r="AO1057" i="1"/>
  <c r="AN1057" i="1"/>
  <c r="AP1057" i="1"/>
  <c r="AG1057" i="1"/>
  <c r="AF1057" i="1"/>
  <c r="AH1057" i="1"/>
  <c r="AE1059" i="1" l="1"/>
  <c r="AH1058" i="1"/>
  <c r="AP1058" i="1"/>
  <c r="AG1058" i="1"/>
  <c r="AI1058" i="1"/>
  <c r="AJ1058" i="1"/>
  <c r="AK1058" i="1"/>
  <c r="AL1058" i="1"/>
  <c r="AN1058" i="1"/>
  <c r="AM1058" i="1"/>
  <c r="AO1058" i="1"/>
  <c r="AF1058" i="1"/>
  <c r="AE1060" i="1" l="1"/>
  <c r="AO1059" i="1"/>
  <c r="AH1059" i="1"/>
  <c r="AP1059" i="1"/>
  <c r="AG1059" i="1"/>
  <c r="AI1059" i="1"/>
  <c r="AJ1059" i="1"/>
  <c r="AK1059" i="1"/>
  <c r="AM1059" i="1"/>
  <c r="AL1059" i="1"/>
  <c r="AN1059" i="1"/>
  <c r="AF1059" i="1"/>
  <c r="AE1061" i="1" l="1"/>
  <c r="AN1060" i="1"/>
  <c r="AO1060" i="1"/>
  <c r="AH1060" i="1"/>
  <c r="AP1060" i="1"/>
  <c r="AG1060" i="1"/>
  <c r="AI1060" i="1"/>
  <c r="AJ1060" i="1"/>
  <c r="AL1060" i="1"/>
  <c r="AF1060" i="1"/>
  <c r="AM1060" i="1"/>
  <c r="AK1060" i="1"/>
  <c r="AE1062" i="1" l="1"/>
  <c r="AM1061" i="1"/>
  <c r="AN1061" i="1"/>
  <c r="AO1061" i="1"/>
  <c r="AH1061" i="1"/>
  <c r="AP1061" i="1"/>
  <c r="AG1061" i="1"/>
  <c r="AI1061" i="1"/>
  <c r="AK1061" i="1"/>
  <c r="AJ1061" i="1"/>
  <c r="AL1061" i="1"/>
  <c r="AF1061" i="1"/>
  <c r="AE1063" i="1" l="1"/>
  <c r="AL1062" i="1"/>
  <c r="AM1062" i="1"/>
  <c r="AN1062" i="1"/>
  <c r="AO1062" i="1"/>
  <c r="AH1062" i="1"/>
  <c r="AP1062" i="1"/>
  <c r="AG1062" i="1"/>
  <c r="AJ1062" i="1"/>
  <c r="AI1062" i="1"/>
  <c r="AF1062" i="1"/>
  <c r="AK1062" i="1"/>
  <c r="AE1064" i="1" l="1"/>
  <c r="AK1063" i="1"/>
  <c r="AL1063" i="1"/>
  <c r="AM1063" i="1"/>
  <c r="AN1063" i="1"/>
  <c r="AO1063" i="1"/>
  <c r="AI1063" i="1"/>
  <c r="AF1063" i="1"/>
  <c r="AH1063" i="1"/>
  <c r="AG1063" i="1"/>
  <c r="AJ1063" i="1"/>
  <c r="AP1063" i="1"/>
  <c r="AE1065" i="1" l="1"/>
  <c r="AJ1064" i="1"/>
  <c r="AK1064" i="1"/>
  <c r="AL1064" i="1"/>
  <c r="AM1064" i="1"/>
  <c r="AN1064" i="1"/>
  <c r="AH1064" i="1"/>
  <c r="AP1064" i="1"/>
  <c r="AG1064" i="1"/>
  <c r="AO1064" i="1"/>
  <c r="AF1064" i="1"/>
  <c r="AI1064" i="1"/>
  <c r="AE1066" i="1" l="1"/>
  <c r="AI1065" i="1"/>
  <c r="AJ1065" i="1"/>
  <c r="AK1065" i="1"/>
  <c r="AL1065" i="1"/>
  <c r="AM1065" i="1"/>
  <c r="AO1065" i="1"/>
  <c r="AH1065" i="1"/>
  <c r="AN1065" i="1"/>
  <c r="AF1065" i="1"/>
  <c r="AP1065" i="1"/>
  <c r="AG1065" i="1"/>
  <c r="AE1067" i="1" l="1"/>
  <c r="AH1066" i="1"/>
  <c r="AP1066" i="1"/>
  <c r="AG1066" i="1"/>
  <c r="AI1066" i="1"/>
  <c r="AJ1066" i="1"/>
  <c r="AK1066" i="1"/>
  <c r="AL1066" i="1"/>
  <c r="AN1066" i="1"/>
  <c r="AM1066" i="1"/>
  <c r="AO1066" i="1"/>
  <c r="AF1066" i="1"/>
  <c r="AE1068" i="1" l="1"/>
  <c r="AO1067" i="1"/>
  <c r="AH1067" i="1"/>
  <c r="AP1067" i="1"/>
  <c r="AG1067" i="1"/>
  <c r="AI1067" i="1"/>
  <c r="AJ1067" i="1"/>
  <c r="AK1067" i="1"/>
  <c r="AM1067" i="1"/>
  <c r="AN1067" i="1"/>
  <c r="AF1067" i="1"/>
  <c r="AL1067" i="1"/>
  <c r="AE1069" i="1" l="1"/>
  <c r="AN1068" i="1"/>
  <c r="AO1068" i="1"/>
  <c r="AH1068" i="1"/>
  <c r="AP1068" i="1"/>
  <c r="AG1068" i="1"/>
  <c r="AI1068" i="1"/>
  <c r="AJ1068" i="1"/>
  <c r="AL1068" i="1"/>
  <c r="AK1068" i="1"/>
  <c r="AF1068" i="1"/>
  <c r="AM1068" i="1"/>
  <c r="AE1070" i="1" l="1"/>
  <c r="AM1069" i="1"/>
  <c r="AN1069" i="1"/>
  <c r="AO1069" i="1"/>
  <c r="AH1069" i="1"/>
  <c r="AP1069" i="1"/>
  <c r="AG1069" i="1"/>
  <c r="AI1069" i="1"/>
  <c r="AK1069" i="1"/>
  <c r="AF1069" i="1"/>
  <c r="AJ1069" i="1"/>
  <c r="AL1069" i="1"/>
  <c r="AE1071" i="1" l="1"/>
  <c r="AL1070" i="1"/>
  <c r="AM1070" i="1"/>
  <c r="AN1070" i="1"/>
  <c r="AO1070" i="1"/>
  <c r="AH1070" i="1"/>
  <c r="AP1070" i="1"/>
  <c r="AG1070" i="1"/>
  <c r="AJ1070" i="1"/>
  <c r="AF1070" i="1"/>
  <c r="AI1070" i="1"/>
  <c r="AK1070" i="1"/>
  <c r="AE1072" i="1" l="1"/>
  <c r="AK1071" i="1"/>
  <c r="AL1071" i="1"/>
  <c r="AM1071" i="1"/>
  <c r="AN1071" i="1"/>
  <c r="AO1071" i="1"/>
  <c r="AI1071" i="1"/>
  <c r="AP1071" i="1"/>
  <c r="AF1071" i="1"/>
  <c r="AH1071" i="1"/>
  <c r="AG1071" i="1"/>
  <c r="AJ1071" i="1"/>
  <c r="AE1073" i="1" l="1"/>
  <c r="AJ1072" i="1"/>
  <c r="AK1072" i="1"/>
  <c r="AL1072" i="1"/>
  <c r="AM1072" i="1"/>
  <c r="AN1072" i="1"/>
  <c r="AH1072" i="1"/>
  <c r="AP1072" i="1"/>
  <c r="AG1072" i="1"/>
  <c r="AI1072" i="1"/>
  <c r="AO1072" i="1"/>
  <c r="AF1072" i="1"/>
  <c r="AE1074" i="1" l="1"/>
  <c r="AI1073" i="1"/>
  <c r="AJ1073" i="1"/>
  <c r="AK1073" i="1"/>
  <c r="AL1073" i="1"/>
  <c r="AM1073" i="1"/>
  <c r="AO1073" i="1"/>
  <c r="AG1073" i="1"/>
  <c r="AH1073" i="1"/>
  <c r="AF1073" i="1"/>
  <c r="AN1073" i="1"/>
  <c r="AP1073" i="1"/>
  <c r="AE1075" i="1" l="1"/>
  <c r="AH1074" i="1"/>
  <c r="AP1074" i="1"/>
  <c r="AG1074" i="1"/>
  <c r="AI1074" i="1"/>
  <c r="AJ1074" i="1"/>
  <c r="AK1074" i="1"/>
  <c r="AL1074" i="1"/>
  <c r="AN1074" i="1"/>
  <c r="AO1074" i="1"/>
  <c r="AM1074" i="1"/>
  <c r="AF1074" i="1"/>
  <c r="AE1076" i="1" l="1"/>
  <c r="AO1075" i="1"/>
  <c r="AH1075" i="1"/>
  <c r="AP1075" i="1"/>
  <c r="AG1075" i="1"/>
  <c r="AI1075" i="1"/>
  <c r="AJ1075" i="1"/>
  <c r="AK1075" i="1"/>
  <c r="AM1075" i="1"/>
  <c r="AL1075" i="1"/>
  <c r="AN1075" i="1"/>
  <c r="AF1075" i="1"/>
  <c r="AE1077" i="1" l="1"/>
  <c r="AN1076" i="1"/>
  <c r="AO1076" i="1"/>
  <c r="AH1076" i="1"/>
  <c r="AP1076" i="1"/>
  <c r="AG1076" i="1"/>
  <c r="AI1076" i="1"/>
  <c r="AJ1076" i="1"/>
  <c r="AL1076" i="1"/>
  <c r="AF1076" i="1"/>
  <c r="AK1076" i="1"/>
  <c r="AM1076" i="1"/>
  <c r="AE1078" i="1" l="1"/>
  <c r="AM1077" i="1"/>
  <c r="AN1077" i="1"/>
  <c r="AO1077" i="1"/>
  <c r="AH1077" i="1"/>
  <c r="AP1077" i="1"/>
  <c r="AG1077" i="1"/>
  <c r="AI1077" i="1"/>
  <c r="AK1077" i="1"/>
  <c r="AF1077" i="1"/>
  <c r="AJ1077" i="1"/>
  <c r="AL1077" i="1"/>
  <c r="AE1079" i="1" l="1"/>
  <c r="AL1078" i="1"/>
  <c r="AM1078" i="1"/>
  <c r="AN1078" i="1"/>
  <c r="AO1078" i="1"/>
  <c r="AH1078" i="1"/>
  <c r="AP1078" i="1"/>
  <c r="AG1078" i="1"/>
  <c r="AJ1078" i="1"/>
  <c r="AK1078" i="1"/>
  <c r="AF1078" i="1"/>
  <c r="AI1078" i="1"/>
  <c r="AE1080" i="1" l="1"/>
  <c r="AK1079" i="1"/>
  <c r="AL1079" i="1"/>
  <c r="AM1079" i="1"/>
  <c r="AN1079" i="1"/>
  <c r="AO1079" i="1"/>
  <c r="AI1079" i="1"/>
  <c r="AH1079" i="1"/>
  <c r="AG1079" i="1"/>
  <c r="AJ1079" i="1"/>
  <c r="AP1079" i="1"/>
  <c r="AF1079" i="1"/>
  <c r="AE1081" i="1" l="1"/>
  <c r="AJ1080" i="1"/>
  <c r="AK1080" i="1"/>
  <c r="AL1080" i="1"/>
  <c r="AM1080" i="1"/>
  <c r="AN1080" i="1"/>
  <c r="AH1080" i="1"/>
  <c r="AP1080" i="1"/>
  <c r="AG1080" i="1"/>
  <c r="AI1080" i="1"/>
  <c r="AO1080" i="1"/>
  <c r="AF1080" i="1"/>
  <c r="AE1082" i="1" l="1"/>
  <c r="AI1081" i="1"/>
  <c r="AJ1081" i="1"/>
  <c r="AK1081" i="1"/>
  <c r="AL1081" i="1"/>
  <c r="AM1081" i="1"/>
  <c r="AO1081" i="1"/>
  <c r="AG1081" i="1"/>
  <c r="AP1081" i="1"/>
  <c r="AF1081" i="1"/>
  <c r="AH1081" i="1"/>
  <c r="AN1081" i="1"/>
  <c r="AE1083" i="1" l="1"/>
  <c r="AH1082" i="1"/>
  <c r="AP1082" i="1"/>
  <c r="AG1082" i="1"/>
  <c r="AI1082" i="1"/>
  <c r="AJ1082" i="1"/>
  <c r="AK1082" i="1"/>
  <c r="AL1082" i="1"/>
  <c r="AN1082" i="1"/>
  <c r="AM1082" i="1"/>
  <c r="AO1082" i="1"/>
  <c r="AF1082" i="1"/>
  <c r="AE1084" i="1" l="1"/>
  <c r="AO1083" i="1"/>
  <c r="AH1083" i="1"/>
  <c r="AP1083" i="1"/>
  <c r="AG1083" i="1"/>
  <c r="AI1083" i="1"/>
  <c r="AJ1083" i="1"/>
  <c r="AK1083" i="1"/>
  <c r="AM1083" i="1"/>
  <c r="AF1083" i="1"/>
  <c r="AL1083" i="1"/>
  <c r="AN1083" i="1"/>
  <c r="AE1085" i="1" l="1"/>
  <c r="AN1084" i="1"/>
  <c r="AO1084" i="1"/>
  <c r="AH1084" i="1"/>
  <c r="AP1084" i="1"/>
  <c r="AG1084" i="1"/>
  <c r="AI1084" i="1"/>
  <c r="AJ1084" i="1"/>
  <c r="AL1084" i="1"/>
  <c r="AF1084" i="1"/>
  <c r="AK1084" i="1"/>
  <c r="AM1084" i="1"/>
  <c r="AE1086" i="1" l="1"/>
  <c r="AM1085" i="1"/>
  <c r="AN1085" i="1"/>
  <c r="AO1085" i="1"/>
  <c r="AH1085" i="1"/>
  <c r="AP1085" i="1"/>
  <c r="AG1085" i="1"/>
  <c r="AI1085" i="1"/>
  <c r="AK1085" i="1"/>
  <c r="AF1085" i="1"/>
  <c r="AJ1085" i="1"/>
  <c r="AL1085" i="1"/>
  <c r="AE1087" i="1" l="1"/>
  <c r="AL1086" i="1"/>
  <c r="AM1086" i="1"/>
  <c r="AN1086" i="1"/>
  <c r="AO1086" i="1"/>
  <c r="AH1086" i="1"/>
  <c r="AP1086" i="1"/>
  <c r="AG1086" i="1"/>
  <c r="AJ1086" i="1"/>
  <c r="AI1086" i="1"/>
  <c r="AK1086" i="1"/>
  <c r="AF1086" i="1"/>
  <c r="AE1088" i="1" l="1"/>
  <c r="AK1087" i="1"/>
  <c r="AL1087" i="1"/>
  <c r="AM1087" i="1"/>
  <c r="AN1087" i="1"/>
  <c r="AO1087" i="1"/>
  <c r="AI1087" i="1"/>
  <c r="AH1087" i="1"/>
  <c r="AG1087" i="1"/>
  <c r="AJ1087" i="1"/>
  <c r="AF1087" i="1"/>
  <c r="AP1087" i="1"/>
  <c r="AE1089" i="1" l="1"/>
  <c r="AJ1088" i="1"/>
  <c r="AK1088" i="1"/>
  <c r="AL1088" i="1"/>
  <c r="AM1088" i="1"/>
  <c r="AN1088" i="1"/>
  <c r="AH1088" i="1"/>
  <c r="AP1088" i="1"/>
  <c r="AG1088" i="1"/>
  <c r="AF1088" i="1"/>
  <c r="AI1088" i="1"/>
  <c r="AO1088" i="1"/>
  <c r="AE1090" i="1" l="1"/>
  <c r="AI1089" i="1"/>
  <c r="AJ1089" i="1"/>
  <c r="AK1089" i="1"/>
  <c r="AL1089" i="1"/>
  <c r="AM1089" i="1"/>
  <c r="AO1089" i="1"/>
  <c r="AN1089" i="1"/>
  <c r="AP1089" i="1"/>
  <c r="AG1089" i="1"/>
  <c r="AF1089" i="1"/>
  <c r="AH1089" i="1"/>
  <c r="AE1091" i="1" l="1"/>
  <c r="AH1090" i="1"/>
  <c r="AP1090" i="1"/>
  <c r="AG1090" i="1"/>
  <c r="AI1090" i="1"/>
  <c r="AJ1090" i="1"/>
  <c r="AK1090" i="1"/>
  <c r="AL1090" i="1"/>
  <c r="AN1090" i="1"/>
  <c r="AM1090" i="1"/>
  <c r="AO1090" i="1"/>
  <c r="AF1090" i="1"/>
  <c r="AE1092" i="1" l="1"/>
  <c r="AO1091" i="1"/>
  <c r="AH1091" i="1"/>
  <c r="AP1091" i="1"/>
  <c r="AG1091" i="1"/>
  <c r="AI1091" i="1"/>
  <c r="AJ1091" i="1"/>
  <c r="AK1091" i="1"/>
  <c r="AM1091" i="1"/>
  <c r="AF1091" i="1"/>
  <c r="AL1091" i="1"/>
  <c r="AN1091" i="1"/>
  <c r="AE1093" i="1" l="1"/>
  <c r="AN1092" i="1"/>
  <c r="AO1092" i="1"/>
  <c r="AH1092" i="1"/>
  <c r="AP1092" i="1"/>
  <c r="AG1092" i="1"/>
  <c r="AI1092" i="1"/>
  <c r="AJ1092" i="1"/>
  <c r="AL1092" i="1"/>
  <c r="AF1092" i="1"/>
  <c r="AM1092" i="1"/>
  <c r="AK1092" i="1"/>
  <c r="AE1094" i="1" l="1"/>
  <c r="AM1093" i="1"/>
  <c r="AN1093" i="1"/>
  <c r="AO1093" i="1"/>
  <c r="AH1093" i="1"/>
  <c r="AP1093" i="1"/>
  <c r="AG1093" i="1"/>
  <c r="AI1093" i="1"/>
  <c r="AK1093" i="1"/>
  <c r="AJ1093" i="1"/>
  <c r="AL1093" i="1"/>
  <c r="AF1093" i="1"/>
  <c r="AE1095" i="1" l="1"/>
  <c r="AL1094" i="1"/>
  <c r="AM1094" i="1"/>
  <c r="AN1094" i="1"/>
  <c r="AO1094" i="1"/>
  <c r="AH1094" i="1"/>
  <c r="AP1094" i="1"/>
  <c r="AG1094" i="1"/>
  <c r="AJ1094" i="1"/>
  <c r="AI1094" i="1"/>
  <c r="AF1094" i="1"/>
  <c r="AK1094" i="1"/>
  <c r="AE1096" i="1" l="1"/>
  <c r="AK1095" i="1"/>
  <c r="AL1095" i="1"/>
  <c r="AM1095" i="1"/>
  <c r="AN1095" i="1"/>
  <c r="AO1095" i="1"/>
  <c r="AI1095" i="1"/>
  <c r="AF1095" i="1"/>
  <c r="AH1095" i="1"/>
  <c r="AG1095" i="1"/>
  <c r="AJ1095" i="1"/>
  <c r="AP1095" i="1"/>
  <c r="AE1097" i="1" l="1"/>
  <c r="AJ1096" i="1"/>
  <c r="AK1096" i="1"/>
  <c r="AL1096" i="1"/>
  <c r="AM1096" i="1"/>
  <c r="AN1096" i="1"/>
  <c r="AH1096" i="1"/>
  <c r="AP1096" i="1"/>
  <c r="AG1096" i="1"/>
  <c r="AO1096" i="1"/>
  <c r="AF1096" i="1"/>
  <c r="AI1096" i="1"/>
  <c r="AE1098" i="1" l="1"/>
  <c r="AI1097" i="1"/>
  <c r="AJ1097" i="1"/>
  <c r="AK1097" i="1"/>
  <c r="AL1097" i="1"/>
  <c r="AM1097" i="1"/>
  <c r="AO1097" i="1"/>
  <c r="AH1097" i="1"/>
  <c r="AN1097" i="1"/>
  <c r="AF1097" i="1"/>
  <c r="AP1097" i="1"/>
  <c r="AG1097" i="1"/>
  <c r="AE1099" i="1" l="1"/>
  <c r="AH1098" i="1"/>
  <c r="AP1098" i="1"/>
  <c r="AG1098" i="1"/>
  <c r="AI1098" i="1"/>
  <c r="AJ1098" i="1"/>
  <c r="AK1098" i="1"/>
  <c r="AL1098" i="1"/>
  <c r="AN1098" i="1"/>
  <c r="AM1098" i="1"/>
  <c r="AO1098" i="1"/>
  <c r="AF1098" i="1"/>
  <c r="AE1100" i="1" l="1"/>
  <c r="AO1099" i="1"/>
  <c r="AH1099" i="1"/>
  <c r="AP1099" i="1"/>
  <c r="AG1099" i="1"/>
  <c r="AI1099" i="1"/>
  <c r="AJ1099" i="1"/>
  <c r="AK1099" i="1"/>
  <c r="AM1099" i="1"/>
  <c r="AN1099" i="1"/>
  <c r="AF1099" i="1"/>
  <c r="AL1099" i="1"/>
  <c r="AE1101" i="1" l="1"/>
  <c r="AN1100" i="1"/>
  <c r="AO1100" i="1"/>
  <c r="AH1100" i="1"/>
  <c r="AP1100" i="1"/>
  <c r="AG1100" i="1"/>
  <c r="AI1100" i="1"/>
  <c r="AJ1100" i="1"/>
  <c r="AL1100" i="1"/>
  <c r="AK1100" i="1"/>
  <c r="AF1100" i="1"/>
  <c r="AM1100" i="1"/>
  <c r="AE1102" i="1" l="1"/>
  <c r="AM1101" i="1"/>
  <c r="AN1101" i="1"/>
  <c r="AO1101" i="1"/>
  <c r="AH1101" i="1"/>
  <c r="AP1101" i="1"/>
  <c r="AG1101" i="1"/>
  <c r="AI1101" i="1"/>
  <c r="AK1101" i="1"/>
  <c r="AF1101" i="1"/>
  <c r="AJ1101" i="1"/>
  <c r="AL1101" i="1"/>
  <c r="AE1103" i="1" l="1"/>
  <c r="AL1102" i="1"/>
  <c r="AM1102" i="1"/>
  <c r="AN1102" i="1"/>
  <c r="AO1102" i="1"/>
  <c r="AH1102" i="1"/>
  <c r="AP1102" i="1"/>
  <c r="AG1102" i="1"/>
  <c r="AJ1102" i="1"/>
  <c r="AF1102" i="1"/>
  <c r="AI1102" i="1"/>
  <c r="AK1102" i="1"/>
  <c r="AE1104" i="1" l="1"/>
  <c r="AK1103" i="1"/>
  <c r="AL1103" i="1"/>
  <c r="AM1103" i="1"/>
  <c r="AN1103" i="1"/>
  <c r="AO1103" i="1"/>
  <c r="AI1103" i="1"/>
  <c r="AP1103" i="1"/>
  <c r="AF1103" i="1"/>
  <c r="AH1103" i="1"/>
  <c r="AG1103" i="1"/>
  <c r="AJ1103" i="1"/>
  <c r="AE1105" i="1" l="1"/>
  <c r="AJ1104" i="1"/>
  <c r="AK1104" i="1"/>
  <c r="AL1104" i="1"/>
  <c r="AM1104" i="1"/>
  <c r="AN1104" i="1"/>
  <c r="AH1104" i="1"/>
  <c r="AP1104" i="1"/>
  <c r="AG1104" i="1"/>
  <c r="AI1104" i="1"/>
  <c r="AO1104" i="1"/>
  <c r="AF1104" i="1"/>
  <c r="AE1106" i="1" l="1"/>
  <c r="AI1105" i="1"/>
  <c r="AJ1105" i="1"/>
  <c r="AK1105" i="1"/>
  <c r="AL1105" i="1"/>
  <c r="AM1105" i="1"/>
  <c r="AO1105" i="1"/>
  <c r="AH1105" i="1"/>
  <c r="AN1105" i="1"/>
  <c r="AF1105" i="1"/>
  <c r="AP1105" i="1"/>
  <c r="AG1105" i="1"/>
  <c r="AE1107" i="1" l="1"/>
  <c r="AH1106" i="1"/>
  <c r="AP1106" i="1"/>
  <c r="AG1106" i="1"/>
  <c r="AI1106" i="1"/>
  <c r="AJ1106" i="1"/>
  <c r="AK1106" i="1"/>
  <c r="AL1106" i="1"/>
  <c r="AN1106" i="1"/>
  <c r="AO1106" i="1"/>
  <c r="AM1106" i="1"/>
  <c r="AF1106" i="1"/>
  <c r="AE1108" i="1" l="1"/>
  <c r="AO1107" i="1"/>
  <c r="AH1107" i="1"/>
  <c r="AP1107" i="1"/>
  <c r="AG1107" i="1"/>
  <c r="AI1107" i="1"/>
  <c r="AJ1107" i="1"/>
  <c r="AK1107" i="1"/>
  <c r="AM1107" i="1"/>
  <c r="AL1107" i="1"/>
  <c r="AF1107" i="1"/>
  <c r="AN1107" i="1"/>
  <c r="AE1109" i="1" l="1"/>
  <c r="AN1108" i="1"/>
  <c r="AO1108" i="1"/>
  <c r="AH1108" i="1"/>
  <c r="AP1108" i="1"/>
  <c r="AG1108" i="1"/>
  <c r="AI1108" i="1"/>
  <c r="AJ1108" i="1"/>
  <c r="AL1108" i="1"/>
  <c r="AF1108" i="1"/>
  <c r="AK1108" i="1"/>
  <c r="AM1108" i="1"/>
  <c r="AE1110" i="1" l="1"/>
  <c r="AM1109" i="1"/>
  <c r="AN1109" i="1"/>
  <c r="AO1109" i="1"/>
  <c r="AH1109" i="1"/>
  <c r="AP1109" i="1"/>
  <c r="AG1109" i="1"/>
  <c r="AI1109" i="1"/>
  <c r="AK1109" i="1"/>
  <c r="AF1109" i="1"/>
  <c r="AJ1109" i="1"/>
  <c r="AL1109" i="1"/>
  <c r="AE1111" i="1" l="1"/>
  <c r="AL1110" i="1"/>
  <c r="AM1110" i="1"/>
  <c r="AN1110" i="1"/>
  <c r="AO1110" i="1"/>
  <c r="AH1110" i="1"/>
  <c r="AP1110" i="1"/>
  <c r="AG1110" i="1"/>
  <c r="AJ1110" i="1"/>
  <c r="AF1110" i="1"/>
  <c r="AI1110" i="1"/>
  <c r="AK1110" i="1"/>
  <c r="AE1112" i="1" l="1"/>
  <c r="AK1111" i="1"/>
  <c r="AL1111" i="1"/>
  <c r="AM1111" i="1"/>
  <c r="AN1111" i="1"/>
  <c r="AO1111" i="1"/>
  <c r="AI1111" i="1"/>
  <c r="AH1111" i="1"/>
  <c r="AG1111" i="1"/>
  <c r="AJ1111" i="1"/>
  <c r="AP1111" i="1"/>
  <c r="AF1111" i="1"/>
  <c r="AE1113" i="1" l="1"/>
  <c r="AJ1112" i="1"/>
  <c r="AK1112" i="1"/>
  <c r="AL1112" i="1"/>
  <c r="AM1112" i="1"/>
  <c r="AN1112" i="1"/>
  <c r="AH1112" i="1"/>
  <c r="AP1112" i="1"/>
  <c r="AG1112" i="1"/>
  <c r="AI1112" i="1"/>
  <c r="AO1112" i="1"/>
  <c r="AF1112" i="1"/>
  <c r="AE1114" i="1" l="1"/>
  <c r="AI1113" i="1"/>
  <c r="AJ1113" i="1"/>
  <c r="AK1113" i="1"/>
  <c r="AL1113" i="1"/>
  <c r="AM1113" i="1"/>
  <c r="AO1113" i="1"/>
  <c r="AG1113" i="1"/>
  <c r="AF1113" i="1"/>
  <c r="AP1113" i="1"/>
  <c r="AH1113" i="1"/>
  <c r="AN1113" i="1"/>
  <c r="AE1115" i="1" l="1"/>
  <c r="AH1114" i="1"/>
  <c r="AP1114" i="1"/>
  <c r="AG1114" i="1"/>
  <c r="AI1114" i="1"/>
  <c r="AJ1114" i="1"/>
  <c r="AK1114" i="1"/>
  <c r="AL1114" i="1"/>
  <c r="AN1114" i="1"/>
  <c r="AM1114" i="1"/>
  <c r="AO1114" i="1"/>
  <c r="AF1114" i="1"/>
  <c r="AE1116" i="1" l="1"/>
  <c r="AO1115" i="1"/>
  <c r="AH1115" i="1"/>
  <c r="AP1115" i="1"/>
  <c r="AG1115" i="1"/>
  <c r="AI1115" i="1"/>
  <c r="AJ1115" i="1"/>
  <c r="AK1115" i="1"/>
  <c r="AM1115" i="1"/>
  <c r="AL1115" i="1"/>
  <c r="AN1115" i="1"/>
  <c r="AF1115" i="1"/>
  <c r="AE1117" i="1" l="1"/>
  <c r="AN1116" i="1"/>
  <c r="AO1116" i="1"/>
  <c r="AH1116" i="1"/>
  <c r="AP1116" i="1"/>
  <c r="AG1116" i="1"/>
  <c r="AI1116" i="1"/>
  <c r="AJ1116" i="1"/>
  <c r="AL1116" i="1"/>
  <c r="AF1116" i="1"/>
  <c r="AK1116" i="1"/>
  <c r="AM1116" i="1"/>
  <c r="AE1118" i="1" l="1"/>
  <c r="AM1117" i="1"/>
  <c r="AN1117" i="1"/>
  <c r="AO1117" i="1"/>
  <c r="AH1117" i="1"/>
  <c r="AP1117" i="1"/>
  <c r="AG1117" i="1"/>
  <c r="AI1117" i="1"/>
  <c r="AK1117" i="1"/>
  <c r="AF1117" i="1"/>
  <c r="AL1117" i="1"/>
  <c r="AJ1117" i="1"/>
  <c r="AE1119" i="1" l="1"/>
  <c r="AL1118" i="1"/>
  <c r="AM1118" i="1"/>
  <c r="AN1118" i="1"/>
  <c r="AO1118" i="1"/>
  <c r="AH1118" i="1"/>
  <c r="AP1118" i="1"/>
  <c r="AG1118" i="1"/>
  <c r="AJ1118" i="1"/>
  <c r="AI1118" i="1"/>
  <c r="AF1118" i="1"/>
  <c r="AK1118" i="1"/>
  <c r="AE1120" i="1" l="1"/>
  <c r="AK1119" i="1"/>
  <c r="AL1119" i="1"/>
  <c r="AM1119" i="1"/>
  <c r="AN1119" i="1"/>
  <c r="AO1119" i="1"/>
  <c r="AI1119" i="1"/>
  <c r="AH1119" i="1"/>
  <c r="AG1119" i="1"/>
  <c r="AJ1119" i="1"/>
  <c r="AF1119" i="1"/>
  <c r="AP1119" i="1"/>
  <c r="AE1121" i="1" l="1"/>
  <c r="AJ1120" i="1"/>
  <c r="AK1120" i="1"/>
  <c r="AL1120" i="1"/>
  <c r="AM1120" i="1"/>
  <c r="AN1120" i="1"/>
  <c r="AH1120" i="1"/>
  <c r="AP1120" i="1"/>
  <c r="AG1120" i="1"/>
  <c r="AF1120" i="1"/>
  <c r="AI1120" i="1"/>
  <c r="AO1120" i="1"/>
  <c r="AE1122" i="1" l="1"/>
  <c r="AI1121" i="1"/>
  <c r="AJ1121" i="1"/>
  <c r="AK1121" i="1"/>
  <c r="AL1121" i="1"/>
  <c r="AM1121" i="1"/>
  <c r="AO1121" i="1"/>
  <c r="AN1121" i="1"/>
  <c r="AP1121" i="1"/>
  <c r="AH1121" i="1"/>
  <c r="AG1121" i="1"/>
  <c r="AF1121" i="1"/>
  <c r="AE1123" i="1" l="1"/>
  <c r="AH1122" i="1"/>
  <c r="AP1122" i="1"/>
  <c r="AG1122" i="1"/>
  <c r="AI1122" i="1"/>
  <c r="AJ1122" i="1"/>
  <c r="AK1122" i="1"/>
  <c r="AL1122" i="1"/>
  <c r="AN1122" i="1"/>
  <c r="AM1122" i="1"/>
  <c r="AO1122" i="1"/>
  <c r="AF1122" i="1"/>
  <c r="AE1124" i="1" l="1"/>
  <c r="AO1123" i="1"/>
  <c r="AH1123" i="1"/>
  <c r="AP1123" i="1"/>
  <c r="AG1123" i="1"/>
  <c r="AI1123" i="1"/>
  <c r="AJ1123" i="1"/>
  <c r="AK1123" i="1"/>
  <c r="AM1123" i="1"/>
  <c r="AL1123" i="1"/>
  <c r="AF1123" i="1"/>
  <c r="AN1123" i="1"/>
  <c r="AE1125" i="1" l="1"/>
  <c r="AN1124" i="1"/>
  <c r="AO1124" i="1"/>
  <c r="AH1124" i="1"/>
  <c r="AP1124" i="1"/>
  <c r="AG1124" i="1"/>
  <c r="AI1124" i="1"/>
  <c r="AJ1124" i="1"/>
  <c r="AL1124" i="1"/>
  <c r="AF1124" i="1"/>
  <c r="AK1124" i="1"/>
  <c r="AM1124" i="1"/>
  <c r="AE1126" i="1" l="1"/>
  <c r="AM1125" i="1"/>
  <c r="AN1125" i="1"/>
  <c r="AO1125" i="1"/>
  <c r="AH1125" i="1"/>
  <c r="AP1125" i="1"/>
  <c r="AG1125" i="1"/>
  <c r="AI1125" i="1"/>
  <c r="AK1125" i="1"/>
  <c r="AJ1125" i="1"/>
  <c r="AL1125" i="1"/>
  <c r="AF1125" i="1"/>
  <c r="AE1127" i="1" l="1"/>
  <c r="AL1126" i="1"/>
  <c r="AM1126" i="1"/>
  <c r="AN1126" i="1"/>
  <c r="AO1126" i="1"/>
  <c r="AH1126" i="1"/>
  <c r="AP1126" i="1"/>
  <c r="AG1126" i="1"/>
  <c r="AJ1126" i="1"/>
  <c r="AF1126" i="1"/>
  <c r="AI1126" i="1"/>
  <c r="AK1126" i="1"/>
  <c r="AE1128" i="1" l="1"/>
  <c r="AK1127" i="1"/>
  <c r="AL1127" i="1"/>
  <c r="AM1127" i="1"/>
  <c r="AN1127" i="1"/>
  <c r="AO1127" i="1"/>
  <c r="AI1127" i="1"/>
  <c r="AF1127" i="1"/>
  <c r="AH1127" i="1"/>
  <c r="AG1127" i="1"/>
  <c r="AJ1127" i="1"/>
  <c r="AP1127" i="1"/>
  <c r="AE1129" i="1" l="1"/>
  <c r="AJ1128" i="1"/>
  <c r="AK1128" i="1"/>
  <c r="AL1128" i="1"/>
  <c r="AM1128" i="1"/>
  <c r="AN1128" i="1"/>
  <c r="AH1128" i="1"/>
  <c r="AP1128" i="1"/>
  <c r="AG1128" i="1"/>
  <c r="AO1128" i="1"/>
  <c r="AF1128" i="1"/>
  <c r="AI1128" i="1"/>
  <c r="AE1130" i="1" l="1"/>
  <c r="AI1129" i="1"/>
  <c r="AJ1129" i="1"/>
  <c r="AK1129" i="1"/>
  <c r="AL1129" i="1"/>
  <c r="AM1129" i="1"/>
  <c r="AO1129" i="1"/>
  <c r="AH1129" i="1"/>
  <c r="AN1129" i="1"/>
  <c r="AP1129" i="1"/>
  <c r="AG1129" i="1"/>
  <c r="AF1129" i="1"/>
  <c r="AE1131" i="1" l="1"/>
  <c r="AH1130" i="1"/>
  <c r="AP1130" i="1"/>
  <c r="AG1130" i="1"/>
  <c r="AI1130" i="1"/>
  <c r="AJ1130" i="1"/>
  <c r="AK1130" i="1"/>
  <c r="AL1130" i="1"/>
  <c r="AN1130" i="1"/>
  <c r="AM1130" i="1"/>
  <c r="AO1130" i="1"/>
  <c r="AF1130" i="1"/>
  <c r="AE1132" i="1" l="1"/>
  <c r="AO1131" i="1"/>
  <c r="AH1131" i="1"/>
  <c r="AP1131" i="1"/>
  <c r="AG1131" i="1"/>
  <c r="AI1131" i="1"/>
  <c r="AJ1131" i="1"/>
  <c r="AK1131" i="1"/>
  <c r="AM1131" i="1"/>
  <c r="AN1131" i="1"/>
  <c r="AF1131" i="1"/>
  <c r="AL1131" i="1"/>
  <c r="AE1133" i="1" l="1"/>
  <c r="AN1132" i="1"/>
  <c r="AO1132" i="1"/>
  <c r="AH1132" i="1"/>
  <c r="AP1132" i="1"/>
  <c r="AG1132" i="1"/>
  <c r="AI1132" i="1"/>
  <c r="AJ1132" i="1"/>
  <c r="AL1132" i="1"/>
  <c r="AK1132" i="1"/>
  <c r="AF1132" i="1"/>
  <c r="AM1132" i="1"/>
  <c r="AE1134" i="1" l="1"/>
  <c r="AM1133" i="1"/>
  <c r="AN1133" i="1"/>
  <c r="AO1133" i="1"/>
  <c r="AH1133" i="1"/>
  <c r="AP1133" i="1"/>
  <c r="AG1133" i="1"/>
  <c r="AI1133" i="1"/>
  <c r="AK1133" i="1"/>
  <c r="AF1133" i="1"/>
  <c r="AJ1133" i="1"/>
  <c r="AL1133" i="1"/>
  <c r="AE1135" i="1" l="1"/>
  <c r="AL1134" i="1"/>
  <c r="AM1134" i="1"/>
  <c r="AN1134" i="1"/>
  <c r="AO1134" i="1"/>
  <c r="AH1134" i="1"/>
  <c r="AP1134" i="1"/>
  <c r="AG1134" i="1"/>
  <c r="AJ1134" i="1"/>
  <c r="AF1134" i="1"/>
  <c r="AI1134" i="1"/>
  <c r="AK1134" i="1"/>
  <c r="AE1136" i="1" l="1"/>
  <c r="AK1135" i="1"/>
  <c r="AL1135" i="1"/>
  <c r="AM1135" i="1"/>
  <c r="AN1135" i="1"/>
  <c r="AO1135" i="1"/>
  <c r="AI1135" i="1"/>
  <c r="AP1135" i="1"/>
  <c r="AF1135" i="1"/>
  <c r="AH1135" i="1"/>
  <c r="AG1135" i="1"/>
  <c r="AJ1135" i="1"/>
  <c r="AE1137" i="1" l="1"/>
  <c r="AJ1136" i="1"/>
  <c r="AK1136" i="1"/>
  <c r="AL1136" i="1"/>
  <c r="AM1136" i="1"/>
  <c r="AN1136" i="1"/>
  <c r="AH1136" i="1"/>
  <c r="AP1136" i="1"/>
  <c r="AG1136" i="1"/>
  <c r="AI1136" i="1"/>
  <c r="AO1136" i="1"/>
  <c r="AF1136" i="1"/>
  <c r="AE1138" i="1" l="1"/>
  <c r="AI1137" i="1"/>
  <c r="AJ1137" i="1"/>
  <c r="AK1137" i="1"/>
  <c r="AL1137" i="1"/>
  <c r="AM1137" i="1"/>
  <c r="AO1137" i="1"/>
  <c r="AF1137" i="1"/>
  <c r="AH1137" i="1"/>
  <c r="AG1137" i="1"/>
  <c r="AN1137" i="1"/>
  <c r="AP1137" i="1"/>
  <c r="AE1139" i="1" l="1"/>
  <c r="AH1138" i="1"/>
  <c r="AP1138" i="1"/>
  <c r="AG1138" i="1"/>
  <c r="AI1138" i="1"/>
  <c r="AJ1138" i="1"/>
  <c r="AK1138" i="1"/>
  <c r="AL1138" i="1"/>
  <c r="AN1138" i="1"/>
  <c r="AO1138" i="1"/>
  <c r="AM1138" i="1"/>
  <c r="AF1138" i="1"/>
  <c r="AE1140" i="1" l="1"/>
  <c r="AO1139" i="1"/>
  <c r="AH1139" i="1"/>
  <c r="AP1139" i="1"/>
  <c r="AG1139" i="1"/>
  <c r="AI1139" i="1"/>
  <c r="AJ1139" i="1"/>
  <c r="AK1139" i="1"/>
  <c r="AM1139" i="1"/>
  <c r="AL1139" i="1"/>
  <c r="AN1139" i="1"/>
  <c r="AF1139" i="1"/>
  <c r="AE1141" i="1" l="1"/>
  <c r="AN1140" i="1"/>
  <c r="AO1140" i="1"/>
  <c r="AH1140" i="1"/>
  <c r="AP1140" i="1"/>
  <c r="AG1140" i="1"/>
  <c r="AI1140" i="1"/>
  <c r="AJ1140" i="1"/>
  <c r="AL1140" i="1"/>
  <c r="AF1140" i="1"/>
  <c r="AK1140" i="1"/>
  <c r="AM1140" i="1"/>
  <c r="AE1142" i="1" l="1"/>
  <c r="AM1141" i="1"/>
  <c r="AN1141" i="1"/>
  <c r="AO1141" i="1"/>
  <c r="AH1141" i="1"/>
  <c r="AP1141" i="1"/>
  <c r="AG1141" i="1"/>
  <c r="AI1141" i="1"/>
  <c r="AK1141" i="1"/>
  <c r="AF1141" i="1"/>
  <c r="AJ1141" i="1"/>
  <c r="AL1141" i="1"/>
  <c r="AE1143" i="1" l="1"/>
  <c r="AL1142" i="1"/>
  <c r="AM1142" i="1"/>
  <c r="AN1142" i="1"/>
  <c r="AO1142" i="1"/>
  <c r="AH1142" i="1"/>
  <c r="AP1142" i="1"/>
  <c r="AG1142" i="1"/>
  <c r="AJ1142" i="1"/>
  <c r="AK1142" i="1"/>
  <c r="AF1142" i="1"/>
  <c r="AI1142" i="1"/>
  <c r="AE1144" i="1" l="1"/>
  <c r="AK1143" i="1"/>
  <c r="AL1143" i="1"/>
  <c r="AM1143" i="1"/>
  <c r="AN1143" i="1"/>
  <c r="AO1143" i="1"/>
  <c r="AI1143" i="1"/>
  <c r="AH1143" i="1"/>
  <c r="AG1143" i="1"/>
  <c r="AJ1143" i="1"/>
  <c r="AP1143" i="1"/>
  <c r="AF1143" i="1"/>
  <c r="AE1145" i="1" l="1"/>
  <c r="AJ1144" i="1"/>
  <c r="AK1144" i="1"/>
  <c r="AL1144" i="1"/>
  <c r="AM1144" i="1"/>
  <c r="AN1144" i="1"/>
  <c r="AH1144" i="1"/>
  <c r="AP1144" i="1"/>
  <c r="AG1144" i="1"/>
  <c r="AI1144" i="1"/>
  <c r="AO1144" i="1"/>
  <c r="AF1144" i="1"/>
  <c r="AE1146" i="1" l="1"/>
  <c r="AI1145" i="1"/>
  <c r="AJ1145" i="1"/>
  <c r="AK1145" i="1"/>
  <c r="AL1145" i="1"/>
  <c r="AM1145" i="1"/>
  <c r="AO1145" i="1"/>
  <c r="AG1145" i="1"/>
  <c r="AP1145" i="1"/>
  <c r="AF1145" i="1"/>
  <c r="AH1145" i="1"/>
  <c r="AN1145" i="1"/>
  <c r="AE1147" i="1" l="1"/>
  <c r="AH1146" i="1"/>
  <c r="AP1146" i="1"/>
  <c r="AG1146" i="1"/>
  <c r="AI1146" i="1"/>
  <c r="AJ1146" i="1"/>
  <c r="AK1146" i="1"/>
  <c r="AL1146" i="1"/>
  <c r="AN1146" i="1"/>
  <c r="AM1146" i="1"/>
  <c r="AO1146" i="1"/>
  <c r="AF1146" i="1"/>
  <c r="AE1148" i="1" l="1"/>
  <c r="AO1147" i="1"/>
  <c r="AH1147" i="1"/>
  <c r="AP1147" i="1"/>
  <c r="AG1147" i="1"/>
  <c r="AI1147" i="1"/>
  <c r="AJ1147" i="1"/>
  <c r="AK1147" i="1"/>
  <c r="AM1147" i="1"/>
  <c r="AL1147" i="1"/>
  <c r="AN1147" i="1"/>
  <c r="AF1147" i="1"/>
  <c r="AE1149" i="1" l="1"/>
  <c r="AN1148" i="1"/>
  <c r="AO1148" i="1"/>
  <c r="AH1148" i="1"/>
  <c r="AP1148" i="1"/>
  <c r="AG1148" i="1"/>
  <c r="AI1148" i="1"/>
  <c r="AJ1148" i="1"/>
  <c r="AL1148" i="1"/>
  <c r="AF1148" i="1"/>
  <c r="AK1148" i="1"/>
  <c r="AM1148" i="1"/>
  <c r="AE1150" i="1" l="1"/>
  <c r="AM1149" i="1"/>
  <c r="AN1149" i="1"/>
  <c r="AO1149" i="1"/>
  <c r="AH1149" i="1"/>
  <c r="AP1149" i="1"/>
  <c r="AG1149" i="1"/>
  <c r="AI1149" i="1"/>
  <c r="AK1149" i="1"/>
  <c r="AF1149" i="1"/>
  <c r="AJ1149" i="1"/>
  <c r="AL1149" i="1"/>
  <c r="AE1151" i="1" l="1"/>
  <c r="AL1150" i="1"/>
  <c r="AM1150" i="1"/>
  <c r="AN1150" i="1"/>
  <c r="AO1150" i="1"/>
  <c r="AH1150" i="1"/>
  <c r="AP1150" i="1"/>
  <c r="AG1150" i="1"/>
  <c r="AJ1150" i="1"/>
  <c r="AI1150" i="1"/>
  <c r="AF1150" i="1"/>
  <c r="AK1150" i="1"/>
  <c r="AE1152" i="1" l="1"/>
  <c r="AK1151" i="1"/>
  <c r="AL1151" i="1"/>
  <c r="AM1151" i="1"/>
  <c r="AN1151" i="1"/>
  <c r="AO1151" i="1"/>
  <c r="AI1151" i="1"/>
  <c r="AH1151" i="1"/>
  <c r="AG1151" i="1"/>
  <c r="AJ1151" i="1"/>
  <c r="AF1151" i="1"/>
  <c r="AP1151" i="1"/>
  <c r="AE1153" i="1" l="1"/>
  <c r="AJ1152" i="1"/>
  <c r="AK1152" i="1"/>
  <c r="AL1152" i="1"/>
  <c r="AM1152" i="1"/>
  <c r="AN1152" i="1"/>
  <c r="AH1152" i="1"/>
  <c r="AP1152" i="1"/>
  <c r="AG1152" i="1"/>
  <c r="AF1152" i="1"/>
  <c r="AI1152" i="1"/>
  <c r="AO1152" i="1"/>
  <c r="AE1154" i="1" l="1"/>
  <c r="AI1153" i="1"/>
  <c r="AJ1153" i="1"/>
  <c r="AK1153" i="1"/>
  <c r="AL1153" i="1"/>
  <c r="AM1153" i="1"/>
  <c r="AO1153" i="1"/>
  <c r="AN1153" i="1"/>
  <c r="AP1153" i="1"/>
  <c r="AH1153" i="1"/>
  <c r="AG1153" i="1"/>
  <c r="AF1153" i="1"/>
  <c r="AE1155" i="1" l="1"/>
  <c r="AH1154" i="1"/>
  <c r="AP1154" i="1"/>
  <c r="AG1154" i="1"/>
  <c r="AI1154" i="1"/>
  <c r="AJ1154" i="1"/>
  <c r="AK1154" i="1"/>
  <c r="AL1154" i="1"/>
  <c r="AN1154" i="1"/>
  <c r="AM1154" i="1"/>
  <c r="AO1154" i="1"/>
  <c r="AF1154" i="1"/>
  <c r="AE1156" i="1" l="1"/>
  <c r="AO1155" i="1"/>
  <c r="AH1155" i="1"/>
  <c r="AP1155" i="1"/>
  <c r="AG1155" i="1"/>
  <c r="AI1155" i="1"/>
  <c r="AJ1155" i="1"/>
  <c r="AK1155" i="1"/>
  <c r="AM1155" i="1"/>
  <c r="AF1155" i="1"/>
  <c r="AL1155" i="1"/>
  <c r="AN1155" i="1"/>
  <c r="AE1157" i="1" l="1"/>
  <c r="AN1156" i="1"/>
  <c r="AO1156" i="1"/>
  <c r="AH1156" i="1"/>
  <c r="AP1156" i="1"/>
  <c r="AG1156" i="1"/>
  <c r="AI1156" i="1"/>
  <c r="AJ1156" i="1"/>
  <c r="AL1156" i="1"/>
  <c r="AF1156" i="1"/>
  <c r="AM1156" i="1"/>
  <c r="AK1156" i="1"/>
  <c r="AE1158" i="1" l="1"/>
  <c r="AM1157" i="1"/>
  <c r="AN1157" i="1"/>
  <c r="AO1157" i="1"/>
  <c r="AH1157" i="1"/>
  <c r="AP1157" i="1"/>
  <c r="AG1157" i="1"/>
  <c r="AI1157" i="1"/>
  <c r="AK1157" i="1"/>
  <c r="AJ1157" i="1"/>
  <c r="AL1157" i="1"/>
  <c r="AF1157" i="1"/>
  <c r="AE1159" i="1" l="1"/>
  <c r="AL1158" i="1"/>
  <c r="AM1158" i="1"/>
  <c r="AN1158" i="1"/>
  <c r="AO1158" i="1"/>
  <c r="AH1158" i="1"/>
  <c r="AP1158" i="1"/>
  <c r="AG1158" i="1"/>
  <c r="AJ1158" i="1"/>
  <c r="AI1158" i="1"/>
  <c r="AF1158" i="1"/>
  <c r="AK1158" i="1"/>
  <c r="AE1160" i="1" l="1"/>
  <c r="AK1159" i="1"/>
  <c r="AL1159" i="1"/>
  <c r="AM1159" i="1"/>
  <c r="AN1159" i="1"/>
  <c r="AO1159" i="1"/>
  <c r="AI1159" i="1"/>
  <c r="AF1159" i="1"/>
  <c r="AH1159" i="1"/>
  <c r="AG1159" i="1"/>
  <c r="AJ1159" i="1"/>
  <c r="AP1159" i="1"/>
  <c r="AE1161" i="1" l="1"/>
  <c r="AJ1160" i="1"/>
  <c r="AK1160" i="1"/>
  <c r="AL1160" i="1"/>
  <c r="AM1160" i="1"/>
  <c r="AN1160" i="1"/>
  <c r="AH1160" i="1"/>
  <c r="AP1160" i="1"/>
  <c r="AG1160" i="1"/>
  <c r="AO1160" i="1"/>
  <c r="AI1160" i="1"/>
  <c r="AF1160" i="1"/>
  <c r="AE1162" i="1" l="1"/>
  <c r="AI1161" i="1"/>
  <c r="AJ1161" i="1"/>
  <c r="AK1161" i="1"/>
  <c r="AL1161" i="1"/>
  <c r="AM1161" i="1"/>
  <c r="AO1161" i="1"/>
  <c r="AH1161" i="1"/>
  <c r="AN1161" i="1"/>
  <c r="AP1161" i="1"/>
  <c r="AG1161" i="1"/>
  <c r="AF1161" i="1"/>
  <c r="AE1163" i="1" l="1"/>
  <c r="AH1162" i="1"/>
  <c r="AP1162" i="1"/>
  <c r="AG1162" i="1"/>
  <c r="AI1162" i="1"/>
  <c r="AJ1162" i="1"/>
  <c r="AK1162" i="1"/>
  <c r="AL1162" i="1"/>
  <c r="AN1162" i="1"/>
  <c r="AM1162" i="1"/>
  <c r="AO1162" i="1"/>
  <c r="AF1162" i="1"/>
  <c r="AE1164" i="1" l="1"/>
  <c r="AO1163" i="1"/>
  <c r="AH1163" i="1"/>
  <c r="AP1163" i="1"/>
  <c r="AG1163" i="1"/>
  <c r="AI1163" i="1"/>
  <c r="AJ1163" i="1"/>
  <c r="AK1163" i="1"/>
  <c r="AM1163" i="1"/>
  <c r="AF1163" i="1"/>
  <c r="AN1163" i="1"/>
  <c r="AL1163" i="1"/>
  <c r="AE1165" i="1" l="1"/>
  <c r="AN1164" i="1"/>
  <c r="AO1164" i="1"/>
  <c r="AH1164" i="1"/>
  <c r="AP1164" i="1"/>
  <c r="AG1164" i="1"/>
  <c r="AI1164" i="1"/>
  <c r="AJ1164" i="1"/>
  <c r="AL1164" i="1"/>
  <c r="AK1164" i="1"/>
  <c r="AF1164" i="1"/>
  <c r="AM1164" i="1"/>
  <c r="AE1166" i="1" l="1"/>
  <c r="AM1165" i="1"/>
  <c r="AN1165" i="1"/>
  <c r="AO1165" i="1"/>
  <c r="AH1165" i="1"/>
  <c r="AP1165" i="1"/>
  <c r="AG1165" i="1"/>
  <c r="AI1165" i="1"/>
  <c r="AK1165" i="1"/>
  <c r="AF1165" i="1"/>
  <c r="AJ1165" i="1"/>
  <c r="AL1165" i="1"/>
  <c r="AE1167" i="1" l="1"/>
  <c r="AL1166" i="1"/>
  <c r="AM1166" i="1"/>
  <c r="AN1166" i="1"/>
  <c r="AO1166" i="1"/>
  <c r="AH1166" i="1"/>
  <c r="AP1166" i="1"/>
  <c r="AG1166" i="1"/>
  <c r="AJ1166" i="1"/>
  <c r="AF1166" i="1"/>
  <c r="AI1166" i="1"/>
  <c r="AK1166" i="1"/>
  <c r="AE1168" i="1" l="1"/>
  <c r="AK1167" i="1"/>
  <c r="AL1167" i="1"/>
  <c r="AM1167" i="1"/>
  <c r="AN1167" i="1"/>
  <c r="AO1167" i="1"/>
  <c r="AI1167" i="1"/>
  <c r="AP1167" i="1"/>
  <c r="AF1167" i="1"/>
  <c r="AH1167" i="1"/>
  <c r="AG1167" i="1"/>
  <c r="AJ1167" i="1"/>
  <c r="AE1169" i="1" l="1"/>
  <c r="AJ1168" i="1"/>
  <c r="AK1168" i="1"/>
  <c r="AL1168" i="1"/>
  <c r="AM1168" i="1"/>
  <c r="AN1168" i="1"/>
  <c r="AH1168" i="1"/>
  <c r="AP1168" i="1"/>
  <c r="AG1168" i="1"/>
  <c r="AI1168" i="1"/>
  <c r="AO1168" i="1"/>
  <c r="AF1168" i="1"/>
  <c r="AE1170" i="1" l="1"/>
  <c r="AI1169" i="1"/>
  <c r="AJ1169" i="1"/>
  <c r="AK1169" i="1"/>
  <c r="AL1169" i="1"/>
  <c r="AM1169" i="1"/>
  <c r="AO1169" i="1"/>
  <c r="AG1169" i="1"/>
  <c r="AF1169" i="1"/>
  <c r="AH1169" i="1"/>
  <c r="AN1169" i="1"/>
  <c r="AP1169" i="1"/>
  <c r="AE1171" i="1" l="1"/>
  <c r="AH1170" i="1"/>
  <c r="AP1170" i="1"/>
  <c r="AG1170" i="1"/>
  <c r="AI1170" i="1"/>
  <c r="AJ1170" i="1"/>
  <c r="AK1170" i="1"/>
  <c r="AL1170" i="1"/>
  <c r="AN1170" i="1"/>
  <c r="AO1170" i="1"/>
  <c r="AM1170" i="1"/>
  <c r="AF1170" i="1"/>
  <c r="AE1172" i="1" l="1"/>
  <c r="AO1171" i="1"/>
  <c r="AH1171" i="1"/>
  <c r="AP1171" i="1"/>
  <c r="AG1171" i="1"/>
  <c r="AI1171" i="1"/>
  <c r="AJ1171" i="1"/>
  <c r="AK1171" i="1"/>
  <c r="AM1171" i="1"/>
  <c r="AL1171" i="1"/>
  <c r="AN1171" i="1"/>
  <c r="AF1171" i="1"/>
  <c r="AE1173" i="1" l="1"/>
  <c r="AN1172" i="1"/>
  <c r="AO1172" i="1"/>
  <c r="AH1172" i="1"/>
  <c r="AP1172" i="1"/>
  <c r="AG1172" i="1"/>
  <c r="AI1172" i="1"/>
  <c r="AJ1172" i="1"/>
  <c r="AL1172" i="1"/>
  <c r="AF1172" i="1"/>
  <c r="AK1172" i="1"/>
  <c r="AM1172" i="1"/>
  <c r="AE1174" i="1" l="1"/>
  <c r="AM1173" i="1"/>
  <c r="AN1173" i="1"/>
  <c r="AO1173" i="1"/>
  <c r="AH1173" i="1"/>
  <c r="AP1173" i="1"/>
  <c r="AG1173" i="1"/>
  <c r="AI1173" i="1"/>
  <c r="AK1173" i="1"/>
  <c r="AF1173" i="1"/>
  <c r="AJ1173" i="1"/>
  <c r="AL1173" i="1"/>
  <c r="AE1175" i="1" l="1"/>
  <c r="AL1174" i="1"/>
  <c r="AM1174" i="1"/>
  <c r="AN1174" i="1"/>
  <c r="AO1174" i="1"/>
  <c r="AH1174" i="1"/>
  <c r="AP1174" i="1"/>
  <c r="AG1174" i="1"/>
  <c r="AJ1174" i="1"/>
  <c r="AF1174" i="1"/>
  <c r="AK1174" i="1"/>
  <c r="AI1174" i="1"/>
  <c r="AE1176" i="1" l="1"/>
  <c r="AK1175" i="1"/>
  <c r="AL1175" i="1"/>
  <c r="AM1175" i="1"/>
  <c r="AN1175" i="1"/>
  <c r="AO1175" i="1"/>
  <c r="AI1175" i="1"/>
  <c r="AH1175" i="1"/>
  <c r="AG1175" i="1"/>
  <c r="AJ1175" i="1"/>
  <c r="AP1175" i="1"/>
  <c r="AF1175" i="1"/>
  <c r="AE1177" i="1" l="1"/>
  <c r="AJ1176" i="1"/>
  <c r="AK1176" i="1"/>
  <c r="AL1176" i="1"/>
  <c r="AM1176" i="1"/>
  <c r="AN1176" i="1"/>
  <c r="AH1176" i="1"/>
  <c r="AP1176" i="1"/>
  <c r="AG1176" i="1"/>
  <c r="AI1176" i="1"/>
  <c r="AO1176" i="1"/>
  <c r="AF1176" i="1"/>
  <c r="AE1178" i="1" l="1"/>
  <c r="AI1177" i="1"/>
  <c r="AJ1177" i="1"/>
  <c r="AK1177" i="1"/>
  <c r="AL1177" i="1"/>
  <c r="AM1177" i="1"/>
  <c r="AO1177" i="1"/>
  <c r="AG1177" i="1"/>
  <c r="AP1177" i="1"/>
  <c r="AF1177" i="1"/>
  <c r="AH1177" i="1"/>
  <c r="AN1177" i="1"/>
  <c r="AE1179" i="1" l="1"/>
  <c r="AH1178" i="1"/>
  <c r="AP1178" i="1"/>
  <c r="AG1178" i="1"/>
  <c r="AI1178" i="1"/>
  <c r="AJ1178" i="1"/>
  <c r="AK1178" i="1"/>
  <c r="AL1178" i="1"/>
  <c r="AN1178" i="1"/>
  <c r="AM1178" i="1"/>
  <c r="AO1178" i="1"/>
  <c r="AF1178" i="1"/>
  <c r="AE1180" i="1" l="1"/>
  <c r="AO1179" i="1"/>
  <c r="AH1179" i="1"/>
  <c r="AP1179" i="1"/>
  <c r="AG1179" i="1"/>
  <c r="AI1179" i="1"/>
  <c r="AJ1179" i="1"/>
  <c r="AK1179" i="1"/>
  <c r="AM1179" i="1"/>
  <c r="AL1179" i="1"/>
  <c r="AN1179" i="1"/>
  <c r="AF1179" i="1"/>
  <c r="AE1181" i="1" l="1"/>
  <c r="AN1180" i="1"/>
  <c r="AO1180" i="1"/>
  <c r="AH1180" i="1"/>
  <c r="AP1180" i="1"/>
  <c r="AG1180" i="1"/>
  <c r="AI1180" i="1"/>
  <c r="AJ1180" i="1"/>
  <c r="AL1180" i="1"/>
  <c r="AF1180" i="1"/>
  <c r="AK1180" i="1"/>
  <c r="AM1180" i="1"/>
  <c r="AE1182" i="1" l="1"/>
  <c r="AM1181" i="1"/>
  <c r="AN1181" i="1"/>
  <c r="AO1181" i="1"/>
  <c r="AH1181" i="1"/>
  <c r="AP1181" i="1"/>
  <c r="AG1181" i="1"/>
  <c r="AI1181" i="1"/>
  <c r="AK1181" i="1"/>
  <c r="AF1181" i="1"/>
  <c r="AJ1181" i="1"/>
  <c r="AL1181" i="1"/>
  <c r="AE1183" i="1" l="1"/>
  <c r="AL1182" i="1"/>
  <c r="AM1182" i="1"/>
  <c r="AN1182" i="1"/>
  <c r="AO1182" i="1"/>
  <c r="AH1182" i="1"/>
  <c r="AP1182" i="1"/>
  <c r="AG1182" i="1"/>
  <c r="AJ1182" i="1"/>
  <c r="AI1182" i="1"/>
  <c r="AK1182" i="1"/>
  <c r="AF1182" i="1"/>
  <c r="AE1184" i="1" l="1"/>
  <c r="AK1183" i="1"/>
  <c r="AL1183" i="1"/>
  <c r="AM1183" i="1"/>
  <c r="AN1183" i="1"/>
  <c r="AO1183" i="1"/>
  <c r="AI1183" i="1"/>
  <c r="AH1183" i="1"/>
  <c r="AG1183" i="1"/>
  <c r="AJ1183" i="1"/>
  <c r="AF1183" i="1"/>
  <c r="AP1183" i="1"/>
  <c r="AE1185" i="1" l="1"/>
  <c r="AJ1184" i="1"/>
  <c r="AK1184" i="1"/>
  <c r="AL1184" i="1"/>
  <c r="AM1184" i="1"/>
  <c r="AN1184" i="1"/>
  <c r="AH1184" i="1"/>
  <c r="AP1184" i="1"/>
  <c r="AG1184" i="1"/>
  <c r="AF1184" i="1"/>
  <c r="AI1184" i="1"/>
  <c r="AO1184" i="1"/>
  <c r="AE1186" i="1" l="1"/>
  <c r="AI1185" i="1"/>
  <c r="AJ1185" i="1"/>
  <c r="AK1185" i="1"/>
  <c r="AL1185" i="1"/>
  <c r="AM1185" i="1"/>
  <c r="AO1185" i="1"/>
  <c r="AN1185" i="1"/>
  <c r="AP1185" i="1"/>
  <c r="AH1185" i="1"/>
  <c r="AG1185" i="1"/>
  <c r="AF1185" i="1"/>
  <c r="AE1187" i="1" l="1"/>
  <c r="AH1186" i="1"/>
  <c r="AP1186" i="1"/>
  <c r="AG1186" i="1"/>
  <c r="AI1186" i="1"/>
  <c r="AJ1186" i="1"/>
  <c r="AK1186" i="1"/>
  <c r="AL1186" i="1"/>
  <c r="AN1186" i="1"/>
  <c r="AM1186" i="1"/>
  <c r="AO1186" i="1"/>
  <c r="AF1186" i="1"/>
  <c r="AE1188" i="1" l="1"/>
  <c r="AO1187" i="1"/>
  <c r="AH1187" i="1"/>
  <c r="AP1187" i="1"/>
  <c r="AG1187" i="1"/>
  <c r="AI1187" i="1"/>
  <c r="AJ1187" i="1"/>
  <c r="AK1187" i="1"/>
  <c r="AM1187" i="1"/>
  <c r="AL1187" i="1"/>
  <c r="AF1187" i="1"/>
  <c r="AN1187" i="1"/>
  <c r="AE1189" i="1" l="1"/>
  <c r="AN1188" i="1"/>
  <c r="AO1188" i="1"/>
  <c r="AH1188" i="1"/>
  <c r="AP1188" i="1"/>
  <c r="AG1188" i="1"/>
  <c r="AI1188" i="1"/>
  <c r="AJ1188" i="1"/>
  <c r="AL1188" i="1"/>
  <c r="AF1188" i="1"/>
  <c r="AM1188" i="1"/>
  <c r="AK1188" i="1"/>
  <c r="AE1190" i="1" l="1"/>
  <c r="AM1189" i="1"/>
  <c r="AN1189" i="1"/>
  <c r="AO1189" i="1"/>
  <c r="AH1189" i="1"/>
  <c r="AP1189" i="1"/>
  <c r="AG1189" i="1"/>
  <c r="AI1189" i="1"/>
  <c r="AK1189" i="1"/>
  <c r="AJ1189" i="1"/>
  <c r="AL1189" i="1"/>
  <c r="AF1189" i="1"/>
  <c r="AE1191" i="1" l="1"/>
  <c r="AL1190" i="1"/>
  <c r="AM1190" i="1"/>
  <c r="AN1190" i="1"/>
  <c r="AO1190" i="1"/>
  <c r="AH1190" i="1"/>
  <c r="AP1190" i="1"/>
  <c r="AG1190" i="1"/>
  <c r="AJ1190" i="1"/>
  <c r="AF1190" i="1"/>
  <c r="AI1190" i="1"/>
  <c r="AK1190" i="1"/>
  <c r="AE1192" i="1" l="1"/>
  <c r="AK1191" i="1"/>
  <c r="AL1191" i="1"/>
  <c r="AM1191" i="1"/>
  <c r="AN1191" i="1"/>
  <c r="AO1191" i="1"/>
  <c r="AI1191" i="1"/>
  <c r="AF1191" i="1"/>
  <c r="AH1191" i="1"/>
  <c r="AG1191" i="1"/>
  <c r="AJ1191" i="1"/>
  <c r="AP1191" i="1"/>
  <c r="AE1193" i="1" l="1"/>
  <c r="AJ1192" i="1"/>
  <c r="AK1192" i="1"/>
  <c r="AL1192" i="1"/>
  <c r="AM1192" i="1"/>
  <c r="AN1192" i="1"/>
  <c r="AH1192" i="1"/>
  <c r="AP1192" i="1"/>
  <c r="AG1192" i="1"/>
  <c r="AO1192" i="1"/>
  <c r="AI1192" i="1"/>
  <c r="AF1192" i="1"/>
  <c r="AE1194" i="1" l="1"/>
  <c r="AI1193" i="1"/>
  <c r="AJ1193" i="1"/>
  <c r="AK1193" i="1"/>
  <c r="AL1193" i="1"/>
  <c r="AM1193" i="1"/>
  <c r="AO1193" i="1"/>
  <c r="AH1193" i="1"/>
  <c r="AF1193" i="1"/>
  <c r="AN1193" i="1"/>
  <c r="AP1193" i="1"/>
  <c r="AG1193" i="1"/>
  <c r="AE1195" i="1" l="1"/>
  <c r="AH1194" i="1"/>
  <c r="AP1194" i="1"/>
  <c r="AG1194" i="1"/>
  <c r="AI1194" i="1"/>
  <c r="AJ1194" i="1"/>
  <c r="AK1194" i="1"/>
  <c r="AL1194" i="1"/>
  <c r="AN1194" i="1"/>
  <c r="AM1194" i="1"/>
  <c r="AO1194" i="1"/>
  <c r="AF1194" i="1"/>
  <c r="AE1196" i="1" l="1"/>
  <c r="AO1195" i="1"/>
  <c r="AH1195" i="1"/>
  <c r="AP1195" i="1"/>
  <c r="AG1195" i="1"/>
  <c r="AI1195" i="1"/>
  <c r="AJ1195" i="1"/>
  <c r="AK1195" i="1"/>
  <c r="AM1195" i="1"/>
  <c r="AN1195" i="1"/>
  <c r="AF1195" i="1"/>
  <c r="AL1195" i="1"/>
  <c r="AE1197" i="1" l="1"/>
  <c r="AN1196" i="1"/>
  <c r="AO1196" i="1"/>
  <c r="AH1196" i="1"/>
  <c r="AP1196" i="1"/>
  <c r="AG1196" i="1"/>
  <c r="AI1196" i="1"/>
  <c r="AJ1196" i="1"/>
  <c r="AL1196" i="1"/>
  <c r="AK1196" i="1"/>
  <c r="AF1196" i="1"/>
  <c r="AM1196" i="1"/>
  <c r="AE1198" i="1" l="1"/>
  <c r="AM1197" i="1"/>
  <c r="AN1197" i="1"/>
  <c r="AO1197" i="1"/>
  <c r="AH1197" i="1"/>
  <c r="AP1197" i="1"/>
  <c r="AG1197" i="1"/>
  <c r="AI1197" i="1"/>
  <c r="AK1197" i="1"/>
  <c r="AF1197" i="1"/>
  <c r="AJ1197" i="1"/>
  <c r="AL1197" i="1"/>
  <c r="AE1199" i="1" l="1"/>
  <c r="AL1198" i="1"/>
  <c r="AM1198" i="1"/>
  <c r="AN1198" i="1"/>
  <c r="AO1198" i="1"/>
  <c r="AH1198" i="1"/>
  <c r="AP1198" i="1"/>
  <c r="AG1198" i="1"/>
  <c r="AJ1198" i="1"/>
  <c r="AF1198" i="1"/>
  <c r="AI1198" i="1"/>
  <c r="AK1198" i="1"/>
  <c r="AE1200" i="1" l="1"/>
  <c r="AK1199" i="1"/>
  <c r="AL1199" i="1"/>
  <c r="AM1199" i="1"/>
  <c r="AN1199" i="1"/>
  <c r="AO1199" i="1"/>
  <c r="AI1199" i="1"/>
  <c r="AP1199" i="1"/>
  <c r="AF1199" i="1"/>
  <c r="AH1199" i="1"/>
  <c r="AG1199" i="1"/>
  <c r="AJ1199" i="1"/>
  <c r="AE1201" i="1" l="1"/>
  <c r="AJ1200" i="1"/>
  <c r="AK1200" i="1"/>
  <c r="AL1200" i="1"/>
  <c r="AM1200" i="1"/>
  <c r="AN1200" i="1"/>
  <c r="AH1200" i="1"/>
  <c r="AP1200" i="1"/>
  <c r="AG1200" i="1"/>
  <c r="AI1200" i="1"/>
  <c r="AO1200" i="1"/>
  <c r="AF1200" i="1"/>
  <c r="AE1202" i="1" l="1"/>
  <c r="AI1201" i="1"/>
  <c r="AJ1201" i="1"/>
  <c r="AK1201" i="1"/>
  <c r="AL1201" i="1"/>
  <c r="AM1201" i="1"/>
  <c r="AO1201" i="1"/>
  <c r="AF1201" i="1"/>
  <c r="AH1201" i="1"/>
  <c r="AN1201" i="1"/>
  <c r="AP1201" i="1"/>
  <c r="AG1201" i="1"/>
  <c r="AE1203" i="1" l="1"/>
  <c r="AH1202" i="1"/>
  <c r="AP1202" i="1"/>
  <c r="AG1202" i="1"/>
  <c r="AI1202" i="1"/>
  <c r="AJ1202" i="1"/>
  <c r="AK1202" i="1"/>
  <c r="AL1202" i="1"/>
  <c r="AN1202" i="1"/>
  <c r="AO1202" i="1"/>
  <c r="AM1202" i="1"/>
  <c r="AF1202" i="1"/>
  <c r="AE1204" i="1" l="1"/>
  <c r="AO1203" i="1"/>
  <c r="AH1203" i="1"/>
  <c r="AP1203" i="1"/>
  <c r="AG1203" i="1"/>
  <c r="AI1203" i="1"/>
  <c r="AJ1203" i="1"/>
  <c r="AK1203" i="1"/>
  <c r="AM1203" i="1"/>
  <c r="AL1203" i="1"/>
  <c r="AN1203" i="1"/>
  <c r="AF1203" i="1"/>
  <c r="AE1205" i="1" l="1"/>
  <c r="AN1204" i="1"/>
  <c r="AO1204" i="1"/>
  <c r="AH1204" i="1"/>
  <c r="AP1204" i="1"/>
  <c r="AG1204" i="1"/>
  <c r="AI1204" i="1"/>
  <c r="AJ1204" i="1"/>
  <c r="AL1204" i="1"/>
  <c r="AF1204" i="1"/>
  <c r="AK1204" i="1"/>
  <c r="AM1204" i="1"/>
  <c r="AE1206" i="1" l="1"/>
  <c r="AM1205" i="1"/>
  <c r="AN1205" i="1"/>
  <c r="AO1205" i="1"/>
  <c r="AH1205" i="1"/>
  <c r="AP1205" i="1"/>
  <c r="AG1205" i="1"/>
  <c r="AI1205" i="1"/>
  <c r="AK1205" i="1"/>
  <c r="AF1205" i="1"/>
  <c r="AJ1205" i="1"/>
  <c r="AL1205" i="1"/>
  <c r="AE1207" i="1" l="1"/>
  <c r="AL1206" i="1"/>
  <c r="AM1206" i="1"/>
  <c r="AN1206" i="1"/>
  <c r="AO1206" i="1"/>
  <c r="AH1206" i="1"/>
  <c r="AP1206" i="1"/>
  <c r="AG1206" i="1"/>
  <c r="AJ1206" i="1"/>
  <c r="AF1206" i="1"/>
  <c r="AK1206" i="1"/>
  <c r="AI1206" i="1"/>
  <c r="AE1208" i="1" l="1"/>
  <c r="AK1207" i="1"/>
  <c r="AL1207" i="1"/>
  <c r="AM1207" i="1"/>
  <c r="AN1207" i="1"/>
  <c r="AO1207" i="1"/>
  <c r="AI1207" i="1"/>
  <c r="AH1207" i="1"/>
  <c r="AG1207" i="1"/>
  <c r="AJ1207" i="1"/>
  <c r="AP1207" i="1"/>
  <c r="AF1207" i="1"/>
  <c r="AE1209" i="1" l="1"/>
  <c r="AJ1208" i="1"/>
  <c r="AK1208" i="1"/>
  <c r="AL1208" i="1"/>
  <c r="AM1208" i="1"/>
  <c r="AN1208" i="1"/>
  <c r="AH1208" i="1"/>
  <c r="AP1208" i="1"/>
  <c r="AG1208" i="1"/>
  <c r="AI1208" i="1"/>
  <c r="AO1208" i="1"/>
  <c r="AF1208" i="1"/>
  <c r="AE1210" i="1" l="1"/>
  <c r="AI1209" i="1"/>
  <c r="AJ1209" i="1"/>
  <c r="AK1209" i="1"/>
  <c r="AL1209" i="1"/>
  <c r="AM1209" i="1"/>
  <c r="AO1209" i="1"/>
  <c r="AG1209" i="1"/>
  <c r="AP1209" i="1"/>
  <c r="AF1209" i="1"/>
  <c r="AH1209" i="1"/>
  <c r="AN1209" i="1"/>
  <c r="AE1211" i="1" l="1"/>
  <c r="AH1210" i="1"/>
  <c r="AP1210" i="1"/>
  <c r="AG1210" i="1"/>
  <c r="AI1210" i="1"/>
  <c r="AJ1210" i="1"/>
  <c r="AK1210" i="1"/>
  <c r="AL1210" i="1"/>
  <c r="AN1210" i="1"/>
  <c r="AM1210" i="1"/>
  <c r="AO1210" i="1"/>
  <c r="AF1210" i="1"/>
  <c r="AE1212" i="1" l="1"/>
  <c r="AO1211" i="1"/>
  <c r="AH1211" i="1"/>
  <c r="AP1211" i="1"/>
  <c r="AG1211" i="1"/>
  <c r="AI1211" i="1"/>
  <c r="AJ1211" i="1"/>
  <c r="AK1211" i="1"/>
  <c r="AM1211" i="1"/>
  <c r="AL1211" i="1"/>
  <c r="AN1211" i="1"/>
  <c r="AF1211" i="1"/>
  <c r="AE1213" i="1" l="1"/>
  <c r="AN1212" i="1"/>
  <c r="AO1212" i="1"/>
  <c r="AH1212" i="1"/>
  <c r="AP1212" i="1"/>
  <c r="AG1212" i="1"/>
  <c r="AI1212" i="1"/>
  <c r="AJ1212" i="1"/>
  <c r="AL1212" i="1"/>
  <c r="AF1212" i="1"/>
  <c r="AK1212" i="1"/>
  <c r="AM1212" i="1"/>
  <c r="AE1214" i="1" l="1"/>
  <c r="AM1213" i="1"/>
  <c r="AN1213" i="1"/>
  <c r="AO1213" i="1"/>
  <c r="AH1213" i="1"/>
  <c r="AP1213" i="1"/>
  <c r="AG1213" i="1"/>
  <c r="AI1213" i="1"/>
  <c r="AK1213" i="1"/>
  <c r="AF1213" i="1"/>
  <c r="AL1213" i="1"/>
  <c r="AJ1213" i="1"/>
  <c r="AE1215" i="1" l="1"/>
  <c r="AL1214" i="1"/>
  <c r="AM1214" i="1"/>
  <c r="AN1214" i="1"/>
  <c r="AO1214" i="1"/>
  <c r="AH1214" i="1"/>
  <c r="AP1214" i="1"/>
  <c r="AG1214" i="1"/>
  <c r="AJ1214" i="1"/>
  <c r="AI1214" i="1"/>
  <c r="AK1214" i="1"/>
  <c r="AF1214" i="1"/>
  <c r="AE1216" i="1" l="1"/>
  <c r="AK1215" i="1"/>
  <c r="AL1215" i="1"/>
  <c r="AM1215" i="1"/>
  <c r="AN1215" i="1"/>
  <c r="AO1215" i="1"/>
  <c r="AI1215" i="1"/>
  <c r="AH1215" i="1"/>
  <c r="AG1215" i="1"/>
  <c r="AJ1215" i="1"/>
  <c r="AF1215" i="1"/>
  <c r="AP1215" i="1"/>
  <c r="AE1217" i="1" l="1"/>
  <c r="AJ1216" i="1"/>
  <c r="AK1216" i="1"/>
  <c r="AL1216" i="1"/>
  <c r="AM1216" i="1"/>
  <c r="AN1216" i="1"/>
  <c r="AH1216" i="1"/>
  <c r="AP1216" i="1"/>
  <c r="AG1216" i="1"/>
  <c r="AF1216" i="1"/>
  <c r="AI1216" i="1"/>
  <c r="AO1216" i="1"/>
  <c r="AE1218" i="1" l="1"/>
  <c r="AI1217" i="1"/>
  <c r="AJ1217" i="1"/>
  <c r="AK1217" i="1"/>
  <c r="AL1217" i="1"/>
  <c r="AM1217" i="1"/>
  <c r="AO1217" i="1"/>
  <c r="AN1217" i="1"/>
  <c r="AP1217" i="1"/>
  <c r="AG1217" i="1"/>
  <c r="AF1217" i="1"/>
  <c r="AH1217" i="1"/>
  <c r="AE1219" i="1" l="1"/>
  <c r="AH1218" i="1"/>
  <c r="AP1218" i="1"/>
  <c r="AG1218" i="1"/>
  <c r="AI1218" i="1"/>
  <c r="AJ1218" i="1"/>
  <c r="AK1218" i="1"/>
  <c r="AL1218" i="1"/>
  <c r="AN1218" i="1"/>
  <c r="AM1218" i="1"/>
  <c r="AO1218" i="1"/>
  <c r="AF1218" i="1"/>
  <c r="AE1220" i="1" l="1"/>
  <c r="AO1219" i="1"/>
  <c r="AH1219" i="1"/>
  <c r="AP1219" i="1"/>
  <c r="AG1219" i="1"/>
  <c r="AI1219" i="1"/>
  <c r="AJ1219" i="1"/>
  <c r="AK1219" i="1"/>
  <c r="AM1219" i="1"/>
  <c r="AF1219" i="1"/>
  <c r="AL1219" i="1"/>
  <c r="AN1219" i="1"/>
  <c r="AE1221" i="1" l="1"/>
  <c r="AN1220" i="1"/>
  <c r="AO1220" i="1"/>
  <c r="AH1220" i="1"/>
  <c r="AP1220" i="1"/>
  <c r="AG1220" i="1"/>
  <c r="AI1220" i="1"/>
  <c r="AJ1220" i="1"/>
  <c r="AL1220" i="1"/>
  <c r="AF1220" i="1"/>
  <c r="AM1220" i="1"/>
  <c r="AK1220" i="1"/>
  <c r="AE1222" i="1" l="1"/>
  <c r="AM1221" i="1"/>
  <c r="AN1221" i="1"/>
  <c r="AO1221" i="1"/>
  <c r="AH1221" i="1"/>
  <c r="AP1221" i="1"/>
  <c r="AG1221" i="1"/>
  <c r="AI1221" i="1"/>
  <c r="AK1221" i="1"/>
  <c r="AJ1221" i="1"/>
  <c r="AL1221" i="1"/>
  <c r="AF1221" i="1"/>
  <c r="AE1223" i="1" l="1"/>
  <c r="AL1222" i="1"/>
  <c r="AM1222" i="1"/>
  <c r="AN1222" i="1"/>
  <c r="AO1222" i="1"/>
  <c r="AH1222" i="1"/>
  <c r="AP1222" i="1"/>
  <c r="AG1222" i="1"/>
  <c r="AJ1222" i="1"/>
  <c r="AI1222" i="1"/>
  <c r="AF1222" i="1"/>
  <c r="AK1222" i="1"/>
  <c r="AE1224" i="1" l="1"/>
  <c r="AK1223" i="1"/>
  <c r="AL1223" i="1"/>
  <c r="AM1223" i="1"/>
  <c r="AN1223" i="1"/>
  <c r="AO1223" i="1"/>
  <c r="AI1223" i="1"/>
  <c r="AF1223" i="1"/>
  <c r="AH1223" i="1"/>
  <c r="AG1223" i="1"/>
  <c r="AJ1223" i="1"/>
  <c r="AP1223" i="1"/>
  <c r="AE1225" i="1" l="1"/>
  <c r="AJ1224" i="1"/>
  <c r="AK1224" i="1"/>
  <c r="AL1224" i="1"/>
  <c r="AM1224" i="1"/>
  <c r="AN1224" i="1"/>
  <c r="AH1224" i="1"/>
  <c r="AP1224" i="1"/>
  <c r="AG1224" i="1"/>
  <c r="AO1224" i="1"/>
  <c r="AI1224" i="1"/>
  <c r="AF1224" i="1"/>
  <c r="AE1226" i="1" l="1"/>
  <c r="AI1225" i="1"/>
  <c r="AJ1225" i="1"/>
  <c r="AK1225" i="1"/>
  <c r="AL1225" i="1"/>
  <c r="AM1225" i="1"/>
  <c r="AO1225" i="1"/>
  <c r="AH1225" i="1"/>
  <c r="AN1225" i="1"/>
  <c r="AP1225" i="1"/>
  <c r="AF1225" i="1"/>
  <c r="AG1225" i="1"/>
  <c r="AE1227" i="1" l="1"/>
  <c r="AH1226" i="1"/>
  <c r="AP1226" i="1"/>
  <c r="AG1226" i="1"/>
  <c r="AI1226" i="1"/>
  <c r="AJ1226" i="1"/>
  <c r="AK1226" i="1"/>
  <c r="AL1226" i="1"/>
  <c r="AN1226" i="1"/>
  <c r="AM1226" i="1"/>
  <c r="AO1226" i="1"/>
  <c r="AF1226" i="1"/>
  <c r="AE1228" i="1" l="1"/>
  <c r="AO1227" i="1"/>
  <c r="AH1227" i="1"/>
  <c r="AP1227" i="1"/>
  <c r="AG1227" i="1"/>
  <c r="AI1227" i="1"/>
  <c r="AJ1227" i="1"/>
  <c r="AK1227" i="1"/>
  <c r="AM1227" i="1"/>
  <c r="AN1227" i="1"/>
  <c r="AL1227" i="1"/>
  <c r="AF1227" i="1"/>
  <c r="AE1229" i="1" l="1"/>
  <c r="AN1228" i="1"/>
  <c r="AO1228" i="1"/>
  <c r="AH1228" i="1"/>
  <c r="AP1228" i="1"/>
  <c r="AG1228" i="1"/>
  <c r="AI1228" i="1"/>
  <c r="AJ1228" i="1"/>
  <c r="AL1228" i="1"/>
  <c r="AK1228" i="1"/>
  <c r="AF1228" i="1"/>
  <c r="AM1228" i="1"/>
  <c r="AE1230" i="1" l="1"/>
  <c r="AM1229" i="1"/>
  <c r="AN1229" i="1"/>
  <c r="AO1229" i="1"/>
  <c r="AH1229" i="1"/>
  <c r="AP1229" i="1"/>
  <c r="AG1229" i="1"/>
  <c r="AI1229" i="1"/>
  <c r="AK1229" i="1"/>
  <c r="AF1229" i="1"/>
  <c r="AJ1229" i="1"/>
  <c r="AL1229" i="1"/>
  <c r="AE1231" i="1" l="1"/>
  <c r="AL1230" i="1"/>
  <c r="AM1230" i="1"/>
  <c r="AN1230" i="1"/>
  <c r="AO1230" i="1"/>
  <c r="AH1230" i="1"/>
  <c r="AP1230" i="1"/>
  <c r="AG1230" i="1"/>
  <c r="AJ1230" i="1"/>
  <c r="AF1230" i="1"/>
  <c r="AI1230" i="1"/>
  <c r="AK1230" i="1"/>
  <c r="AE1232" i="1" l="1"/>
  <c r="AK1231" i="1"/>
  <c r="AL1231" i="1"/>
  <c r="AM1231" i="1"/>
  <c r="AN1231" i="1"/>
  <c r="AO1231" i="1"/>
  <c r="AI1231" i="1"/>
  <c r="AP1231" i="1"/>
  <c r="AF1231" i="1"/>
  <c r="AJ1231" i="1"/>
  <c r="AH1231" i="1"/>
  <c r="AG1231" i="1"/>
  <c r="AE1233" i="1" l="1"/>
  <c r="AJ1232" i="1"/>
  <c r="AK1232" i="1"/>
  <c r="AL1232" i="1"/>
  <c r="AM1232" i="1"/>
  <c r="AN1232" i="1"/>
  <c r="AH1232" i="1"/>
  <c r="AP1232" i="1"/>
  <c r="AG1232" i="1"/>
  <c r="AI1232" i="1"/>
  <c r="AO1232" i="1"/>
  <c r="AF1232" i="1"/>
  <c r="AE1234" i="1" l="1"/>
  <c r="AI1233" i="1"/>
  <c r="AJ1233" i="1"/>
  <c r="AK1233" i="1"/>
  <c r="AL1233" i="1"/>
  <c r="AM1233" i="1"/>
  <c r="AO1233" i="1"/>
  <c r="AG1233" i="1"/>
  <c r="AH1233" i="1"/>
  <c r="AN1233" i="1"/>
  <c r="AF1233" i="1"/>
  <c r="AP1233" i="1"/>
  <c r="AE1235" i="1" l="1"/>
  <c r="AH1234" i="1"/>
  <c r="AP1234" i="1"/>
  <c r="AG1234" i="1"/>
  <c r="AI1234" i="1"/>
  <c r="AJ1234" i="1"/>
  <c r="AK1234" i="1"/>
  <c r="AL1234" i="1"/>
  <c r="AN1234" i="1"/>
  <c r="AM1234" i="1"/>
  <c r="AF1234" i="1"/>
  <c r="AO1234" i="1"/>
  <c r="AE1236" i="1" l="1"/>
  <c r="AO1235" i="1"/>
  <c r="AH1235" i="1"/>
  <c r="AP1235" i="1"/>
  <c r="AG1235" i="1"/>
  <c r="AI1235" i="1"/>
  <c r="AJ1235" i="1"/>
  <c r="AK1235" i="1"/>
  <c r="AM1235" i="1"/>
  <c r="AL1235" i="1"/>
  <c r="AN1235" i="1"/>
  <c r="AF1235" i="1"/>
  <c r="AE1237" i="1" l="1"/>
  <c r="AN1236" i="1"/>
  <c r="AO1236" i="1"/>
  <c r="AH1236" i="1"/>
  <c r="AP1236" i="1"/>
  <c r="AG1236" i="1"/>
  <c r="AI1236" i="1"/>
  <c r="AJ1236" i="1"/>
  <c r="AL1236" i="1"/>
  <c r="AF1236" i="1"/>
  <c r="AK1236" i="1"/>
  <c r="AM1236" i="1"/>
  <c r="AE1238" i="1" l="1"/>
  <c r="AM1237" i="1"/>
  <c r="AN1237" i="1"/>
  <c r="AO1237" i="1"/>
  <c r="AH1237" i="1"/>
  <c r="AP1237" i="1"/>
  <c r="AG1237" i="1"/>
  <c r="AI1237" i="1"/>
  <c r="AK1237" i="1"/>
  <c r="AF1237" i="1"/>
  <c r="AJ1237" i="1"/>
  <c r="AL1237" i="1"/>
  <c r="AE1239" i="1" l="1"/>
  <c r="AL1238" i="1"/>
  <c r="AM1238" i="1"/>
  <c r="AN1238" i="1"/>
  <c r="AO1238" i="1"/>
  <c r="AH1238" i="1"/>
  <c r="AP1238" i="1"/>
  <c r="AG1238" i="1"/>
  <c r="AJ1238" i="1"/>
  <c r="AF1238" i="1"/>
  <c r="AK1238" i="1"/>
  <c r="AI1238" i="1"/>
  <c r="AE1240" i="1" l="1"/>
  <c r="AK1239" i="1"/>
  <c r="AL1239" i="1"/>
  <c r="AM1239" i="1"/>
  <c r="AN1239" i="1"/>
  <c r="AO1239" i="1"/>
  <c r="AI1239" i="1"/>
  <c r="AH1239" i="1"/>
  <c r="AG1239" i="1"/>
  <c r="AJ1239" i="1"/>
  <c r="AP1239" i="1"/>
  <c r="AF1239" i="1"/>
  <c r="AE1241" i="1" l="1"/>
  <c r="AJ1240" i="1"/>
  <c r="AK1240" i="1"/>
  <c r="AL1240" i="1"/>
  <c r="AM1240" i="1"/>
  <c r="AN1240" i="1"/>
  <c r="AH1240" i="1"/>
  <c r="AP1240" i="1"/>
  <c r="AG1240" i="1"/>
  <c r="AI1240" i="1"/>
  <c r="AO1240" i="1"/>
  <c r="AF1240" i="1"/>
  <c r="AE1242" i="1" l="1"/>
  <c r="AI1241" i="1"/>
  <c r="AJ1241" i="1"/>
  <c r="AK1241" i="1"/>
  <c r="AL1241" i="1"/>
  <c r="AM1241" i="1"/>
  <c r="AO1241" i="1"/>
  <c r="AG1241" i="1"/>
  <c r="AP1241" i="1"/>
  <c r="AF1241" i="1"/>
  <c r="AH1241" i="1"/>
  <c r="AN1241" i="1"/>
  <c r="AE1243" i="1" l="1"/>
  <c r="AH1242" i="1"/>
  <c r="AP1242" i="1"/>
  <c r="AG1242" i="1"/>
  <c r="AI1242" i="1"/>
  <c r="AJ1242" i="1"/>
  <c r="AK1242" i="1"/>
  <c r="AL1242" i="1"/>
  <c r="AN1242" i="1"/>
  <c r="AM1242" i="1"/>
  <c r="AO1242" i="1"/>
  <c r="AF1242" i="1"/>
  <c r="AE1244" i="1" l="1"/>
  <c r="AO1243" i="1"/>
  <c r="AH1243" i="1"/>
  <c r="AP1243" i="1"/>
  <c r="AG1243" i="1"/>
  <c r="AI1243" i="1"/>
  <c r="AJ1243" i="1"/>
  <c r="AK1243" i="1"/>
  <c r="AM1243" i="1"/>
  <c r="AF1243" i="1"/>
  <c r="AL1243" i="1"/>
  <c r="AN1243" i="1"/>
  <c r="AE1245" i="1" l="1"/>
  <c r="AN1244" i="1"/>
  <c r="AO1244" i="1"/>
  <c r="AH1244" i="1"/>
  <c r="AP1244" i="1"/>
  <c r="AG1244" i="1"/>
  <c r="AI1244" i="1"/>
  <c r="AJ1244" i="1"/>
  <c r="AL1244" i="1"/>
  <c r="AF1244" i="1"/>
  <c r="AK1244" i="1"/>
  <c r="AM1244" i="1"/>
  <c r="AE1246" i="1" l="1"/>
  <c r="AM1245" i="1"/>
  <c r="AN1245" i="1"/>
  <c r="AO1245" i="1"/>
  <c r="AH1245" i="1"/>
  <c r="AP1245" i="1"/>
  <c r="AG1245" i="1"/>
  <c r="AI1245" i="1"/>
  <c r="AK1245" i="1"/>
  <c r="AF1245" i="1"/>
  <c r="AL1245" i="1"/>
  <c r="AJ1245" i="1"/>
  <c r="AE1247" i="1" l="1"/>
  <c r="AL1246" i="1"/>
  <c r="AM1246" i="1"/>
  <c r="AN1246" i="1"/>
  <c r="AO1246" i="1"/>
  <c r="AH1246" i="1"/>
  <c r="AP1246" i="1"/>
  <c r="AG1246" i="1"/>
  <c r="AJ1246" i="1"/>
  <c r="AI1246" i="1"/>
  <c r="AK1246" i="1"/>
  <c r="AF1246" i="1"/>
  <c r="AE1248" i="1" l="1"/>
  <c r="AK1247" i="1"/>
  <c r="AL1247" i="1"/>
  <c r="AM1247" i="1"/>
  <c r="AN1247" i="1"/>
  <c r="AO1247" i="1"/>
  <c r="AI1247" i="1"/>
  <c r="AH1247" i="1"/>
  <c r="AG1247" i="1"/>
  <c r="AJ1247" i="1"/>
  <c r="AF1247" i="1"/>
  <c r="AP1247" i="1"/>
  <c r="AE1249" i="1" l="1"/>
  <c r="AJ1248" i="1"/>
  <c r="AK1248" i="1"/>
  <c r="AL1248" i="1"/>
  <c r="AM1248" i="1"/>
  <c r="AN1248" i="1"/>
  <c r="AH1248" i="1"/>
  <c r="AP1248" i="1"/>
  <c r="AG1248" i="1"/>
  <c r="AF1248" i="1"/>
  <c r="AI1248" i="1"/>
  <c r="AO1248" i="1"/>
  <c r="AE1250" i="1" l="1"/>
  <c r="AI1249" i="1"/>
  <c r="AJ1249" i="1"/>
  <c r="AK1249" i="1"/>
  <c r="AL1249" i="1"/>
  <c r="AM1249" i="1"/>
  <c r="AO1249" i="1"/>
  <c r="AN1249" i="1"/>
  <c r="AP1249" i="1"/>
  <c r="AG1249" i="1"/>
  <c r="AH1249" i="1"/>
  <c r="AF1249" i="1"/>
  <c r="AE1251" i="1" l="1"/>
  <c r="AH1250" i="1"/>
  <c r="AP1250" i="1"/>
  <c r="AG1250" i="1"/>
  <c r="AI1250" i="1"/>
  <c r="AJ1250" i="1"/>
  <c r="AK1250" i="1"/>
  <c r="AL1250" i="1"/>
  <c r="AN1250" i="1"/>
  <c r="AM1250" i="1"/>
  <c r="AO1250" i="1"/>
  <c r="AF1250" i="1"/>
  <c r="AE1252" i="1" l="1"/>
  <c r="AO1251" i="1"/>
  <c r="AH1251" i="1"/>
  <c r="AP1251" i="1"/>
  <c r="AG1251" i="1"/>
  <c r="AI1251" i="1"/>
  <c r="AJ1251" i="1"/>
  <c r="AK1251" i="1"/>
  <c r="AM1251" i="1"/>
  <c r="AF1251" i="1"/>
  <c r="AL1251" i="1"/>
  <c r="AN1251" i="1"/>
  <c r="AE1253" i="1" l="1"/>
  <c r="AN1252" i="1"/>
  <c r="AO1252" i="1"/>
  <c r="AH1252" i="1"/>
  <c r="AP1252" i="1"/>
  <c r="AG1252" i="1"/>
  <c r="AI1252" i="1"/>
  <c r="AJ1252" i="1"/>
  <c r="AL1252" i="1"/>
  <c r="AF1252" i="1"/>
  <c r="AK1252" i="1"/>
  <c r="AM1252" i="1"/>
  <c r="AE1254" i="1" l="1"/>
  <c r="AM1253" i="1"/>
  <c r="AN1253" i="1"/>
  <c r="AO1253" i="1"/>
  <c r="AH1253" i="1"/>
  <c r="AP1253" i="1"/>
  <c r="AG1253" i="1"/>
  <c r="AI1253" i="1"/>
  <c r="AK1253" i="1"/>
  <c r="AJ1253" i="1"/>
  <c r="AF1253" i="1"/>
  <c r="AL1253" i="1"/>
  <c r="AE1255" i="1" l="1"/>
  <c r="AL1254" i="1"/>
  <c r="AM1254" i="1"/>
  <c r="AN1254" i="1"/>
  <c r="AO1254" i="1"/>
  <c r="AH1254" i="1"/>
  <c r="AP1254" i="1"/>
  <c r="AG1254" i="1"/>
  <c r="AJ1254" i="1"/>
  <c r="AF1254" i="1"/>
  <c r="AI1254" i="1"/>
  <c r="AK1254" i="1"/>
  <c r="AE1256" i="1" l="1"/>
  <c r="AK1255" i="1"/>
  <c r="AL1255" i="1"/>
  <c r="AM1255" i="1"/>
  <c r="AN1255" i="1"/>
  <c r="AO1255" i="1"/>
  <c r="AI1255" i="1"/>
  <c r="AF1255" i="1"/>
  <c r="AH1255" i="1"/>
  <c r="AG1255" i="1"/>
  <c r="AJ1255" i="1"/>
  <c r="AP1255" i="1"/>
  <c r="AE1257" i="1" l="1"/>
  <c r="AJ1256" i="1"/>
  <c r="AK1256" i="1"/>
  <c r="AL1256" i="1"/>
  <c r="AM1256" i="1"/>
  <c r="AN1256" i="1"/>
  <c r="AH1256" i="1"/>
  <c r="AP1256" i="1"/>
  <c r="AG1256" i="1"/>
  <c r="AO1256" i="1"/>
  <c r="AI1256" i="1"/>
  <c r="AF1256" i="1"/>
  <c r="AE1258" i="1" l="1"/>
  <c r="AI1257" i="1"/>
  <c r="AJ1257" i="1"/>
  <c r="AK1257" i="1"/>
  <c r="AL1257" i="1"/>
  <c r="AM1257" i="1"/>
  <c r="AO1257" i="1"/>
  <c r="AH1257" i="1"/>
  <c r="AN1257" i="1"/>
  <c r="AP1257" i="1"/>
  <c r="AF1257" i="1"/>
  <c r="AG1257" i="1"/>
  <c r="AE1259" i="1" l="1"/>
  <c r="AH1258" i="1"/>
  <c r="AP1258" i="1"/>
  <c r="AG1258" i="1"/>
  <c r="AI1258" i="1"/>
  <c r="AJ1258" i="1"/>
  <c r="AK1258" i="1"/>
  <c r="AL1258" i="1"/>
  <c r="AN1258" i="1"/>
  <c r="AM1258" i="1"/>
  <c r="AO1258" i="1"/>
  <c r="AF1258" i="1"/>
  <c r="AE1260" i="1" l="1"/>
  <c r="AO1259" i="1"/>
  <c r="AH1259" i="1"/>
  <c r="AP1259" i="1"/>
  <c r="AG1259" i="1"/>
  <c r="AI1259" i="1"/>
  <c r="AJ1259" i="1"/>
  <c r="AK1259" i="1"/>
  <c r="AM1259" i="1"/>
  <c r="AN1259" i="1"/>
  <c r="AF1259" i="1"/>
  <c r="AL1259" i="1"/>
  <c r="AE1261" i="1" l="1"/>
  <c r="AT5" i="1" s="1"/>
  <c r="D5" i="2" s="1"/>
  <c r="AN1260" i="1"/>
  <c r="AO1260" i="1"/>
  <c r="AH1260" i="1"/>
  <c r="AP1260" i="1"/>
  <c r="AG1260" i="1"/>
  <c r="AI1260" i="1"/>
  <c r="AJ1260" i="1"/>
  <c r="AL1260" i="1"/>
  <c r="AK1260" i="1"/>
  <c r="AF1260" i="1"/>
  <c r="AM1260" i="1"/>
  <c r="AM1261" i="1" l="1"/>
  <c r="AN1261" i="1"/>
  <c r="AO1261" i="1"/>
  <c r="AH1261" i="1"/>
  <c r="AP1261" i="1"/>
  <c r="AG1261" i="1"/>
  <c r="AI1261" i="1"/>
  <c r="AK1261" i="1"/>
  <c r="AF1261" i="1"/>
  <c r="AJ1261" i="1"/>
  <c r="AL1261" i="1"/>
  <c r="P6" i="1" l="1"/>
  <c r="Q6" i="1"/>
  <c r="AH5" i="1" s="1"/>
  <c r="R6" i="1"/>
  <c r="AI5" i="1" s="1"/>
  <c r="S6" i="1"/>
  <c r="AJ5" i="1" s="1"/>
  <c r="T6" i="1"/>
  <c r="AK5" i="1" s="1"/>
  <c r="U6" i="1"/>
  <c r="AL5" i="1" s="1"/>
  <c r="V6" i="1"/>
  <c r="AM5" i="1" s="1"/>
  <c r="W6" i="1"/>
  <c r="AN5" i="1" s="1"/>
  <c r="X6" i="1"/>
  <c r="AO5" i="1" s="1"/>
  <c r="Y6" i="1"/>
  <c r="AP5" i="1" s="1"/>
  <c r="P7" i="1"/>
  <c r="Q7" i="1"/>
  <c r="AH6" i="1" s="1"/>
  <c r="R7" i="1"/>
  <c r="AI6" i="1" s="1"/>
  <c r="S7" i="1"/>
  <c r="AJ6" i="1" s="1"/>
  <c r="T7" i="1"/>
  <c r="AK6" i="1" s="1"/>
  <c r="U7" i="1"/>
  <c r="AL6" i="1" s="1"/>
  <c r="V7" i="1"/>
  <c r="AM6" i="1" s="1"/>
  <c r="W7" i="1"/>
  <c r="AN6" i="1" s="1"/>
  <c r="X7" i="1"/>
  <c r="AO6" i="1" s="1"/>
  <c r="Y7" i="1"/>
  <c r="AP6" i="1" s="1"/>
  <c r="P8" i="1"/>
  <c r="Q8" i="1"/>
  <c r="AH7" i="1" s="1"/>
  <c r="R8" i="1"/>
  <c r="AI7" i="1" s="1"/>
  <c r="S8" i="1"/>
  <c r="AJ7" i="1" s="1"/>
  <c r="T8" i="1"/>
  <c r="AK7" i="1" s="1"/>
  <c r="U8" i="1"/>
  <c r="AL7" i="1" s="1"/>
  <c r="V8" i="1"/>
  <c r="AM7" i="1" s="1"/>
  <c r="W8" i="1"/>
  <c r="AN7" i="1" s="1"/>
  <c r="X8" i="1"/>
  <c r="AO7" i="1" s="1"/>
  <c r="Y8" i="1"/>
  <c r="AP7" i="1" s="1"/>
  <c r="P9" i="1"/>
  <c r="Q9" i="1"/>
  <c r="AH8" i="1" s="1"/>
  <c r="R9" i="1"/>
  <c r="AI8" i="1" s="1"/>
  <c r="S9" i="1"/>
  <c r="AJ8" i="1" s="1"/>
  <c r="T9" i="1"/>
  <c r="AK8" i="1" s="1"/>
  <c r="U9" i="1"/>
  <c r="AL8" i="1" s="1"/>
  <c r="V9" i="1"/>
  <c r="AM8" i="1" s="1"/>
  <c r="W9" i="1"/>
  <c r="AN8" i="1" s="1"/>
  <c r="X9" i="1"/>
  <c r="AO8" i="1" s="1"/>
  <c r="Y9" i="1"/>
  <c r="AP8" i="1" s="1"/>
  <c r="P10" i="1"/>
  <c r="Q10" i="1"/>
  <c r="AH9" i="1" s="1"/>
  <c r="R10" i="1"/>
  <c r="AI9" i="1" s="1"/>
  <c r="S10" i="1"/>
  <c r="AJ9" i="1" s="1"/>
  <c r="T10" i="1"/>
  <c r="AK9" i="1" s="1"/>
  <c r="U10" i="1"/>
  <c r="AL9" i="1" s="1"/>
  <c r="V10" i="1"/>
  <c r="AM9" i="1" s="1"/>
  <c r="W10" i="1"/>
  <c r="AN9" i="1" s="1"/>
  <c r="X10" i="1"/>
  <c r="AO9" i="1" s="1"/>
  <c r="Y10" i="1"/>
  <c r="AP9" i="1" s="1"/>
  <c r="P11" i="1"/>
  <c r="Q11" i="1"/>
  <c r="AH10" i="1" s="1"/>
  <c r="R11" i="1"/>
  <c r="AI10" i="1" s="1"/>
  <c r="S11" i="1"/>
  <c r="AJ10" i="1" s="1"/>
  <c r="T11" i="1"/>
  <c r="AK10" i="1" s="1"/>
  <c r="U11" i="1"/>
  <c r="AL10" i="1" s="1"/>
  <c r="V11" i="1"/>
  <c r="AM10" i="1" s="1"/>
  <c r="W11" i="1"/>
  <c r="AN10" i="1" s="1"/>
  <c r="X11" i="1"/>
  <c r="AO10" i="1" s="1"/>
  <c r="Y11" i="1"/>
  <c r="AP10" i="1" s="1"/>
  <c r="P12" i="1"/>
  <c r="Q12" i="1"/>
  <c r="AH11" i="1" s="1"/>
  <c r="R12" i="1"/>
  <c r="AI11" i="1" s="1"/>
  <c r="S12" i="1"/>
  <c r="AJ11" i="1" s="1"/>
  <c r="T12" i="1"/>
  <c r="AK11" i="1" s="1"/>
  <c r="U12" i="1"/>
  <c r="AL11" i="1" s="1"/>
  <c r="V12" i="1"/>
  <c r="AM11" i="1" s="1"/>
  <c r="W12" i="1"/>
  <c r="AN11" i="1" s="1"/>
  <c r="X12" i="1"/>
  <c r="AO11" i="1" s="1"/>
  <c r="Y12" i="1"/>
  <c r="AP11" i="1" s="1"/>
  <c r="P13" i="1"/>
  <c r="Q13" i="1"/>
  <c r="AH12" i="1" s="1"/>
  <c r="R13" i="1"/>
  <c r="AI12" i="1" s="1"/>
  <c r="S13" i="1"/>
  <c r="AJ12" i="1" s="1"/>
  <c r="T13" i="1"/>
  <c r="AK12" i="1" s="1"/>
  <c r="U13" i="1"/>
  <c r="AL12" i="1" s="1"/>
  <c r="V13" i="1"/>
  <c r="AM12" i="1" s="1"/>
  <c r="W13" i="1"/>
  <c r="AN12" i="1" s="1"/>
  <c r="X13" i="1"/>
  <c r="AO12" i="1" s="1"/>
  <c r="Y13" i="1"/>
  <c r="AP12" i="1" s="1"/>
  <c r="P14" i="1"/>
  <c r="Q14" i="1"/>
  <c r="AH13" i="1" s="1"/>
  <c r="R14" i="1"/>
  <c r="AI13" i="1" s="1"/>
  <c r="S14" i="1"/>
  <c r="AJ13" i="1" s="1"/>
  <c r="T14" i="1"/>
  <c r="AK13" i="1" s="1"/>
  <c r="U14" i="1"/>
  <c r="AL13" i="1" s="1"/>
  <c r="V14" i="1"/>
  <c r="AM13" i="1" s="1"/>
  <c r="W14" i="1"/>
  <c r="AN13" i="1" s="1"/>
  <c r="X14" i="1"/>
  <c r="AO13" i="1" s="1"/>
  <c r="Y14" i="1"/>
  <c r="AP13" i="1" s="1"/>
  <c r="P15" i="1"/>
  <c r="Q15" i="1"/>
  <c r="AH14" i="1" s="1"/>
  <c r="R15" i="1"/>
  <c r="AI14" i="1" s="1"/>
  <c r="S15" i="1"/>
  <c r="AJ14" i="1" s="1"/>
  <c r="T15" i="1"/>
  <c r="AK14" i="1" s="1"/>
  <c r="U15" i="1"/>
  <c r="AL14" i="1" s="1"/>
  <c r="V15" i="1"/>
  <c r="AM14" i="1" s="1"/>
  <c r="W15" i="1"/>
  <c r="AN14" i="1" s="1"/>
  <c r="X15" i="1"/>
  <c r="AO14" i="1" s="1"/>
  <c r="Y15" i="1"/>
  <c r="AP14" i="1" s="1"/>
  <c r="P16" i="1"/>
  <c r="Q16" i="1"/>
  <c r="AH15" i="1" s="1"/>
  <c r="R16" i="1"/>
  <c r="AI15" i="1" s="1"/>
  <c r="S16" i="1"/>
  <c r="AJ15" i="1" s="1"/>
  <c r="T16" i="1"/>
  <c r="AK15" i="1" s="1"/>
  <c r="U16" i="1"/>
  <c r="AL15" i="1" s="1"/>
  <c r="V16" i="1"/>
  <c r="AM15" i="1" s="1"/>
  <c r="W16" i="1"/>
  <c r="AN15" i="1" s="1"/>
  <c r="X16" i="1"/>
  <c r="AO15" i="1" s="1"/>
  <c r="Y16" i="1"/>
  <c r="AP15" i="1" s="1"/>
  <c r="P17" i="1"/>
  <c r="Q17" i="1"/>
  <c r="AH16" i="1" s="1"/>
  <c r="R17" i="1"/>
  <c r="AI16" i="1" s="1"/>
  <c r="S17" i="1"/>
  <c r="AJ16" i="1" s="1"/>
  <c r="T17" i="1"/>
  <c r="AK16" i="1" s="1"/>
  <c r="U17" i="1"/>
  <c r="AL16" i="1" s="1"/>
  <c r="V17" i="1"/>
  <c r="AM16" i="1" s="1"/>
  <c r="W17" i="1"/>
  <c r="AN16" i="1" s="1"/>
  <c r="X17" i="1"/>
  <c r="AO16" i="1" s="1"/>
  <c r="Y17" i="1"/>
  <c r="AP16" i="1" s="1"/>
  <c r="P18" i="1"/>
  <c r="Q18" i="1"/>
  <c r="AH17" i="1" s="1"/>
  <c r="R18" i="1"/>
  <c r="AI17" i="1" s="1"/>
  <c r="S18" i="1"/>
  <c r="AJ17" i="1" s="1"/>
  <c r="T18" i="1"/>
  <c r="AK17" i="1" s="1"/>
  <c r="U18" i="1"/>
  <c r="AL17" i="1" s="1"/>
  <c r="V18" i="1"/>
  <c r="AM17" i="1" s="1"/>
  <c r="W18" i="1"/>
  <c r="AN17" i="1" s="1"/>
  <c r="X18" i="1"/>
  <c r="AO17" i="1" s="1"/>
  <c r="Y18" i="1"/>
  <c r="AP17" i="1" s="1"/>
  <c r="P19" i="1"/>
  <c r="Q19" i="1"/>
  <c r="AH18" i="1" s="1"/>
  <c r="R19" i="1"/>
  <c r="AI18" i="1" s="1"/>
  <c r="S19" i="1"/>
  <c r="AJ18" i="1" s="1"/>
  <c r="T19" i="1"/>
  <c r="AK18" i="1" s="1"/>
  <c r="U19" i="1"/>
  <c r="AL18" i="1" s="1"/>
  <c r="V19" i="1"/>
  <c r="AM18" i="1" s="1"/>
  <c r="W19" i="1"/>
  <c r="AN18" i="1" s="1"/>
  <c r="X19" i="1"/>
  <c r="AO18" i="1" s="1"/>
  <c r="Y19" i="1"/>
  <c r="AP18" i="1" s="1"/>
  <c r="P20" i="1"/>
  <c r="AG19" i="1" s="1"/>
  <c r="Q20" i="1"/>
  <c r="AH19" i="1" s="1"/>
  <c r="R20" i="1"/>
  <c r="AI19" i="1" s="1"/>
  <c r="S20" i="1"/>
  <c r="AJ19" i="1" s="1"/>
  <c r="T20" i="1"/>
  <c r="AK19" i="1" s="1"/>
  <c r="U20" i="1"/>
  <c r="AL19" i="1" s="1"/>
  <c r="V20" i="1"/>
  <c r="AM19" i="1" s="1"/>
  <c r="W20" i="1"/>
  <c r="AN19" i="1" s="1"/>
  <c r="X20" i="1"/>
  <c r="AO19" i="1" s="1"/>
  <c r="Y20" i="1"/>
  <c r="AP19" i="1" s="1"/>
  <c r="P21" i="1"/>
  <c r="AG20" i="1" s="1"/>
  <c r="Q21" i="1"/>
  <c r="AH20" i="1" s="1"/>
  <c r="R21" i="1"/>
  <c r="AI20" i="1" s="1"/>
  <c r="S21" i="1"/>
  <c r="AJ20" i="1" s="1"/>
  <c r="T21" i="1"/>
  <c r="AK20" i="1" s="1"/>
  <c r="U21" i="1"/>
  <c r="AL20" i="1" s="1"/>
  <c r="V21" i="1"/>
  <c r="AM20" i="1" s="1"/>
  <c r="W21" i="1"/>
  <c r="AN20" i="1" s="1"/>
  <c r="X21" i="1"/>
  <c r="AO20" i="1" s="1"/>
  <c r="Y21" i="1"/>
  <c r="AP20" i="1" s="1"/>
  <c r="P22" i="1"/>
  <c r="AG21" i="1" s="1"/>
  <c r="Q22" i="1"/>
  <c r="AH21" i="1" s="1"/>
  <c r="R22" i="1"/>
  <c r="AI21" i="1" s="1"/>
  <c r="S22" i="1"/>
  <c r="AJ21" i="1" s="1"/>
  <c r="T22" i="1"/>
  <c r="AK21" i="1" s="1"/>
  <c r="U22" i="1"/>
  <c r="AL21" i="1" s="1"/>
  <c r="V22" i="1"/>
  <c r="AM21" i="1" s="1"/>
  <c r="W22" i="1"/>
  <c r="AN21" i="1" s="1"/>
  <c r="X22" i="1"/>
  <c r="AO21" i="1" s="1"/>
  <c r="Y22" i="1"/>
  <c r="AP21" i="1" s="1"/>
  <c r="P23" i="1"/>
  <c r="AG22" i="1" s="1"/>
  <c r="Q23" i="1"/>
  <c r="AH22" i="1" s="1"/>
  <c r="R23" i="1"/>
  <c r="AI22" i="1" s="1"/>
  <c r="S23" i="1"/>
  <c r="AJ22" i="1" s="1"/>
  <c r="T23" i="1"/>
  <c r="AK22" i="1" s="1"/>
  <c r="U23" i="1"/>
  <c r="AL22" i="1" s="1"/>
  <c r="V23" i="1"/>
  <c r="AM22" i="1" s="1"/>
  <c r="W23" i="1"/>
  <c r="AN22" i="1" s="1"/>
  <c r="X23" i="1"/>
  <c r="AO22" i="1" s="1"/>
  <c r="Y23" i="1"/>
  <c r="AP22" i="1" s="1"/>
  <c r="P24" i="1"/>
  <c r="AG23" i="1" s="1"/>
  <c r="Q24" i="1"/>
  <c r="AH23" i="1" s="1"/>
  <c r="R24" i="1"/>
  <c r="AI23" i="1" s="1"/>
  <c r="S24" i="1"/>
  <c r="AJ23" i="1" s="1"/>
  <c r="T24" i="1"/>
  <c r="AK23" i="1" s="1"/>
  <c r="U24" i="1"/>
  <c r="AL23" i="1" s="1"/>
  <c r="V24" i="1"/>
  <c r="AM23" i="1" s="1"/>
  <c r="W24" i="1"/>
  <c r="AN23" i="1" s="1"/>
  <c r="X24" i="1"/>
  <c r="AO23" i="1" s="1"/>
  <c r="Y24" i="1"/>
  <c r="AP23" i="1" s="1"/>
  <c r="P25" i="1"/>
  <c r="AG24" i="1" s="1"/>
  <c r="Q25" i="1"/>
  <c r="AH24" i="1" s="1"/>
  <c r="R25" i="1"/>
  <c r="AI24" i="1" s="1"/>
  <c r="S25" i="1"/>
  <c r="AJ24" i="1" s="1"/>
  <c r="T25" i="1"/>
  <c r="AK24" i="1" s="1"/>
  <c r="U25" i="1"/>
  <c r="AL24" i="1" s="1"/>
  <c r="V25" i="1"/>
  <c r="AM24" i="1" s="1"/>
  <c r="W25" i="1"/>
  <c r="AN24" i="1" s="1"/>
  <c r="X25" i="1"/>
  <c r="AO24" i="1" s="1"/>
  <c r="Y25" i="1"/>
  <c r="AP24" i="1" s="1"/>
  <c r="P26" i="1"/>
  <c r="AG25" i="1" s="1"/>
  <c r="Q26" i="1"/>
  <c r="AH25" i="1" s="1"/>
  <c r="R26" i="1"/>
  <c r="AI25" i="1" s="1"/>
  <c r="S26" i="1"/>
  <c r="AJ25" i="1" s="1"/>
  <c r="T26" i="1"/>
  <c r="AK25" i="1" s="1"/>
  <c r="U26" i="1"/>
  <c r="AL25" i="1" s="1"/>
  <c r="V26" i="1"/>
  <c r="AM25" i="1" s="1"/>
  <c r="W26" i="1"/>
  <c r="AN25" i="1" s="1"/>
  <c r="X26" i="1"/>
  <c r="AO25" i="1" s="1"/>
  <c r="Y26" i="1"/>
  <c r="AP25" i="1" s="1"/>
  <c r="P27" i="1"/>
  <c r="AG26" i="1" s="1"/>
  <c r="Q27" i="1"/>
  <c r="AH26" i="1" s="1"/>
  <c r="R27" i="1"/>
  <c r="AI26" i="1" s="1"/>
  <c r="S27" i="1"/>
  <c r="AJ26" i="1" s="1"/>
  <c r="T27" i="1"/>
  <c r="AK26" i="1" s="1"/>
  <c r="U27" i="1"/>
  <c r="AL26" i="1" s="1"/>
  <c r="V27" i="1"/>
  <c r="AM26" i="1" s="1"/>
  <c r="W27" i="1"/>
  <c r="AN26" i="1" s="1"/>
  <c r="X27" i="1"/>
  <c r="AO26" i="1" s="1"/>
  <c r="Y27" i="1"/>
  <c r="AP26" i="1" s="1"/>
  <c r="P28" i="1"/>
  <c r="AG27" i="1" s="1"/>
  <c r="Q28" i="1"/>
  <c r="AH27" i="1" s="1"/>
  <c r="R28" i="1"/>
  <c r="AI27" i="1" s="1"/>
  <c r="S28" i="1"/>
  <c r="AJ27" i="1" s="1"/>
  <c r="T28" i="1"/>
  <c r="AK27" i="1" s="1"/>
  <c r="U28" i="1"/>
  <c r="AL27" i="1" s="1"/>
  <c r="V28" i="1"/>
  <c r="AM27" i="1" s="1"/>
  <c r="W28" i="1"/>
  <c r="AN27" i="1" s="1"/>
  <c r="X28" i="1"/>
  <c r="AO27" i="1" s="1"/>
  <c r="Y28" i="1"/>
  <c r="AP27" i="1" s="1"/>
  <c r="P29" i="1"/>
  <c r="AG28" i="1" s="1"/>
  <c r="Q29" i="1"/>
  <c r="AH28" i="1" s="1"/>
  <c r="R29" i="1"/>
  <c r="AI28" i="1" s="1"/>
  <c r="S29" i="1"/>
  <c r="AJ28" i="1" s="1"/>
  <c r="T29" i="1"/>
  <c r="AK28" i="1" s="1"/>
  <c r="U29" i="1"/>
  <c r="AL28" i="1" s="1"/>
  <c r="V29" i="1"/>
  <c r="AM28" i="1" s="1"/>
  <c r="W29" i="1"/>
  <c r="AN28" i="1" s="1"/>
  <c r="X29" i="1"/>
  <c r="AO28" i="1" s="1"/>
  <c r="Y29" i="1"/>
  <c r="AP28" i="1" s="1"/>
  <c r="P30" i="1"/>
  <c r="AG29" i="1" s="1"/>
  <c r="Q30" i="1"/>
  <c r="AH29" i="1" s="1"/>
  <c r="R30" i="1"/>
  <c r="AI29" i="1" s="1"/>
  <c r="S30" i="1"/>
  <c r="AJ29" i="1" s="1"/>
  <c r="T30" i="1"/>
  <c r="AK29" i="1" s="1"/>
  <c r="U30" i="1"/>
  <c r="AL29" i="1" s="1"/>
  <c r="V30" i="1"/>
  <c r="AM29" i="1" s="1"/>
  <c r="W30" i="1"/>
  <c r="AN29" i="1" s="1"/>
  <c r="X30" i="1"/>
  <c r="AO29" i="1" s="1"/>
  <c r="Y30" i="1"/>
  <c r="AP29" i="1" s="1"/>
  <c r="P31" i="1"/>
  <c r="AG30" i="1" s="1"/>
  <c r="Q31" i="1"/>
  <c r="AH30" i="1" s="1"/>
  <c r="R31" i="1"/>
  <c r="AI30" i="1" s="1"/>
  <c r="S31" i="1"/>
  <c r="AJ30" i="1" s="1"/>
  <c r="T31" i="1"/>
  <c r="AK30" i="1" s="1"/>
  <c r="U31" i="1"/>
  <c r="AL30" i="1" s="1"/>
  <c r="V31" i="1"/>
  <c r="AM30" i="1" s="1"/>
  <c r="W31" i="1"/>
  <c r="AN30" i="1" s="1"/>
  <c r="X31" i="1"/>
  <c r="AO30" i="1" s="1"/>
  <c r="Y31" i="1"/>
  <c r="AP30" i="1" s="1"/>
  <c r="P32" i="1"/>
  <c r="AG31" i="1" s="1"/>
  <c r="Q32" i="1"/>
  <c r="AH31" i="1" s="1"/>
  <c r="R32" i="1"/>
  <c r="AI31" i="1" s="1"/>
  <c r="S32" i="1"/>
  <c r="AJ31" i="1" s="1"/>
  <c r="T32" i="1"/>
  <c r="AK31" i="1" s="1"/>
  <c r="U32" i="1"/>
  <c r="AL31" i="1" s="1"/>
  <c r="V32" i="1"/>
  <c r="AM31" i="1" s="1"/>
  <c r="W32" i="1"/>
  <c r="AN31" i="1" s="1"/>
  <c r="X32" i="1"/>
  <c r="AO31" i="1" s="1"/>
  <c r="Y32" i="1"/>
  <c r="AP31" i="1" s="1"/>
  <c r="P33" i="1"/>
  <c r="AG32" i="1" s="1"/>
  <c r="Q33" i="1"/>
  <c r="AH32" i="1" s="1"/>
  <c r="R33" i="1"/>
  <c r="AI32" i="1" s="1"/>
  <c r="S33" i="1"/>
  <c r="AJ32" i="1" s="1"/>
  <c r="T33" i="1"/>
  <c r="AK32" i="1" s="1"/>
  <c r="U33" i="1"/>
  <c r="AL32" i="1" s="1"/>
  <c r="V33" i="1"/>
  <c r="AM32" i="1" s="1"/>
  <c r="W33" i="1"/>
  <c r="AN32" i="1" s="1"/>
  <c r="X33" i="1"/>
  <c r="AO32" i="1" s="1"/>
  <c r="Y33" i="1"/>
  <c r="AP32" i="1" s="1"/>
  <c r="P34" i="1"/>
  <c r="AG33" i="1" s="1"/>
  <c r="Q34" i="1"/>
  <c r="AH33" i="1" s="1"/>
  <c r="R34" i="1"/>
  <c r="AI33" i="1" s="1"/>
  <c r="S34" i="1"/>
  <c r="AJ33" i="1" s="1"/>
  <c r="T34" i="1"/>
  <c r="AK33" i="1" s="1"/>
  <c r="U34" i="1"/>
  <c r="AL33" i="1" s="1"/>
  <c r="V34" i="1"/>
  <c r="AM33" i="1" s="1"/>
  <c r="W34" i="1"/>
  <c r="AN33" i="1" s="1"/>
  <c r="X34" i="1"/>
  <c r="AO33" i="1" s="1"/>
  <c r="Y34" i="1"/>
  <c r="AP33" i="1" s="1"/>
  <c r="P35" i="1"/>
  <c r="AG34" i="1" s="1"/>
  <c r="Q35" i="1"/>
  <c r="AH34" i="1" s="1"/>
  <c r="R35" i="1"/>
  <c r="AI34" i="1" s="1"/>
  <c r="S35" i="1"/>
  <c r="AJ34" i="1" s="1"/>
  <c r="T35" i="1"/>
  <c r="AK34" i="1" s="1"/>
  <c r="U35" i="1"/>
  <c r="AL34" i="1" s="1"/>
  <c r="V35" i="1"/>
  <c r="AM34" i="1" s="1"/>
  <c r="W35" i="1"/>
  <c r="AN34" i="1" s="1"/>
  <c r="X35" i="1"/>
  <c r="AO34" i="1" s="1"/>
  <c r="Y35" i="1"/>
  <c r="AP34" i="1" s="1"/>
  <c r="P36" i="1"/>
  <c r="AG35" i="1" s="1"/>
  <c r="Q36" i="1"/>
  <c r="AH35" i="1" s="1"/>
  <c r="R36" i="1"/>
  <c r="AI35" i="1" s="1"/>
  <c r="S36" i="1"/>
  <c r="AJ35" i="1" s="1"/>
  <c r="T36" i="1"/>
  <c r="AK35" i="1" s="1"/>
  <c r="U36" i="1"/>
  <c r="AL35" i="1" s="1"/>
  <c r="V36" i="1"/>
  <c r="AM35" i="1" s="1"/>
  <c r="W36" i="1"/>
  <c r="AN35" i="1" s="1"/>
  <c r="X36" i="1"/>
  <c r="AO35" i="1" s="1"/>
  <c r="Y36" i="1"/>
  <c r="AP35" i="1" s="1"/>
  <c r="P37" i="1"/>
  <c r="AG36" i="1" s="1"/>
  <c r="Q37" i="1"/>
  <c r="AH36" i="1" s="1"/>
  <c r="R37" i="1"/>
  <c r="AI36" i="1" s="1"/>
  <c r="S37" i="1"/>
  <c r="AJ36" i="1" s="1"/>
  <c r="T37" i="1"/>
  <c r="AK36" i="1" s="1"/>
  <c r="U37" i="1"/>
  <c r="AL36" i="1" s="1"/>
  <c r="V37" i="1"/>
  <c r="AM36" i="1" s="1"/>
  <c r="W37" i="1"/>
  <c r="AN36" i="1" s="1"/>
  <c r="X37" i="1"/>
  <c r="AO36" i="1" s="1"/>
  <c r="Y37" i="1"/>
  <c r="AP36" i="1" s="1"/>
  <c r="P38" i="1"/>
  <c r="AG37" i="1" s="1"/>
  <c r="Q38" i="1"/>
  <c r="AH37" i="1" s="1"/>
  <c r="R38" i="1"/>
  <c r="AI37" i="1" s="1"/>
  <c r="S38" i="1"/>
  <c r="AJ37" i="1" s="1"/>
  <c r="T38" i="1"/>
  <c r="AK37" i="1" s="1"/>
  <c r="U38" i="1"/>
  <c r="AL37" i="1" s="1"/>
  <c r="V38" i="1"/>
  <c r="AM37" i="1" s="1"/>
  <c r="W38" i="1"/>
  <c r="AN37" i="1" s="1"/>
  <c r="X38" i="1"/>
  <c r="AO37" i="1" s="1"/>
  <c r="Y38" i="1"/>
  <c r="AP37" i="1" s="1"/>
  <c r="P39" i="1"/>
  <c r="AG38" i="1" s="1"/>
  <c r="Q39" i="1"/>
  <c r="AH38" i="1" s="1"/>
  <c r="R39" i="1"/>
  <c r="AI38" i="1" s="1"/>
  <c r="S39" i="1"/>
  <c r="AJ38" i="1" s="1"/>
  <c r="T39" i="1"/>
  <c r="AK38" i="1" s="1"/>
  <c r="U39" i="1"/>
  <c r="AL38" i="1" s="1"/>
  <c r="V39" i="1"/>
  <c r="AM38" i="1" s="1"/>
  <c r="W39" i="1"/>
  <c r="AN38" i="1" s="1"/>
  <c r="X39" i="1"/>
  <c r="AO38" i="1" s="1"/>
  <c r="Y39" i="1"/>
  <c r="AP38" i="1" s="1"/>
  <c r="P40" i="1"/>
  <c r="AG39" i="1" s="1"/>
  <c r="Q40" i="1"/>
  <c r="AH39" i="1" s="1"/>
  <c r="R40" i="1"/>
  <c r="AI39" i="1" s="1"/>
  <c r="S40" i="1"/>
  <c r="AJ39" i="1" s="1"/>
  <c r="T40" i="1"/>
  <c r="AK39" i="1" s="1"/>
  <c r="U40" i="1"/>
  <c r="AL39" i="1" s="1"/>
  <c r="V40" i="1"/>
  <c r="AM39" i="1" s="1"/>
  <c r="W40" i="1"/>
  <c r="AN39" i="1" s="1"/>
  <c r="X40" i="1"/>
  <c r="AO39" i="1" s="1"/>
  <c r="Y40" i="1"/>
  <c r="AP39" i="1" s="1"/>
  <c r="P41" i="1"/>
  <c r="AG40" i="1" s="1"/>
  <c r="Q41" i="1"/>
  <c r="AH40" i="1" s="1"/>
  <c r="R41" i="1"/>
  <c r="AI40" i="1" s="1"/>
  <c r="S41" i="1"/>
  <c r="AJ40" i="1" s="1"/>
  <c r="T41" i="1"/>
  <c r="AK40" i="1" s="1"/>
  <c r="U41" i="1"/>
  <c r="AL40" i="1" s="1"/>
  <c r="V41" i="1"/>
  <c r="AM40" i="1" s="1"/>
  <c r="W41" i="1"/>
  <c r="AN40" i="1" s="1"/>
  <c r="X41" i="1"/>
  <c r="AO40" i="1" s="1"/>
  <c r="Y41" i="1"/>
  <c r="AP40" i="1" s="1"/>
  <c r="P42" i="1"/>
  <c r="AG41" i="1" s="1"/>
  <c r="Q42" i="1"/>
  <c r="AH41" i="1" s="1"/>
  <c r="R42" i="1"/>
  <c r="AI41" i="1" s="1"/>
  <c r="S42" i="1"/>
  <c r="AJ41" i="1" s="1"/>
  <c r="T42" i="1"/>
  <c r="AK41" i="1" s="1"/>
  <c r="U42" i="1"/>
  <c r="AL41" i="1" s="1"/>
  <c r="V42" i="1"/>
  <c r="AM41" i="1" s="1"/>
  <c r="W42" i="1"/>
  <c r="AN41" i="1" s="1"/>
  <c r="X42" i="1"/>
  <c r="AO41" i="1" s="1"/>
  <c r="Y42" i="1"/>
  <c r="AP41" i="1" s="1"/>
  <c r="P43" i="1"/>
  <c r="AG42" i="1" s="1"/>
  <c r="Q43" i="1"/>
  <c r="AH42" i="1" s="1"/>
  <c r="R43" i="1"/>
  <c r="AI42" i="1" s="1"/>
  <c r="S43" i="1"/>
  <c r="AJ42" i="1" s="1"/>
  <c r="T43" i="1"/>
  <c r="AK42" i="1" s="1"/>
  <c r="U43" i="1"/>
  <c r="AL42" i="1" s="1"/>
  <c r="V43" i="1"/>
  <c r="AM42" i="1" s="1"/>
  <c r="W43" i="1"/>
  <c r="AN42" i="1" s="1"/>
  <c r="X43" i="1"/>
  <c r="AO42" i="1" s="1"/>
  <c r="Y43" i="1"/>
  <c r="AP42" i="1" s="1"/>
  <c r="P44" i="1"/>
  <c r="AG43" i="1" s="1"/>
  <c r="Q44" i="1"/>
  <c r="AH43" i="1" s="1"/>
  <c r="R44" i="1"/>
  <c r="AI43" i="1" s="1"/>
  <c r="S44" i="1"/>
  <c r="AJ43" i="1" s="1"/>
  <c r="T44" i="1"/>
  <c r="AK43" i="1" s="1"/>
  <c r="U44" i="1"/>
  <c r="AL43" i="1" s="1"/>
  <c r="V44" i="1"/>
  <c r="AM43" i="1" s="1"/>
  <c r="W44" i="1"/>
  <c r="AN43" i="1" s="1"/>
  <c r="X44" i="1"/>
  <c r="AO43" i="1" s="1"/>
  <c r="Y44" i="1"/>
  <c r="AP43" i="1" s="1"/>
  <c r="P45" i="1"/>
  <c r="AG44" i="1" s="1"/>
  <c r="Q45" i="1"/>
  <c r="AH44" i="1" s="1"/>
  <c r="R45" i="1"/>
  <c r="AI44" i="1" s="1"/>
  <c r="S45" i="1"/>
  <c r="AJ44" i="1" s="1"/>
  <c r="T45" i="1"/>
  <c r="AK44" i="1" s="1"/>
  <c r="U45" i="1"/>
  <c r="AL44" i="1" s="1"/>
  <c r="V45" i="1"/>
  <c r="AM44" i="1" s="1"/>
  <c r="W45" i="1"/>
  <c r="AN44" i="1" s="1"/>
  <c r="X45" i="1"/>
  <c r="AO44" i="1" s="1"/>
  <c r="Y45" i="1"/>
  <c r="AP44" i="1" s="1"/>
  <c r="P46" i="1"/>
  <c r="AG45" i="1" s="1"/>
  <c r="Q46" i="1"/>
  <c r="AH45" i="1" s="1"/>
  <c r="R46" i="1"/>
  <c r="AI45" i="1" s="1"/>
  <c r="S46" i="1"/>
  <c r="AJ45" i="1" s="1"/>
  <c r="T46" i="1"/>
  <c r="AK45" i="1" s="1"/>
  <c r="U46" i="1"/>
  <c r="AL45" i="1" s="1"/>
  <c r="V46" i="1"/>
  <c r="AM45" i="1" s="1"/>
  <c r="W46" i="1"/>
  <c r="AN45" i="1" s="1"/>
  <c r="X46" i="1"/>
  <c r="AO45" i="1" s="1"/>
  <c r="Y46" i="1"/>
  <c r="AP45" i="1" s="1"/>
  <c r="P47" i="1"/>
  <c r="AG46" i="1" s="1"/>
  <c r="Q47" i="1"/>
  <c r="AH46" i="1" s="1"/>
  <c r="R47" i="1"/>
  <c r="AI46" i="1" s="1"/>
  <c r="S47" i="1"/>
  <c r="AJ46" i="1" s="1"/>
  <c r="T47" i="1"/>
  <c r="AK46" i="1" s="1"/>
  <c r="U47" i="1"/>
  <c r="AL46" i="1" s="1"/>
  <c r="V47" i="1"/>
  <c r="AM46" i="1" s="1"/>
  <c r="W47" i="1"/>
  <c r="AN46" i="1" s="1"/>
  <c r="X47" i="1"/>
  <c r="AO46" i="1" s="1"/>
  <c r="Y47" i="1"/>
  <c r="AP46" i="1" s="1"/>
  <c r="P48" i="1"/>
  <c r="AG47" i="1" s="1"/>
  <c r="Q48" i="1"/>
  <c r="AH47" i="1" s="1"/>
  <c r="R48" i="1"/>
  <c r="AI47" i="1" s="1"/>
  <c r="S48" i="1"/>
  <c r="AJ47" i="1" s="1"/>
  <c r="T48" i="1"/>
  <c r="AK47" i="1" s="1"/>
  <c r="U48" i="1"/>
  <c r="AL47" i="1" s="1"/>
  <c r="V48" i="1"/>
  <c r="AM47" i="1" s="1"/>
  <c r="W48" i="1"/>
  <c r="AN47" i="1" s="1"/>
  <c r="X48" i="1"/>
  <c r="AO47" i="1" s="1"/>
  <c r="Y48" i="1"/>
  <c r="AP47" i="1" s="1"/>
  <c r="P49" i="1"/>
  <c r="AG48" i="1" s="1"/>
  <c r="Q49" i="1"/>
  <c r="AH48" i="1" s="1"/>
  <c r="R49" i="1"/>
  <c r="AI48" i="1" s="1"/>
  <c r="S49" i="1"/>
  <c r="AJ48" i="1" s="1"/>
  <c r="T49" i="1"/>
  <c r="AK48" i="1" s="1"/>
  <c r="U49" i="1"/>
  <c r="AL48" i="1" s="1"/>
  <c r="V49" i="1"/>
  <c r="AM48" i="1" s="1"/>
  <c r="W49" i="1"/>
  <c r="AN48" i="1" s="1"/>
  <c r="X49" i="1"/>
  <c r="AO48" i="1" s="1"/>
  <c r="Y49" i="1"/>
  <c r="AP48" i="1" s="1"/>
  <c r="P50" i="1"/>
  <c r="AG49" i="1" s="1"/>
  <c r="Q50" i="1"/>
  <c r="AH49" i="1" s="1"/>
  <c r="R50" i="1"/>
  <c r="AI49" i="1" s="1"/>
  <c r="S50" i="1"/>
  <c r="AJ49" i="1" s="1"/>
  <c r="T50" i="1"/>
  <c r="AK49" i="1" s="1"/>
  <c r="U50" i="1"/>
  <c r="AL49" i="1" s="1"/>
  <c r="V50" i="1"/>
  <c r="AM49" i="1" s="1"/>
  <c r="W50" i="1"/>
  <c r="AN49" i="1" s="1"/>
  <c r="X50" i="1"/>
  <c r="AO49" i="1" s="1"/>
  <c r="Y50" i="1"/>
  <c r="AP49" i="1" s="1"/>
  <c r="P51" i="1"/>
  <c r="AG50" i="1" s="1"/>
  <c r="Q51" i="1"/>
  <c r="AH50" i="1" s="1"/>
  <c r="R51" i="1"/>
  <c r="AI50" i="1" s="1"/>
  <c r="S51" i="1"/>
  <c r="AJ50" i="1" s="1"/>
  <c r="T51" i="1"/>
  <c r="AK50" i="1" s="1"/>
  <c r="U51" i="1"/>
  <c r="AL50" i="1" s="1"/>
  <c r="V51" i="1"/>
  <c r="AM50" i="1" s="1"/>
  <c r="W51" i="1"/>
  <c r="AN50" i="1" s="1"/>
  <c r="X51" i="1"/>
  <c r="AO50" i="1" s="1"/>
  <c r="Y51" i="1"/>
  <c r="AP50" i="1" s="1"/>
  <c r="P52" i="1"/>
  <c r="AG51" i="1" s="1"/>
  <c r="Q52" i="1"/>
  <c r="AH51" i="1" s="1"/>
  <c r="R52" i="1"/>
  <c r="AI51" i="1" s="1"/>
  <c r="S52" i="1"/>
  <c r="AJ51" i="1" s="1"/>
  <c r="T52" i="1"/>
  <c r="AK51" i="1" s="1"/>
  <c r="U52" i="1"/>
  <c r="AL51" i="1" s="1"/>
  <c r="V52" i="1"/>
  <c r="AM51" i="1" s="1"/>
  <c r="W52" i="1"/>
  <c r="AN51" i="1" s="1"/>
  <c r="X52" i="1"/>
  <c r="AO51" i="1" s="1"/>
  <c r="Y52" i="1"/>
  <c r="AP51" i="1" s="1"/>
  <c r="P53" i="1"/>
  <c r="AG52" i="1" s="1"/>
  <c r="Q53" i="1"/>
  <c r="AH52" i="1" s="1"/>
  <c r="R53" i="1"/>
  <c r="AI52" i="1" s="1"/>
  <c r="S53" i="1"/>
  <c r="AJ52" i="1" s="1"/>
  <c r="T53" i="1"/>
  <c r="AK52" i="1" s="1"/>
  <c r="U53" i="1"/>
  <c r="AL52" i="1" s="1"/>
  <c r="V53" i="1"/>
  <c r="AM52" i="1" s="1"/>
  <c r="W53" i="1"/>
  <c r="AN52" i="1" s="1"/>
  <c r="X53" i="1"/>
  <c r="AO52" i="1" s="1"/>
  <c r="Y53" i="1"/>
  <c r="AP52" i="1" s="1"/>
  <c r="P54" i="1"/>
  <c r="AG53" i="1" s="1"/>
  <c r="Q54" i="1"/>
  <c r="AH53" i="1" s="1"/>
  <c r="R54" i="1"/>
  <c r="AI53" i="1" s="1"/>
  <c r="S54" i="1"/>
  <c r="AJ53" i="1" s="1"/>
  <c r="T54" i="1"/>
  <c r="AK53" i="1" s="1"/>
  <c r="U54" i="1"/>
  <c r="AL53" i="1" s="1"/>
  <c r="V54" i="1"/>
  <c r="AM53" i="1" s="1"/>
  <c r="W54" i="1"/>
  <c r="AN53" i="1" s="1"/>
  <c r="X54" i="1"/>
  <c r="AO53" i="1" s="1"/>
  <c r="Y54" i="1"/>
  <c r="AP53" i="1" s="1"/>
  <c r="P55" i="1"/>
  <c r="AG54" i="1" s="1"/>
  <c r="Q55" i="1"/>
  <c r="AH54" i="1" s="1"/>
  <c r="R55" i="1"/>
  <c r="AI54" i="1" s="1"/>
  <c r="S55" i="1"/>
  <c r="AJ54" i="1" s="1"/>
  <c r="T55" i="1"/>
  <c r="AK54" i="1" s="1"/>
  <c r="U55" i="1"/>
  <c r="AL54" i="1" s="1"/>
  <c r="V55" i="1"/>
  <c r="AM54" i="1" s="1"/>
  <c r="W55" i="1"/>
  <c r="AN54" i="1" s="1"/>
  <c r="X55" i="1"/>
  <c r="AO54" i="1" s="1"/>
  <c r="Y55" i="1"/>
  <c r="AP54" i="1" s="1"/>
  <c r="P56" i="1"/>
  <c r="AG55" i="1" s="1"/>
  <c r="Q56" i="1"/>
  <c r="AH55" i="1" s="1"/>
  <c r="R56" i="1"/>
  <c r="AI55" i="1" s="1"/>
  <c r="S56" i="1"/>
  <c r="AJ55" i="1" s="1"/>
  <c r="T56" i="1"/>
  <c r="AK55" i="1" s="1"/>
  <c r="U56" i="1"/>
  <c r="AL55" i="1" s="1"/>
  <c r="V56" i="1"/>
  <c r="AM55" i="1" s="1"/>
  <c r="W56" i="1"/>
  <c r="AN55" i="1" s="1"/>
  <c r="X56" i="1"/>
  <c r="AO55" i="1" s="1"/>
  <c r="Y56" i="1"/>
  <c r="AP55" i="1" s="1"/>
  <c r="P57" i="1"/>
  <c r="AG56" i="1" s="1"/>
  <c r="Q57" i="1"/>
  <c r="AH56" i="1" s="1"/>
  <c r="R57" i="1"/>
  <c r="AI56" i="1" s="1"/>
  <c r="S57" i="1"/>
  <c r="AJ56" i="1" s="1"/>
  <c r="T57" i="1"/>
  <c r="AK56" i="1" s="1"/>
  <c r="U57" i="1"/>
  <c r="AL56" i="1" s="1"/>
  <c r="V57" i="1"/>
  <c r="AM56" i="1" s="1"/>
  <c r="W57" i="1"/>
  <c r="AN56" i="1" s="1"/>
  <c r="X57" i="1"/>
  <c r="AO56" i="1" s="1"/>
  <c r="Y57" i="1"/>
  <c r="AP56" i="1" s="1"/>
  <c r="P58" i="1"/>
  <c r="AG57" i="1" s="1"/>
  <c r="Q58" i="1"/>
  <c r="AH57" i="1" s="1"/>
  <c r="R58" i="1"/>
  <c r="AI57" i="1" s="1"/>
  <c r="S58" i="1"/>
  <c r="AJ57" i="1" s="1"/>
  <c r="T58" i="1"/>
  <c r="AK57" i="1" s="1"/>
  <c r="U58" i="1"/>
  <c r="AL57" i="1" s="1"/>
  <c r="V58" i="1"/>
  <c r="AM57" i="1" s="1"/>
  <c r="W58" i="1"/>
  <c r="AN57" i="1" s="1"/>
  <c r="X58" i="1"/>
  <c r="AO57" i="1" s="1"/>
  <c r="Y58" i="1"/>
  <c r="AP57" i="1" s="1"/>
  <c r="P59" i="1"/>
  <c r="AG58" i="1" s="1"/>
  <c r="Q59" i="1"/>
  <c r="AH58" i="1" s="1"/>
  <c r="R59" i="1"/>
  <c r="AI58" i="1" s="1"/>
  <c r="S59" i="1"/>
  <c r="AJ58" i="1" s="1"/>
  <c r="T59" i="1"/>
  <c r="AK58" i="1" s="1"/>
  <c r="U59" i="1"/>
  <c r="AL58" i="1" s="1"/>
  <c r="V59" i="1"/>
  <c r="AM58" i="1" s="1"/>
  <c r="W59" i="1"/>
  <c r="AN58" i="1" s="1"/>
  <c r="X59" i="1"/>
  <c r="AO58" i="1" s="1"/>
  <c r="Y59" i="1"/>
  <c r="AP58" i="1" s="1"/>
  <c r="P60" i="1"/>
  <c r="AG59" i="1" s="1"/>
  <c r="Q60" i="1"/>
  <c r="AH59" i="1" s="1"/>
  <c r="R60" i="1"/>
  <c r="AI59" i="1" s="1"/>
  <c r="S60" i="1"/>
  <c r="AJ59" i="1" s="1"/>
  <c r="T60" i="1"/>
  <c r="AK59" i="1" s="1"/>
  <c r="U60" i="1"/>
  <c r="AL59" i="1" s="1"/>
  <c r="V60" i="1"/>
  <c r="AM59" i="1" s="1"/>
  <c r="W60" i="1"/>
  <c r="AN59" i="1" s="1"/>
  <c r="X60" i="1"/>
  <c r="AO59" i="1" s="1"/>
  <c r="Y60" i="1"/>
  <c r="AP59" i="1" s="1"/>
  <c r="P61" i="1"/>
  <c r="AG60" i="1" s="1"/>
  <c r="Q61" i="1"/>
  <c r="AH60" i="1" s="1"/>
  <c r="R61" i="1"/>
  <c r="AI60" i="1" s="1"/>
  <c r="S61" i="1"/>
  <c r="AJ60" i="1" s="1"/>
  <c r="T61" i="1"/>
  <c r="AK60" i="1" s="1"/>
  <c r="U61" i="1"/>
  <c r="AL60" i="1" s="1"/>
  <c r="V61" i="1"/>
  <c r="AM60" i="1" s="1"/>
  <c r="W61" i="1"/>
  <c r="AN60" i="1" s="1"/>
  <c r="X61" i="1"/>
  <c r="AO60" i="1" s="1"/>
  <c r="Y61" i="1"/>
  <c r="AP60" i="1" s="1"/>
  <c r="P62" i="1"/>
  <c r="AG61" i="1" s="1"/>
  <c r="Q62" i="1"/>
  <c r="AH61" i="1" s="1"/>
  <c r="R62" i="1"/>
  <c r="AI61" i="1" s="1"/>
  <c r="S62" i="1"/>
  <c r="AJ61" i="1" s="1"/>
  <c r="T62" i="1"/>
  <c r="AK61" i="1" s="1"/>
  <c r="U62" i="1"/>
  <c r="AL61" i="1" s="1"/>
  <c r="V62" i="1"/>
  <c r="AM61" i="1" s="1"/>
  <c r="W62" i="1"/>
  <c r="AN61" i="1" s="1"/>
  <c r="X62" i="1"/>
  <c r="AO61" i="1" s="1"/>
  <c r="Y62" i="1"/>
  <c r="AP61" i="1" s="1"/>
  <c r="P63" i="1"/>
  <c r="AG62" i="1" s="1"/>
  <c r="Q63" i="1"/>
  <c r="AH62" i="1" s="1"/>
  <c r="R63" i="1"/>
  <c r="AI62" i="1" s="1"/>
  <c r="S63" i="1"/>
  <c r="AJ62" i="1" s="1"/>
  <c r="T63" i="1"/>
  <c r="AK62" i="1" s="1"/>
  <c r="U63" i="1"/>
  <c r="AL62" i="1" s="1"/>
  <c r="V63" i="1"/>
  <c r="AM62" i="1" s="1"/>
  <c r="W63" i="1"/>
  <c r="AN62" i="1" s="1"/>
  <c r="X63" i="1"/>
  <c r="AO62" i="1" s="1"/>
  <c r="Y63" i="1"/>
  <c r="AP62" i="1" s="1"/>
  <c r="P64" i="1"/>
  <c r="AG63" i="1" s="1"/>
  <c r="Q64" i="1"/>
  <c r="AH63" i="1" s="1"/>
  <c r="R64" i="1"/>
  <c r="AI63" i="1" s="1"/>
  <c r="S64" i="1"/>
  <c r="AJ63" i="1" s="1"/>
  <c r="T64" i="1"/>
  <c r="AK63" i="1" s="1"/>
  <c r="U64" i="1"/>
  <c r="AL63" i="1" s="1"/>
  <c r="V64" i="1"/>
  <c r="AM63" i="1" s="1"/>
  <c r="W64" i="1"/>
  <c r="AN63" i="1" s="1"/>
  <c r="X64" i="1"/>
  <c r="AO63" i="1" s="1"/>
  <c r="Y64" i="1"/>
  <c r="AP63" i="1" s="1"/>
  <c r="P65" i="1"/>
  <c r="AG64" i="1" s="1"/>
  <c r="Q65" i="1"/>
  <c r="AH64" i="1" s="1"/>
  <c r="R65" i="1"/>
  <c r="AI64" i="1" s="1"/>
  <c r="S65" i="1"/>
  <c r="AJ64" i="1" s="1"/>
  <c r="T65" i="1"/>
  <c r="AK64" i="1" s="1"/>
  <c r="U65" i="1"/>
  <c r="AL64" i="1" s="1"/>
  <c r="V65" i="1"/>
  <c r="AM64" i="1" s="1"/>
  <c r="W65" i="1"/>
  <c r="AN64" i="1" s="1"/>
  <c r="X65" i="1"/>
  <c r="AO64" i="1" s="1"/>
  <c r="Y65" i="1"/>
  <c r="AP64" i="1" s="1"/>
  <c r="P66" i="1"/>
  <c r="AG65" i="1" s="1"/>
  <c r="Q66" i="1"/>
  <c r="AH65" i="1" s="1"/>
  <c r="R66" i="1"/>
  <c r="AI65" i="1" s="1"/>
  <c r="S66" i="1"/>
  <c r="AJ65" i="1" s="1"/>
  <c r="T66" i="1"/>
  <c r="AK65" i="1" s="1"/>
  <c r="U66" i="1"/>
  <c r="AL65" i="1" s="1"/>
  <c r="V66" i="1"/>
  <c r="AM65" i="1" s="1"/>
  <c r="W66" i="1"/>
  <c r="AN65" i="1" s="1"/>
  <c r="X66" i="1"/>
  <c r="AO65" i="1" s="1"/>
  <c r="Y66" i="1"/>
  <c r="AP65" i="1" s="1"/>
  <c r="P67" i="1"/>
  <c r="AG66" i="1" s="1"/>
  <c r="Q67" i="1"/>
  <c r="AH66" i="1" s="1"/>
  <c r="R67" i="1"/>
  <c r="AI66" i="1" s="1"/>
  <c r="S67" i="1"/>
  <c r="AJ66" i="1" s="1"/>
  <c r="T67" i="1"/>
  <c r="AK66" i="1" s="1"/>
  <c r="U67" i="1"/>
  <c r="AL66" i="1" s="1"/>
  <c r="V67" i="1"/>
  <c r="AM66" i="1" s="1"/>
  <c r="W67" i="1"/>
  <c r="AN66" i="1" s="1"/>
  <c r="X67" i="1"/>
  <c r="AO66" i="1" s="1"/>
  <c r="Y67" i="1"/>
  <c r="AP66" i="1" s="1"/>
  <c r="P68" i="1"/>
  <c r="AG67" i="1" s="1"/>
  <c r="Q68" i="1"/>
  <c r="AH67" i="1" s="1"/>
  <c r="R68" i="1"/>
  <c r="AI67" i="1" s="1"/>
  <c r="S68" i="1"/>
  <c r="AJ67" i="1" s="1"/>
  <c r="T68" i="1"/>
  <c r="AK67" i="1" s="1"/>
  <c r="U68" i="1"/>
  <c r="AL67" i="1" s="1"/>
  <c r="V68" i="1"/>
  <c r="AM67" i="1" s="1"/>
  <c r="W68" i="1"/>
  <c r="AN67" i="1" s="1"/>
  <c r="X68" i="1"/>
  <c r="AO67" i="1" s="1"/>
  <c r="Y68" i="1"/>
  <c r="AP67" i="1" s="1"/>
  <c r="P69" i="1"/>
  <c r="AG68" i="1" s="1"/>
  <c r="Q69" i="1"/>
  <c r="AH68" i="1" s="1"/>
  <c r="R69" i="1"/>
  <c r="AI68" i="1" s="1"/>
  <c r="S69" i="1"/>
  <c r="AJ68" i="1" s="1"/>
  <c r="T69" i="1"/>
  <c r="AK68" i="1" s="1"/>
  <c r="U69" i="1"/>
  <c r="AL68" i="1" s="1"/>
  <c r="V69" i="1"/>
  <c r="AM68" i="1" s="1"/>
  <c r="W69" i="1"/>
  <c r="AN68" i="1" s="1"/>
  <c r="X69" i="1"/>
  <c r="AO68" i="1" s="1"/>
  <c r="Y69" i="1"/>
  <c r="AP68" i="1" s="1"/>
  <c r="P70" i="1"/>
  <c r="AG69" i="1" s="1"/>
  <c r="Q70" i="1"/>
  <c r="AH69" i="1" s="1"/>
  <c r="R70" i="1"/>
  <c r="AI69" i="1" s="1"/>
  <c r="S70" i="1"/>
  <c r="AJ69" i="1" s="1"/>
  <c r="T70" i="1"/>
  <c r="AK69" i="1" s="1"/>
  <c r="U70" i="1"/>
  <c r="AL69" i="1" s="1"/>
  <c r="V70" i="1"/>
  <c r="AM69" i="1" s="1"/>
  <c r="W70" i="1"/>
  <c r="AN69" i="1" s="1"/>
  <c r="X70" i="1"/>
  <c r="AO69" i="1" s="1"/>
  <c r="Y70" i="1"/>
  <c r="AP69" i="1" s="1"/>
  <c r="P71" i="1"/>
  <c r="AG70" i="1" s="1"/>
  <c r="Q71" i="1"/>
  <c r="AH70" i="1" s="1"/>
  <c r="R71" i="1"/>
  <c r="AI70" i="1" s="1"/>
  <c r="S71" i="1"/>
  <c r="AJ70" i="1" s="1"/>
  <c r="T71" i="1"/>
  <c r="AK70" i="1" s="1"/>
  <c r="U71" i="1"/>
  <c r="AL70" i="1" s="1"/>
  <c r="V71" i="1"/>
  <c r="AM70" i="1" s="1"/>
  <c r="W71" i="1"/>
  <c r="AN70" i="1" s="1"/>
  <c r="X71" i="1"/>
  <c r="AO70" i="1" s="1"/>
  <c r="Y71" i="1"/>
  <c r="AP70" i="1" s="1"/>
  <c r="P72" i="1"/>
  <c r="AG71" i="1" s="1"/>
  <c r="Q72" i="1"/>
  <c r="AH71" i="1" s="1"/>
  <c r="R72" i="1"/>
  <c r="AI71" i="1" s="1"/>
  <c r="S72" i="1"/>
  <c r="AJ71" i="1" s="1"/>
  <c r="T72" i="1"/>
  <c r="AK71" i="1" s="1"/>
  <c r="U72" i="1"/>
  <c r="AL71" i="1" s="1"/>
  <c r="V72" i="1"/>
  <c r="AM71" i="1" s="1"/>
  <c r="W72" i="1"/>
  <c r="AN71" i="1" s="1"/>
  <c r="X72" i="1"/>
  <c r="AO71" i="1" s="1"/>
  <c r="Y72" i="1"/>
  <c r="AP71" i="1" s="1"/>
  <c r="P73" i="1"/>
  <c r="AG72" i="1" s="1"/>
  <c r="Q73" i="1"/>
  <c r="AH72" i="1" s="1"/>
  <c r="R73" i="1"/>
  <c r="AI72" i="1" s="1"/>
  <c r="S73" i="1"/>
  <c r="AJ72" i="1" s="1"/>
  <c r="T73" i="1"/>
  <c r="AK72" i="1" s="1"/>
  <c r="U73" i="1"/>
  <c r="AL72" i="1" s="1"/>
  <c r="V73" i="1"/>
  <c r="AM72" i="1" s="1"/>
  <c r="W73" i="1"/>
  <c r="AN72" i="1" s="1"/>
  <c r="X73" i="1"/>
  <c r="AO72" i="1" s="1"/>
  <c r="Y73" i="1"/>
  <c r="AP72" i="1" s="1"/>
  <c r="P74" i="1"/>
  <c r="AG73" i="1" s="1"/>
  <c r="Q74" i="1"/>
  <c r="AH73" i="1" s="1"/>
  <c r="R74" i="1"/>
  <c r="AI73" i="1" s="1"/>
  <c r="S74" i="1"/>
  <c r="AJ73" i="1" s="1"/>
  <c r="T74" i="1"/>
  <c r="AK73" i="1" s="1"/>
  <c r="U74" i="1"/>
  <c r="AL73" i="1" s="1"/>
  <c r="V74" i="1"/>
  <c r="AM73" i="1" s="1"/>
  <c r="W74" i="1"/>
  <c r="AN73" i="1" s="1"/>
  <c r="X74" i="1"/>
  <c r="AO73" i="1" s="1"/>
  <c r="Y74" i="1"/>
  <c r="AP73" i="1" s="1"/>
  <c r="P75" i="1"/>
  <c r="AG74" i="1" s="1"/>
  <c r="Q75" i="1"/>
  <c r="AH74" i="1" s="1"/>
  <c r="R75" i="1"/>
  <c r="AI74" i="1" s="1"/>
  <c r="S75" i="1"/>
  <c r="AJ74" i="1" s="1"/>
  <c r="T75" i="1"/>
  <c r="AK74" i="1" s="1"/>
  <c r="U75" i="1"/>
  <c r="AL74" i="1" s="1"/>
  <c r="V75" i="1"/>
  <c r="AM74" i="1" s="1"/>
  <c r="W75" i="1"/>
  <c r="AN74" i="1" s="1"/>
  <c r="X75" i="1"/>
  <c r="AO74" i="1" s="1"/>
  <c r="Y75" i="1"/>
  <c r="AP74" i="1" s="1"/>
  <c r="P76" i="1"/>
  <c r="AG75" i="1" s="1"/>
  <c r="Q76" i="1"/>
  <c r="AH75" i="1" s="1"/>
  <c r="R76" i="1"/>
  <c r="AI75" i="1" s="1"/>
  <c r="S76" i="1"/>
  <c r="AJ75" i="1" s="1"/>
  <c r="T76" i="1"/>
  <c r="AK75" i="1" s="1"/>
  <c r="U76" i="1"/>
  <c r="AL75" i="1" s="1"/>
  <c r="V76" i="1"/>
  <c r="AM75" i="1" s="1"/>
  <c r="W76" i="1"/>
  <c r="AN75" i="1" s="1"/>
  <c r="X76" i="1"/>
  <c r="AO75" i="1" s="1"/>
  <c r="Y76" i="1"/>
  <c r="AP75" i="1" s="1"/>
  <c r="P77" i="1"/>
  <c r="AG76" i="1" s="1"/>
  <c r="Q77" i="1"/>
  <c r="AH76" i="1" s="1"/>
  <c r="R77" i="1"/>
  <c r="AI76" i="1" s="1"/>
  <c r="S77" i="1"/>
  <c r="AJ76" i="1" s="1"/>
  <c r="T77" i="1"/>
  <c r="AK76" i="1" s="1"/>
  <c r="U77" i="1"/>
  <c r="AL76" i="1" s="1"/>
  <c r="V77" i="1"/>
  <c r="AM76" i="1" s="1"/>
  <c r="W77" i="1"/>
  <c r="AN76" i="1" s="1"/>
  <c r="X77" i="1"/>
  <c r="AO76" i="1" s="1"/>
  <c r="Y77" i="1"/>
  <c r="AP76" i="1" s="1"/>
  <c r="P78" i="1"/>
  <c r="AG77" i="1" s="1"/>
  <c r="Q78" i="1"/>
  <c r="AH77" i="1" s="1"/>
  <c r="R78" i="1"/>
  <c r="AI77" i="1" s="1"/>
  <c r="S78" i="1"/>
  <c r="AJ77" i="1" s="1"/>
  <c r="T78" i="1"/>
  <c r="AK77" i="1" s="1"/>
  <c r="U78" i="1"/>
  <c r="AL77" i="1" s="1"/>
  <c r="V78" i="1"/>
  <c r="AM77" i="1" s="1"/>
  <c r="W78" i="1"/>
  <c r="AN77" i="1" s="1"/>
  <c r="X78" i="1"/>
  <c r="AO77" i="1" s="1"/>
  <c r="Y78" i="1"/>
  <c r="AP77" i="1" s="1"/>
  <c r="P79" i="1"/>
  <c r="AG78" i="1" s="1"/>
  <c r="Q79" i="1"/>
  <c r="AH78" i="1" s="1"/>
  <c r="R79" i="1"/>
  <c r="AI78" i="1" s="1"/>
  <c r="S79" i="1"/>
  <c r="AJ78" i="1" s="1"/>
  <c r="T79" i="1"/>
  <c r="AK78" i="1" s="1"/>
  <c r="U79" i="1"/>
  <c r="AL78" i="1" s="1"/>
  <c r="V79" i="1"/>
  <c r="AM78" i="1" s="1"/>
  <c r="W79" i="1"/>
  <c r="AN78" i="1" s="1"/>
  <c r="X79" i="1"/>
  <c r="AO78" i="1" s="1"/>
  <c r="Y79" i="1"/>
  <c r="AP78" i="1" s="1"/>
  <c r="P80" i="1"/>
  <c r="AG79" i="1" s="1"/>
  <c r="Q80" i="1"/>
  <c r="AH79" i="1" s="1"/>
  <c r="R80" i="1"/>
  <c r="AI79" i="1" s="1"/>
  <c r="S80" i="1"/>
  <c r="AJ79" i="1" s="1"/>
  <c r="T80" i="1"/>
  <c r="AK79" i="1" s="1"/>
  <c r="U80" i="1"/>
  <c r="AL79" i="1" s="1"/>
  <c r="V80" i="1"/>
  <c r="AM79" i="1" s="1"/>
  <c r="W80" i="1"/>
  <c r="AN79" i="1" s="1"/>
  <c r="X80" i="1"/>
  <c r="AO79" i="1" s="1"/>
  <c r="Y80" i="1"/>
  <c r="AP79" i="1" s="1"/>
  <c r="P81" i="1"/>
  <c r="AG80" i="1" s="1"/>
  <c r="Q81" i="1"/>
  <c r="AH80" i="1" s="1"/>
  <c r="R81" i="1"/>
  <c r="AI80" i="1" s="1"/>
  <c r="S81" i="1"/>
  <c r="AJ80" i="1" s="1"/>
  <c r="T81" i="1"/>
  <c r="AK80" i="1" s="1"/>
  <c r="U81" i="1"/>
  <c r="AL80" i="1" s="1"/>
  <c r="V81" i="1"/>
  <c r="AM80" i="1" s="1"/>
  <c r="W81" i="1"/>
  <c r="AN80" i="1" s="1"/>
  <c r="X81" i="1"/>
  <c r="AO80" i="1" s="1"/>
  <c r="Y81" i="1"/>
  <c r="AP80" i="1" s="1"/>
  <c r="P82" i="1"/>
  <c r="AG81" i="1" s="1"/>
  <c r="Q82" i="1"/>
  <c r="AH81" i="1" s="1"/>
  <c r="R82" i="1"/>
  <c r="AI81" i="1" s="1"/>
  <c r="S82" i="1"/>
  <c r="AJ81" i="1" s="1"/>
  <c r="T82" i="1"/>
  <c r="AK81" i="1" s="1"/>
  <c r="U82" i="1"/>
  <c r="AL81" i="1" s="1"/>
  <c r="V82" i="1"/>
  <c r="AM81" i="1" s="1"/>
  <c r="W82" i="1"/>
  <c r="AN81" i="1" s="1"/>
  <c r="X82" i="1"/>
  <c r="AO81" i="1" s="1"/>
  <c r="Y82" i="1"/>
  <c r="AP81" i="1" s="1"/>
  <c r="P83" i="1"/>
  <c r="AG82" i="1" s="1"/>
  <c r="Q83" i="1"/>
  <c r="AH82" i="1" s="1"/>
  <c r="R83" i="1"/>
  <c r="AI82" i="1" s="1"/>
  <c r="S83" i="1"/>
  <c r="AJ82" i="1" s="1"/>
  <c r="T83" i="1"/>
  <c r="AK82" i="1" s="1"/>
  <c r="U83" i="1"/>
  <c r="AL82" i="1" s="1"/>
  <c r="V83" i="1"/>
  <c r="AM82" i="1" s="1"/>
  <c r="W83" i="1"/>
  <c r="AN82" i="1" s="1"/>
  <c r="X83" i="1"/>
  <c r="AO82" i="1" s="1"/>
  <c r="Y83" i="1"/>
  <c r="AP82" i="1" s="1"/>
  <c r="P84" i="1"/>
  <c r="AG83" i="1" s="1"/>
  <c r="Q84" i="1"/>
  <c r="AH83" i="1" s="1"/>
  <c r="R84" i="1"/>
  <c r="AI83" i="1" s="1"/>
  <c r="S84" i="1"/>
  <c r="AJ83" i="1" s="1"/>
  <c r="T84" i="1"/>
  <c r="AK83" i="1" s="1"/>
  <c r="U84" i="1"/>
  <c r="AL83" i="1" s="1"/>
  <c r="V84" i="1"/>
  <c r="AM83" i="1" s="1"/>
  <c r="W84" i="1"/>
  <c r="AN83" i="1" s="1"/>
  <c r="X84" i="1"/>
  <c r="AO83" i="1" s="1"/>
  <c r="Y84" i="1"/>
  <c r="AP83" i="1" s="1"/>
  <c r="P85" i="1"/>
  <c r="AG84" i="1" s="1"/>
  <c r="Q85" i="1"/>
  <c r="AH84" i="1" s="1"/>
  <c r="R85" i="1"/>
  <c r="AI84" i="1" s="1"/>
  <c r="S85" i="1"/>
  <c r="AJ84" i="1" s="1"/>
  <c r="T85" i="1"/>
  <c r="AK84" i="1" s="1"/>
  <c r="U85" i="1"/>
  <c r="AL84" i="1" s="1"/>
  <c r="V85" i="1"/>
  <c r="AM84" i="1" s="1"/>
  <c r="W85" i="1"/>
  <c r="AN84" i="1" s="1"/>
  <c r="X85" i="1"/>
  <c r="AO84" i="1" s="1"/>
  <c r="Y85" i="1"/>
  <c r="AP84" i="1" s="1"/>
  <c r="P86" i="1"/>
  <c r="AG85" i="1" s="1"/>
  <c r="Q86" i="1"/>
  <c r="AH85" i="1" s="1"/>
  <c r="R86" i="1"/>
  <c r="AI85" i="1" s="1"/>
  <c r="S86" i="1"/>
  <c r="AJ85" i="1" s="1"/>
  <c r="T86" i="1"/>
  <c r="AK85" i="1" s="1"/>
  <c r="U86" i="1"/>
  <c r="AL85" i="1" s="1"/>
  <c r="V86" i="1"/>
  <c r="AM85" i="1" s="1"/>
  <c r="W86" i="1"/>
  <c r="AN85" i="1" s="1"/>
  <c r="X86" i="1"/>
  <c r="AO85" i="1" s="1"/>
  <c r="Y86" i="1"/>
  <c r="AP85" i="1" s="1"/>
  <c r="P87" i="1"/>
  <c r="AG86" i="1" s="1"/>
  <c r="Q87" i="1"/>
  <c r="AH86" i="1" s="1"/>
  <c r="R87" i="1"/>
  <c r="AI86" i="1" s="1"/>
  <c r="S87" i="1"/>
  <c r="AJ86" i="1" s="1"/>
  <c r="T87" i="1"/>
  <c r="AK86" i="1" s="1"/>
  <c r="U87" i="1"/>
  <c r="AL86" i="1" s="1"/>
  <c r="V87" i="1"/>
  <c r="AM86" i="1" s="1"/>
  <c r="W87" i="1"/>
  <c r="AN86" i="1" s="1"/>
  <c r="X87" i="1"/>
  <c r="AO86" i="1" s="1"/>
  <c r="Y87" i="1"/>
  <c r="AP86" i="1" s="1"/>
  <c r="P88" i="1"/>
  <c r="AG87" i="1" s="1"/>
  <c r="Q88" i="1"/>
  <c r="AH87" i="1" s="1"/>
  <c r="R88" i="1"/>
  <c r="AI87" i="1" s="1"/>
  <c r="S88" i="1"/>
  <c r="AJ87" i="1" s="1"/>
  <c r="T88" i="1"/>
  <c r="AK87" i="1" s="1"/>
  <c r="U88" i="1"/>
  <c r="AL87" i="1" s="1"/>
  <c r="V88" i="1"/>
  <c r="AM87" i="1" s="1"/>
  <c r="W88" i="1"/>
  <c r="AN87" i="1" s="1"/>
  <c r="X88" i="1"/>
  <c r="AO87" i="1" s="1"/>
  <c r="Y88" i="1"/>
  <c r="AP87" i="1" s="1"/>
  <c r="P89" i="1"/>
  <c r="AG88" i="1" s="1"/>
  <c r="Q89" i="1"/>
  <c r="AH88" i="1" s="1"/>
  <c r="R89" i="1"/>
  <c r="AI88" i="1" s="1"/>
  <c r="S89" i="1"/>
  <c r="AJ88" i="1" s="1"/>
  <c r="T89" i="1"/>
  <c r="AK88" i="1" s="1"/>
  <c r="U89" i="1"/>
  <c r="AL88" i="1" s="1"/>
  <c r="V89" i="1"/>
  <c r="AM88" i="1" s="1"/>
  <c r="W89" i="1"/>
  <c r="AN88" i="1" s="1"/>
  <c r="X89" i="1"/>
  <c r="AO88" i="1" s="1"/>
  <c r="Y89" i="1"/>
  <c r="AP88" i="1" s="1"/>
  <c r="P90" i="1"/>
  <c r="AG89" i="1" s="1"/>
  <c r="Q90" i="1"/>
  <c r="AH89" i="1" s="1"/>
  <c r="R90" i="1"/>
  <c r="AI89" i="1" s="1"/>
  <c r="S90" i="1"/>
  <c r="AJ89" i="1" s="1"/>
  <c r="T90" i="1"/>
  <c r="AK89" i="1" s="1"/>
  <c r="U90" i="1"/>
  <c r="AL89" i="1" s="1"/>
  <c r="V90" i="1"/>
  <c r="AM89" i="1" s="1"/>
  <c r="W90" i="1"/>
  <c r="AN89" i="1" s="1"/>
  <c r="X90" i="1"/>
  <c r="AO89" i="1" s="1"/>
  <c r="Y90" i="1"/>
  <c r="AP89" i="1" s="1"/>
  <c r="P91" i="1"/>
  <c r="AG90" i="1" s="1"/>
  <c r="Q91" i="1"/>
  <c r="AH90" i="1" s="1"/>
  <c r="R91" i="1"/>
  <c r="AI90" i="1" s="1"/>
  <c r="S91" i="1"/>
  <c r="AJ90" i="1" s="1"/>
  <c r="T91" i="1"/>
  <c r="AK90" i="1" s="1"/>
  <c r="U91" i="1"/>
  <c r="AL90" i="1" s="1"/>
  <c r="V91" i="1"/>
  <c r="AM90" i="1" s="1"/>
  <c r="W91" i="1"/>
  <c r="AN90" i="1" s="1"/>
  <c r="X91" i="1"/>
  <c r="AO90" i="1" s="1"/>
  <c r="Y91" i="1"/>
  <c r="AP90" i="1" s="1"/>
  <c r="P92" i="1"/>
  <c r="AG91" i="1" s="1"/>
  <c r="Q92" i="1"/>
  <c r="AH91" i="1" s="1"/>
  <c r="R92" i="1"/>
  <c r="AI91" i="1" s="1"/>
  <c r="S92" i="1"/>
  <c r="AJ91" i="1" s="1"/>
  <c r="T92" i="1"/>
  <c r="AK91" i="1" s="1"/>
  <c r="U92" i="1"/>
  <c r="AL91" i="1" s="1"/>
  <c r="V92" i="1"/>
  <c r="AM91" i="1" s="1"/>
  <c r="W92" i="1"/>
  <c r="AN91" i="1" s="1"/>
  <c r="X92" i="1"/>
  <c r="AO91" i="1" s="1"/>
  <c r="Y92" i="1"/>
  <c r="AP91" i="1" s="1"/>
  <c r="P93" i="1"/>
  <c r="AG92" i="1" s="1"/>
  <c r="Q93" i="1"/>
  <c r="AH92" i="1" s="1"/>
  <c r="R93" i="1"/>
  <c r="AI92" i="1" s="1"/>
  <c r="S93" i="1"/>
  <c r="AJ92" i="1" s="1"/>
  <c r="T93" i="1"/>
  <c r="AK92" i="1" s="1"/>
  <c r="U93" i="1"/>
  <c r="AL92" i="1" s="1"/>
  <c r="V93" i="1"/>
  <c r="AM92" i="1" s="1"/>
  <c r="W93" i="1"/>
  <c r="AN92" i="1" s="1"/>
  <c r="X93" i="1"/>
  <c r="AO92" i="1" s="1"/>
  <c r="Y93" i="1"/>
  <c r="AP92" i="1" s="1"/>
  <c r="P94" i="1"/>
  <c r="AG93" i="1" s="1"/>
  <c r="Q94" i="1"/>
  <c r="AH93" i="1" s="1"/>
  <c r="R94" i="1"/>
  <c r="AI93" i="1" s="1"/>
  <c r="S94" i="1"/>
  <c r="AJ93" i="1" s="1"/>
  <c r="T94" i="1"/>
  <c r="AK93" i="1" s="1"/>
  <c r="U94" i="1"/>
  <c r="AL93" i="1" s="1"/>
  <c r="V94" i="1"/>
  <c r="AM93" i="1" s="1"/>
  <c r="W94" i="1"/>
  <c r="AN93" i="1" s="1"/>
  <c r="X94" i="1"/>
  <c r="AO93" i="1" s="1"/>
  <c r="Y94" i="1"/>
  <c r="AP93" i="1" s="1"/>
  <c r="P95" i="1"/>
  <c r="AG94" i="1" s="1"/>
  <c r="Q95" i="1"/>
  <c r="AH94" i="1" s="1"/>
  <c r="R95" i="1"/>
  <c r="AI94" i="1" s="1"/>
  <c r="S95" i="1"/>
  <c r="AJ94" i="1" s="1"/>
  <c r="T95" i="1"/>
  <c r="AK94" i="1" s="1"/>
  <c r="U95" i="1"/>
  <c r="AL94" i="1" s="1"/>
  <c r="V95" i="1"/>
  <c r="AM94" i="1" s="1"/>
  <c r="W95" i="1"/>
  <c r="AN94" i="1" s="1"/>
  <c r="X95" i="1"/>
  <c r="AO94" i="1" s="1"/>
  <c r="Y95" i="1"/>
  <c r="AP94" i="1" s="1"/>
  <c r="P96" i="1"/>
  <c r="AG95" i="1" s="1"/>
  <c r="Q96" i="1"/>
  <c r="AH95" i="1" s="1"/>
  <c r="R96" i="1"/>
  <c r="AI95" i="1" s="1"/>
  <c r="S96" i="1"/>
  <c r="AJ95" i="1" s="1"/>
  <c r="T96" i="1"/>
  <c r="AK95" i="1" s="1"/>
  <c r="U96" i="1"/>
  <c r="AL95" i="1" s="1"/>
  <c r="V96" i="1"/>
  <c r="AM95" i="1" s="1"/>
  <c r="W96" i="1"/>
  <c r="AN95" i="1" s="1"/>
  <c r="X96" i="1"/>
  <c r="AO95" i="1" s="1"/>
  <c r="Y96" i="1"/>
  <c r="AP95" i="1" s="1"/>
  <c r="P97" i="1"/>
  <c r="AG96" i="1" s="1"/>
  <c r="Q97" i="1"/>
  <c r="AH96" i="1" s="1"/>
  <c r="R97" i="1"/>
  <c r="AI96" i="1" s="1"/>
  <c r="S97" i="1"/>
  <c r="AJ96" i="1" s="1"/>
  <c r="T97" i="1"/>
  <c r="AK96" i="1" s="1"/>
  <c r="U97" i="1"/>
  <c r="AL96" i="1" s="1"/>
  <c r="V97" i="1"/>
  <c r="AM96" i="1" s="1"/>
  <c r="W97" i="1"/>
  <c r="AN96" i="1" s="1"/>
  <c r="X97" i="1"/>
  <c r="AO96" i="1" s="1"/>
  <c r="Y97" i="1"/>
  <c r="AP96" i="1" s="1"/>
  <c r="P98" i="1"/>
  <c r="AG97" i="1" s="1"/>
  <c r="Q98" i="1"/>
  <c r="AH97" i="1" s="1"/>
  <c r="R98" i="1"/>
  <c r="AI97" i="1" s="1"/>
  <c r="S98" i="1"/>
  <c r="AJ97" i="1" s="1"/>
  <c r="T98" i="1"/>
  <c r="AK97" i="1" s="1"/>
  <c r="U98" i="1"/>
  <c r="AL97" i="1" s="1"/>
  <c r="V98" i="1"/>
  <c r="AM97" i="1" s="1"/>
  <c r="W98" i="1"/>
  <c r="AN97" i="1" s="1"/>
  <c r="X98" i="1"/>
  <c r="AO97" i="1" s="1"/>
  <c r="Y98" i="1"/>
  <c r="AP97" i="1" s="1"/>
  <c r="P99" i="1"/>
  <c r="AG98" i="1" s="1"/>
  <c r="Q99" i="1"/>
  <c r="AH98" i="1" s="1"/>
  <c r="R99" i="1"/>
  <c r="AI98" i="1" s="1"/>
  <c r="S99" i="1"/>
  <c r="AJ98" i="1" s="1"/>
  <c r="T99" i="1"/>
  <c r="AK98" i="1" s="1"/>
  <c r="U99" i="1"/>
  <c r="AL98" i="1" s="1"/>
  <c r="V99" i="1"/>
  <c r="AM98" i="1" s="1"/>
  <c r="W99" i="1"/>
  <c r="AN98" i="1" s="1"/>
  <c r="X99" i="1"/>
  <c r="AO98" i="1" s="1"/>
  <c r="Y99" i="1"/>
  <c r="AP98" i="1" s="1"/>
  <c r="P100" i="1"/>
  <c r="AG99" i="1" s="1"/>
  <c r="Q100" i="1"/>
  <c r="AH99" i="1" s="1"/>
  <c r="R100" i="1"/>
  <c r="AI99" i="1" s="1"/>
  <c r="S100" i="1"/>
  <c r="AJ99" i="1" s="1"/>
  <c r="T100" i="1"/>
  <c r="AK99" i="1" s="1"/>
  <c r="U100" i="1"/>
  <c r="AL99" i="1" s="1"/>
  <c r="V100" i="1"/>
  <c r="AM99" i="1" s="1"/>
  <c r="W100" i="1"/>
  <c r="AN99" i="1" s="1"/>
  <c r="X100" i="1"/>
  <c r="AO99" i="1" s="1"/>
  <c r="Y100" i="1"/>
  <c r="AP99" i="1" s="1"/>
  <c r="P101" i="1"/>
  <c r="AG100" i="1" s="1"/>
  <c r="Q101" i="1"/>
  <c r="AH100" i="1" s="1"/>
  <c r="R101" i="1"/>
  <c r="AI100" i="1" s="1"/>
  <c r="S101" i="1"/>
  <c r="AJ100" i="1" s="1"/>
  <c r="T101" i="1"/>
  <c r="AK100" i="1" s="1"/>
  <c r="U101" i="1"/>
  <c r="AL100" i="1" s="1"/>
  <c r="V101" i="1"/>
  <c r="AM100" i="1" s="1"/>
  <c r="W101" i="1"/>
  <c r="AN100" i="1" s="1"/>
  <c r="X101" i="1"/>
  <c r="AO100" i="1" s="1"/>
  <c r="Y101" i="1"/>
  <c r="AP100" i="1" s="1"/>
  <c r="P102" i="1"/>
  <c r="AG101" i="1" s="1"/>
  <c r="Q102" i="1"/>
  <c r="AH101" i="1" s="1"/>
  <c r="R102" i="1"/>
  <c r="AI101" i="1" s="1"/>
  <c r="S102" i="1"/>
  <c r="AJ101" i="1" s="1"/>
  <c r="T102" i="1"/>
  <c r="AK101" i="1" s="1"/>
  <c r="U102" i="1"/>
  <c r="AL101" i="1" s="1"/>
  <c r="V102" i="1"/>
  <c r="AM101" i="1" s="1"/>
  <c r="W102" i="1"/>
  <c r="AN101" i="1" s="1"/>
  <c r="X102" i="1"/>
  <c r="AO101" i="1" s="1"/>
  <c r="Y102" i="1"/>
  <c r="AP101" i="1" s="1"/>
  <c r="P103" i="1"/>
  <c r="AG102" i="1" s="1"/>
  <c r="Q103" i="1"/>
  <c r="AH102" i="1" s="1"/>
  <c r="R103" i="1"/>
  <c r="AI102" i="1" s="1"/>
  <c r="S103" i="1"/>
  <c r="AJ102" i="1" s="1"/>
  <c r="T103" i="1"/>
  <c r="AK102" i="1" s="1"/>
  <c r="U103" i="1"/>
  <c r="AL102" i="1" s="1"/>
  <c r="V103" i="1"/>
  <c r="AM102" i="1" s="1"/>
  <c r="W103" i="1"/>
  <c r="AN102" i="1" s="1"/>
  <c r="X103" i="1"/>
  <c r="AO102" i="1" s="1"/>
  <c r="Y103" i="1"/>
  <c r="AP102" i="1" s="1"/>
  <c r="P104" i="1"/>
  <c r="AG103" i="1" s="1"/>
  <c r="Q104" i="1"/>
  <c r="AH103" i="1" s="1"/>
  <c r="R104" i="1"/>
  <c r="AI103" i="1" s="1"/>
  <c r="S104" i="1"/>
  <c r="AJ103" i="1" s="1"/>
  <c r="T104" i="1"/>
  <c r="AK103" i="1" s="1"/>
  <c r="U104" i="1"/>
  <c r="AL103" i="1" s="1"/>
  <c r="V104" i="1"/>
  <c r="AM103" i="1" s="1"/>
  <c r="W104" i="1"/>
  <c r="AN103" i="1" s="1"/>
  <c r="X104" i="1"/>
  <c r="AO103" i="1" s="1"/>
  <c r="Y104" i="1"/>
  <c r="AP103" i="1" s="1"/>
  <c r="P105" i="1"/>
  <c r="AG104" i="1" s="1"/>
  <c r="Q105" i="1"/>
  <c r="AH104" i="1" s="1"/>
  <c r="R105" i="1"/>
  <c r="AI104" i="1" s="1"/>
  <c r="S105" i="1"/>
  <c r="AJ104" i="1" s="1"/>
  <c r="T105" i="1"/>
  <c r="AK104" i="1" s="1"/>
  <c r="U105" i="1"/>
  <c r="AL104" i="1" s="1"/>
  <c r="V105" i="1"/>
  <c r="AM104" i="1" s="1"/>
  <c r="W105" i="1"/>
  <c r="AN104" i="1" s="1"/>
  <c r="X105" i="1"/>
  <c r="AO104" i="1" s="1"/>
  <c r="Y105" i="1"/>
  <c r="AP104" i="1" s="1"/>
  <c r="P106" i="1"/>
  <c r="AG105" i="1" s="1"/>
  <c r="Q106" i="1"/>
  <c r="AH105" i="1" s="1"/>
  <c r="R106" i="1"/>
  <c r="AI105" i="1" s="1"/>
  <c r="S106" i="1"/>
  <c r="AJ105" i="1" s="1"/>
  <c r="T106" i="1"/>
  <c r="AK105" i="1" s="1"/>
  <c r="U106" i="1"/>
  <c r="AL105" i="1" s="1"/>
  <c r="V106" i="1"/>
  <c r="AM105" i="1" s="1"/>
  <c r="W106" i="1"/>
  <c r="AN105" i="1" s="1"/>
  <c r="X106" i="1"/>
  <c r="AO105" i="1" s="1"/>
  <c r="Y106" i="1"/>
  <c r="AP105" i="1" s="1"/>
  <c r="P107" i="1"/>
  <c r="AG106" i="1" s="1"/>
  <c r="Q107" i="1"/>
  <c r="AH106" i="1" s="1"/>
  <c r="R107" i="1"/>
  <c r="AI106" i="1" s="1"/>
  <c r="S107" i="1"/>
  <c r="AJ106" i="1" s="1"/>
  <c r="T107" i="1"/>
  <c r="AK106" i="1" s="1"/>
  <c r="U107" i="1"/>
  <c r="AL106" i="1" s="1"/>
  <c r="V107" i="1"/>
  <c r="AM106" i="1" s="1"/>
  <c r="W107" i="1"/>
  <c r="AN106" i="1" s="1"/>
  <c r="X107" i="1"/>
  <c r="AO106" i="1" s="1"/>
  <c r="Y107" i="1"/>
  <c r="AP106" i="1" s="1"/>
  <c r="P108" i="1"/>
  <c r="AG107" i="1" s="1"/>
  <c r="Q108" i="1"/>
  <c r="AH107" i="1" s="1"/>
  <c r="R108" i="1"/>
  <c r="AI107" i="1" s="1"/>
  <c r="S108" i="1"/>
  <c r="AJ107" i="1" s="1"/>
  <c r="T108" i="1"/>
  <c r="AK107" i="1" s="1"/>
  <c r="U108" i="1"/>
  <c r="AL107" i="1" s="1"/>
  <c r="V108" i="1"/>
  <c r="AM107" i="1" s="1"/>
  <c r="W108" i="1"/>
  <c r="AN107" i="1" s="1"/>
  <c r="X108" i="1"/>
  <c r="AO107" i="1" s="1"/>
  <c r="Y108" i="1"/>
  <c r="AP107" i="1" s="1"/>
  <c r="P109" i="1"/>
  <c r="AG108" i="1" s="1"/>
  <c r="Q109" i="1"/>
  <c r="AH108" i="1" s="1"/>
  <c r="R109" i="1"/>
  <c r="AI108" i="1" s="1"/>
  <c r="S109" i="1"/>
  <c r="AJ108" i="1" s="1"/>
  <c r="T109" i="1"/>
  <c r="AK108" i="1" s="1"/>
  <c r="U109" i="1"/>
  <c r="AL108" i="1" s="1"/>
  <c r="V109" i="1"/>
  <c r="AM108" i="1" s="1"/>
  <c r="W109" i="1"/>
  <c r="AN108" i="1" s="1"/>
  <c r="X109" i="1"/>
  <c r="AO108" i="1" s="1"/>
  <c r="Y109" i="1"/>
  <c r="AP108" i="1" s="1"/>
  <c r="P110" i="1"/>
  <c r="AG109" i="1" s="1"/>
  <c r="Q110" i="1"/>
  <c r="AH109" i="1" s="1"/>
  <c r="R110" i="1"/>
  <c r="AI109" i="1" s="1"/>
  <c r="S110" i="1"/>
  <c r="AJ109" i="1" s="1"/>
  <c r="T110" i="1"/>
  <c r="AK109" i="1" s="1"/>
  <c r="U110" i="1"/>
  <c r="AL109" i="1" s="1"/>
  <c r="V110" i="1"/>
  <c r="AM109" i="1" s="1"/>
  <c r="W110" i="1"/>
  <c r="AN109" i="1" s="1"/>
  <c r="X110" i="1"/>
  <c r="AO109" i="1" s="1"/>
  <c r="Y110" i="1"/>
  <c r="AP109" i="1" s="1"/>
  <c r="P111" i="1"/>
  <c r="AG110" i="1" s="1"/>
  <c r="Q111" i="1"/>
  <c r="AH110" i="1" s="1"/>
  <c r="R111" i="1"/>
  <c r="AI110" i="1" s="1"/>
  <c r="S111" i="1"/>
  <c r="AJ110" i="1" s="1"/>
  <c r="T111" i="1"/>
  <c r="AK110" i="1" s="1"/>
  <c r="U111" i="1"/>
  <c r="AL110" i="1" s="1"/>
  <c r="V111" i="1"/>
  <c r="AM110" i="1" s="1"/>
  <c r="W111" i="1"/>
  <c r="AN110" i="1" s="1"/>
  <c r="X111" i="1"/>
  <c r="AO110" i="1" s="1"/>
  <c r="Y111" i="1"/>
  <c r="AP110" i="1" s="1"/>
  <c r="P112" i="1"/>
  <c r="AG111" i="1" s="1"/>
  <c r="Q112" i="1"/>
  <c r="AH111" i="1" s="1"/>
  <c r="R112" i="1"/>
  <c r="AI111" i="1" s="1"/>
  <c r="S112" i="1"/>
  <c r="AJ111" i="1" s="1"/>
  <c r="T112" i="1"/>
  <c r="AK111" i="1" s="1"/>
  <c r="U112" i="1"/>
  <c r="AL111" i="1" s="1"/>
  <c r="V112" i="1"/>
  <c r="AM111" i="1" s="1"/>
  <c r="W112" i="1"/>
  <c r="AN111" i="1" s="1"/>
  <c r="X112" i="1"/>
  <c r="AO111" i="1" s="1"/>
  <c r="Y112" i="1"/>
  <c r="AP111" i="1" s="1"/>
  <c r="P113" i="1"/>
  <c r="AG112" i="1" s="1"/>
  <c r="Q113" i="1"/>
  <c r="AH112" i="1" s="1"/>
  <c r="R113" i="1"/>
  <c r="AI112" i="1" s="1"/>
  <c r="S113" i="1"/>
  <c r="AJ112" i="1" s="1"/>
  <c r="T113" i="1"/>
  <c r="AK112" i="1" s="1"/>
  <c r="U113" i="1"/>
  <c r="AL112" i="1" s="1"/>
  <c r="V113" i="1"/>
  <c r="AM112" i="1" s="1"/>
  <c r="W113" i="1"/>
  <c r="AN112" i="1" s="1"/>
  <c r="X113" i="1"/>
  <c r="AO112" i="1" s="1"/>
  <c r="Y113" i="1"/>
  <c r="AP112" i="1" s="1"/>
  <c r="P114" i="1"/>
  <c r="AG113" i="1" s="1"/>
  <c r="Q114" i="1"/>
  <c r="AH113" i="1" s="1"/>
  <c r="R114" i="1"/>
  <c r="AI113" i="1" s="1"/>
  <c r="S114" i="1"/>
  <c r="AJ113" i="1" s="1"/>
  <c r="T114" i="1"/>
  <c r="AK113" i="1" s="1"/>
  <c r="U114" i="1"/>
  <c r="AL113" i="1" s="1"/>
  <c r="V114" i="1"/>
  <c r="AM113" i="1" s="1"/>
  <c r="W114" i="1"/>
  <c r="AN113" i="1" s="1"/>
  <c r="X114" i="1"/>
  <c r="AO113" i="1" s="1"/>
  <c r="Y114" i="1"/>
  <c r="AP113" i="1" s="1"/>
  <c r="P115" i="1"/>
  <c r="AG114" i="1" s="1"/>
  <c r="Q115" i="1"/>
  <c r="AH114" i="1" s="1"/>
  <c r="R115" i="1"/>
  <c r="AI114" i="1" s="1"/>
  <c r="S115" i="1"/>
  <c r="AJ114" i="1" s="1"/>
  <c r="T115" i="1"/>
  <c r="AK114" i="1" s="1"/>
  <c r="U115" i="1"/>
  <c r="AL114" i="1" s="1"/>
  <c r="V115" i="1"/>
  <c r="AM114" i="1" s="1"/>
  <c r="W115" i="1"/>
  <c r="AN114" i="1" s="1"/>
  <c r="X115" i="1"/>
  <c r="AO114" i="1" s="1"/>
  <c r="Y115" i="1"/>
  <c r="AP114" i="1" s="1"/>
  <c r="P116" i="1"/>
  <c r="AG115" i="1" s="1"/>
  <c r="Q116" i="1"/>
  <c r="AH115" i="1" s="1"/>
  <c r="R116" i="1"/>
  <c r="AI115" i="1" s="1"/>
  <c r="S116" i="1"/>
  <c r="AJ115" i="1" s="1"/>
  <c r="T116" i="1"/>
  <c r="AK115" i="1" s="1"/>
  <c r="U116" i="1"/>
  <c r="AL115" i="1" s="1"/>
  <c r="V116" i="1"/>
  <c r="AM115" i="1" s="1"/>
  <c r="W116" i="1"/>
  <c r="AN115" i="1" s="1"/>
  <c r="X116" i="1"/>
  <c r="AO115" i="1" s="1"/>
  <c r="Y116" i="1"/>
  <c r="AP115" i="1" s="1"/>
  <c r="P117" i="1"/>
  <c r="AG116" i="1" s="1"/>
  <c r="Q117" i="1"/>
  <c r="AH116" i="1" s="1"/>
  <c r="R117" i="1"/>
  <c r="AI116" i="1" s="1"/>
  <c r="S117" i="1"/>
  <c r="AJ116" i="1" s="1"/>
  <c r="T117" i="1"/>
  <c r="AK116" i="1" s="1"/>
  <c r="U117" i="1"/>
  <c r="AL116" i="1" s="1"/>
  <c r="V117" i="1"/>
  <c r="AM116" i="1" s="1"/>
  <c r="W117" i="1"/>
  <c r="AN116" i="1" s="1"/>
  <c r="X117" i="1"/>
  <c r="AO116" i="1" s="1"/>
  <c r="Y117" i="1"/>
  <c r="AP116" i="1" s="1"/>
  <c r="P118" i="1"/>
  <c r="AG117" i="1" s="1"/>
  <c r="Q118" i="1"/>
  <c r="AH117" i="1" s="1"/>
  <c r="R118" i="1"/>
  <c r="AI117" i="1" s="1"/>
  <c r="S118" i="1"/>
  <c r="AJ117" i="1" s="1"/>
  <c r="T118" i="1"/>
  <c r="AK117" i="1" s="1"/>
  <c r="U118" i="1"/>
  <c r="AL117" i="1" s="1"/>
  <c r="V118" i="1"/>
  <c r="AM117" i="1" s="1"/>
  <c r="W118" i="1"/>
  <c r="AN117" i="1" s="1"/>
  <c r="X118" i="1"/>
  <c r="AO117" i="1" s="1"/>
  <c r="Y118" i="1"/>
  <c r="AP117" i="1" s="1"/>
  <c r="P119" i="1"/>
  <c r="AG118" i="1" s="1"/>
  <c r="Q119" i="1"/>
  <c r="AH118" i="1" s="1"/>
  <c r="R119" i="1"/>
  <c r="AI118" i="1" s="1"/>
  <c r="S119" i="1"/>
  <c r="AJ118" i="1" s="1"/>
  <c r="T119" i="1"/>
  <c r="AK118" i="1" s="1"/>
  <c r="U119" i="1"/>
  <c r="AL118" i="1" s="1"/>
  <c r="V119" i="1"/>
  <c r="AM118" i="1" s="1"/>
  <c r="W119" i="1"/>
  <c r="AN118" i="1" s="1"/>
  <c r="X119" i="1"/>
  <c r="AO118" i="1" s="1"/>
  <c r="Y119" i="1"/>
  <c r="AP118" i="1" s="1"/>
  <c r="P120" i="1"/>
  <c r="AG119" i="1" s="1"/>
  <c r="Q120" i="1"/>
  <c r="AH119" i="1" s="1"/>
  <c r="R120" i="1"/>
  <c r="AI119" i="1" s="1"/>
  <c r="S120" i="1"/>
  <c r="AJ119" i="1" s="1"/>
  <c r="T120" i="1"/>
  <c r="AK119" i="1" s="1"/>
  <c r="U120" i="1"/>
  <c r="AL119" i="1" s="1"/>
  <c r="V120" i="1"/>
  <c r="AM119" i="1" s="1"/>
  <c r="W120" i="1"/>
  <c r="AN119" i="1" s="1"/>
  <c r="X120" i="1"/>
  <c r="AO119" i="1" s="1"/>
  <c r="Y120" i="1"/>
  <c r="AP119" i="1" s="1"/>
  <c r="P121" i="1"/>
  <c r="AG120" i="1" s="1"/>
  <c r="Q121" i="1"/>
  <c r="AH120" i="1" s="1"/>
  <c r="R121" i="1"/>
  <c r="AI120" i="1" s="1"/>
  <c r="S121" i="1"/>
  <c r="AJ120" i="1" s="1"/>
  <c r="T121" i="1"/>
  <c r="AK120" i="1" s="1"/>
  <c r="U121" i="1"/>
  <c r="AL120" i="1" s="1"/>
  <c r="V121" i="1"/>
  <c r="AM120" i="1" s="1"/>
  <c r="W121" i="1"/>
  <c r="AN120" i="1" s="1"/>
  <c r="X121" i="1"/>
  <c r="AO120" i="1" s="1"/>
  <c r="Y121" i="1"/>
  <c r="AP120" i="1" s="1"/>
  <c r="P122" i="1"/>
  <c r="AG121" i="1" s="1"/>
  <c r="Q122" i="1"/>
  <c r="AH121" i="1" s="1"/>
  <c r="R122" i="1"/>
  <c r="AI121" i="1" s="1"/>
  <c r="S122" i="1"/>
  <c r="AJ121" i="1" s="1"/>
  <c r="T122" i="1"/>
  <c r="AK121" i="1" s="1"/>
  <c r="U122" i="1"/>
  <c r="AL121" i="1" s="1"/>
  <c r="V122" i="1"/>
  <c r="AM121" i="1" s="1"/>
  <c r="W122" i="1"/>
  <c r="AN121" i="1" s="1"/>
  <c r="X122" i="1"/>
  <c r="AO121" i="1" s="1"/>
  <c r="Y122" i="1"/>
  <c r="AP121" i="1" s="1"/>
  <c r="P123" i="1"/>
  <c r="AG122" i="1" s="1"/>
  <c r="Q123" i="1"/>
  <c r="AH122" i="1" s="1"/>
  <c r="R123" i="1"/>
  <c r="AI122" i="1" s="1"/>
  <c r="S123" i="1"/>
  <c r="AJ122" i="1" s="1"/>
  <c r="T123" i="1"/>
  <c r="AK122" i="1" s="1"/>
  <c r="U123" i="1"/>
  <c r="AL122" i="1" s="1"/>
  <c r="V123" i="1"/>
  <c r="AM122" i="1" s="1"/>
  <c r="W123" i="1"/>
  <c r="AN122" i="1" s="1"/>
  <c r="X123" i="1"/>
  <c r="AO122" i="1" s="1"/>
  <c r="Y123" i="1"/>
  <c r="AP122" i="1" s="1"/>
  <c r="P124" i="1"/>
  <c r="AG123" i="1" s="1"/>
  <c r="Q124" i="1"/>
  <c r="AH123" i="1" s="1"/>
  <c r="R124" i="1"/>
  <c r="AI123" i="1" s="1"/>
  <c r="S124" i="1"/>
  <c r="AJ123" i="1" s="1"/>
  <c r="T124" i="1"/>
  <c r="AK123" i="1" s="1"/>
  <c r="U124" i="1"/>
  <c r="AL123" i="1" s="1"/>
  <c r="V124" i="1"/>
  <c r="AM123" i="1" s="1"/>
  <c r="W124" i="1"/>
  <c r="AN123" i="1" s="1"/>
  <c r="X124" i="1"/>
  <c r="AO123" i="1" s="1"/>
  <c r="Y124" i="1"/>
  <c r="AP123" i="1" s="1"/>
  <c r="P125" i="1"/>
  <c r="Q125" i="1"/>
  <c r="R125" i="1"/>
  <c r="S125" i="1"/>
  <c r="T125" i="1"/>
  <c r="U125" i="1"/>
  <c r="V125" i="1"/>
  <c r="W125" i="1"/>
  <c r="X125" i="1"/>
  <c r="Y125" i="1"/>
  <c r="P126" i="1"/>
  <c r="Q126" i="1"/>
  <c r="R126" i="1"/>
  <c r="S126" i="1"/>
  <c r="T126" i="1"/>
  <c r="U126" i="1"/>
  <c r="V126" i="1"/>
  <c r="W126" i="1"/>
  <c r="X126" i="1"/>
  <c r="Y126" i="1"/>
  <c r="P127" i="1"/>
  <c r="Q127" i="1"/>
  <c r="R127" i="1"/>
  <c r="S127" i="1"/>
  <c r="T127" i="1"/>
  <c r="U127" i="1"/>
  <c r="V127" i="1"/>
  <c r="W127" i="1"/>
  <c r="X127" i="1"/>
  <c r="Y127" i="1"/>
  <c r="P128" i="1"/>
  <c r="Q128" i="1"/>
  <c r="R128" i="1"/>
  <c r="S128" i="1"/>
  <c r="T128" i="1"/>
  <c r="U128" i="1"/>
  <c r="V128" i="1"/>
  <c r="W128" i="1"/>
  <c r="X128" i="1"/>
  <c r="Y128" i="1"/>
  <c r="P129" i="1"/>
  <c r="Q129" i="1"/>
  <c r="R129" i="1"/>
  <c r="S129" i="1"/>
  <c r="T129" i="1"/>
  <c r="U129" i="1"/>
  <c r="V129" i="1"/>
  <c r="W129" i="1"/>
  <c r="X129" i="1"/>
  <c r="Y129" i="1"/>
  <c r="P130" i="1"/>
  <c r="Q130" i="1"/>
  <c r="R130" i="1"/>
  <c r="S130" i="1"/>
  <c r="T130" i="1"/>
  <c r="U130" i="1"/>
  <c r="V130" i="1"/>
  <c r="W130" i="1"/>
  <c r="X130" i="1"/>
  <c r="Y130" i="1"/>
  <c r="P131" i="1"/>
  <c r="Q131" i="1"/>
  <c r="R131" i="1"/>
  <c r="S131" i="1"/>
  <c r="T131" i="1"/>
  <c r="U131" i="1"/>
  <c r="V131" i="1"/>
  <c r="W131" i="1"/>
  <c r="X131" i="1"/>
  <c r="Y131" i="1"/>
  <c r="P132" i="1"/>
  <c r="Q132" i="1"/>
  <c r="R132" i="1"/>
  <c r="S132" i="1"/>
  <c r="T132" i="1"/>
  <c r="U132" i="1"/>
  <c r="V132" i="1"/>
  <c r="W132" i="1"/>
  <c r="X132" i="1"/>
  <c r="Y132" i="1"/>
  <c r="P133" i="1"/>
  <c r="Q133" i="1"/>
  <c r="R133" i="1"/>
  <c r="S133" i="1"/>
  <c r="T133" i="1"/>
  <c r="U133" i="1"/>
  <c r="V133" i="1"/>
  <c r="W133" i="1"/>
  <c r="X133" i="1"/>
  <c r="Y133" i="1"/>
  <c r="P134" i="1"/>
  <c r="Q134" i="1"/>
  <c r="R134" i="1"/>
  <c r="S134" i="1"/>
  <c r="T134" i="1"/>
  <c r="U134" i="1"/>
  <c r="V134" i="1"/>
  <c r="W134" i="1"/>
  <c r="X134" i="1"/>
  <c r="Y134" i="1"/>
  <c r="P135" i="1"/>
  <c r="Q135" i="1"/>
  <c r="R135" i="1"/>
  <c r="S135" i="1"/>
  <c r="T135" i="1"/>
  <c r="U135" i="1"/>
  <c r="V135" i="1"/>
  <c r="W135" i="1"/>
  <c r="X135" i="1"/>
  <c r="Y135" i="1"/>
  <c r="P136" i="1"/>
  <c r="Q136" i="1"/>
  <c r="R136" i="1"/>
  <c r="S136" i="1"/>
  <c r="T136" i="1"/>
  <c r="U136" i="1"/>
  <c r="V136" i="1"/>
  <c r="W136" i="1"/>
  <c r="X136" i="1"/>
  <c r="Y136" i="1"/>
  <c r="P137" i="1"/>
  <c r="Q137" i="1"/>
  <c r="R137" i="1"/>
  <c r="S137" i="1"/>
  <c r="T137" i="1"/>
  <c r="U137" i="1"/>
  <c r="V137" i="1"/>
  <c r="W137" i="1"/>
  <c r="X137" i="1"/>
  <c r="Y137" i="1"/>
  <c r="P138" i="1"/>
  <c r="Q138" i="1"/>
  <c r="R138" i="1"/>
  <c r="S138" i="1"/>
  <c r="T138" i="1"/>
  <c r="U138" i="1"/>
  <c r="V138" i="1"/>
  <c r="W138" i="1"/>
  <c r="X138" i="1"/>
  <c r="Y138" i="1"/>
  <c r="P139" i="1"/>
  <c r="Q139" i="1"/>
  <c r="R139" i="1"/>
  <c r="S139" i="1"/>
  <c r="T139" i="1"/>
  <c r="U139" i="1"/>
  <c r="V139" i="1"/>
  <c r="W139" i="1"/>
  <c r="X139" i="1"/>
  <c r="Y139" i="1"/>
  <c r="P140" i="1"/>
  <c r="Q140" i="1"/>
  <c r="R140" i="1"/>
  <c r="S140" i="1"/>
  <c r="T140" i="1"/>
  <c r="U140" i="1"/>
  <c r="V140" i="1"/>
  <c r="W140" i="1"/>
  <c r="X140" i="1"/>
  <c r="Y140" i="1"/>
  <c r="P141" i="1"/>
  <c r="Q141" i="1"/>
  <c r="R141" i="1"/>
  <c r="S141" i="1"/>
  <c r="T141" i="1"/>
  <c r="U141" i="1"/>
  <c r="V141" i="1"/>
  <c r="W141" i="1"/>
  <c r="X141" i="1"/>
  <c r="Y141" i="1"/>
  <c r="P142" i="1"/>
  <c r="Q142" i="1"/>
  <c r="R142" i="1"/>
  <c r="S142" i="1"/>
  <c r="T142" i="1"/>
  <c r="U142" i="1"/>
  <c r="V142" i="1"/>
  <c r="W142" i="1"/>
  <c r="X142" i="1"/>
  <c r="Y142" i="1"/>
  <c r="P143" i="1"/>
  <c r="Q143" i="1"/>
  <c r="R143" i="1"/>
  <c r="S143" i="1"/>
  <c r="T143" i="1"/>
  <c r="U143" i="1"/>
  <c r="V143" i="1"/>
  <c r="W143" i="1"/>
  <c r="X143" i="1"/>
  <c r="Y143" i="1"/>
  <c r="P144" i="1"/>
  <c r="Q144" i="1"/>
  <c r="R144" i="1"/>
  <c r="S144" i="1"/>
  <c r="T144" i="1"/>
  <c r="U144" i="1"/>
  <c r="V144" i="1"/>
  <c r="W144" i="1"/>
  <c r="X144" i="1"/>
  <c r="Y144" i="1"/>
  <c r="P145" i="1"/>
  <c r="Q145" i="1"/>
  <c r="R145" i="1"/>
  <c r="S145" i="1"/>
  <c r="T145" i="1"/>
  <c r="U145" i="1"/>
  <c r="V145" i="1"/>
  <c r="W145" i="1"/>
  <c r="X145" i="1"/>
  <c r="Y145" i="1"/>
  <c r="P146" i="1"/>
  <c r="Q146" i="1"/>
  <c r="R146" i="1"/>
  <c r="S146" i="1"/>
  <c r="T146" i="1"/>
  <c r="U146" i="1"/>
  <c r="V146" i="1"/>
  <c r="W146" i="1"/>
  <c r="X146" i="1"/>
  <c r="Y146" i="1"/>
  <c r="P147" i="1"/>
  <c r="Q147" i="1"/>
  <c r="R147" i="1"/>
  <c r="S147" i="1"/>
  <c r="T147" i="1"/>
  <c r="U147" i="1"/>
  <c r="V147" i="1"/>
  <c r="W147" i="1"/>
  <c r="X147" i="1"/>
  <c r="Y147" i="1"/>
  <c r="P148" i="1"/>
  <c r="Q148" i="1"/>
  <c r="R148" i="1"/>
  <c r="S148" i="1"/>
  <c r="T148" i="1"/>
  <c r="U148" i="1"/>
  <c r="V148" i="1"/>
  <c r="W148" i="1"/>
  <c r="X148" i="1"/>
  <c r="Y148" i="1"/>
  <c r="P149" i="1"/>
  <c r="Q149" i="1"/>
  <c r="R149" i="1"/>
  <c r="S149" i="1"/>
  <c r="T149" i="1"/>
  <c r="U149" i="1"/>
  <c r="V149" i="1"/>
  <c r="W149" i="1"/>
  <c r="X149" i="1"/>
  <c r="Y149" i="1"/>
  <c r="P150" i="1"/>
  <c r="Q150" i="1"/>
  <c r="R150" i="1"/>
  <c r="S150" i="1"/>
  <c r="T150" i="1"/>
  <c r="U150" i="1"/>
  <c r="V150" i="1"/>
  <c r="W150" i="1"/>
  <c r="X150" i="1"/>
  <c r="Y150" i="1"/>
  <c r="P151" i="1"/>
  <c r="Q151" i="1"/>
  <c r="R151" i="1"/>
  <c r="S151" i="1"/>
  <c r="T151" i="1"/>
  <c r="U151" i="1"/>
  <c r="V151" i="1"/>
  <c r="W151" i="1"/>
  <c r="X151" i="1"/>
  <c r="Y151" i="1"/>
  <c r="P152" i="1"/>
  <c r="Q152" i="1"/>
  <c r="R152" i="1"/>
  <c r="S152" i="1"/>
  <c r="T152" i="1"/>
  <c r="U152" i="1"/>
  <c r="V152" i="1"/>
  <c r="W152" i="1"/>
  <c r="X152" i="1"/>
  <c r="Y152" i="1"/>
  <c r="P153" i="1"/>
  <c r="Q153" i="1"/>
  <c r="R153" i="1"/>
  <c r="S153" i="1"/>
  <c r="T153" i="1"/>
  <c r="U153" i="1"/>
  <c r="V153" i="1"/>
  <c r="W153" i="1"/>
  <c r="X153" i="1"/>
  <c r="Y153" i="1"/>
  <c r="P154" i="1"/>
  <c r="Q154" i="1"/>
  <c r="R154" i="1"/>
  <c r="S154" i="1"/>
  <c r="T154" i="1"/>
  <c r="U154" i="1"/>
  <c r="V154" i="1"/>
  <c r="W154" i="1"/>
  <c r="X154" i="1"/>
  <c r="Y154" i="1"/>
  <c r="P155" i="1"/>
  <c r="Q155" i="1"/>
  <c r="R155" i="1"/>
  <c r="S155" i="1"/>
  <c r="T155" i="1"/>
  <c r="U155" i="1"/>
  <c r="V155" i="1"/>
  <c r="W155" i="1"/>
  <c r="X155" i="1"/>
  <c r="Y155" i="1"/>
  <c r="P156" i="1"/>
  <c r="Q156" i="1"/>
  <c r="R156" i="1"/>
  <c r="S156" i="1"/>
  <c r="T156" i="1"/>
  <c r="U156" i="1"/>
  <c r="V156" i="1"/>
  <c r="W156" i="1"/>
  <c r="X156" i="1"/>
  <c r="Y156" i="1"/>
  <c r="P157" i="1"/>
  <c r="Q157" i="1"/>
  <c r="R157" i="1"/>
  <c r="S157" i="1"/>
  <c r="T157" i="1"/>
  <c r="U157" i="1"/>
  <c r="V157" i="1"/>
  <c r="W157" i="1"/>
  <c r="X157" i="1"/>
  <c r="Y157" i="1"/>
  <c r="P158" i="1"/>
  <c r="Q158" i="1"/>
  <c r="R158" i="1"/>
  <c r="S158" i="1"/>
  <c r="T158" i="1"/>
  <c r="U158" i="1"/>
  <c r="V158" i="1"/>
  <c r="W158" i="1"/>
  <c r="X158" i="1"/>
  <c r="Y158" i="1"/>
  <c r="P159" i="1"/>
  <c r="Q159" i="1"/>
  <c r="R159" i="1"/>
  <c r="S159" i="1"/>
  <c r="T159" i="1"/>
  <c r="U159" i="1"/>
  <c r="V159" i="1"/>
  <c r="W159" i="1"/>
  <c r="X159" i="1"/>
  <c r="Y159" i="1"/>
  <c r="P160" i="1"/>
  <c r="Q160" i="1"/>
  <c r="R160" i="1"/>
  <c r="S160" i="1"/>
  <c r="T160" i="1"/>
  <c r="U160" i="1"/>
  <c r="V160" i="1"/>
  <c r="W160" i="1"/>
  <c r="X160" i="1"/>
  <c r="Y160" i="1"/>
  <c r="P161" i="1"/>
  <c r="Q161" i="1"/>
  <c r="R161" i="1"/>
  <c r="S161" i="1"/>
  <c r="T161" i="1"/>
  <c r="U161" i="1"/>
  <c r="V161" i="1"/>
  <c r="W161" i="1"/>
  <c r="X161" i="1"/>
  <c r="Y161" i="1"/>
  <c r="P162" i="1"/>
  <c r="Q162" i="1"/>
  <c r="R162" i="1"/>
  <c r="S162" i="1"/>
  <c r="T162" i="1"/>
  <c r="U162" i="1"/>
  <c r="V162" i="1"/>
  <c r="W162" i="1"/>
  <c r="X162" i="1"/>
  <c r="Y162" i="1"/>
  <c r="P163" i="1"/>
  <c r="Q163" i="1"/>
  <c r="R163" i="1"/>
  <c r="S163" i="1"/>
  <c r="T163" i="1"/>
  <c r="U163" i="1"/>
  <c r="V163" i="1"/>
  <c r="W163" i="1"/>
  <c r="X163" i="1"/>
  <c r="Y163" i="1"/>
  <c r="P164" i="1"/>
  <c r="Q164" i="1"/>
  <c r="R164" i="1"/>
  <c r="S164" i="1"/>
  <c r="T164" i="1"/>
  <c r="U164" i="1"/>
  <c r="V164" i="1"/>
  <c r="W164" i="1"/>
  <c r="X164" i="1"/>
  <c r="Y164" i="1"/>
  <c r="P165" i="1"/>
  <c r="Q165" i="1"/>
  <c r="R165" i="1"/>
  <c r="S165" i="1"/>
  <c r="T165" i="1"/>
  <c r="U165" i="1"/>
  <c r="V165" i="1"/>
  <c r="W165" i="1"/>
  <c r="X165" i="1"/>
  <c r="Y165" i="1"/>
  <c r="P166" i="1"/>
  <c r="Q166" i="1"/>
  <c r="R166" i="1"/>
  <c r="S166" i="1"/>
  <c r="T166" i="1"/>
  <c r="U166" i="1"/>
  <c r="V166" i="1"/>
  <c r="W166" i="1"/>
  <c r="X166" i="1"/>
  <c r="Y166" i="1"/>
  <c r="P167" i="1"/>
  <c r="Q167" i="1"/>
  <c r="R167" i="1"/>
  <c r="S167" i="1"/>
  <c r="T167" i="1"/>
  <c r="U167" i="1"/>
  <c r="V167" i="1"/>
  <c r="W167" i="1"/>
  <c r="X167" i="1"/>
  <c r="Y167" i="1"/>
  <c r="P168" i="1"/>
  <c r="Q168" i="1"/>
  <c r="R168" i="1"/>
  <c r="S168" i="1"/>
  <c r="T168" i="1"/>
  <c r="U168" i="1"/>
  <c r="V168" i="1"/>
  <c r="W168" i="1"/>
  <c r="X168" i="1"/>
  <c r="Y168" i="1"/>
  <c r="P169" i="1"/>
  <c r="Q169" i="1"/>
  <c r="R169" i="1"/>
  <c r="S169" i="1"/>
  <c r="T169" i="1"/>
  <c r="U169" i="1"/>
  <c r="V169" i="1"/>
  <c r="W169" i="1"/>
  <c r="X169" i="1"/>
  <c r="Y169" i="1"/>
  <c r="P170" i="1"/>
  <c r="Q170" i="1"/>
  <c r="R170" i="1"/>
  <c r="S170" i="1"/>
  <c r="T170" i="1"/>
  <c r="U170" i="1"/>
  <c r="V170" i="1"/>
  <c r="W170" i="1"/>
  <c r="X170" i="1"/>
  <c r="Y170" i="1"/>
  <c r="P171" i="1"/>
  <c r="Q171" i="1"/>
  <c r="R171" i="1"/>
  <c r="S171" i="1"/>
  <c r="T171" i="1"/>
  <c r="U171" i="1"/>
  <c r="V171" i="1"/>
  <c r="W171" i="1"/>
  <c r="X171" i="1"/>
  <c r="Y171" i="1"/>
  <c r="P172" i="1"/>
  <c r="Q172" i="1"/>
  <c r="R172" i="1"/>
  <c r="S172" i="1"/>
  <c r="T172" i="1"/>
  <c r="U172" i="1"/>
  <c r="V172" i="1"/>
  <c r="W172" i="1"/>
  <c r="X172" i="1"/>
  <c r="Y172" i="1"/>
  <c r="P173" i="1"/>
  <c r="Q173" i="1"/>
  <c r="R173" i="1"/>
  <c r="S173" i="1"/>
  <c r="T173" i="1"/>
  <c r="U173" i="1"/>
  <c r="V173" i="1"/>
  <c r="W173" i="1"/>
  <c r="X173" i="1"/>
  <c r="Y173" i="1"/>
  <c r="P174" i="1"/>
  <c r="Q174" i="1"/>
  <c r="R174" i="1"/>
  <c r="S174" i="1"/>
  <c r="T174" i="1"/>
  <c r="U174" i="1"/>
  <c r="V174" i="1"/>
  <c r="W174" i="1"/>
  <c r="X174" i="1"/>
  <c r="Y174" i="1"/>
  <c r="P175" i="1"/>
  <c r="Q175" i="1"/>
  <c r="R175" i="1"/>
  <c r="S175" i="1"/>
  <c r="T175" i="1"/>
  <c r="U175" i="1"/>
  <c r="V175" i="1"/>
  <c r="W175" i="1"/>
  <c r="X175" i="1"/>
  <c r="Y175" i="1"/>
  <c r="P176" i="1"/>
  <c r="Q176" i="1"/>
  <c r="R176" i="1"/>
  <c r="S176" i="1"/>
  <c r="T176" i="1"/>
  <c r="U176" i="1"/>
  <c r="V176" i="1"/>
  <c r="W176" i="1"/>
  <c r="X176" i="1"/>
  <c r="Y176" i="1"/>
  <c r="P177" i="1"/>
  <c r="Q177" i="1"/>
  <c r="R177" i="1"/>
  <c r="S177" i="1"/>
  <c r="T177" i="1"/>
  <c r="U177" i="1"/>
  <c r="V177" i="1"/>
  <c r="W177" i="1"/>
  <c r="X177" i="1"/>
  <c r="Y177" i="1"/>
  <c r="P178" i="1"/>
  <c r="Q178" i="1"/>
  <c r="R178" i="1"/>
  <c r="S178" i="1"/>
  <c r="T178" i="1"/>
  <c r="U178" i="1"/>
  <c r="V178" i="1"/>
  <c r="W178" i="1"/>
  <c r="X178" i="1"/>
  <c r="Y178" i="1"/>
  <c r="P179" i="1"/>
  <c r="Q179" i="1"/>
  <c r="R179" i="1"/>
  <c r="S179" i="1"/>
  <c r="T179" i="1"/>
  <c r="U179" i="1"/>
  <c r="V179" i="1"/>
  <c r="W179" i="1"/>
  <c r="X179" i="1"/>
  <c r="Y179" i="1"/>
  <c r="P180" i="1"/>
  <c r="Q180" i="1"/>
  <c r="R180" i="1"/>
  <c r="S180" i="1"/>
  <c r="T180" i="1"/>
  <c r="U180" i="1"/>
  <c r="V180" i="1"/>
  <c r="W180" i="1"/>
  <c r="X180" i="1"/>
  <c r="Y180" i="1"/>
  <c r="P181" i="1"/>
  <c r="Q181" i="1"/>
  <c r="R181" i="1"/>
  <c r="S181" i="1"/>
  <c r="T181" i="1"/>
  <c r="U181" i="1"/>
  <c r="V181" i="1"/>
  <c r="W181" i="1"/>
  <c r="X181" i="1"/>
  <c r="Y181" i="1"/>
  <c r="P182" i="1"/>
  <c r="Q182" i="1"/>
  <c r="R182" i="1"/>
  <c r="S182" i="1"/>
  <c r="T182" i="1"/>
  <c r="U182" i="1"/>
  <c r="V182" i="1"/>
  <c r="W182" i="1"/>
  <c r="X182" i="1"/>
  <c r="Y182" i="1"/>
  <c r="P183" i="1"/>
  <c r="Q183" i="1"/>
  <c r="R183" i="1"/>
  <c r="S183" i="1"/>
  <c r="T183" i="1"/>
  <c r="U183" i="1"/>
  <c r="V183" i="1"/>
  <c r="W183" i="1"/>
  <c r="X183" i="1"/>
  <c r="Y183" i="1"/>
  <c r="P184" i="1"/>
  <c r="Q184" i="1"/>
  <c r="R184" i="1"/>
  <c r="S184" i="1"/>
  <c r="T184" i="1"/>
  <c r="U184" i="1"/>
  <c r="V184" i="1"/>
  <c r="W184" i="1"/>
  <c r="X184" i="1"/>
  <c r="Y184" i="1"/>
  <c r="P185" i="1"/>
  <c r="Q185" i="1"/>
  <c r="R185" i="1"/>
  <c r="S185" i="1"/>
  <c r="T185" i="1"/>
  <c r="U185" i="1"/>
  <c r="V185" i="1"/>
  <c r="W185" i="1"/>
  <c r="X185" i="1"/>
  <c r="Y185" i="1"/>
  <c r="P186" i="1"/>
  <c r="Q186" i="1"/>
  <c r="R186" i="1"/>
  <c r="S186" i="1"/>
  <c r="T186" i="1"/>
  <c r="U186" i="1"/>
  <c r="V186" i="1"/>
  <c r="W186" i="1"/>
  <c r="X186" i="1"/>
  <c r="Y186" i="1"/>
  <c r="P187" i="1"/>
  <c r="Q187" i="1"/>
  <c r="R187" i="1"/>
  <c r="S187" i="1"/>
  <c r="T187" i="1"/>
  <c r="U187" i="1"/>
  <c r="V187" i="1"/>
  <c r="W187" i="1"/>
  <c r="X187" i="1"/>
  <c r="Y187" i="1"/>
  <c r="P188" i="1"/>
  <c r="Q188" i="1"/>
  <c r="R188" i="1"/>
  <c r="S188" i="1"/>
  <c r="T188" i="1"/>
  <c r="U188" i="1"/>
  <c r="V188" i="1"/>
  <c r="W188" i="1"/>
  <c r="X188" i="1"/>
  <c r="Y188" i="1"/>
  <c r="P189" i="1"/>
  <c r="Q189" i="1"/>
  <c r="R189" i="1"/>
  <c r="S189" i="1"/>
  <c r="T189" i="1"/>
  <c r="U189" i="1"/>
  <c r="V189" i="1"/>
  <c r="W189" i="1"/>
  <c r="X189" i="1"/>
  <c r="Y189" i="1"/>
  <c r="P190" i="1"/>
  <c r="Q190" i="1"/>
  <c r="R190" i="1"/>
  <c r="S190" i="1"/>
  <c r="T190" i="1"/>
  <c r="U190" i="1"/>
  <c r="V190" i="1"/>
  <c r="W190" i="1"/>
  <c r="X190" i="1"/>
  <c r="Y190" i="1"/>
  <c r="P191" i="1"/>
  <c r="Q191" i="1"/>
  <c r="R191" i="1"/>
  <c r="S191" i="1"/>
  <c r="T191" i="1"/>
  <c r="U191" i="1"/>
  <c r="V191" i="1"/>
  <c r="W191" i="1"/>
  <c r="X191" i="1"/>
  <c r="Y191" i="1"/>
  <c r="P192" i="1"/>
  <c r="Q192" i="1"/>
  <c r="R192" i="1"/>
  <c r="S192" i="1"/>
  <c r="T192" i="1"/>
  <c r="U192" i="1"/>
  <c r="V192" i="1"/>
  <c r="W192" i="1"/>
  <c r="X192" i="1"/>
  <c r="Y192" i="1"/>
  <c r="P193" i="1"/>
  <c r="Q193" i="1"/>
  <c r="R193" i="1"/>
  <c r="S193" i="1"/>
  <c r="T193" i="1"/>
  <c r="U193" i="1"/>
  <c r="V193" i="1"/>
  <c r="W193" i="1"/>
  <c r="X193" i="1"/>
  <c r="Y193" i="1"/>
  <c r="P194" i="1"/>
  <c r="Q194" i="1"/>
  <c r="R194" i="1"/>
  <c r="S194" i="1"/>
  <c r="T194" i="1"/>
  <c r="U194" i="1"/>
  <c r="V194" i="1"/>
  <c r="W194" i="1"/>
  <c r="X194" i="1"/>
  <c r="Y194" i="1"/>
  <c r="P195" i="1"/>
  <c r="Q195" i="1"/>
  <c r="R195" i="1"/>
  <c r="S195" i="1"/>
  <c r="T195" i="1"/>
  <c r="U195" i="1"/>
  <c r="V195" i="1"/>
  <c r="W195" i="1"/>
  <c r="X195" i="1"/>
  <c r="Y195" i="1"/>
  <c r="P196" i="1"/>
  <c r="Q196" i="1"/>
  <c r="R196" i="1"/>
  <c r="S196" i="1"/>
  <c r="T196" i="1"/>
  <c r="U196" i="1"/>
  <c r="V196" i="1"/>
  <c r="W196" i="1"/>
  <c r="X196" i="1"/>
  <c r="Y196" i="1"/>
  <c r="P197" i="1"/>
  <c r="Q197" i="1"/>
  <c r="R197" i="1"/>
  <c r="S197" i="1"/>
  <c r="T197" i="1"/>
  <c r="U197" i="1"/>
  <c r="V197" i="1"/>
  <c r="W197" i="1"/>
  <c r="X197" i="1"/>
  <c r="Y197" i="1"/>
  <c r="P198" i="1"/>
  <c r="Q198" i="1"/>
  <c r="R198" i="1"/>
  <c r="S198" i="1"/>
  <c r="T198" i="1"/>
  <c r="U198" i="1"/>
  <c r="V198" i="1"/>
  <c r="W198" i="1"/>
  <c r="X198" i="1"/>
  <c r="Y198" i="1"/>
  <c r="P199" i="1"/>
  <c r="Q199" i="1"/>
  <c r="R199" i="1"/>
  <c r="S199" i="1"/>
  <c r="T199" i="1"/>
  <c r="U199" i="1"/>
  <c r="V199" i="1"/>
  <c r="W199" i="1"/>
  <c r="X199" i="1"/>
  <c r="Y199" i="1"/>
  <c r="P200" i="1"/>
  <c r="Q200" i="1"/>
  <c r="R200" i="1"/>
  <c r="S200" i="1"/>
  <c r="T200" i="1"/>
  <c r="U200" i="1"/>
  <c r="V200" i="1"/>
  <c r="W200" i="1"/>
  <c r="X200" i="1"/>
  <c r="Y200" i="1"/>
  <c r="P201" i="1"/>
  <c r="Q201" i="1"/>
  <c r="R201" i="1"/>
  <c r="S201" i="1"/>
  <c r="T201" i="1"/>
  <c r="U201" i="1"/>
  <c r="V201" i="1"/>
  <c r="W201" i="1"/>
  <c r="X201" i="1"/>
  <c r="Y201" i="1"/>
  <c r="P202" i="1"/>
  <c r="Q202" i="1"/>
  <c r="R202" i="1"/>
  <c r="S202" i="1"/>
  <c r="T202" i="1"/>
  <c r="U202" i="1"/>
  <c r="V202" i="1"/>
  <c r="W202" i="1"/>
  <c r="X202" i="1"/>
  <c r="Y202" i="1"/>
  <c r="P203" i="1"/>
  <c r="Q203" i="1"/>
  <c r="R203" i="1"/>
  <c r="S203" i="1"/>
  <c r="T203" i="1"/>
  <c r="U203" i="1"/>
  <c r="V203" i="1"/>
  <c r="W203" i="1"/>
  <c r="X203" i="1"/>
  <c r="Y203" i="1"/>
  <c r="P204" i="1"/>
  <c r="Q204" i="1"/>
  <c r="R204" i="1"/>
  <c r="S204" i="1"/>
  <c r="T204" i="1"/>
  <c r="U204" i="1"/>
  <c r="V204" i="1"/>
  <c r="W204" i="1"/>
  <c r="X204" i="1"/>
  <c r="Y204" i="1"/>
  <c r="P205" i="1"/>
  <c r="Q205" i="1"/>
  <c r="R205" i="1"/>
  <c r="S205" i="1"/>
  <c r="T205" i="1"/>
  <c r="U205" i="1"/>
  <c r="V205" i="1"/>
  <c r="W205" i="1"/>
  <c r="X205" i="1"/>
  <c r="Y205" i="1"/>
  <c r="P206" i="1"/>
  <c r="Q206" i="1"/>
  <c r="R206" i="1"/>
  <c r="S206" i="1"/>
  <c r="T206" i="1"/>
  <c r="U206" i="1"/>
  <c r="V206" i="1"/>
  <c r="W206" i="1"/>
  <c r="X206" i="1"/>
  <c r="Y206" i="1"/>
  <c r="P207" i="1"/>
  <c r="Q207" i="1"/>
  <c r="R207" i="1"/>
  <c r="S207" i="1"/>
  <c r="T207" i="1"/>
  <c r="U207" i="1"/>
  <c r="V207" i="1"/>
  <c r="W207" i="1"/>
  <c r="X207" i="1"/>
  <c r="Y207" i="1"/>
  <c r="P208" i="1"/>
  <c r="Q208" i="1"/>
  <c r="R208" i="1"/>
  <c r="S208" i="1"/>
  <c r="T208" i="1"/>
  <c r="U208" i="1"/>
  <c r="V208" i="1"/>
  <c r="W208" i="1"/>
  <c r="X208" i="1"/>
  <c r="Y208" i="1"/>
  <c r="P209" i="1"/>
  <c r="Q209" i="1"/>
  <c r="R209" i="1"/>
  <c r="S209" i="1"/>
  <c r="T209" i="1"/>
  <c r="U209" i="1"/>
  <c r="V209" i="1"/>
  <c r="W209" i="1"/>
  <c r="X209" i="1"/>
  <c r="Y209" i="1"/>
  <c r="P210" i="1"/>
  <c r="Q210" i="1"/>
  <c r="R210" i="1"/>
  <c r="S210" i="1"/>
  <c r="T210" i="1"/>
  <c r="U210" i="1"/>
  <c r="V210" i="1"/>
  <c r="W210" i="1"/>
  <c r="X210" i="1"/>
  <c r="Y210" i="1"/>
  <c r="P211" i="1"/>
  <c r="Q211" i="1"/>
  <c r="R211" i="1"/>
  <c r="S211" i="1"/>
  <c r="T211" i="1"/>
  <c r="U211" i="1"/>
  <c r="V211" i="1"/>
  <c r="W211" i="1"/>
  <c r="X211" i="1"/>
  <c r="Y211" i="1"/>
  <c r="P212" i="1"/>
  <c r="Q212" i="1"/>
  <c r="R212" i="1"/>
  <c r="S212" i="1"/>
  <c r="T212" i="1"/>
  <c r="U212" i="1"/>
  <c r="V212" i="1"/>
  <c r="W212" i="1"/>
  <c r="X212" i="1"/>
  <c r="Y212" i="1"/>
  <c r="P213" i="1"/>
  <c r="Q213" i="1"/>
  <c r="R213" i="1"/>
  <c r="S213" i="1"/>
  <c r="T213" i="1"/>
  <c r="U213" i="1"/>
  <c r="V213" i="1"/>
  <c r="W213" i="1"/>
  <c r="X213" i="1"/>
  <c r="Y213" i="1"/>
  <c r="P214" i="1"/>
  <c r="Q214" i="1"/>
  <c r="R214" i="1"/>
  <c r="S214" i="1"/>
  <c r="T214" i="1"/>
  <c r="U214" i="1"/>
  <c r="V214" i="1"/>
  <c r="W214" i="1"/>
  <c r="X214" i="1"/>
  <c r="Y214" i="1"/>
  <c r="P215" i="1"/>
  <c r="Q215" i="1"/>
  <c r="R215" i="1"/>
  <c r="S215" i="1"/>
  <c r="T215" i="1"/>
  <c r="U215" i="1"/>
  <c r="V215" i="1"/>
  <c r="W215" i="1"/>
  <c r="X215" i="1"/>
  <c r="Y215" i="1"/>
  <c r="P216" i="1"/>
  <c r="Q216" i="1"/>
  <c r="R216" i="1"/>
  <c r="S216" i="1"/>
  <c r="T216" i="1"/>
  <c r="U216" i="1"/>
  <c r="V216" i="1"/>
  <c r="W216" i="1"/>
  <c r="X216" i="1"/>
  <c r="Y216" i="1"/>
  <c r="P217" i="1"/>
  <c r="Q217" i="1"/>
  <c r="R217" i="1"/>
  <c r="S217" i="1"/>
  <c r="T217" i="1"/>
  <c r="U217" i="1"/>
  <c r="V217" i="1"/>
  <c r="W217" i="1"/>
  <c r="X217" i="1"/>
  <c r="Y217" i="1"/>
  <c r="P218" i="1"/>
  <c r="Q218" i="1"/>
  <c r="R218" i="1"/>
  <c r="S218" i="1"/>
  <c r="T218" i="1"/>
  <c r="U218" i="1"/>
  <c r="V218" i="1"/>
  <c r="W218" i="1"/>
  <c r="X218" i="1"/>
  <c r="Y218" i="1"/>
  <c r="P219" i="1"/>
  <c r="Q219" i="1"/>
  <c r="R219" i="1"/>
  <c r="S219" i="1"/>
  <c r="T219" i="1"/>
  <c r="U219" i="1"/>
  <c r="V219" i="1"/>
  <c r="W219" i="1"/>
  <c r="X219" i="1"/>
  <c r="Y219" i="1"/>
  <c r="P220" i="1"/>
  <c r="Q220" i="1"/>
  <c r="R220" i="1"/>
  <c r="S220" i="1"/>
  <c r="T220" i="1"/>
  <c r="U220" i="1"/>
  <c r="V220" i="1"/>
  <c r="W220" i="1"/>
  <c r="X220" i="1"/>
  <c r="Y220" i="1"/>
  <c r="P221" i="1"/>
  <c r="Q221" i="1"/>
  <c r="R221" i="1"/>
  <c r="S221" i="1"/>
  <c r="T221" i="1"/>
  <c r="U221" i="1"/>
  <c r="V221" i="1"/>
  <c r="W221" i="1"/>
  <c r="X221" i="1"/>
  <c r="Y221" i="1"/>
  <c r="P222" i="1"/>
  <c r="Q222" i="1"/>
  <c r="R222" i="1"/>
  <c r="S222" i="1"/>
  <c r="T222" i="1"/>
  <c r="U222" i="1"/>
  <c r="V222" i="1"/>
  <c r="W222" i="1"/>
  <c r="X222" i="1"/>
  <c r="Y222" i="1"/>
  <c r="P223" i="1"/>
  <c r="Q223" i="1"/>
  <c r="R223" i="1"/>
  <c r="S223" i="1"/>
  <c r="T223" i="1"/>
  <c r="U223" i="1"/>
  <c r="V223" i="1"/>
  <c r="W223" i="1"/>
  <c r="X223" i="1"/>
  <c r="Y223" i="1"/>
  <c r="P224" i="1"/>
  <c r="Q224" i="1"/>
  <c r="R224" i="1"/>
  <c r="S224" i="1"/>
  <c r="T224" i="1"/>
  <c r="U224" i="1"/>
  <c r="V224" i="1"/>
  <c r="W224" i="1"/>
  <c r="X224" i="1"/>
  <c r="Y224" i="1"/>
  <c r="P225" i="1"/>
  <c r="Q225" i="1"/>
  <c r="R225" i="1"/>
  <c r="S225" i="1"/>
  <c r="T225" i="1"/>
  <c r="U225" i="1"/>
  <c r="V225" i="1"/>
  <c r="W225" i="1"/>
  <c r="X225" i="1"/>
  <c r="Y225" i="1"/>
  <c r="P226" i="1"/>
  <c r="Q226" i="1"/>
  <c r="R226" i="1"/>
  <c r="S226" i="1"/>
  <c r="T226" i="1"/>
  <c r="U226" i="1"/>
  <c r="V226" i="1"/>
  <c r="W226" i="1"/>
  <c r="X226" i="1"/>
  <c r="Y226" i="1"/>
  <c r="P227" i="1"/>
  <c r="Q227" i="1"/>
  <c r="R227" i="1"/>
  <c r="S227" i="1"/>
  <c r="T227" i="1"/>
  <c r="U227" i="1"/>
  <c r="V227" i="1"/>
  <c r="W227" i="1"/>
  <c r="X227" i="1"/>
  <c r="Y227" i="1"/>
  <c r="P228" i="1"/>
  <c r="Q228" i="1"/>
  <c r="R228" i="1"/>
  <c r="S228" i="1"/>
  <c r="T228" i="1"/>
  <c r="U228" i="1"/>
  <c r="V228" i="1"/>
  <c r="W228" i="1"/>
  <c r="X228" i="1"/>
  <c r="Y228" i="1"/>
  <c r="P229" i="1"/>
  <c r="Q229" i="1"/>
  <c r="R229" i="1"/>
  <c r="S229" i="1"/>
  <c r="T229" i="1"/>
  <c r="U229" i="1"/>
  <c r="V229" i="1"/>
  <c r="W229" i="1"/>
  <c r="X229" i="1"/>
  <c r="Y229" i="1"/>
  <c r="P230" i="1"/>
  <c r="Q230" i="1"/>
  <c r="R230" i="1"/>
  <c r="S230" i="1"/>
  <c r="T230" i="1"/>
  <c r="U230" i="1"/>
  <c r="V230" i="1"/>
  <c r="W230" i="1"/>
  <c r="X230" i="1"/>
  <c r="Y230" i="1"/>
  <c r="P231" i="1"/>
  <c r="Q231" i="1"/>
  <c r="R231" i="1"/>
  <c r="S231" i="1"/>
  <c r="T231" i="1"/>
  <c r="U231" i="1"/>
  <c r="V231" i="1"/>
  <c r="W231" i="1"/>
  <c r="X231" i="1"/>
  <c r="Y231" i="1"/>
  <c r="P232" i="1"/>
  <c r="Q232" i="1"/>
  <c r="R232" i="1"/>
  <c r="S232" i="1"/>
  <c r="T232" i="1"/>
  <c r="U232" i="1"/>
  <c r="V232" i="1"/>
  <c r="W232" i="1"/>
  <c r="X232" i="1"/>
  <c r="Y232" i="1"/>
  <c r="P233" i="1"/>
  <c r="Q233" i="1"/>
  <c r="R233" i="1"/>
  <c r="S233" i="1"/>
  <c r="T233" i="1"/>
  <c r="U233" i="1"/>
  <c r="V233" i="1"/>
  <c r="W233" i="1"/>
  <c r="X233" i="1"/>
  <c r="Y233" i="1"/>
  <c r="P234" i="1"/>
  <c r="Q234" i="1"/>
  <c r="R234" i="1"/>
  <c r="S234" i="1"/>
  <c r="T234" i="1"/>
  <c r="U234" i="1"/>
  <c r="V234" i="1"/>
  <c r="W234" i="1"/>
  <c r="X234" i="1"/>
  <c r="Y234" i="1"/>
  <c r="P235" i="1"/>
  <c r="Q235" i="1"/>
  <c r="R235" i="1"/>
  <c r="S235" i="1"/>
  <c r="T235" i="1"/>
  <c r="U235" i="1"/>
  <c r="V235" i="1"/>
  <c r="W235" i="1"/>
  <c r="X235" i="1"/>
  <c r="Y235" i="1"/>
  <c r="P236" i="1"/>
  <c r="Q236" i="1"/>
  <c r="R236" i="1"/>
  <c r="S236" i="1"/>
  <c r="T236" i="1"/>
  <c r="U236" i="1"/>
  <c r="V236" i="1"/>
  <c r="W236" i="1"/>
  <c r="X236" i="1"/>
  <c r="Y236" i="1"/>
  <c r="P237" i="1"/>
  <c r="Q237" i="1"/>
  <c r="R237" i="1"/>
  <c r="S237" i="1"/>
  <c r="T237" i="1"/>
  <c r="U237" i="1"/>
  <c r="V237" i="1"/>
  <c r="W237" i="1"/>
  <c r="X237" i="1"/>
  <c r="Y237" i="1"/>
  <c r="P238" i="1"/>
  <c r="Q238" i="1"/>
  <c r="R238" i="1"/>
  <c r="S238" i="1"/>
  <c r="T238" i="1"/>
  <c r="U238" i="1"/>
  <c r="V238" i="1"/>
  <c r="W238" i="1"/>
  <c r="X238" i="1"/>
  <c r="Y238" i="1"/>
  <c r="P239" i="1"/>
  <c r="Q239" i="1"/>
  <c r="R239" i="1"/>
  <c r="S239" i="1"/>
  <c r="T239" i="1"/>
  <c r="U239" i="1"/>
  <c r="V239" i="1"/>
  <c r="W239" i="1"/>
  <c r="X239" i="1"/>
  <c r="Y239" i="1"/>
  <c r="P240" i="1"/>
  <c r="Q240" i="1"/>
  <c r="R240" i="1"/>
  <c r="S240" i="1"/>
  <c r="T240" i="1"/>
  <c r="U240" i="1"/>
  <c r="V240" i="1"/>
  <c r="W240" i="1"/>
  <c r="X240" i="1"/>
  <c r="Y240" i="1"/>
  <c r="P241" i="1"/>
  <c r="Q241" i="1"/>
  <c r="R241" i="1"/>
  <c r="S241" i="1"/>
  <c r="T241" i="1"/>
  <c r="U241" i="1"/>
  <c r="V241" i="1"/>
  <c r="W241" i="1"/>
  <c r="X241" i="1"/>
  <c r="Y241" i="1"/>
  <c r="P242" i="1"/>
  <c r="Q242" i="1"/>
  <c r="R242" i="1"/>
  <c r="S242" i="1"/>
  <c r="T242" i="1"/>
  <c r="U242" i="1"/>
  <c r="V242" i="1"/>
  <c r="W242" i="1"/>
  <c r="X242" i="1"/>
  <c r="Y242" i="1"/>
  <c r="P243" i="1"/>
  <c r="Q243" i="1"/>
  <c r="R243" i="1"/>
  <c r="S243" i="1"/>
  <c r="T243" i="1"/>
  <c r="U243" i="1"/>
  <c r="V243" i="1"/>
  <c r="W243" i="1"/>
  <c r="X243" i="1"/>
  <c r="Y243" i="1"/>
  <c r="P244" i="1"/>
  <c r="Q244" i="1"/>
  <c r="R244" i="1"/>
  <c r="S244" i="1"/>
  <c r="T244" i="1"/>
  <c r="U244" i="1"/>
  <c r="V244" i="1"/>
  <c r="W244" i="1"/>
  <c r="X244" i="1"/>
  <c r="Y244" i="1"/>
  <c r="P245" i="1"/>
  <c r="Q245" i="1"/>
  <c r="R245" i="1"/>
  <c r="S245" i="1"/>
  <c r="T245" i="1"/>
  <c r="U245" i="1"/>
  <c r="V245" i="1"/>
  <c r="W245" i="1"/>
  <c r="X245" i="1"/>
  <c r="Y245" i="1"/>
  <c r="P246" i="1"/>
  <c r="Q246" i="1"/>
  <c r="R246" i="1"/>
  <c r="S246" i="1"/>
  <c r="T246" i="1"/>
  <c r="U246" i="1"/>
  <c r="V246" i="1"/>
  <c r="W246" i="1"/>
  <c r="X246" i="1"/>
  <c r="Y246" i="1"/>
  <c r="P247" i="1"/>
  <c r="Q247" i="1"/>
  <c r="R247" i="1"/>
  <c r="S247" i="1"/>
  <c r="T247" i="1"/>
  <c r="U247" i="1"/>
  <c r="V247" i="1"/>
  <c r="W247" i="1"/>
  <c r="X247" i="1"/>
  <c r="Y247" i="1"/>
  <c r="P248" i="1"/>
  <c r="Q248" i="1"/>
  <c r="R248" i="1"/>
  <c r="S248" i="1"/>
  <c r="T248" i="1"/>
  <c r="U248" i="1"/>
  <c r="V248" i="1"/>
  <c r="W248" i="1"/>
  <c r="X248" i="1"/>
  <c r="Y248" i="1"/>
  <c r="P249" i="1"/>
  <c r="Q249" i="1"/>
  <c r="R249" i="1"/>
  <c r="S249" i="1"/>
  <c r="T249" i="1"/>
  <c r="U249" i="1"/>
  <c r="V249" i="1"/>
  <c r="W249" i="1"/>
  <c r="X249" i="1"/>
  <c r="Y249" i="1"/>
  <c r="P250" i="1"/>
  <c r="Q250" i="1"/>
  <c r="R250" i="1"/>
  <c r="S250" i="1"/>
  <c r="T250" i="1"/>
  <c r="U250" i="1"/>
  <c r="V250" i="1"/>
  <c r="W250" i="1"/>
  <c r="X250" i="1"/>
  <c r="Y250" i="1"/>
  <c r="P251" i="1"/>
  <c r="Q251" i="1"/>
  <c r="R251" i="1"/>
  <c r="S251" i="1"/>
  <c r="T251" i="1"/>
  <c r="U251" i="1"/>
  <c r="V251" i="1"/>
  <c r="W251" i="1"/>
  <c r="X251" i="1"/>
  <c r="Y251" i="1"/>
  <c r="P252" i="1"/>
  <c r="Q252" i="1"/>
  <c r="R252" i="1"/>
  <c r="S252" i="1"/>
  <c r="T252" i="1"/>
  <c r="U252" i="1"/>
  <c r="V252" i="1"/>
  <c r="W252" i="1"/>
  <c r="X252" i="1"/>
  <c r="Y252" i="1"/>
  <c r="P253" i="1"/>
  <c r="Q253" i="1"/>
  <c r="R253" i="1"/>
  <c r="S253" i="1"/>
  <c r="T253" i="1"/>
  <c r="U253" i="1"/>
  <c r="V253" i="1"/>
  <c r="W253" i="1"/>
  <c r="X253" i="1"/>
  <c r="Y253" i="1"/>
  <c r="P254" i="1"/>
  <c r="Q254" i="1"/>
  <c r="R254" i="1"/>
  <c r="S254" i="1"/>
  <c r="T254" i="1"/>
  <c r="U254" i="1"/>
  <c r="V254" i="1"/>
  <c r="W254" i="1"/>
  <c r="X254" i="1"/>
  <c r="Y254" i="1"/>
  <c r="P255" i="1"/>
  <c r="Q255" i="1"/>
  <c r="R255" i="1"/>
  <c r="S255" i="1"/>
  <c r="T255" i="1"/>
  <c r="U255" i="1"/>
  <c r="V255" i="1"/>
  <c r="W255" i="1"/>
  <c r="X255" i="1"/>
  <c r="Y255" i="1"/>
  <c r="P256" i="1"/>
  <c r="Q256" i="1"/>
  <c r="R256" i="1"/>
  <c r="S256" i="1"/>
  <c r="T256" i="1"/>
  <c r="U256" i="1"/>
  <c r="V256" i="1"/>
  <c r="W256" i="1"/>
  <c r="X256" i="1"/>
  <c r="Y256" i="1"/>
  <c r="P257" i="1"/>
  <c r="Q257" i="1"/>
  <c r="R257" i="1"/>
  <c r="S257" i="1"/>
  <c r="T257" i="1"/>
  <c r="U257" i="1"/>
  <c r="V257" i="1"/>
  <c r="W257" i="1"/>
  <c r="X257" i="1"/>
  <c r="Y257" i="1"/>
  <c r="P258" i="1"/>
  <c r="Q258" i="1"/>
  <c r="R258" i="1"/>
  <c r="S258" i="1"/>
  <c r="T258" i="1"/>
  <c r="U258" i="1"/>
  <c r="V258" i="1"/>
  <c r="W258" i="1"/>
  <c r="X258" i="1"/>
  <c r="Y258" i="1"/>
  <c r="P259" i="1"/>
  <c r="Q259" i="1"/>
  <c r="R259" i="1"/>
  <c r="S259" i="1"/>
  <c r="T259" i="1"/>
  <c r="U259" i="1"/>
  <c r="V259" i="1"/>
  <c r="W259" i="1"/>
  <c r="X259" i="1"/>
  <c r="Y259" i="1"/>
  <c r="P260" i="1"/>
  <c r="Q260" i="1"/>
  <c r="R260" i="1"/>
  <c r="S260" i="1"/>
  <c r="T260" i="1"/>
  <c r="U260" i="1"/>
  <c r="V260" i="1"/>
  <c r="W260" i="1"/>
  <c r="X260" i="1"/>
  <c r="Y260" i="1"/>
  <c r="P261" i="1"/>
  <c r="Q261" i="1"/>
  <c r="R261" i="1"/>
  <c r="S261" i="1"/>
  <c r="T261" i="1"/>
  <c r="U261" i="1"/>
  <c r="V261" i="1"/>
  <c r="W261" i="1"/>
  <c r="X261" i="1"/>
  <c r="Y261" i="1"/>
  <c r="P262" i="1"/>
  <c r="Q262" i="1"/>
  <c r="R262" i="1"/>
  <c r="S262" i="1"/>
  <c r="T262" i="1"/>
  <c r="U262" i="1"/>
  <c r="V262" i="1"/>
  <c r="W262" i="1"/>
  <c r="X262" i="1"/>
  <c r="Y262" i="1"/>
  <c r="P263" i="1"/>
  <c r="Q263" i="1"/>
  <c r="R263" i="1"/>
  <c r="S263" i="1"/>
  <c r="T263" i="1"/>
  <c r="U263" i="1"/>
  <c r="V263" i="1"/>
  <c r="W263" i="1"/>
  <c r="X263" i="1"/>
  <c r="Y263" i="1"/>
  <c r="P264" i="1"/>
  <c r="Q264" i="1"/>
  <c r="R264" i="1"/>
  <c r="S264" i="1"/>
  <c r="T264" i="1"/>
  <c r="U264" i="1"/>
  <c r="V264" i="1"/>
  <c r="W264" i="1"/>
  <c r="X264" i="1"/>
  <c r="Y264" i="1"/>
  <c r="P265" i="1"/>
  <c r="Q265" i="1"/>
  <c r="R265" i="1"/>
  <c r="S265" i="1"/>
  <c r="T265" i="1"/>
  <c r="U265" i="1"/>
  <c r="V265" i="1"/>
  <c r="W265" i="1"/>
  <c r="X265" i="1"/>
  <c r="Y265" i="1"/>
  <c r="P266" i="1"/>
  <c r="Q266" i="1"/>
  <c r="R266" i="1"/>
  <c r="S266" i="1"/>
  <c r="T266" i="1"/>
  <c r="U266" i="1"/>
  <c r="V266" i="1"/>
  <c r="W266" i="1"/>
  <c r="X266" i="1"/>
  <c r="Y266" i="1"/>
  <c r="P267" i="1"/>
  <c r="Q267" i="1"/>
  <c r="R267" i="1"/>
  <c r="S267" i="1"/>
  <c r="T267" i="1"/>
  <c r="U267" i="1"/>
  <c r="V267" i="1"/>
  <c r="W267" i="1"/>
  <c r="X267" i="1"/>
  <c r="Y267" i="1"/>
  <c r="P268" i="1"/>
  <c r="Q268" i="1"/>
  <c r="R268" i="1"/>
  <c r="S268" i="1"/>
  <c r="T268" i="1"/>
  <c r="U268" i="1"/>
  <c r="V268" i="1"/>
  <c r="W268" i="1"/>
  <c r="X268" i="1"/>
  <c r="Y268" i="1"/>
  <c r="P269" i="1"/>
  <c r="Q269" i="1"/>
  <c r="R269" i="1"/>
  <c r="S269" i="1"/>
  <c r="T269" i="1"/>
  <c r="U269" i="1"/>
  <c r="V269" i="1"/>
  <c r="W269" i="1"/>
  <c r="X269" i="1"/>
  <c r="Y269" i="1"/>
  <c r="P270" i="1"/>
  <c r="Q270" i="1"/>
  <c r="R270" i="1"/>
  <c r="S270" i="1"/>
  <c r="T270" i="1"/>
  <c r="U270" i="1"/>
  <c r="V270" i="1"/>
  <c r="W270" i="1"/>
  <c r="X270" i="1"/>
  <c r="Y270" i="1"/>
  <c r="P271" i="1"/>
  <c r="Q271" i="1"/>
  <c r="R271" i="1"/>
  <c r="S271" i="1"/>
  <c r="T271" i="1"/>
  <c r="U271" i="1"/>
  <c r="V271" i="1"/>
  <c r="W271" i="1"/>
  <c r="X271" i="1"/>
  <c r="Y271" i="1"/>
  <c r="P272" i="1"/>
  <c r="Q272" i="1"/>
  <c r="R272" i="1"/>
  <c r="S272" i="1"/>
  <c r="T272" i="1"/>
  <c r="U272" i="1"/>
  <c r="V272" i="1"/>
  <c r="W272" i="1"/>
  <c r="X272" i="1"/>
  <c r="Y272" i="1"/>
  <c r="P273" i="1"/>
  <c r="Q273" i="1"/>
  <c r="R273" i="1"/>
  <c r="S273" i="1"/>
  <c r="T273" i="1"/>
  <c r="U273" i="1"/>
  <c r="V273" i="1"/>
  <c r="W273" i="1"/>
  <c r="X273" i="1"/>
  <c r="Y273" i="1"/>
  <c r="P274" i="1"/>
  <c r="Q274" i="1"/>
  <c r="R274" i="1"/>
  <c r="S274" i="1"/>
  <c r="T274" i="1"/>
  <c r="U274" i="1"/>
  <c r="V274" i="1"/>
  <c r="W274" i="1"/>
  <c r="X274" i="1"/>
  <c r="Y274" i="1"/>
  <c r="P275" i="1"/>
  <c r="Q275" i="1"/>
  <c r="R275" i="1"/>
  <c r="S275" i="1"/>
  <c r="T275" i="1"/>
  <c r="U275" i="1"/>
  <c r="V275" i="1"/>
  <c r="W275" i="1"/>
  <c r="X275" i="1"/>
  <c r="Y275" i="1"/>
  <c r="P276" i="1"/>
  <c r="Q276" i="1"/>
  <c r="R276" i="1"/>
  <c r="S276" i="1"/>
  <c r="T276" i="1"/>
  <c r="U276" i="1"/>
  <c r="V276" i="1"/>
  <c r="W276" i="1"/>
  <c r="X276" i="1"/>
  <c r="Y276" i="1"/>
  <c r="P277" i="1"/>
  <c r="Q277" i="1"/>
  <c r="R277" i="1"/>
  <c r="S277" i="1"/>
  <c r="T277" i="1"/>
  <c r="U277" i="1"/>
  <c r="V277" i="1"/>
  <c r="W277" i="1"/>
  <c r="X277" i="1"/>
  <c r="Y277" i="1"/>
  <c r="P278" i="1"/>
  <c r="Q278" i="1"/>
  <c r="R278" i="1"/>
  <c r="S278" i="1"/>
  <c r="T278" i="1"/>
  <c r="U278" i="1"/>
  <c r="V278" i="1"/>
  <c r="W278" i="1"/>
  <c r="X278" i="1"/>
  <c r="Y278" i="1"/>
  <c r="P279" i="1"/>
  <c r="Q279" i="1"/>
  <c r="R279" i="1"/>
  <c r="S279" i="1"/>
  <c r="T279" i="1"/>
  <c r="U279" i="1"/>
  <c r="V279" i="1"/>
  <c r="W279" i="1"/>
  <c r="X279" i="1"/>
  <c r="Y279" i="1"/>
  <c r="P280" i="1"/>
  <c r="Q280" i="1"/>
  <c r="R280" i="1"/>
  <c r="S280" i="1"/>
  <c r="T280" i="1"/>
  <c r="U280" i="1"/>
  <c r="V280" i="1"/>
  <c r="W280" i="1"/>
  <c r="X280" i="1"/>
  <c r="Y280" i="1"/>
  <c r="P281" i="1"/>
  <c r="Q281" i="1"/>
  <c r="R281" i="1"/>
  <c r="S281" i="1"/>
  <c r="T281" i="1"/>
  <c r="U281" i="1"/>
  <c r="V281" i="1"/>
  <c r="W281" i="1"/>
  <c r="X281" i="1"/>
  <c r="Y281" i="1"/>
  <c r="P282" i="1"/>
  <c r="Q282" i="1"/>
  <c r="R282" i="1"/>
  <c r="S282" i="1"/>
  <c r="T282" i="1"/>
  <c r="U282" i="1"/>
  <c r="V282" i="1"/>
  <c r="W282" i="1"/>
  <c r="X282" i="1"/>
  <c r="Y282" i="1"/>
  <c r="P283" i="1"/>
  <c r="Q283" i="1"/>
  <c r="R283" i="1"/>
  <c r="S283" i="1"/>
  <c r="T283" i="1"/>
  <c r="U283" i="1"/>
  <c r="V283" i="1"/>
  <c r="W283" i="1"/>
  <c r="X283" i="1"/>
  <c r="Y283" i="1"/>
  <c r="P284" i="1"/>
  <c r="Q284" i="1"/>
  <c r="R284" i="1"/>
  <c r="S284" i="1"/>
  <c r="T284" i="1"/>
  <c r="U284" i="1"/>
  <c r="V284" i="1"/>
  <c r="W284" i="1"/>
  <c r="X284" i="1"/>
  <c r="Y284" i="1"/>
  <c r="P285" i="1"/>
  <c r="Q285" i="1"/>
  <c r="R285" i="1"/>
  <c r="S285" i="1"/>
  <c r="T285" i="1"/>
  <c r="U285" i="1"/>
  <c r="V285" i="1"/>
  <c r="W285" i="1"/>
  <c r="X285" i="1"/>
  <c r="Y285" i="1"/>
  <c r="P286" i="1"/>
  <c r="Q286" i="1"/>
  <c r="R286" i="1"/>
  <c r="S286" i="1"/>
  <c r="T286" i="1"/>
  <c r="U286" i="1"/>
  <c r="V286" i="1"/>
  <c r="W286" i="1"/>
  <c r="X286" i="1"/>
  <c r="Y286" i="1"/>
  <c r="P287" i="1"/>
  <c r="Q287" i="1"/>
  <c r="R287" i="1"/>
  <c r="S287" i="1"/>
  <c r="T287" i="1"/>
  <c r="U287" i="1"/>
  <c r="V287" i="1"/>
  <c r="W287" i="1"/>
  <c r="X287" i="1"/>
  <c r="Y287" i="1"/>
  <c r="P288" i="1"/>
  <c r="Q288" i="1"/>
  <c r="R288" i="1"/>
  <c r="S288" i="1"/>
  <c r="T288" i="1"/>
  <c r="U288" i="1"/>
  <c r="V288" i="1"/>
  <c r="W288" i="1"/>
  <c r="X288" i="1"/>
  <c r="Y288" i="1"/>
  <c r="P289" i="1"/>
  <c r="Q289" i="1"/>
  <c r="R289" i="1"/>
  <c r="S289" i="1"/>
  <c r="T289" i="1"/>
  <c r="U289" i="1"/>
  <c r="V289" i="1"/>
  <c r="W289" i="1"/>
  <c r="X289" i="1"/>
  <c r="Y289" i="1"/>
  <c r="P290" i="1"/>
  <c r="Q290" i="1"/>
  <c r="R290" i="1"/>
  <c r="S290" i="1"/>
  <c r="T290" i="1"/>
  <c r="U290" i="1"/>
  <c r="V290" i="1"/>
  <c r="W290" i="1"/>
  <c r="X290" i="1"/>
  <c r="Y290" i="1"/>
  <c r="P291" i="1"/>
  <c r="Q291" i="1"/>
  <c r="R291" i="1"/>
  <c r="S291" i="1"/>
  <c r="T291" i="1"/>
  <c r="U291" i="1"/>
  <c r="V291" i="1"/>
  <c r="W291" i="1"/>
  <c r="X291" i="1"/>
  <c r="Y291" i="1"/>
  <c r="P292" i="1"/>
  <c r="Q292" i="1"/>
  <c r="R292" i="1"/>
  <c r="S292" i="1"/>
  <c r="T292" i="1"/>
  <c r="U292" i="1"/>
  <c r="V292" i="1"/>
  <c r="W292" i="1"/>
  <c r="X292" i="1"/>
  <c r="Y292" i="1"/>
  <c r="P293" i="1"/>
  <c r="Q293" i="1"/>
  <c r="R293" i="1"/>
  <c r="S293" i="1"/>
  <c r="T293" i="1"/>
  <c r="U293" i="1"/>
  <c r="V293" i="1"/>
  <c r="W293" i="1"/>
  <c r="X293" i="1"/>
  <c r="Y293" i="1"/>
  <c r="P294" i="1"/>
  <c r="Q294" i="1"/>
  <c r="R294" i="1"/>
  <c r="S294" i="1"/>
  <c r="T294" i="1"/>
  <c r="U294" i="1"/>
  <c r="V294" i="1"/>
  <c r="W294" i="1"/>
  <c r="X294" i="1"/>
  <c r="Y294" i="1"/>
  <c r="P295" i="1"/>
  <c r="Q295" i="1"/>
  <c r="R295" i="1"/>
  <c r="S295" i="1"/>
  <c r="T295" i="1"/>
  <c r="U295" i="1"/>
  <c r="V295" i="1"/>
  <c r="W295" i="1"/>
  <c r="X295" i="1"/>
  <c r="Y295" i="1"/>
  <c r="P296" i="1"/>
  <c r="Q296" i="1"/>
  <c r="R296" i="1"/>
  <c r="S296" i="1"/>
  <c r="T296" i="1"/>
  <c r="U296" i="1"/>
  <c r="V296" i="1"/>
  <c r="W296" i="1"/>
  <c r="X296" i="1"/>
  <c r="Y296" i="1"/>
  <c r="P297" i="1"/>
  <c r="Q297" i="1"/>
  <c r="R297" i="1"/>
  <c r="S297" i="1"/>
  <c r="T297" i="1"/>
  <c r="U297" i="1"/>
  <c r="V297" i="1"/>
  <c r="W297" i="1"/>
  <c r="X297" i="1"/>
  <c r="Y297" i="1"/>
  <c r="P298" i="1"/>
  <c r="Q298" i="1"/>
  <c r="R298" i="1"/>
  <c r="S298" i="1"/>
  <c r="T298" i="1"/>
  <c r="U298" i="1"/>
  <c r="V298" i="1"/>
  <c r="W298" i="1"/>
  <c r="X298" i="1"/>
  <c r="Y298" i="1"/>
  <c r="P299" i="1"/>
  <c r="Q299" i="1"/>
  <c r="R299" i="1"/>
  <c r="S299" i="1"/>
  <c r="T299" i="1"/>
  <c r="U299" i="1"/>
  <c r="V299" i="1"/>
  <c r="W299" i="1"/>
  <c r="X299" i="1"/>
  <c r="Y299" i="1"/>
  <c r="P300" i="1"/>
  <c r="Q300" i="1"/>
  <c r="R300" i="1"/>
  <c r="S300" i="1"/>
  <c r="T300" i="1"/>
  <c r="U300" i="1"/>
  <c r="V300" i="1"/>
  <c r="W300" i="1"/>
  <c r="X300" i="1"/>
  <c r="Y300" i="1"/>
  <c r="P301" i="1"/>
  <c r="Q301" i="1"/>
  <c r="R301" i="1"/>
  <c r="S301" i="1"/>
  <c r="T301" i="1"/>
  <c r="U301" i="1"/>
  <c r="V301" i="1"/>
  <c r="W301" i="1"/>
  <c r="X301" i="1"/>
  <c r="Y301" i="1"/>
  <c r="P302" i="1"/>
  <c r="Q302" i="1"/>
  <c r="R302" i="1"/>
  <c r="S302" i="1"/>
  <c r="T302" i="1"/>
  <c r="U302" i="1"/>
  <c r="V302" i="1"/>
  <c r="W302" i="1"/>
  <c r="X302" i="1"/>
  <c r="Y302" i="1"/>
  <c r="P303" i="1"/>
  <c r="Q303" i="1"/>
  <c r="R303" i="1"/>
  <c r="S303" i="1"/>
  <c r="T303" i="1"/>
  <c r="U303" i="1"/>
  <c r="V303" i="1"/>
  <c r="W303" i="1"/>
  <c r="X303" i="1"/>
  <c r="Y303" i="1"/>
  <c r="P304" i="1"/>
  <c r="Q304" i="1"/>
  <c r="R304" i="1"/>
  <c r="S304" i="1"/>
  <c r="T304" i="1"/>
  <c r="U304" i="1"/>
  <c r="V304" i="1"/>
  <c r="W304" i="1"/>
  <c r="X304" i="1"/>
  <c r="Y304" i="1"/>
  <c r="P305" i="1"/>
  <c r="Q305" i="1"/>
  <c r="R305" i="1"/>
  <c r="S305" i="1"/>
  <c r="T305" i="1"/>
  <c r="U305" i="1"/>
  <c r="V305" i="1"/>
  <c r="W305" i="1"/>
  <c r="X305" i="1"/>
  <c r="Y305" i="1"/>
  <c r="P306" i="1"/>
  <c r="Q306" i="1"/>
  <c r="R306" i="1"/>
  <c r="S306" i="1"/>
  <c r="T306" i="1"/>
  <c r="U306" i="1"/>
  <c r="V306" i="1"/>
  <c r="W306" i="1"/>
  <c r="X306" i="1"/>
  <c r="Y306" i="1"/>
  <c r="P307" i="1"/>
  <c r="Q307" i="1"/>
  <c r="R307" i="1"/>
  <c r="S307" i="1"/>
  <c r="T307" i="1"/>
  <c r="U307" i="1"/>
  <c r="V307" i="1"/>
  <c r="W307" i="1"/>
  <c r="X307" i="1"/>
  <c r="Y307" i="1"/>
  <c r="P308" i="1"/>
  <c r="Q308" i="1"/>
  <c r="R308" i="1"/>
  <c r="S308" i="1"/>
  <c r="T308" i="1"/>
  <c r="U308" i="1"/>
  <c r="V308" i="1"/>
  <c r="W308" i="1"/>
  <c r="X308" i="1"/>
  <c r="Y308" i="1"/>
  <c r="P309" i="1"/>
  <c r="Q309" i="1"/>
  <c r="R309" i="1"/>
  <c r="S309" i="1"/>
  <c r="T309" i="1"/>
  <c r="U309" i="1"/>
  <c r="V309" i="1"/>
  <c r="W309" i="1"/>
  <c r="X309" i="1"/>
  <c r="Y309" i="1"/>
  <c r="P310" i="1"/>
  <c r="Q310" i="1"/>
  <c r="R310" i="1"/>
  <c r="S310" i="1"/>
  <c r="T310" i="1"/>
  <c r="U310" i="1"/>
  <c r="V310" i="1"/>
  <c r="W310" i="1"/>
  <c r="X310" i="1"/>
  <c r="Y310" i="1"/>
  <c r="P311" i="1"/>
  <c r="Q311" i="1"/>
  <c r="R311" i="1"/>
  <c r="S311" i="1"/>
  <c r="T311" i="1"/>
  <c r="U311" i="1"/>
  <c r="V311" i="1"/>
  <c r="W311" i="1"/>
  <c r="X311" i="1"/>
  <c r="Y311" i="1"/>
  <c r="P312" i="1"/>
  <c r="Q312" i="1"/>
  <c r="R312" i="1"/>
  <c r="S312" i="1"/>
  <c r="T312" i="1"/>
  <c r="U312" i="1"/>
  <c r="V312" i="1"/>
  <c r="W312" i="1"/>
  <c r="X312" i="1"/>
  <c r="Y312" i="1"/>
  <c r="P313" i="1"/>
  <c r="Q313" i="1"/>
  <c r="R313" i="1"/>
  <c r="S313" i="1"/>
  <c r="T313" i="1"/>
  <c r="U313" i="1"/>
  <c r="V313" i="1"/>
  <c r="W313" i="1"/>
  <c r="X313" i="1"/>
  <c r="Y313" i="1"/>
  <c r="P314" i="1"/>
  <c r="Q314" i="1"/>
  <c r="R314" i="1"/>
  <c r="S314" i="1"/>
  <c r="T314" i="1"/>
  <c r="U314" i="1"/>
  <c r="V314" i="1"/>
  <c r="W314" i="1"/>
  <c r="X314" i="1"/>
  <c r="Y314" i="1"/>
  <c r="P315" i="1"/>
  <c r="Q315" i="1"/>
  <c r="R315" i="1"/>
  <c r="S315" i="1"/>
  <c r="T315" i="1"/>
  <c r="U315" i="1"/>
  <c r="V315" i="1"/>
  <c r="W315" i="1"/>
  <c r="X315" i="1"/>
  <c r="Y315" i="1"/>
  <c r="P316" i="1"/>
  <c r="Q316" i="1"/>
  <c r="R316" i="1"/>
  <c r="S316" i="1"/>
  <c r="T316" i="1"/>
  <c r="U316" i="1"/>
  <c r="V316" i="1"/>
  <c r="W316" i="1"/>
  <c r="X316" i="1"/>
  <c r="Y316" i="1"/>
  <c r="P317" i="1"/>
  <c r="Q317" i="1"/>
  <c r="R317" i="1"/>
  <c r="S317" i="1"/>
  <c r="T317" i="1"/>
  <c r="U317" i="1"/>
  <c r="V317" i="1"/>
  <c r="W317" i="1"/>
  <c r="X317" i="1"/>
  <c r="Y317" i="1"/>
  <c r="P318" i="1"/>
  <c r="Q318" i="1"/>
  <c r="R318" i="1"/>
  <c r="S318" i="1"/>
  <c r="T318" i="1"/>
  <c r="U318" i="1"/>
  <c r="V318" i="1"/>
  <c r="W318" i="1"/>
  <c r="X318" i="1"/>
  <c r="Y318" i="1"/>
  <c r="P319" i="1"/>
  <c r="Q319" i="1"/>
  <c r="R319" i="1"/>
  <c r="S319" i="1"/>
  <c r="T319" i="1"/>
  <c r="U319" i="1"/>
  <c r="V319" i="1"/>
  <c r="W319" i="1"/>
  <c r="X319" i="1"/>
  <c r="Y319" i="1"/>
  <c r="P320" i="1"/>
  <c r="Q320" i="1"/>
  <c r="R320" i="1"/>
  <c r="S320" i="1"/>
  <c r="T320" i="1"/>
  <c r="U320" i="1"/>
  <c r="V320" i="1"/>
  <c r="W320" i="1"/>
  <c r="X320" i="1"/>
  <c r="Y320" i="1"/>
  <c r="P321" i="1"/>
  <c r="Q321" i="1"/>
  <c r="R321" i="1"/>
  <c r="S321" i="1"/>
  <c r="T321" i="1"/>
  <c r="U321" i="1"/>
  <c r="V321" i="1"/>
  <c r="W321" i="1"/>
  <c r="X321" i="1"/>
  <c r="Y321" i="1"/>
  <c r="P322" i="1"/>
  <c r="Q322" i="1"/>
  <c r="R322" i="1"/>
  <c r="S322" i="1"/>
  <c r="T322" i="1"/>
  <c r="U322" i="1"/>
  <c r="V322" i="1"/>
  <c r="W322" i="1"/>
  <c r="X322" i="1"/>
  <c r="Y322" i="1"/>
  <c r="P323" i="1"/>
  <c r="Q323" i="1"/>
  <c r="R323" i="1"/>
  <c r="S323" i="1"/>
  <c r="T323" i="1"/>
  <c r="U323" i="1"/>
  <c r="V323" i="1"/>
  <c r="W323" i="1"/>
  <c r="X323" i="1"/>
  <c r="Y323" i="1"/>
  <c r="P324" i="1"/>
  <c r="Q324" i="1"/>
  <c r="R324" i="1"/>
  <c r="S324" i="1"/>
  <c r="T324" i="1"/>
  <c r="U324" i="1"/>
  <c r="V324" i="1"/>
  <c r="W324" i="1"/>
  <c r="X324" i="1"/>
  <c r="Y324" i="1"/>
  <c r="P325" i="1"/>
  <c r="Q325" i="1"/>
  <c r="R325" i="1"/>
  <c r="S325" i="1"/>
  <c r="T325" i="1"/>
  <c r="U325" i="1"/>
  <c r="V325" i="1"/>
  <c r="W325" i="1"/>
  <c r="X325" i="1"/>
  <c r="Y325" i="1"/>
  <c r="P326" i="1"/>
  <c r="Q326" i="1"/>
  <c r="R326" i="1"/>
  <c r="S326" i="1"/>
  <c r="T326" i="1"/>
  <c r="U326" i="1"/>
  <c r="V326" i="1"/>
  <c r="W326" i="1"/>
  <c r="X326" i="1"/>
  <c r="Y326" i="1"/>
  <c r="P327" i="1"/>
  <c r="Q327" i="1"/>
  <c r="R327" i="1"/>
  <c r="S327" i="1"/>
  <c r="T327" i="1"/>
  <c r="U327" i="1"/>
  <c r="V327" i="1"/>
  <c r="W327" i="1"/>
  <c r="X327" i="1"/>
  <c r="Y327" i="1"/>
  <c r="P328" i="1"/>
  <c r="Q328" i="1"/>
  <c r="R328" i="1"/>
  <c r="S328" i="1"/>
  <c r="T328" i="1"/>
  <c r="U328" i="1"/>
  <c r="V328" i="1"/>
  <c r="W328" i="1"/>
  <c r="X328" i="1"/>
  <c r="Y328" i="1"/>
  <c r="P329" i="1"/>
  <c r="Q329" i="1"/>
  <c r="R329" i="1"/>
  <c r="S329" i="1"/>
  <c r="T329" i="1"/>
  <c r="U329" i="1"/>
  <c r="V329" i="1"/>
  <c r="W329" i="1"/>
  <c r="X329" i="1"/>
  <c r="Y329" i="1"/>
  <c r="P330" i="1"/>
  <c r="Q330" i="1"/>
  <c r="R330" i="1"/>
  <c r="S330" i="1"/>
  <c r="T330" i="1"/>
  <c r="U330" i="1"/>
  <c r="V330" i="1"/>
  <c r="W330" i="1"/>
  <c r="X330" i="1"/>
  <c r="Y330" i="1"/>
  <c r="P331" i="1"/>
  <c r="Q331" i="1"/>
  <c r="R331" i="1"/>
  <c r="S331" i="1"/>
  <c r="T331" i="1"/>
  <c r="U331" i="1"/>
  <c r="V331" i="1"/>
  <c r="W331" i="1"/>
  <c r="X331" i="1"/>
  <c r="Y331" i="1"/>
  <c r="P332" i="1"/>
  <c r="Q332" i="1"/>
  <c r="R332" i="1"/>
  <c r="S332" i="1"/>
  <c r="T332" i="1"/>
  <c r="U332" i="1"/>
  <c r="V332" i="1"/>
  <c r="W332" i="1"/>
  <c r="X332" i="1"/>
  <c r="Y332" i="1"/>
  <c r="P333" i="1"/>
  <c r="Q333" i="1"/>
  <c r="R333" i="1"/>
  <c r="S333" i="1"/>
  <c r="T333" i="1"/>
  <c r="U333" i="1"/>
  <c r="V333" i="1"/>
  <c r="W333" i="1"/>
  <c r="X333" i="1"/>
  <c r="Y333" i="1"/>
  <c r="P334" i="1"/>
  <c r="Q334" i="1"/>
  <c r="R334" i="1"/>
  <c r="S334" i="1"/>
  <c r="T334" i="1"/>
  <c r="U334" i="1"/>
  <c r="V334" i="1"/>
  <c r="W334" i="1"/>
  <c r="X334" i="1"/>
  <c r="Y334" i="1"/>
  <c r="P335" i="1"/>
  <c r="Q335" i="1"/>
  <c r="R335" i="1"/>
  <c r="S335" i="1"/>
  <c r="T335" i="1"/>
  <c r="U335" i="1"/>
  <c r="V335" i="1"/>
  <c r="W335" i="1"/>
  <c r="X335" i="1"/>
  <c r="Y335" i="1"/>
  <c r="P336" i="1"/>
  <c r="Q336" i="1"/>
  <c r="R336" i="1"/>
  <c r="S336" i="1"/>
  <c r="T336" i="1"/>
  <c r="U336" i="1"/>
  <c r="V336" i="1"/>
  <c r="W336" i="1"/>
  <c r="X336" i="1"/>
  <c r="Y336" i="1"/>
  <c r="P337" i="1"/>
  <c r="Q337" i="1"/>
  <c r="R337" i="1"/>
  <c r="S337" i="1"/>
  <c r="T337" i="1"/>
  <c r="U337" i="1"/>
  <c r="V337" i="1"/>
  <c r="W337" i="1"/>
  <c r="X337" i="1"/>
  <c r="Y337" i="1"/>
  <c r="P338" i="1"/>
  <c r="Q338" i="1"/>
  <c r="R338" i="1"/>
  <c r="S338" i="1"/>
  <c r="T338" i="1"/>
  <c r="U338" i="1"/>
  <c r="V338" i="1"/>
  <c r="W338" i="1"/>
  <c r="X338" i="1"/>
  <c r="Y338" i="1"/>
  <c r="P339" i="1"/>
  <c r="Q339" i="1"/>
  <c r="R339" i="1"/>
  <c r="S339" i="1"/>
  <c r="T339" i="1"/>
  <c r="U339" i="1"/>
  <c r="V339" i="1"/>
  <c r="W339" i="1"/>
  <c r="X339" i="1"/>
  <c r="Y339" i="1"/>
  <c r="P340" i="1"/>
  <c r="Q340" i="1"/>
  <c r="R340" i="1"/>
  <c r="S340" i="1"/>
  <c r="T340" i="1"/>
  <c r="U340" i="1"/>
  <c r="V340" i="1"/>
  <c r="W340" i="1"/>
  <c r="X340" i="1"/>
  <c r="Y340" i="1"/>
  <c r="P341" i="1"/>
  <c r="Q341" i="1"/>
  <c r="R341" i="1"/>
  <c r="S341" i="1"/>
  <c r="T341" i="1"/>
  <c r="U341" i="1"/>
  <c r="V341" i="1"/>
  <c r="W341" i="1"/>
  <c r="X341" i="1"/>
  <c r="Y341" i="1"/>
  <c r="P342" i="1"/>
  <c r="Q342" i="1"/>
  <c r="R342" i="1"/>
  <c r="S342" i="1"/>
  <c r="T342" i="1"/>
  <c r="U342" i="1"/>
  <c r="V342" i="1"/>
  <c r="W342" i="1"/>
  <c r="X342" i="1"/>
  <c r="Y342" i="1"/>
  <c r="P343" i="1"/>
  <c r="Q343" i="1"/>
  <c r="R343" i="1"/>
  <c r="S343" i="1"/>
  <c r="T343" i="1"/>
  <c r="U343" i="1"/>
  <c r="V343" i="1"/>
  <c r="W343" i="1"/>
  <c r="X343" i="1"/>
  <c r="Y343" i="1"/>
  <c r="P344" i="1"/>
  <c r="Q344" i="1"/>
  <c r="R344" i="1"/>
  <c r="S344" i="1"/>
  <c r="T344" i="1"/>
  <c r="U344" i="1"/>
  <c r="V344" i="1"/>
  <c r="W344" i="1"/>
  <c r="X344" i="1"/>
  <c r="Y344" i="1"/>
  <c r="P345" i="1"/>
  <c r="Q345" i="1"/>
  <c r="R345" i="1"/>
  <c r="S345" i="1"/>
  <c r="T345" i="1"/>
  <c r="U345" i="1"/>
  <c r="V345" i="1"/>
  <c r="W345" i="1"/>
  <c r="X345" i="1"/>
  <c r="Y345" i="1"/>
  <c r="P346" i="1"/>
  <c r="Q346" i="1"/>
  <c r="R346" i="1"/>
  <c r="S346" i="1"/>
  <c r="T346" i="1"/>
  <c r="U346" i="1"/>
  <c r="V346" i="1"/>
  <c r="W346" i="1"/>
  <c r="X346" i="1"/>
  <c r="Y346" i="1"/>
  <c r="P347" i="1"/>
  <c r="Q347" i="1"/>
  <c r="R347" i="1"/>
  <c r="S347" i="1"/>
  <c r="T347" i="1"/>
  <c r="U347" i="1"/>
  <c r="V347" i="1"/>
  <c r="W347" i="1"/>
  <c r="X347" i="1"/>
  <c r="Y347" i="1"/>
  <c r="P348" i="1"/>
  <c r="Q348" i="1"/>
  <c r="R348" i="1"/>
  <c r="S348" i="1"/>
  <c r="T348" i="1"/>
  <c r="U348" i="1"/>
  <c r="V348" i="1"/>
  <c r="W348" i="1"/>
  <c r="X348" i="1"/>
  <c r="Y348" i="1"/>
  <c r="P349" i="1"/>
  <c r="Q349" i="1"/>
  <c r="R349" i="1"/>
  <c r="S349" i="1"/>
  <c r="T349" i="1"/>
  <c r="U349" i="1"/>
  <c r="V349" i="1"/>
  <c r="W349" i="1"/>
  <c r="X349" i="1"/>
  <c r="Y349" i="1"/>
  <c r="P350" i="1"/>
  <c r="Q350" i="1"/>
  <c r="R350" i="1"/>
  <c r="S350" i="1"/>
  <c r="T350" i="1"/>
  <c r="U350" i="1"/>
  <c r="V350" i="1"/>
  <c r="W350" i="1"/>
  <c r="X350" i="1"/>
  <c r="Y350" i="1"/>
  <c r="P351" i="1"/>
  <c r="Q351" i="1"/>
  <c r="R351" i="1"/>
  <c r="S351" i="1"/>
  <c r="T351" i="1"/>
  <c r="U351" i="1"/>
  <c r="V351" i="1"/>
  <c r="W351" i="1"/>
  <c r="X351" i="1"/>
  <c r="Y351" i="1"/>
  <c r="P352" i="1"/>
  <c r="Q352" i="1"/>
  <c r="R352" i="1"/>
  <c r="S352" i="1"/>
  <c r="T352" i="1"/>
  <c r="U352" i="1"/>
  <c r="V352" i="1"/>
  <c r="W352" i="1"/>
  <c r="X352" i="1"/>
  <c r="Y352" i="1"/>
  <c r="P353" i="1"/>
  <c r="Q353" i="1"/>
  <c r="R353" i="1"/>
  <c r="S353" i="1"/>
  <c r="T353" i="1"/>
  <c r="U353" i="1"/>
  <c r="V353" i="1"/>
  <c r="W353" i="1"/>
  <c r="X353" i="1"/>
  <c r="Y353" i="1"/>
  <c r="P354" i="1"/>
  <c r="Q354" i="1"/>
  <c r="R354" i="1"/>
  <c r="S354" i="1"/>
  <c r="T354" i="1"/>
  <c r="U354" i="1"/>
  <c r="V354" i="1"/>
  <c r="W354" i="1"/>
  <c r="X354" i="1"/>
  <c r="Y354" i="1"/>
  <c r="P355" i="1"/>
  <c r="Q355" i="1"/>
  <c r="R355" i="1"/>
  <c r="S355" i="1"/>
  <c r="T355" i="1"/>
  <c r="U355" i="1"/>
  <c r="V355" i="1"/>
  <c r="W355" i="1"/>
  <c r="X355" i="1"/>
  <c r="Y355" i="1"/>
  <c r="P356" i="1"/>
  <c r="Q356" i="1"/>
  <c r="R356" i="1"/>
  <c r="S356" i="1"/>
  <c r="T356" i="1"/>
  <c r="U356" i="1"/>
  <c r="V356" i="1"/>
  <c r="W356" i="1"/>
  <c r="X356" i="1"/>
  <c r="Y356" i="1"/>
  <c r="P357" i="1"/>
  <c r="Q357" i="1"/>
  <c r="R357" i="1"/>
  <c r="S357" i="1"/>
  <c r="T357" i="1"/>
  <c r="U357" i="1"/>
  <c r="V357" i="1"/>
  <c r="W357" i="1"/>
  <c r="X357" i="1"/>
  <c r="Y357" i="1"/>
  <c r="P358" i="1"/>
  <c r="Q358" i="1"/>
  <c r="R358" i="1"/>
  <c r="S358" i="1"/>
  <c r="T358" i="1"/>
  <c r="U358" i="1"/>
  <c r="V358" i="1"/>
  <c r="W358" i="1"/>
  <c r="X358" i="1"/>
  <c r="Y358" i="1"/>
  <c r="P359" i="1"/>
  <c r="Q359" i="1"/>
  <c r="R359" i="1"/>
  <c r="S359" i="1"/>
  <c r="T359" i="1"/>
  <c r="U359" i="1"/>
  <c r="V359" i="1"/>
  <c r="W359" i="1"/>
  <c r="X359" i="1"/>
  <c r="Y359" i="1"/>
  <c r="P360" i="1"/>
  <c r="Q360" i="1"/>
  <c r="R360" i="1"/>
  <c r="S360" i="1"/>
  <c r="T360" i="1"/>
  <c r="U360" i="1"/>
  <c r="V360" i="1"/>
  <c r="W360" i="1"/>
  <c r="X360" i="1"/>
  <c r="Y360" i="1"/>
  <c r="P361" i="1"/>
  <c r="Q361" i="1"/>
  <c r="R361" i="1"/>
  <c r="S361" i="1"/>
  <c r="T361" i="1"/>
  <c r="U361" i="1"/>
  <c r="V361" i="1"/>
  <c r="W361" i="1"/>
  <c r="X361" i="1"/>
  <c r="Y361" i="1"/>
  <c r="P362" i="1"/>
  <c r="Q362" i="1"/>
  <c r="R362" i="1"/>
  <c r="S362" i="1"/>
  <c r="T362" i="1"/>
  <c r="U362" i="1"/>
  <c r="V362" i="1"/>
  <c r="W362" i="1"/>
  <c r="X362" i="1"/>
  <c r="Y362" i="1"/>
  <c r="P363" i="1"/>
  <c r="Q363" i="1"/>
  <c r="R363" i="1"/>
  <c r="S363" i="1"/>
  <c r="T363" i="1"/>
  <c r="U363" i="1"/>
  <c r="V363" i="1"/>
  <c r="W363" i="1"/>
  <c r="X363" i="1"/>
  <c r="Y363" i="1"/>
  <c r="P364" i="1"/>
  <c r="Q364" i="1"/>
  <c r="R364" i="1"/>
  <c r="S364" i="1"/>
  <c r="T364" i="1"/>
  <c r="U364" i="1"/>
  <c r="V364" i="1"/>
  <c r="W364" i="1"/>
  <c r="X364" i="1"/>
  <c r="Y364" i="1"/>
  <c r="P365" i="1"/>
  <c r="Q365" i="1"/>
  <c r="R365" i="1"/>
  <c r="S365" i="1"/>
  <c r="T365" i="1"/>
  <c r="U365" i="1"/>
  <c r="V365" i="1"/>
  <c r="W365" i="1"/>
  <c r="X365" i="1"/>
  <c r="Y365" i="1"/>
  <c r="P366" i="1"/>
  <c r="Q366" i="1"/>
  <c r="R366" i="1"/>
  <c r="S366" i="1"/>
  <c r="T366" i="1"/>
  <c r="U366" i="1"/>
  <c r="V366" i="1"/>
  <c r="W366" i="1"/>
  <c r="X366" i="1"/>
  <c r="Y366" i="1"/>
  <c r="P367" i="1"/>
  <c r="Q367" i="1"/>
  <c r="R367" i="1"/>
  <c r="S367" i="1"/>
  <c r="T367" i="1"/>
  <c r="U367" i="1"/>
  <c r="V367" i="1"/>
  <c r="W367" i="1"/>
  <c r="X367" i="1"/>
  <c r="Y367" i="1"/>
  <c r="P368" i="1"/>
  <c r="Q368" i="1"/>
  <c r="R368" i="1"/>
  <c r="S368" i="1"/>
  <c r="T368" i="1"/>
  <c r="U368" i="1"/>
  <c r="V368" i="1"/>
  <c r="W368" i="1"/>
  <c r="X368" i="1"/>
  <c r="Y368" i="1"/>
  <c r="P369" i="1"/>
  <c r="Q369" i="1"/>
  <c r="R369" i="1"/>
  <c r="S369" i="1"/>
  <c r="T369" i="1"/>
  <c r="U369" i="1"/>
  <c r="V369" i="1"/>
  <c r="W369" i="1"/>
  <c r="X369" i="1"/>
  <c r="Y369" i="1"/>
  <c r="P370" i="1"/>
  <c r="Q370" i="1"/>
  <c r="R370" i="1"/>
  <c r="S370" i="1"/>
  <c r="T370" i="1"/>
  <c r="U370" i="1"/>
  <c r="V370" i="1"/>
  <c r="W370" i="1"/>
  <c r="X370" i="1"/>
  <c r="Y370" i="1"/>
  <c r="P371" i="1"/>
  <c r="Q371" i="1"/>
  <c r="R371" i="1"/>
  <c r="S371" i="1"/>
  <c r="T371" i="1"/>
  <c r="U371" i="1"/>
  <c r="V371" i="1"/>
  <c r="W371" i="1"/>
  <c r="X371" i="1"/>
  <c r="Y371" i="1"/>
  <c r="P372" i="1"/>
  <c r="Q372" i="1"/>
  <c r="R372" i="1"/>
  <c r="S372" i="1"/>
  <c r="T372" i="1"/>
  <c r="U372" i="1"/>
  <c r="V372" i="1"/>
  <c r="W372" i="1"/>
  <c r="X372" i="1"/>
  <c r="Y372" i="1"/>
  <c r="P373" i="1"/>
  <c r="Q373" i="1"/>
  <c r="R373" i="1"/>
  <c r="S373" i="1"/>
  <c r="T373" i="1"/>
  <c r="U373" i="1"/>
  <c r="V373" i="1"/>
  <c r="W373" i="1"/>
  <c r="X373" i="1"/>
  <c r="Y373" i="1"/>
  <c r="P374" i="1"/>
  <c r="Q374" i="1"/>
  <c r="R374" i="1"/>
  <c r="S374" i="1"/>
  <c r="T374" i="1"/>
  <c r="U374" i="1"/>
  <c r="V374" i="1"/>
  <c r="W374" i="1"/>
  <c r="X374" i="1"/>
  <c r="Y374" i="1"/>
  <c r="P375" i="1"/>
  <c r="Q375" i="1"/>
  <c r="R375" i="1"/>
  <c r="S375" i="1"/>
  <c r="T375" i="1"/>
  <c r="U375" i="1"/>
  <c r="V375" i="1"/>
  <c r="W375" i="1"/>
  <c r="X375" i="1"/>
  <c r="Y375" i="1"/>
  <c r="P376" i="1"/>
  <c r="Q376" i="1"/>
  <c r="R376" i="1"/>
  <c r="S376" i="1"/>
  <c r="T376" i="1"/>
  <c r="U376" i="1"/>
  <c r="V376" i="1"/>
  <c r="W376" i="1"/>
  <c r="X376" i="1"/>
  <c r="Y376" i="1"/>
  <c r="P377" i="1"/>
  <c r="Q377" i="1"/>
  <c r="R377" i="1"/>
  <c r="S377" i="1"/>
  <c r="T377" i="1"/>
  <c r="U377" i="1"/>
  <c r="V377" i="1"/>
  <c r="W377" i="1"/>
  <c r="X377" i="1"/>
  <c r="Y377" i="1"/>
  <c r="P378" i="1"/>
  <c r="Q378" i="1"/>
  <c r="R378" i="1"/>
  <c r="S378" i="1"/>
  <c r="T378" i="1"/>
  <c r="U378" i="1"/>
  <c r="V378" i="1"/>
  <c r="W378" i="1"/>
  <c r="X378" i="1"/>
  <c r="Y378" i="1"/>
  <c r="P379" i="1"/>
  <c r="Q379" i="1"/>
  <c r="R379" i="1"/>
  <c r="S379" i="1"/>
  <c r="T379" i="1"/>
  <c r="U379" i="1"/>
  <c r="V379" i="1"/>
  <c r="W379" i="1"/>
  <c r="X379" i="1"/>
  <c r="Y379" i="1"/>
  <c r="P380" i="1"/>
  <c r="Q380" i="1"/>
  <c r="R380" i="1"/>
  <c r="S380" i="1"/>
  <c r="T380" i="1"/>
  <c r="U380" i="1"/>
  <c r="V380" i="1"/>
  <c r="W380" i="1"/>
  <c r="X380" i="1"/>
  <c r="Y380" i="1"/>
  <c r="P381" i="1"/>
  <c r="Q381" i="1"/>
  <c r="R381" i="1"/>
  <c r="S381" i="1"/>
  <c r="T381" i="1"/>
  <c r="U381" i="1"/>
  <c r="V381" i="1"/>
  <c r="W381" i="1"/>
  <c r="X381" i="1"/>
  <c r="Y381" i="1"/>
  <c r="P382" i="1"/>
  <c r="Q382" i="1"/>
  <c r="R382" i="1"/>
  <c r="S382" i="1"/>
  <c r="T382" i="1"/>
  <c r="U382" i="1"/>
  <c r="V382" i="1"/>
  <c r="W382" i="1"/>
  <c r="X382" i="1"/>
  <c r="Y382" i="1"/>
  <c r="P383" i="1"/>
  <c r="Q383" i="1"/>
  <c r="R383" i="1"/>
  <c r="S383" i="1"/>
  <c r="T383" i="1"/>
  <c r="U383" i="1"/>
  <c r="V383" i="1"/>
  <c r="W383" i="1"/>
  <c r="X383" i="1"/>
  <c r="Y383" i="1"/>
  <c r="P384" i="1"/>
  <c r="Q384" i="1"/>
  <c r="R384" i="1"/>
  <c r="S384" i="1"/>
  <c r="T384" i="1"/>
  <c r="U384" i="1"/>
  <c r="V384" i="1"/>
  <c r="W384" i="1"/>
  <c r="X384" i="1"/>
  <c r="Y384" i="1"/>
  <c r="P385" i="1"/>
  <c r="Q385" i="1"/>
  <c r="R385" i="1"/>
  <c r="S385" i="1"/>
  <c r="T385" i="1"/>
  <c r="U385" i="1"/>
  <c r="V385" i="1"/>
  <c r="W385" i="1"/>
  <c r="X385" i="1"/>
  <c r="Y385" i="1"/>
  <c r="P386" i="1"/>
  <c r="Q386" i="1"/>
  <c r="R386" i="1"/>
  <c r="S386" i="1"/>
  <c r="T386" i="1"/>
  <c r="U386" i="1"/>
  <c r="V386" i="1"/>
  <c r="W386" i="1"/>
  <c r="X386" i="1"/>
  <c r="Y386" i="1"/>
  <c r="P387" i="1"/>
  <c r="Q387" i="1"/>
  <c r="R387" i="1"/>
  <c r="S387" i="1"/>
  <c r="T387" i="1"/>
  <c r="U387" i="1"/>
  <c r="V387" i="1"/>
  <c r="W387" i="1"/>
  <c r="X387" i="1"/>
  <c r="Y387" i="1"/>
  <c r="P388" i="1"/>
  <c r="Q388" i="1"/>
  <c r="R388" i="1"/>
  <c r="S388" i="1"/>
  <c r="T388" i="1"/>
  <c r="U388" i="1"/>
  <c r="V388" i="1"/>
  <c r="W388" i="1"/>
  <c r="X388" i="1"/>
  <c r="Y388" i="1"/>
  <c r="P389" i="1"/>
  <c r="Q389" i="1"/>
  <c r="R389" i="1"/>
  <c r="S389" i="1"/>
  <c r="T389" i="1"/>
  <c r="U389" i="1"/>
  <c r="V389" i="1"/>
  <c r="W389" i="1"/>
  <c r="X389" i="1"/>
  <c r="Y389" i="1"/>
  <c r="P390" i="1"/>
  <c r="Q390" i="1"/>
  <c r="R390" i="1"/>
  <c r="S390" i="1"/>
  <c r="T390" i="1"/>
  <c r="U390" i="1"/>
  <c r="V390" i="1"/>
  <c r="W390" i="1"/>
  <c r="X390" i="1"/>
  <c r="Y390" i="1"/>
  <c r="P391" i="1"/>
  <c r="Q391" i="1"/>
  <c r="R391" i="1"/>
  <c r="S391" i="1"/>
  <c r="T391" i="1"/>
  <c r="U391" i="1"/>
  <c r="V391" i="1"/>
  <c r="W391" i="1"/>
  <c r="X391" i="1"/>
  <c r="Y391" i="1"/>
  <c r="P392" i="1"/>
  <c r="Q392" i="1"/>
  <c r="R392" i="1"/>
  <c r="S392" i="1"/>
  <c r="T392" i="1"/>
  <c r="U392" i="1"/>
  <c r="V392" i="1"/>
  <c r="W392" i="1"/>
  <c r="X392" i="1"/>
  <c r="Y392" i="1"/>
  <c r="P393" i="1"/>
  <c r="Q393" i="1"/>
  <c r="R393" i="1"/>
  <c r="S393" i="1"/>
  <c r="T393" i="1"/>
  <c r="U393" i="1"/>
  <c r="V393" i="1"/>
  <c r="W393" i="1"/>
  <c r="X393" i="1"/>
  <c r="Y393" i="1"/>
  <c r="P394" i="1"/>
  <c r="Q394" i="1"/>
  <c r="R394" i="1"/>
  <c r="S394" i="1"/>
  <c r="T394" i="1"/>
  <c r="U394" i="1"/>
  <c r="V394" i="1"/>
  <c r="W394" i="1"/>
  <c r="X394" i="1"/>
  <c r="Y394" i="1"/>
  <c r="P395" i="1"/>
  <c r="Q395" i="1"/>
  <c r="R395" i="1"/>
  <c r="S395" i="1"/>
  <c r="T395" i="1"/>
  <c r="U395" i="1"/>
  <c r="V395" i="1"/>
  <c r="W395" i="1"/>
  <c r="X395" i="1"/>
  <c r="Y395" i="1"/>
  <c r="P396" i="1"/>
  <c r="Q396" i="1"/>
  <c r="R396" i="1"/>
  <c r="S396" i="1"/>
  <c r="T396" i="1"/>
  <c r="U396" i="1"/>
  <c r="V396" i="1"/>
  <c r="W396" i="1"/>
  <c r="X396" i="1"/>
  <c r="Y396" i="1"/>
  <c r="P397" i="1"/>
  <c r="Q397" i="1"/>
  <c r="R397" i="1"/>
  <c r="S397" i="1"/>
  <c r="T397" i="1"/>
  <c r="U397" i="1"/>
  <c r="V397" i="1"/>
  <c r="W397" i="1"/>
  <c r="X397" i="1"/>
  <c r="Y397" i="1"/>
  <c r="P398" i="1"/>
  <c r="Q398" i="1"/>
  <c r="R398" i="1"/>
  <c r="S398" i="1"/>
  <c r="T398" i="1"/>
  <c r="U398" i="1"/>
  <c r="V398" i="1"/>
  <c r="W398" i="1"/>
  <c r="X398" i="1"/>
  <c r="Y398" i="1"/>
  <c r="P399" i="1"/>
  <c r="Q399" i="1"/>
  <c r="R399" i="1"/>
  <c r="S399" i="1"/>
  <c r="T399" i="1"/>
  <c r="U399" i="1"/>
  <c r="V399" i="1"/>
  <c r="W399" i="1"/>
  <c r="X399" i="1"/>
  <c r="Y399" i="1"/>
  <c r="P400" i="1"/>
  <c r="Q400" i="1"/>
  <c r="R400" i="1"/>
  <c r="S400" i="1"/>
  <c r="T400" i="1"/>
  <c r="U400" i="1"/>
  <c r="V400" i="1"/>
  <c r="W400" i="1"/>
  <c r="X400" i="1"/>
  <c r="Y400" i="1"/>
  <c r="P401" i="1"/>
  <c r="Q401" i="1"/>
  <c r="R401" i="1"/>
  <c r="S401" i="1"/>
  <c r="T401" i="1"/>
  <c r="U401" i="1"/>
  <c r="V401" i="1"/>
  <c r="W401" i="1"/>
  <c r="X401" i="1"/>
  <c r="Y401" i="1"/>
  <c r="P402" i="1"/>
  <c r="Q402" i="1"/>
  <c r="R402" i="1"/>
  <c r="S402" i="1"/>
  <c r="T402" i="1"/>
  <c r="U402" i="1"/>
  <c r="V402" i="1"/>
  <c r="W402" i="1"/>
  <c r="X402" i="1"/>
  <c r="Y402" i="1"/>
  <c r="P403" i="1"/>
  <c r="Q403" i="1"/>
  <c r="R403" i="1"/>
  <c r="S403" i="1"/>
  <c r="T403" i="1"/>
  <c r="U403" i="1"/>
  <c r="V403" i="1"/>
  <c r="W403" i="1"/>
  <c r="X403" i="1"/>
  <c r="Y403" i="1"/>
  <c r="P404" i="1"/>
  <c r="Q404" i="1"/>
  <c r="R404" i="1"/>
  <c r="S404" i="1"/>
  <c r="T404" i="1"/>
  <c r="U404" i="1"/>
  <c r="V404" i="1"/>
  <c r="W404" i="1"/>
  <c r="X404" i="1"/>
  <c r="Y404" i="1"/>
  <c r="P405" i="1"/>
  <c r="Q405" i="1"/>
  <c r="R405" i="1"/>
  <c r="S405" i="1"/>
  <c r="T405" i="1"/>
  <c r="U405" i="1"/>
  <c r="V405" i="1"/>
  <c r="W405" i="1"/>
  <c r="X405" i="1"/>
  <c r="Y405" i="1"/>
  <c r="P406" i="1"/>
  <c r="Q406" i="1"/>
  <c r="R406" i="1"/>
  <c r="S406" i="1"/>
  <c r="T406" i="1"/>
  <c r="U406" i="1"/>
  <c r="V406" i="1"/>
  <c r="W406" i="1"/>
  <c r="X406" i="1"/>
  <c r="Y406" i="1"/>
  <c r="P407" i="1"/>
  <c r="Q407" i="1"/>
  <c r="R407" i="1"/>
  <c r="S407" i="1"/>
  <c r="T407" i="1"/>
  <c r="U407" i="1"/>
  <c r="V407" i="1"/>
  <c r="W407" i="1"/>
  <c r="X407" i="1"/>
  <c r="Y407" i="1"/>
  <c r="P408" i="1"/>
  <c r="Q408" i="1"/>
  <c r="R408" i="1"/>
  <c r="S408" i="1"/>
  <c r="T408" i="1"/>
  <c r="U408" i="1"/>
  <c r="V408" i="1"/>
  <c r="W408" i="1"/>
  <c r="X408" i="1"/>
  <c r="Y408" i="1"/>
  <c r="P409" i="1"/>
  <c r="Q409" i="1"/>
  <c r="R409" i="1"/>
  <c r="S409" i="1"/>
  <c r="T409" i="1"/>
  <c r="U409" i="1"/>
  <c r="V409" i="1"/>
  <c r="W409" i="1"/>
  <c r="X409" i="1"/>
  <c r="Y409" i="1"/>
  <c r="P410" i="1"/>
  <c r="Q410" i="1"/>
  <c r="R410" i="1"/>
  <c r="S410" i="1"/>
  <c r="T410" i="1"/>
  <c r="U410" i="1"/>
  <c r="V410" i="1"/>
  <c r="W410" i="1"/>
  <c r="X410" i="1"/>
  <c r="Y410" i="1"/>
  <c r="P411" i="1"/>
  <c r="Q411" i="1"/>
  <c r="R411" i="1"/>
  <c r="S411" i="1"/>
  <c r="T411" i="1"/>
  <c r="U411" i="1"/>
  <c r="V411" i="1"/>
  <c r="W411" i="1"/>
  <c r="X411" i="1"/>
  <c r="Y411" i="1"/>
  <c r="P412" i="1"/>
  <c r="Q412" i="1"/>
  <c r="R412" i="1"/>
  <c r="S412" i="1"/>
  <c r="T412" i="1"/>
  <c r="U412" i="1"/>
  <c r="V412" i="1"/>
  <c r="W412" i="1"/>
  <c r="X412" i="1"/>
  <c r="Y412" i="1"/>
  <c r="P413" i="1"/>
  <c r="Q413" i="1"/>
  <c r="R413" i="1"/>
  <c r="S413" i="1"/>
  <c r="T413" i="1"/>
  <c r="U413" i="1"/>
  <c r="V413" i="1"/>
  <c r="W413" i="1"/>
  <c r="X413" i="1"/>
  <c r="Y413" i="1"/>
  <c r="P414" i="1"/>
  <c r="Q414" i="1"/>
  <c r="R414" i="1"/>
  <c r="S414" i="1"/>
  <c r="T414" i="1"/>
  <c r="U414" i="1"/>
  <c r="V414" i="1"/>
  <c r="W414" i="1"/>
  <c r="X414" i="1"/>
  <c r="Y414" i="1"/>
  <c r="P415" i="1"/>
  <c r="Q415" i="1"/>
  <c r="R415" i="1"/>
  <c r="S415" i="1"/>
  <c r="T415" i="1"/>
  <c r="U415" i="1"/>
  <c r="V415" i="1"/>
  <c r="W415" i="1"/>
  <c r="X415" i="1"/>
  <c r="Y415" i="1"/>
  <c r="P416" i="1"/>
  <c r="Q416" i="1"/>
  <c r="R416" i="1"/>
  <c r="S416" i="1"/>
  <c r="T416" i="1"/>
  <c r="U416" i="1"/>
  <c r="V416" i="1"/>
  <c r="W416" i="1"/>
  <c r="X416" i="1"/>
  <c r="Y416" i="1"/>
  <c r="P417" i="1"/>
  <c r="Q417" i="1"/>
  <c r="R417" i="1"/>
  <c r="S417" i="1"/>
  <c r="T417" i="1"/>
  <c r="U417" i="1"/>
  <c r="V417" i="1"/>
  <c r="W417" i="1"/>
  <c r="X417" i="1"/>
  <c r="Y417" i="1"/>
  <c r="P418" i="1"/>
  <c r="Q418" i="1"/>
  <c r="R418" i="1"/>
  <c r="S418" i="1"/>
  <c r="T418" i="1"/>
  <c r="U418" i="1"/>
  <c r="V418" i="1"/>
  <c r="W418" i="1"/>
  <c r="X418" i="1"/>
  <c r="Y418" i="1"/>
  <c r="P419" i="1"/>
  <c r="Q419" i="1"/>
  <c r="R419" i="1"/>
  <c r="S419" i="1"/>
  <c r="T419" i="1"/>
  <c r="U419" i="1"/>
  <c r="V419" i="1"/>
  <c r="W419" i="1"/>
  <c r="X419" i="1"/>
  <c r="Y419" i="1"/>
  <c r="P420" i="1"/>
  <c r="Q420" i="1"/>
  <c r="R420" i="1"/>
  <c r="S420" i="1"/>
  <c r="T420" i="1"/>
  <c r="U420" i="1"/>
  <c r="V420" i="1"/>
  <c r="W420" i="1"/>
  <c r="X420" i="1"/>
  <c r="Y420" i="1"/>
  <c r="P421" i="1"/>
  <c r="Q421" i="1"/>
  <c r="R421" i="1"/>
  <c r="S421" i="1"/>
  <c r="T421" i="1"/>
  <c r="U421" i="1"/>
  <c r="V421" i="1"/>
  <c r="W421" i="1"/>
  <c r="X421" i="1"/>
  <c r="Y421" i="1"/>
  <c r="P422" i="1"/>
  <c r="Q422" i="1"/>
  <c r="R422" i="1"/>
  <c r="S422" i="1"/>
  <c r="T422" i="1"/>
  <c r="U422" i="1"/>
  <c r="V422" i="1"/>
  <c r="W422" i="1"/>
  <c r="X422" i="1"/>
  <c r="Y422" i="1"/>
  <c r="P423" i="1"/>
  <c r="Q423" i="1"/>
  <c r="R423" i="1"/>
  <c r="S423" i="1"/>
  <c r="T423" i="1"/>
  <c r="U423" i="1"/>
  <c r="V423" i="1"/>
  <c r="W423" i="1"/>
  <c r="X423" i="1"/>
  <c r="Y423" i="1"/>
  <c r="P424" i="1"/>
  <c r="Q424" i="1"/>
  <c r="R424" i="1"/>
  <c r="S424" i="1"/>
  <c r="T424" i="1"/>
  <c r="U424" i="1"/>
  <c r="V424" i="1"/>
  <c r="W424" i="1"/>
  <c r="X424" i="1"/>
  <c r="Y424" i="1"/>
  <c r="P425" i="1"/>
  <c r="Q425" i="1"/>
  <c r="R425" i="1"/>
  <c r="S425" i="1"/>
  <c r="T425" i="1"/>
  <c r="U425" i="1"/>
  <c r="V425" i="1"/>
  <c r="W425" i="1"/>
  <c r="X425" i="1"/>
  <c r="Y425" i="1"/>
  <c r="P426" i="1"/>
  <c r="Q426" i="1"/>
  <c r="R426" i="1"/>
  <c r="S426" i="1"/>
  <c r="T426" i="1"/>
  <c r="U426" i="1"/>
  <c r="V426" i="1"/>
  <c r="W426" i="1"/>
  <c r="X426" i="1"/>
  <c r="Y426" i="1"/>
  <c r="P427" i="1"/>
  <c r="Q427" i="1"/>
  <c r="R427" i="1"/>
  <c r="S427" i="1"/>
  <c r="T427" i="1"/>
  <c r="U427" i="1"/>
  <c r="V427" i="1"/>
  <c r="W427" i="1"/>
  <c r="X427" i="1"/>
  <c r="Y427" i="1"/>
  <c r="P428" i="1"/>
  <c r="Q428" i="1"/>
  <c r="R428" i="1"/>
  <c r="S428" i="1"/>
  <c r="T428" i="1"/>
  <c r="U428" i="1"/>
  <c r="V428" i="1"/>
  <c r="W428" i="1"/>
  <c r="X428" i="1"/>
  <c r="Y428" i="1"/>
  <c r="P429" i="1"/>
  <c r="Q429" i="1"/>
  <c r="R429" i="1"/>
  <c r="S429" i="1"/>
  <c r="T429" i="1"/>
  <c r="U429" i="1"/>
  <c r="V429" i="1"/>
  <c r="W429" i="1"/>
  <c r="X429" i="1"/>
  <c r="Y429" i="1"/>
  <c r="P430" i="1"/>
  <c r="Q430" i="1"/>
  <c r="R430" i="1"/>
  <c r="S430" i="1"/>
  <c r="T430" i="1"/>
  <c r="U430" i="1"/>
  <c r="V430" i="1"/>
  <c r="W430" i="1"/>
  <c r="X430" i="1"/>
  <c r="Y430" i="1"/>
  <c r="P431" i="1"/>
  <c r="Q431" i="1"/>
  <c r="R431" i="1"/>
  <c r="S431" i="1"/>
  <c r="T431" i="1"/>
  <c r="U431" i="1"/>
  <c r="V431" i="1"/>
  <c r="W431" i="1"/>
  <c r="X431" i="1"/>
  <c r="Y431" i="1"/>
  <c r="P432" i="1"/>
  <c r="Q432" i="1"/>
  <c r="R432" i="1"/>
  <c r="S432" i="1"/>
  <c r="T432" i="1"/>
  <c r="U432" i="1"/>
  <c r="V432" i="1"/>
  <c r="W432" i="1"/>
  <c r="X432" i="1"/>
  <c r="Y432" i="1"/>
  <c r="P433" i="1"/>
  <c r="Q433" i="1"/>
  <c r="R433" i="1"/>
  <c r="S433" i="1"/>
  <c r="T433" i="1"/>
  <c r="U433" i="1"/>
  <c r="V433" i="1"/>
  <c r="W433" i="1"/>
  <c r="X433" i="1"/>
  <c r="Y433" i="1"/>
  <c r="P434" i="1"/>
  <c r="Q434" i="1"/>
  <c r="R434" i="1"/>
  <c r="S434" i="1"/>
  <c r="T434" i="1"/>
  <c r="U434" i="1"/>
  <c r="V434" i="1"/>
  <c r="W434" i="1"/>
  <c r="X434" i="1"/>
  <c r="Y434" i="1"/>
  <c r="P435" i="1"/>
  <c r="Q435" i="1"/>
  <c r="R435" i="1"/>
  <c r="S435" i="1"/>
  <c r="T435" i="1"/>
  <c r="U435" i="1"/>
  <c r="V435" i="1"/>
  <c r="W435" i="1"/>
  <c r="X435" i="1"/>
  <c r="Y435" i="1"/>
  <c r="P436" i="1"/>
  <c r="Q436" i="1"/>
  <c r="R436" i="1"/>
  <c r="S436" i="1"/>
  <c r="T436" i="1"/>
  <c r="U436" i="1"/>
  <c r="V436" i="1"/>
  <c r="W436" i="1"/>
  <c r="X436" i="1"/>
  <c r="Y436" i="1"/>
  <c r="P437" i="1"/>
  <c r="Q437" i="1"/>
  <c r="R437" i="1"/>
  <c r="S437" i="1"/>
  <c r="T437" i="1"/>
  <c r="U437" i="1"/>
  <c r="V437" i="1"/>
  <c r="W437" i="1"/>
  <c r="X437" i="1"/>
  <c r="Y437" i="1"/>
  <c r="P438" i="1"/>
  <c r="Q438" i="1"/>
  <c r="R438" i="1"/>
  <c r="S438" i="1"/>
  <c r="T438" i="1"/>
  <c r="U438" i="1"/>
  <c r="V438" i="1"/>
  <c r="W438" i="1"/>
  <c r="X438" i="1"/>
  <c r="Y438" i="1"/>
  <c r="P439" i="1"/>
  <c r="Q439" i="1"/>
  <c r="R439" i="1"/>
  <c r="S439" i="1"/>
  <c r="T439" i="1"/>
  <c r="U439" i="1"/>
  <c r="V439" i="1"/>
  <c r="W439" i="1"/>
  <c r="X439" i="1"/>
  <c r="Y439" i="1"/>
  <c r="P440" i="1"/>
  <c r="Q440" i="1"/>
  <c r="R440" i="1"/>
  <c r="S440" i="1"/>
  <c r="T440" i="1"/>
  <c r="U440" i="1"/>
  <c r="V440" i="1"/>
  <c r="W440" i="1"/>
  <c r="X440" i="1"/>
  <c r="Y440" i="1"/>
  <c r="P441" i="1"/>
  <c r="Q441" i="1"/>
  <c r="R441" i="1"/>
  <c r="S441" i="1"/>
  <c r="T441" i="1"/>
  <c r="U441" i="1"/>
  <c r="V441" i="1"/>
  <c r="W441" i="1"/>
  <c r="X441" i="1"/>
  <c r="Y441" i="1"/>
  <c r="P442" i="1"/>
  <c r="Q442" i="1"/>
  <c r="R442" i="1"/>
  <c r="S442" i="1"/>
  <c r="T442" i="1"/>
  <c r="U442" i="1"/>
  <c r="V442" i="1"/>
  <c r="W442" i="1"/>
  <c r="X442" i="1"/>
  <c r="Y442" i="1"/>
  <c r="P443" i="1"/>
  <c r="Q443" i="1"/>
  <c r="R443" i="1"/>
  <c r="S443" i="1"/>
  <c r="T443" i="1"/>
  <c r="U443" i="1"/>
  <c r="V443" i="1"/>
  <c r="W443" i="1"/>
  <c r="X443" i="1"/>
  <c r="Y443" i="1"/>
  <c r="P444" i="1"/>
  <c r="Q444" i="1"/>
  <c r="R444" i="1"/>
  <c r="S444" i="1"/>
  <c r="T444" i="1"/>
  <c r="U444" i="1"/>
  <c r="V444" i="1"/>
  <c r="W444" i="1"/>
  <c r="X444" i="1"/>
  <c r="Y444" i="1"/>
  <c r="P445" i="1"/>
  <c r="Q445" i="1"/>
  <c r="R445" i="1"/>
  <c r="S445" i="1"/>
  <c r="T445" i="1"/>
  <c r="U445" i="1"/>
  <c r="V445" i="1"/>
  <c r="W445" i="1"/>
  <c r="X445" i="1"/>
  <c r="Y445" i="1"/>
  <c r="P446" i="1"/>
  <c r="Q446" i="1"/>
  <c r="R446" i="1"/>
  <c r="S446" i="1"/>
  <c r="T446" i="1"/>
  <c r="U446" i="1"/>
  <c r="V446" i="1"/>
  <c r="W446" i="1"/>
  <c r="X446" i="1"/>
  <c r="Y446" i="1"/>
  <c r="P447" i="1"/>
  <c r="Q447" i="1"/>
  <c r="R447" i="1"/>
  <c r="S447" i="1"/>
  <c r="T447" i="1"/>
  <c r="U447" i="1"/>
  <c r="V447" i="1"/>
  <c r="W447" i="1"/>
  <c r="X447" i="1"/>
  <c r="Y447" i="1"/>
  <c r="P448" i="1"/>
  <c r="Q448" i="1"/>
  <c r="R448" i="1"/>
  <c r="S448" i="1"/>
  <c r="T448" i="1"/>
  <c r="U448" i="1"/>
  <c r="V448" i="1"/>
  <c r="W448" i="1"/>
  <c r="X448" i="1"/>
  <c r="Y448" i="1"/>
  <c r="P449" i="1"/>
  <c r="Q449" i="1"/>
  <c r="R449" i="1"/>
  <c r="S449" i="1"/>
  <c r="T449" i="1"/>
  <c r="U449" i="1"/>
  <c r="V449" i="1"/>
  <c r="W449" i="1"/>
  <c r="X449" i="1"/>
  <c r="Y449" i="1"/>
  <c r="P450" i="1"/>
  <c r="Q450" i="1"/>
  <c r="R450" i="1"/>
  <c r="S450" i="1"/>
  <c r="T450" i="1"/>
  <c r="U450" i="1"/>
  <c r="V450" i="1"/>
  <c r="W450" i="1"/>
  <c r="X450" i="1"/>
  <c r="Y450" i="1"/>
  <c r="P451" i="1"/>
  <c r="Q451" i="1"/>
  <c r="R451" i="1"/>
  <c r="S451" i="1"/>
  <c r="T451" i="1"/>
  <c r="U451" i="1"/>
  <c r="V451" i="1"/>
  <c r="W451" i="1"/>
  <c r="X451" i="1"/>
  <c r="Y451" i="1"/>
  <c r="P452" i="1"/>
  <c r="Q452" i="1"/>
  <c r="R452" i="1"/>
  <c r="S452" i="1"/>
  <c r="T452" i="1"/>
  <c r="U452" i="1"/>
  <c r="V452" i="1"/>
  <c r="W452" i="1"/>
  <c r="X452" i="1"/>
  <c r="Y452" i="1"/>
  <c r="P453" i="1"/>
  <c r="Q453" i="1"/>
  <c r="R453" i="1"/>
  <c r="S453" i="1"/>
  <c r="T453" i="1"/>
  <c r="U453" i="1"/>
  <c r="V453" i="1"/>
  <c r="W453" i="1"/>
  <c r="X453" i="1"/>
  <c r="Y453" i="1"/>
  <c r="P454" i="1"/>
  <c r="Q454" i="1"/>
  <c r="R454" i="1"/>
  <c r="S454" i="1"/>
  <c r="T454" i="1"/>
  <c r="U454" i="1"/>
  <c r="V454" i="1"/>
  <c r="W454" i="1"/>
  <c r="X454" i="1"/>
  <c r="Y454" i="1"/>
  <c r="P455" i="1"/>
  <c r="Q455" i="1"/>
  <c r="R455" i="1"/>
  <c r="S455" i="1"/>
  <c r="T455" i="1"/>
  <c r="U455" i="1"/>
  <c r="V455" i="1"/>
  <c r="W455" i="1"/>
  <c r="X455" i="1"/>
  <c r="Y455" i="1"/>
  <c r="P456" i="1"/>
  <c r="Q456" i="1"/>
  <c r="R456" i="1"/>
  <c r="S456" i="1"/>
  <c r="T456" i="1"/>
  <c r="U456" i="1"/>
  <c r="V456" i="1"/>
  <c r="W456" i="1"/>
  <c r="X456" i="1"/>
  <c r="Y456" i="1"/>
  <c r="P457" i="1"/>
  <c r="Q457" i="1"/>
  <c r="R457" i="1"/>
  <c r="S457" i="1"/>
  <c r="T457" i="1"/>
  <c r="U457" i="1"/>
  <c r="V457" i="1"/>
  <c r="W457" i="1"/>
  <c r="X457" i="1"/>
  <c r="Y457" i="1"/>
  <c r="P458" i="1"/>
  <c r="Q458" i="1"/>
  <c r="R458" i="1"/>
  <c r="S458" i="1"/>
  <c r="T458" i="1"/>
  <c r="U458" i="1"/>
  <c r="V458" i="1"/>
  <c r="W458" i="1"/>
  <c r="X458" i="1"/>
  <c r="Y458" i="1"/>
  <c r="P459" i="1"/>
  <c r="Q459" i="1"/>
  <c r="R459" i="1"/>
  <c r="S459" i="1"/>
  <c r="T459" i="1"/>
  <c r="U459" i="1"/>
  <c r="V459" i="1"/>
  <c r="W459" i="1"/>
  <c r="X459" i="1"/>
  <c r="Y459" i="1"/>
  <c r="P460" i="1"/>
  <c r="Q460" i="1"/>
  <c r="R460" i="1"/>
  <c r="S460" i="1"/>
  <c r="T460" i="1"/>
  <c r="U460" i="1"/>
  <c r="V460" i="1"/>
  <c r="W460" i="1"/>
  <c r="X460" i="1"/>
  <c r="Y460" i="1"/>
  <c r="P461" i="1"/>
  <c r="Q461" i="1"/>
  <c r="R461" i="1"/>
  <c r="S461" i="1"/>
  <c r="T461" i="1"/>
  <c r="U461" i="1"/>
  <c r="V461" i="1"/>
  <c r="W461" i="1"/>
  <c r="X461" i="1"/>
  <c r="Y461" i="1"/>
  <c r="P462" i="1"/>
  <c r="Q462" i="1"/>
  <c r="R462" i="1"/>
  <c r="S462" i="1"/>
  <c r="T462" i="1"/>
  <c r="U462" i="1"/>
  <c r="V462" i="1"/>
  <c r="W462" i="1"/>
  <c r="X462" i="1"/>
  <c r="Y462" i="1"/>
  <c r="P463" i="1"/>
  <c r="Q463" i="1"/>
  <c r="R463" i="1"/>
  <c r="S463" i="1"/>
  <c r="T463" i="1"/>
  <c r="U463" i="1"/>
  <c r="V463" i="1"/>
  <c r="W463" i="1"/>
  <c r="X463" i="1"/>
  <c r="Y463" i="1"/>
  <c r="P464" i="1"/>
  <c r="Q464" i="1"/>
  <c r="R464" i="1"/>
  <c r="S464" i="1"/>
  <c r="T464" i="1"/>
  <c r="U464" i="1"/>
  <c r="V464" i="1"/>
  <c r="W464" i="1"/>
  <c r="X464" i="1"/>
  <c r="Y464" i="1"/>
  <c r="P465" i="1"/>
  <c r="Q465" i="1"/>
  <c r="R465" i="1"/>
  <c r="S465" i="1"/>
  <c r="T465" i="1"/>
  <c r="U465" i="1"/>
  <c r="V465" i="1"/>
  <c r="W465" i="1"/>
  <c r="X465" i="1"/>
  <c r="Y465" i="1"/>
  <c r="P466" i="1"/>
  <c r="Q466" i="1"/>
  <c r="R466" i="1"/>
  <c r="S466" i="1"/>
  <c r="T466" i="1"/>
  <c r="U466" i="1"/>
  <c r="V466" i="1"/>
  <c r="W466" i="1"/>
  <c r="X466" i="1"/>
  <c r="Y466" i="1"/>
  <c r="P467" i="1"/>
  <c r="Q467" i="1"/>
  <c r="R467" i="1"/>
  <c r="S467" i="1"/>
  <c r="T467" i="1"/>
  <c r="U467" i="1"/>
  <c r="V467" i="1"/>
  <c r="W467" i="1"/>
  <c r="X467" i="1"/>
  <c r="Y467" i="1"/>
  <c r="P468" i="1"/>
  <c r="Q468" i="1"/>
  <c r="R468" i="1"/>
  <c r="S468" i="1"/>
  <c r="T468" i="1"/>
  <c r="U468" i="1"/>
  <c r="V468" i="1"/>
  <c r="W468" i="1"/>
  <c r="X468" i="1"/>
  <c r="Y468" i="1"/>
  <c r="P469" i="1"/>
  <c r="Q469" i="1"/>
  <c r="R469" i="1"/>
  <c r="S469" i="1"/>
  <c r="T469" i="1"/>
  <c r="U469" i="1"/>
  <c r="V469" i="1"/>
  <c r="W469" i="1"/>
  <c r="X469" i="1"/>
  <c r="Y469" i="1"/>
  <c r="P470" i="1"/>
  <c r="Q470" i="1"/>
  <c r="R470" i="1"/>
  <c r="S470" i="1"/>
  <c r="T470" i="1"/>
  <c r="U470" i="1"/>
  <c r="V470" i="1"/>
  <c r="W470" i="1"/>
  <c r="X470" i="1"/>
  <c r="Y470" i="1"/>
  <c r="P471" i="1"/>
  <c r="Q471" i="1"/>
  <c r="R471" i="1"/>
  <c r="S471" i="1"/>
  <c r="T471" i="1"/>
  <c r="U471" i="1"/>
  <c r="V471" i="1"/>
  <c r="W471" i="1"/>
  <c r="X471" i="1"/>
  <c r="Y471" i="1"/>
  <c r="P472" i="1"/>
  <c r="Q472" i="1"/>
  <c r="R472" i="1"/>
  <c r="S472" i="1"/>
  <c r="T472" i="1"/>
  <c r="U472" i="1"/>
  <c r="V472" i="1"/>
  <c r="W472" i="1"/>
  <c r="X472" i="1"/>
  <c r="Y472" i="1"/>
  <c r="P473" i="1"/>
  <c r="Q473" i="1"/>
  <c r="R473" i="1"/>
  <c r="S473" i="1"/>
  <c r="T473" i="1"/>
  <c r="U473" i="1"/>
  <c r="V473" i="1"/>
  <c r="W473" i="1"/>
  <c r="X473" i="1"/>
  <c r="Y473" i="1"/>
  <c r="P474" i="1"/>
  <c r="Q474" i="1"/>
  <c r="R474" i="1"/>
  <c r="S474" i="1"/>
  <c r="T474" i="1"/>
  <c r="U474" i="1"/>
  <c r="V474" i="1"/>
  <c r="W474" i="1"/>
  <c r="X474" i="1"/>
  <c r="Y474" i="1"/>
  <c r="P475" i="1"/>
  <c r="Q475" i="1"/>
  <c r="R475" i="1"/>
  <c r="S475" i="1"/>
  <c r="T475" i="1"/>
  <c r="U475" i="1"/>
  <c r="V475" i="1"/>
  <c r="W475" i="1"/>
  <c r="X475" i="1"/>
  <c r="Y475" i="1"/>
  <c r="P476" i="1"/>
  <c r="Q476" i="1"/>
  <c r="R476" i="1"/>
  <c r="S476" i="1"/>
  <c r="T476" i="1"/>
  <c r="U476" i="1"/>
  <c r="V476" i="1"/>
  <c r="W476" i="1"/>
  <c r="X476" i="1"/>
  <c r="Y476" i="1"/>
  <c r="P477" i="1"/>
  <c r="Q477" i="1"/>
  <c r="R477" i="1"/>
  <c r="S477" i="1"/>
  <c r="T477" i="1"/>
  <c r="U477" i="1"/>
  <c r="V477" i="1"/>
  <c r="W477" i="1"/>
  <c r="X477" i="1"/>
  <c r="Y477" i="1"/>
  <c r="P478" i="1"/>
  <c r="Q478" i="1"/>
  <c r="R478" i="1"/>
  <c r="S478" i="1"/>
  <c r="T478" i="1"/>
  <c r="U478" i="1"/>
  <c r="V478" i="1"/>
  <c r="W478" i="1"/>
  <c r="X478" i="1"/>
  <c r="Y478" i="1"/>
  <c r="P479" i="1"/>
  <c r="Q479" i="1"/>
  <c r="R479" i="1"/>
  <c r="S479" i="1"/>
  <c r="T479" i="1"/>
  <c r="U479" i="1"/>
  <c r="V479" i="1"/>
  <c r="W479" i="1"/>
  <c r="X479" i="1"/>
  <c r="Y479" i="1"/>
  <c r="P480" i="1"/>
  <c r="Q480" i="1"/>
  <c r="R480" i="1"/>
  <c r="S480" i="1"/>
  <c r="T480" i="1"/>
  <c r="U480" i="1"/>
  <c r="V480" i="1"/>
  <c r="W480" i="1"/>
  <c r="X480" i="1"/>
  <c r="Y480" i="1"/>
  <c r="P481" i="1"/>
  <c r="Q481" i="1"/>
  <c r="R481" i="1"/>
  <c r="S481" i="1"/>
  <c r="T481" i="1"/>
  <c r="U481" i="1"/>
  <c r="V481" i="1"/>
  <c r="W481" i="1"/>
  <c r="X481" i="1"/>
  <c r="Y481" i="1"/>
  <c r="P482" i="1"/>
  <c r="Q482" i="1"/>
  <c r="R482" i="1"/>
  <c r="S482" i="1"/>
  <c r="T482" i="1"/>
  <c r="U482" i="1"/>
  <c r="V482" i="1"/>
  <c r="W482" i="1"/>
  <c r="X482" i="1"/>
  <c r="Y482" i="1"/>
  <c r="P483" i="1"/>
  <c r="Q483" i="1"/>
  <c r="R483" i="1"/>
  <c r="S483" i="1"/>
  <c r="T483" i="1"/>
  <c r="U483" i="1"/>
  <c r="V483" i="1"/>
  <c r="W483" i="1"/>
  <c r="X483" i="1"/>
  <c r="Y483" i="1"/>
  <c r="P484" i="1"/>
  <c r="Q484" i="1"/>
  <c r="R484" i="1"/>
  <c r="S484" i="1"/>
  <c r="T484" i="1"/>
  <c r="U484" i="1"/>
  <c r="V484" i="1"/>
  <c r="W484" i="1"/>
  <c r="X484" i="1"/>
  <c r="Y484" i="1"/>
  <c r="P485" i="1"/>
  <c r="Q485" i="1"/>
  <c r="R485" i="1"/>
  <c r="S485" i="1"/>
  <c r="T485" i="1"/>
  <c r="U485" i="1"/>
  <c r="V485" i="1"/>
  <c r="W485" i="1"/>
  <c r="X485" i="1"/>
  <c r="Y485" i="1"/>
  <c r="P486" i="1"/>
  <c r="Q486" i="1"/>
  <c r="R486" i="1"/>
  <c r="S486" i="1"/>
  <c r="T486" i="1"/>
  <c r="U486" i="1"/>
  <c r="V486" i="1"/>
  <c r="W486" i="1"/>
  <c r="X486" i="1"/>
  <c r="Y486" i="1"/>
  <c r="P487" i="1"/>
  <c r="Q487" i="1"/>
  <c r="R487" i="1"/>
  <c r="S487" i="1"/>
  <c r="T487" i="1"/>
  <c r="U487" i="1"/>
  <c r="V487" i="1"/>
  <c r="W487" i="1"/>
  <c r="X487" i="1"/>
  <c r="Y487" i="1"/>
  <c r="P488" i="1"/>
  <c r="Q488" i="1"/>
  <c r="R488" i="1"/>
  <c r="S488" i="1"/>
  <c r="T488" i="1"/>
  <c r="U488" i="1"/>
  <c r="V488" i="1"/>
  <c r="W488" i="1"/>
  <c r="X488" i="1"/>
  <c r="Y488" i="1"/>
  <c r="P489" i="1"/>
  <c r="Q489" i="1"/>
  <c r="R489" i="1"/>
  <c r="S489" i="1"/>
  <c r="T489" i="1"/>
  <c r="U489" i="1"/>
  <c r="V489" i="1"/>
  <c r="W489" i="1"/>
  <c r="X489" i="1"/>
  <c r="Y489" i="1"/>
  <c r="P490" i="1"/>
  <c r="Q490" i="1"/>
  <c r="R490" i="1"/>
  <c r="S490" i="1"/>
  <c r="T490" i="1"/>
  <c r="U490" i="1"/>
  <c r="V490" i="1"/>
  <c r="W490" i="1"/>
  <c r="X490" i="1"/>
  <c r="Y490" i="1"/>
  <c r="P491" i="1"/>
  <c r="Q491" i="1"/>
  <c r="R491" i="1"/>
  <c r="S491" i="1"/>
  <c r="T491" i="1"/>
  <c r="U491" i="1"/>
  <c r="V491" i="1"/>
  <c r="W491" i="1"/>
  <c r="X491" i="1"/>
  <c r="Y491" i="1"/>
  <c r="P492" i="1"/>
  <c r="Q492" i="1"/>
  <c r="R492" i="1"/>
  <c r="S492" i="1"/>
  <c r="T492" i="1"/>
  <c r="U492" i="1"/>
  <c r="V492" i="1"/>
  <c r="W492" i="1"/>
  <c r="X492" i="1"/>
  <c r="Y492" i="1"/>
  <c r="P493" i="1"/>
  <c r="Q493" i="1"/>
  <c r="R493" i="1"/>
  <c r="S493" i="1"/>
  <c r="T493" i="1"/>
  <c r="U493" i="1"/>
  <c r="V493" i="1"/>
  <c r="W493" i="1"/>
  <c r="X493" i="1"/>
  <c r="Y493" i="1"/>
  <c r="P494" i="1"/>
  <c r="Q494" i="1"/>
  <c r="R494" i="1"/>
  <c r="S494" i="1"/>
  <c r="T494" i="1"/>
  <c r="U494" i="1"/>
  <c r="V494" i="1"/>
  <c r="W494" i="1"/>
  <c r="X494" i="1"/>
  <c r="Y494" i="1"/>
  <c r="P495" i="1"/>
  <c r="Q495" i="1"/>
  <c r="R495" i="1"/>
  <c r="S495" i="1"/>
  <c r="T495" i="1"/>
  <c r="U495" i="1"/>
  <c r="V495" i="1"/>
  <c r="W495" i="1"/>
  <c r="X495" i="1"/>
  <c r="Y495" i="1"/>
  <c r="P496" i="1"/>
  <c r="Q496" i="1"/>
  <c r="R496" i="1"/>
  <c r="S496" i="1"/>
  <c r="T496" i="1"/>
  <c r="U496" i="1"/>
  <c r="V496" i="1"/>
  <c r="W496" i="1"/>
  <c r="X496" i="1"/>
  <c r="Y496" i="1"/>
  <c r="P497" i="1"/>
  <c r="Q497" i="1"/>
  <c r="R497" i="1"/>
  <c r="S497" i="1"/>
  <c r="T497" i="1"/>
  <c r="U497" i="1"/>
  <c r="V497" i="1"/>
  <c r="W497" i="1"/>
  <c r="X497" i="1"/>
  <c r="Y497" i="1"/>
  <c r="P498" i="1"/>
  <c r="Q498" i="1"/>
  <c r="R498" i="1"/>
  <c r="S498" i="1"/>
  <c r="T498" i="1"/>
  <c r="U498" i="1"/>
  <c r="V498" i="1"/>
  <c r="W498" i="1"/>
  <c r="X498" i="1"/>
  <c r="Y498" i="1"/>
  <c r="P499" i="1"/>
  <c r="Q499" i="1"/>
  <c r="R499" i="1"/>
  <c r="S499" i="1"/>
  <c r="T499" i="1"/>
  <c r="U499" i="1"/>
  <c r="V499" i="1"/>
  <c r="W499" i="1"/>
  <c r="X499" i="1"/>
  <c r="Y499" i="1"/>
  <c r="P500" i="1"/>
  <c r="Q500" i="1"/>
  <c r="R500" i="1"/>
  <c r="S500" i="1"/>
  <c r="T500" i="1"/>
  <c r="U500" i="1"/>
  <c r="V500" i="1"/>
  <c r="W500" i="1"/>
  <c r="X500" i="1"/>
  <c r="Y500" i="1"/>
  <c r="P501" i="1"/>
  <c r="Q501" i="1"/>
  <c r="R501" i="1"/>
  <c r="S501" i="1"/>
  <c r="T501" i="1"/>
  <c r="U501" i="1"/>
  <c r="V501" i="1"/>
  <c r="W501" i="1"/>
  <c r="X501" i="1"/>
  <c r="Y501" i="1"/>
  <c r="P502" i="1"/>
  <c r="Q502" i="1"/>
  <c r="R502" i="1"/>
  <c r="S502" i="1"/>
  <c r="T502" i="1"/>
  <c r="U502" i="1"/>
  <c r="V502" i="1"/>
  <c r="W502" i="1"/>
  <c r="X502" i="1"/>
  <c r="Y502" i="1"/>
  <c r="P503" i="1"/>
  <c r="Q503" i="1"/>
  <c r="R503" i="1"/>
  <c r="S503" i="1"/>
  <c r="T503" i="1"/>
  <c r="U503" i="1"/>
  <c r="V503" i="1"/>
  <c r="W503" i="1"/>
  <c r="X503" i="1"/>
  <c r="Y503" i="1"/>
  <c r="P504" i="1"/>
  <c r="Q504" i="1"/>
  <c r="R504" i="1"/>
  <c r="S504" i="1"/>
  <c r="T504" i="1"/>
  <c r="U504" i="1"/>
  <c r="V504" i="1"/>
  <c r="W504" i="1"/>
  <c r="X504" i="1"/>
  <c r="Y504" i="1"/>
  <c r="P505" i="1"/>
  <c r="Q505" i="1"/>
  <c r="R505" i="1"/>
  <c r="S505" i="1"/>
  <c r="T505" i="1"/>
  <c r="U505" i="1"/>
  <c r="V505" i="1"/>
  <c r="W505" i="1"/>
  <c r="X505" i="1"/>
  <c r="Y505" i="1"/>
  <c r="P506" i="1"/>
  <c r="Q506" i="1"/>
  <c r="R506" i="1"/>
  <c r="S506" i="1"/>
  <c r="T506" i="1"/>
  <c r="U506" i="1"/>
  <c r="V506" i="1"/>
  <c r="W506" i="1"/>
  <c r="X506" i="1"/>
  <c r="Y506" i="1"/>
  <c r="P507" i="1"/>
  <c r="Q507" i="1"/>
  <c r="R507" i="1"/>
  <c r="S507" i="1"/>
  <c r="T507" i="1"/>
  <c r="U507" i="1"/>
  <c r="V507" i="1"/>
  <c r="W507" i="1"/>
  <c r="X507" i="1"/>
  <c r="Y507" i="1"/>
  <c r="P508" i="1"/>
  <c r="Q508" i="1"/>
  <c r="R508" i="1"/>
  <c r="S508" i="1"/>
  <c r="T508" i="1"/>
  <c r="U508" i="1"/>
  <c r="V508" i="1"/>
  <c r="W508" i="1"/>
  <c r="X508" i="1"/>
  <c r="Y508" i="1"/>
  <c r="P509" i="1"/>
  <c r="Q509" i="1"/>
  <c r="R509" i="1"/>
  <c r="S509" i="1"/>
  <c r="T509" i="1"/>
  <c r="U509" i="1"/>
  <c r="V509" i="1"/>
  <c r="W509" i="1"/>
  <c r="X509" i="1"/>
  <c r="Y509" i="1"/>
  <c r="P510" i="1"/>
  <c r="Q510" i="1"/>
  <c r="R510" i="1"/>
  <c r="S510" i="1"/>
  <c r="T510" i="1"/>
  <c r="U510" i="1"/>
  <c r="V510" i="1"/>
  <c r="W510" i="1"/>
  <c r="X510" i="1"/>
  <c r="Y510" i="1"/>
  <c r="P511" i="1"/>
  <c r="Q511" i="1"/>
  <c r="R511" i="1"/>
  <c r="S511" i="1"/>
  <c r="T511" i="1"/>
  <c r="U511" i="1"/>
  <c r="V511" i="1"/>
  <c r="W511" i="1"/>
  <c r="X511" i="1"/>
  <c r="Y511" i="1"/>
  <c r="P512" i="1"/>
  <c r="Q512" i="1"/>
  <c r="R512" i="1"/>
  <c r="S512" i="1"/>
  <c r="T512" i="1"/>
  <c r="U512" i="1"/>
  <c r="V512" i="1"/>
  <c r="W512" i="1"/>
  <c r="X512" i="1"/>
  <c r="Y512" i="1"/>
  <c r="P513" i="1"/>
  <c r="Q513" i="1"/>
  <c r="R513" i="1"/>
  <c r="S513" i="1"/>
  <c r="T513" i="1"/>
  <c r="U513" i="1"/>
  <c r="V513" i="1"/>
  <c r="W513" i="1"/>
  <c r="X513" i="1"/>
  <c r="Y513" i="1"/>
  <c r="P514" i="1"/>
  <c r="Q514" i="1"/>
  <c r="R514" i="1"/>
  <c r="S514" i="1"/>
  <c r="T514" i="1"/>
  <c r="U514" i="1"/>
  <c r="V514" i="1"/>
  <c r="W514" i="1"/>
  <c r="X514" i="1"/>
  <c r="Y514" i="1"/>
  <c r="P515" i="1"/>
  <c r="Q515" i="1"/>
  <c r="R515" i="1"/>
  <c r="S515" i="1"/>
  <c r="T515" i="1"/>
  <c r="U515" i="1"/>
  <c r="V515" i="1"/>
  <c r="W515" i="1"/>
  <c r="X515" i="1"/>
  <c r="Y515" i="1"/>
  <c r="P516" i="1"/>
  <c r="Q516" i="1"/>
  <c r="R516" i="1"/>
  <c r="S516" i="1"/>
  <c r="T516" i="1"/>
  <c r="U516" i="1"/>
  <c r="V516" i="1"/>
  <c r="W516" i="1"/>
  <c r="X516" i="1"/>
  <c r="Y516" i="1"/>
  <c r="P517" i="1"/>
  <c r="Q517" i="1"/>
  <c r="R517" i="1"/>
  <c r="S517" i="1"/>
  <c r="T517" i="1"/>
  <c r="U517" i="1"/>
  <c r="V517" i="1"/>
  <c r="W517" i="1"/>
  <c r="X517" i="1"/>
  <c r="Y517" i="1"/>
  <c r="P518" i="1"/>
  <c r="Q518" i="1"/>
  <c r="R518" i="1"/>
  <c r="S518" i="1"/>
  <c r="T518" i="1"/>
  <c r="U518" i="1"/>
  <c r="V518" i="1"/>
  <c r="W518" i="1"/>
  <c r="X518" i="1"/>
  <c r="Y518" i="1"/>
  <c r="P519" i="1"/>
  <c r="Q519" i="1"/>
  <c r="R519" i="1"/>
  <c r="S519" i="1"/>
  <c r="T519" i="1"/>
  <c r="U519" i="1"/>
  <c r="V519" i="1"/>
  <c r="W519" i="1"/>
  <c r="X519" i="1"/>
  <c r="Y519" i="1"/>
  <c r="P520" i="1"/>
  <c r="Q520" i="1"/>
  <c r="R520" i="1"/>
  <c r="S520" i="1"/>
  <c r="T520" i="1"/>
  <c r="U520" i="1"/>
  <c r="V520" i="1"/>
  <c r="W520" i="1"/>
  <c r="X520" i="1"/>
  <c r="Y520" i="1"/>
  <c r="P521" i="1"/>
  <c r="Q521" i="1"/>
  <c r="R521" i="1"/>
  <c r="S521" i="1"/>
  <c r="T521" i="1"/>
  <c r="U521" i="1"/>
  <c r="V521" i="1"/>
  <c r="W521" i="1"/>
  <c r="X521" i="1"/>
  <c r="Y521" i="1"/>
  <c r="P522" i="1"/>
  <c r="Q522" i="1"/>
  <c r="R522" i="1"/>
  <c r="S522" i="1"/>
  <c r="T522" i="1"/>
  <c r="U522" i="1"/>
  <c r="V522" i="1"/>
  <c r="W522" i="1"/>
  <c r="X522" i="1"/>
  <c r="Y522" i="1"/>
  <c r="P523" i="1"/>
  <c r="Q523" i="1"/>
  <c r="R523" i="1"/>
  <c r="S523" i="1"/>
  <c r="T523" i="1"/>
  <c r="U523" i="1"/>
  <c r="V523" i="1"/>
  <c r="W523" i="1"/>
  <c r="X523" i="1"/>
  <c r="Y523" i="1"/>
  <c r="P524" i="1"/>
  <c r="Q524" i="1"/>
  <c r="R524" i="1"/>
  <c r="S524" i="1"/>
  <c r="T524" i="1"/>
  <c r="U524" i="1"/>
  <c r="V524" i="1"/>
  <c r="W524" i="1"/>
  <c r="X524" i="1"/>
  <c r="Y524" i="1"/>
  <c r="P525" i="1"/>
  <c r="Q525" i="1"/>
  <c r="R525" i="1"/>
  <c r="S525" i="1"/>
  <c r="T525" i="1"/>
  <c r="U525" i="1"/>
  <c r="V525" i="1"/>
  <c r="W525" i="1"/>
  <c r="X525" i="1"/>
  <c r="Y525" i="1"/>
  <c r="P526" i="1"/>
  <c r="Q526" i="1"/>
  <c r="R526" i="1"/>
  <c r="S526" i="1"/>
  <c r="T526" i="1"/>
  <c r="U526" i="1"/>
  <c r="V526" i="1"/>
  <c r="W526" i="1"/>
  <c r="X526" i="1"/>
  <c r="Y526" i="1"/>
  <c r="P527" i="1"/>
  <c r="Q527" i="1"/>
  <c r="R527" i="1"/>
  <c r="S527" i="1"/>
  <c r="T527" i="1"/>
  <c r="U527" i="1"/>
  <c r="V527" i="1"/>
  <c r="W527" i="1"/>
  <c r="X527" i="1"/>
  <c r="Y527" i="1"/>
  <c r="P528" i="1"/>
  <c r="Q528" i="1"/>
  <c r="R528" i="1"/>
  <c r="S528" i="1"/>
  <c r="T528" i="1"/>
  <c r="U528" i="1"/>
  <c r="V528" i="1"/>
  <c r="W528" i="1"/>
  <c r="X528" i="1"/>
  <c r="Y528" i="1"/>
  <c r="P529" i="1"/>
  <c r="Q529" i="1"/>
  <c r="R529" i="1"/>
  <c r="S529" i="1"/>
  <c r="T529" i="1"/>
  <c r="U529" i="1"/>
  <c r="V529" i="1"/>
  <c r="W529" i="1"/>
  <c r="X529" i="1"/>
  <c r="Y529" i="1"/>
  <c r="P530" i="1"/>
  <c r="Q530" i="1"/>
  <c r="R530" i="1"/>
  <c r="S530" i="1"/>
  <c r="T530" i="1"/>
  <c r="U530" i="1"/>
  <c r="V530" i="1"/>
  <c r="W530" i="1"/>
  <c r="X530" i="1"/>
  <c r="Y530" i="1"/>
  <c r="P531" i="1"/>
  <c r="Q531" i="1"/>
  <c r="R531" i="1"/>
  <c r="S531" i="1"/>
  <c r="T531" i="1"/>
  <c r="U531" i="1"/>
  <c r="V531" i="1"/>
  <c r="W531" i="1"/>
  <c r="X531" i="1"/>
  <c r="Y531" i="1"/>
  <c r="P532" i="1"/>
  <c r="Q532" i="1"/>
  <c r="R532" i="1"/>
  <c r="S532" i="1"/>
  <c r="T532" i="1"/>
  <c r="U532" i="1"/>
  <c r="V532" i="1"/>
  <c r="W532" i="1"/>
  <c r="X532" i="1"/>
  <c r="Y532" i="1"/>
  <c r="P533" i="1"/>
  <c r="Q533" i="1"/>
  <c r="R533" i="1"/>
  <c r="S533" i="1"/>
  <c r="T533" i="1"/>
  <c r="U533" i="1"/>
  <c r="V533" i="1"/>
  <c r="W533" i="1"/>
  <c r="X533" i="1"/>
  <c r="Y533" i="1"/>
  <c r="P534" i="1"/>
  <c r="Q534" i="1"/>
  <c r="R534" i="1"/>
  <c r="S534" i="1"/>
  <c r="T534" i="1"/>
  <c r="U534" i="1"/>
  <c r="V534" i="1"/>
  <c r="W534" i="1"/>
  <c r="X534" i="1"/>
  <c r="Y534" i="1"/>
  <c r="P535" i="1"/>
  <c r="Q535" i="1"/>
  <c r="R535" i="1"/>
  <c r="S535" i="1"/>
  <c r="T535" i="1"/>
  <c r="U535" i="1"/>
  <c r="V535" i="1"/>
  <c r="W535" i="1"/>
  <c r="X535" i="1"/>
  <c r="Y535" i="1"/>
  <c r="P536" i="1"/>
  <c r="Q536" i="1"/>
  <c r="R536" i="1"/>
  <c r="S536" i="1"/>
  <c r="T536" i="1"/>
  <c r="U536" i="1"/>
  <c r="V536" i="1"/>
  <c r="W536" i="1"/>
  <c r="X536" i="1"/>
  <c r="Y536" i="1"/>
  <c r="P537" i="1"/>
  <c r="Q537" i="1"/>
  <c r="R537" i="1"/>
  <c r="S537" i="1"/>
  <c r="T537" i="1"/>
  <c r="U537" i="1"/>
  <c r="V537" i="1"/>
  <c r="W537" i="1"/>
  <c r="X537" i="1"/>
  <c r="Y537" i="1"/>
  <c r="P538" i="1"/>
  <c r="Q538" i="1"/>
  <c r="R538" i="1"/>
  <c r="S538" i="1"/>
  <c r="T538" i="1"/>
  <c r="U538" i="1"/>
  <c r="V538" i="1"/>
  <c r="W538" i="1"/>
  <c r="X538" i="1"/>
  <c r="Y538" i="1"/>
  <c r="P539" i="1"/>
  <c r="Q539" i="1"/>
  <c r="R539" i="1"/>
  <c r="S539" i="1"/>
  <c r="T539" i="1"/>
  <c r="U539" i="1"/>
  <c r="V539" i="1"/>
  <c r="W539" i="1"/>
  <c r="X539" i="1"/>
  <c r="Y539" i="1"/>
  <c r="P540" i="1"/>
  <c r="Q540" i="1"/>
  <c r="R540" i="1"/>
  <c r="S540" i="1"/>
  <c r="T540" i="1"/>
  <c r="U540" i="1"/>
  <c r="V540" i="1"/>
  <c r="W540" i="1"/>
  <c r="X540" i="1"/>
  <c r="Y540" i="1"/>
  <c r="P541" i="1"/>
  <c r="Q541" i="1"/>
  <c r="R541" i="1"/>
  <c r="S541" i="1"/>
  <c r="T541" i="1"/>
  <c r="U541" i="1"/>
  <c r="V541" i="1"/>
  <c r="W541" i="1"/>
  <c r="X541" i="1"/>
  <c r="Y541" i="1"/>
  <c r="P542" i="1"/>
  <c r="Q542" i="1"/>
  <c r="R542" i="1"/>
  <c r="S542" i="1"/>
  <c r="T542" i="1"/>
  <c r="U542" i="1"/>
  <c r="V542" i="1"/>
  <c r="W542" i="1"/>
  <c r="X542" i="1"/>
  <c r="Y542" i="1"/>
  <c r="P543" i="1"/>
  <c r="Q543" i="1"/>
  <c r="R543" i="1"/>
  <c r="S543" i="1"/>
  <c r="T543" i="1"/>
  <c r="U543" i="1"/>
  <c r="V543" i="1"/>
  <c r="W543" i="1"/>
  <c r="X543" i="1"/>
  <c r="Y543" i="1"/>
  <c r="P544" i="1"/>
  <c r="Q544" i="1"/>
  <c r="R544" i="1"/>
  <c r="S544" i="1"/>
  <c r="T544" i="1"/>
  <c r="U544" i="1"/>
  <c r="V544" i="1"/>
  <c r="W544" i="1"/>
  <c r="X544" i="1"/>
  <c r="Y544" i="1"/>
  <c r="P545" i="1"/>
  <c r="Q545" i="1"/>
  <c r="R545" i="1"/>
  <c r="S545" i="1"/>
  <c r="T545" i="1"/>
  <c r="U545" i="1"/>
  <c r="V545" i="1"/>
  <c r="W545" i="1"/>
  <c r="X545" i="1"/>
  <c r="Y545" i="1"/>
  <c r="P546" i="1"/>
  <c r="Q546" i="1"/>
  <c r="R546" i="1"/>
  <c r="S546" i="1"/>
  <c r="T546" i="1"/>
  <c r="U546" i="1"/>
  <c r="V546" i="1"/>
  <c r="W546" i="1"/>
  <c r="X546" i="1"/>
  <c r="Y546" i="1"/>
  <c r="P547" i="1"/>
  <c r="Q547" i="1"/>
  <c r="R547" i="1"/>
  <c r="S547" i="1"/>
  <c r="T547" i="1"/>
  <c r="U547" i="1"/>
  <c r="V547" i="1"/>
  <c r="W547" i="1"/>
  <c r="X547" i="1"/>
  <c r="Y547" i="1"/>
  <c r="P548" i="1"/>
  <c r="Q548" i="1"/>
  <c r="R548" i="1"/>
  <c r="S548" i="1"/>
  <c r="T548" i="1"/>
  <c r="U548" i="1"/>
  <c r="V548" i="1"/>
  <c r="W548" i="1"/>
  <c r="X548" i="1"/>
  <c r="Y548" i="1"/>
  <c r="P549" i="1"/>
  <c r="Q549" i="1"/>
  <c r="R549" i="1"/>
  <c r="S549" i="1"/>
  <c r="T549" i="1"/>
  <c r="U549" i="1"/>
  <c r="V549" i="1"/>
  <c r="W549" i="1"/>
  <c r="X549" i="1"/>
  <c r="Y549" i="1"/>
  <c r="P550" i="1"/>
  <c r="Q550" i="1"/>
  <c r="R550" i="1"/>
  <c r="S550" i="1"/>
  <c r="T550" i="1"/>
  <c r="U550" i="1"/>
  <c r="V550" i="1"/>
  <c r="W550" i="1"/>
  <c r="X550" i="1"/>
  <c r="Y550" i="1"/>
  <c r="P551" i="1"/>
  <c r="Q551" i="1"/>
  <c r="R551" i="1"/>
  <c r="S551" i="1"/>
  <c r="T551" i="1"/>
  <c r="U551" i="1"/>
  <c r="V551" i="1"/>
  <c r="W551" i="1"/>
  <c r="X551" i="1"/>
  <c r="Y551" i="1"/>
  <c r="P552" i="1"/>
  <c r="Q552" i="1"/>
  <c r="R552" i="1"/>
  <c r="S552" i="1"/>
  <c r="T552" i="1"/>
  <c r="U552" i="1"/>
  <c r="V552" i="1"/>
  <c r="W552" i="1"/>
  <c r="X552" i="1"/>
  <c r="Y552" i="1"/>
  <c r="P553" i="1"/>
  <c r="Q553" i="1"/>
  <c r="R553" i="1"/>
  <c r="S553" i="1"/>
  <c r="T553" i="1"/>
  <c r="U553" i="1"/>
  <c r="V553" i="1"/>
  <c r="W553" i="1"/>
  <c r="X553" i="1"/>
  <c r="Y553" i="1"/>
  <c r="P554" i="1"/>
  <c r="Q554" i="1"/>
  <c r="R554" i="1"/>
  <c r="S554" i="1"/>
  <c r="T554" i="1"/>
  <c r="U554" i="1"/>
  <c r="V554" i="1"/>
  <c r="W554" i="1"/>
  <c r="X554" i="1"/>
  <c r="Y554" i="1"/>
  <c r="P555" i="1"/>
  <c r="Q555" i="1"/>
  <c r="R555" i="1"/>
  <c r="S555" i="1"/>
  <c r="T555" i="1"/>
  <c r="U555" i="1"/>
  <c r="V555" i="1"/>
  <c r="W555" i="1"/>
  <c r="X555" i="1"/>
  <c r="Y555" i="1"/>
  <c r="P556" i="1"/>
  <c r="Q556" i="1"/>
  <c r="R556" i="1"/>
  <c r="S556" i="1"/>
  <c r="T556" i="1"/>
  <c r="U556" i="1"/>
  <c r="V556" i="1"/>
  <c r="W556" i="1"/>
  <c r="X556" i="1"/>
  <c r="Y556" i="1"/>
  <c r="P557" i="1"/>
  <c r="Q557" i="1"/>
  <c r="R557" i="1"/>
  <c r="S557" i="1"/>
  <c r="T557" i="1"/>
  <c r="U557" i="1"/>
  <c r="V557" i="1"/>
  <c r="W557" i="1"/>
  <c r="X557" i="1"/>
  <c r="Y557" i="1"/>
  <c r="P558" i="1"/>
  <c r="Q558" i="1"/>
  <c r="R558" i="1"/>
  <c r="S558" i="1"/>
  <c r="T558" i="1"/>
  <c r="U558" i="1"/>
  <c r="V558" i="1"/>
  <c r="W558" i="1"/>
  <c r="X558" i="1"/>
  <c r="Y558" i="1"/>
  <c r="P559" i="1"/>
  <c r="Q559" i="1"/>
  <c r="R559" i="1"/>
  <c r="S559" i="1"/>
  <c r="T559" i="1"/>
  <c r="U559" i="1"/>
  <c r="V559" i="1"/>
  <c r="W559" i="1"/>
  <c r="X559" i="1"/>
  <c r="Y559" i="1"/>
  <c r="P560" i="1"/>
  <c r="Q560" i="1"/>
  <c r="R560" i="1"/>
  <c r="S560" i="1"/>
  <c r="T560" i="1"/>
  <c r="U560" i="1"/>
  <c r="V560" i="1"/>
  <c r="W560" i="1"/>
  <c r="X560" i="1"/>
  <c r="Y560" i="1"/>
  <c r="P561" i="1"/>
  <c r="Q561" i="1"/>
  <c r="R561" i="1"/>
  <c r="S561" i="1"/>
  <c r="T561" i="1"/>
  <c r="U561" i="1"/>
  <c r="V561" i="1"/>
  <c r="W561" i="1"/>
  <c r="X561" i="1"/>
  <c r="Y561" i="1"/>
  <c r="P562" i="1"/>
  <c r="Q562" i="1"/>
  <c r="R562" i="1"/>
  <c r="S562" i="1"/>
  <c r="T562" i="1"/>
  <c r="U562" i="1"/>
  <c r="V562" i="1"/>
  <c r="W562" i="1"/>
  <c r="X562" i="1"/>
  <c r="Y562" i="1"/>
  <c r="P563" i="1"/>
  <c r="Q563" i="1"/>
  <c r="R563" i="1"/>
  <c r="S563" i="1"/>
  <c r="T563" i="1"/>
  <c r="U563" i="1"/>
  <c r="V563" i="1"/>
  <c r="W563" i="1"/>
  <c r="X563" i="1"/>
  <c r="Y563" i="1"/>
  <c r="P564" i="1"/>
  <c r="Q564" i="1"/>
  <c r="R564" i="1"/>
  <c r="S564" i="1"/>
  <c r="T564" i="1"/>
  <c r="U564" i="1"/>
  <c r="V564" i="1"/>
  <c r="W564" i="1"/>
  <c r="X564" i="1"/>
  <c r="Y564" i="1"/>
  <c r="P565" i="1"/>
  <c r="Q565" i="1"/>
  <c r="R565" i="1"/>
  <c r="S565" i="1"/>
  <c r="T565" i="1"/>
  <c r="U565" i="1"/>
  <c r="V565" i="1"/>
  <c r="W565" i="1"/>
  <c r="X565" i="1"/>
  <c r="Y565" i="1"/>
  <c r="P566" i="1"/>
  <c r="Q566" i="1"/>
  <c r="R566" i="1"/>
  <c r="S566" i="1"/>
  <c r="T566" i="1"/>
  <c r="U566" i="1"/>
  <c r="V566" i="1"/>
  <c r="W566" i="1"/>
  <c r="X566" i="1"/>
  <c r="Y566" i="1"/>
  <c r="P567" i="1"/>
  <c r="Q567" i="1"/>
  <c r="R567" i="1"/>
  <c r="S567" i="1"/>
  <c r="T567" i="1"/>
  <c r="U567" i="1"/>
  <c r="V567" i="1"/>
  <c r="W567" i="1"/>
  <c r="X567" i="1"/>
  <c r="Y567" i="1"/>
  <c r="P568" i="1"/>
  <c r="Q568" i="1"/>
  <c r="R568" i="1"/>
  <c r="S568" i="1"/>
  <c r="T568" i="1"/>
  <c r="U568" i="1"/>
  <c r="V568" i="1"/>
  <c r="W568" i="1"/>
  <c r="X568" i="1"/>
  <c r="Y568" i="1"/>
  <c r="P569" i="1"/>
  <c r="Q569" i="1"/>
  <c r="R569" i="1"/>
  <c r="S569" i="1"/>
  <c r="T569" i="1"/>
  <c r="U569" i="1"/>
  <c r="V569" i="1"/>
  <c r="W569" i="1"/>
  <c r="X569" i="1"/>
  <c r="Y569" i="1"/>
  <c r="P570" i="1"/>
  <c r="Q570" i="1"/>
  <c r="R570" i="1"/>
  <c r="S570" i="1"/>
  <c r="T570" i="1"/>
  <c r="U570" i="1"/>
  <c r="V570" i="1"/>
  <c r="W570" i="1"/>
  <c r="X570" i="1"/>
  <c r="Y570" i="1"/>
  <c r="P571" i="1"/>
  <c r="Q571" i="1"/>
  <c r="R571" i="1"/>
  <c r="S571" i="1"/>
  <c r="T571" i="1"/>
  <c r="U571" i="1"/>
  <c r="V571" i="1"/>
  <c r="W571" i="1"/>
  <c r="X571" i="1"/>
  <c r="Y571" i="1"/>
  <c r="P572" i="1"/>
  <c r="Q572" i="1"/>
  <c r="R572" i="1"/>
  <c r="S572" i="1"/>
  <c r="T572" i="1"/>
  <c r="U572" i="1"/>
  <c r="V572" i="1"/>
  <c r="W572" i="1"/>
  <c r="X572" i="1"/>
  <c r="Y572" i="1"/>
  <c r="P573" i="1"/>
  <c r="Q573" i="1"/>
  <c r="R573" i="1"/>
  <c r="S573" i="1"/>
  <c r="T573" i="1"/>
  <c r="U573" i="1"/>
  <c r="V573" i="1"/>
  <c r="W573" i="1"/>
  <c r="X573" i="1"/>
  <c r="Y573" i="1"/>
  <c r="P574" i="1"/>
  <c r="Q574" i="1"/>
  <c r="R574" i="1"/>
  <c r="S574" i="1"/>
  <c r="T574" i="1"/>
  <c r="U574" i="1"/>
  <c r="V574" i="1"/>
  <c r="W574" i="1"/>
  <c r="X574" i="1"/>
  <c r="Y574" i="1"/>
  <c r="P575" i="1"/>
  <c r="Q575" i="1"/>
  <c r="R575" i="1"/>
  <c r="S575" i="1"/>
  <c r="T575" i="1"/>
  <c r="U575" i="1"/>
  <c r="V575" i="1"/>
  <c r="W575" i="1"/>
  <c r="X575" i="1"/>
  <c r="Y575" i="1"/>
  <c r="P576" i="1"/>
  <c r="Q576" i="1"/>
  <c r="R576" i="1"/>
  <c r="S576" i="1"/>
  <c r="T576" i="1"/>
  <c r="U576" i="1"/>
  <c r="V576" i="1"/>
  <c r="W576" i="1"/>
  <c r="X576" i="1"/>
  <c r="Y576" i="1"/>
  <c r="P577" i="1"/>
  <c r="Q577" i="1"/>
  <c r="R577" i="1"/>
  <c r="S577" i="1"/>
  <c r="T577" i="1"/>
  <c r="U577" i="1"/>
  <c r="V577" i="1"/>
  <c r="W577" i="1"/>
  <c r="X577" i="1"/>
  <c r="Y577" i="1"/>
  <c r="P578" i="1"/>
  <c r="Q578" i="1"/>
  <c r="R578" i="1"/>
  <c r="S578" i="1"/>
  <c r="T578" i="1"/>
  <c r="U578" i="1"/>
  <c r="V578" i="1"/>
  <c r="W578" i="1"/>
  <c r="X578" i="1"/>
  <c r="Y578" i="1"/>
  <c r="P579" i="1"/>
  <c r="Q579" i="1"/>
  <c r="R579" i="1"/>
  <c r="S579" i="1"/>
  <c r="T579" i="1"/>
  <c r="U579" i="1"/>
  <c r="V579" i="1"/>
  <c r="W579" i="1"/>
  <c r="X579" i="1"/>
  <c r="Y579" i="1"/>
  <c r="P580" i="1"/>
  <c r="Q580" i="1"/>
  <c r="R580" i="1"/>
  <c r="S580" i="1"/>
  <c r="T580" i="1"/>
  <c r="U580" i="1"/>
  <c r="V580" i="1"/>
  <c r="W580" i="1"/>
  <c r="X580" i="1"/>
  <c r="Y580" i="1"/>
  <c r="P581" i="1"/>
  <c r="Q581" i="1"/>
  <c r="R581" i="1"/>
  <c r="S581" i="1"/>
  <c r="T581" i="1"/>
  <c r="U581" i="1"/>
  <c r="V581" i="1"/>
  <c r="W581" i="1"/>
  <c r="X581" i="1"/>
  <c r="Y581" i="1"/>
  <c r="P582" i="1"/>
  <c r="Q582" i="1"/>
  <c r="R582" i="1"/>
  <c r="S582" i="1"/>
  <c r="T582" i="1"/>
  <c r="U582" i="1"/>
  <c r="V582" i="1"/>
  <c r="W582" i="1"/>
  <c r="X582" i="1"/>
  <c r="Y582" i="1"/>
  <c r="P583" i="1"/>
  <c r="Q583" i="1"/>
  <c r="R583" i="1"/>
  <c r="S583" i="1"/>
  <c r="T583" i="1"/>
  <c r="U583" i="1"/>
  <c r="V583" i="1"/>
  <c r="W583" i="1"/>
  <c r="X583" i="1"/>
  <c r="Y583" i="1"/>
  <c r="P584" i="1"/>
  <c r="Q584" i="1"/>
  <c r="R584" i="1"/>
  <c r="S584" i="1"/>
  <c r="T584" i="1"/>
  <c r="U584" i="1"/>
  <c r="V584" i="1"/>
  <c r="W584" i="1"/>
  <c r="X584" i="1"/>
  <c r="Y584" i="1"/>
  <c r="P585" i="1"/>
  <c r="Q585" i="1"/>
  <c r="R585" i="1"/>
  <c r="S585" i="1"/>
  <c r="T585" i="1"/>
  <c r="U585" i="1"/>
  <c r="V585" i="1"/>
  <c r="W585" i="1"/>
  <c r="X585" i="1"/>
  <c r="Y585" i="1"/>
  <c r="P586" i="1"/>
  <c r="Q586" i="1"/>
  <c r="R586" i="1"/>
  <c r="S586" i="1"/>
  <c r="T586" i="1"/>
  <c r="U586" i="1"/>
  <c r="V586" i="1"/>
  <c r="W586" i="1"/>
  <c r="X586" i="1"/>
  <c r="Y586" i="1"/>
  <c r="P587" i="1"/>
  <c r="Q587" i="1"/>
  <c r="R587" i="1"/>
  <c r="S587" i="1"/>
  <c r="T587" i="1"/>
  <c r="U587" i="1"/>
  <c r="V587" i="1"/>
  <c r="W587" i="1"/>
  <c r="X587" i="1"/>
  <c r="Y587" i="1"/>
  <c r="P588" i="1"/>
  <c r="Q588" i="1"/>
  <c r="R588" i="1"/>
  <c r="S588" i="1"/>
  <c r="T588" i="1"/>
  <c r="U588" i="1"/>
  <c r="V588" i="1"/>
  <c r="W588" i="1"/>
  <c r="X588" i="1"/>
  <c r="Y588" i="1"/>
  <c r="P589" i="1"/>
  <c r="Q589" i="1"/>
  <c r="R589" i="1"/>
  <c r="S589" i="1"/>
  <c r="T589" i="1"/>
  <c r="U589" i="1"/>
  <c r="V589" i="1"/>
  <c r="W589" i="1"/>
  <c r="X589" i="1"/>
  <c r="Y589" i="1"/>
  <c r="P590" i="1"/>
  <c r="Q590" i="1"/>
  <c r="R590" i="1"/>
  <c r="S590" i="1"/>
  <c r="T590" i="1"/>
  <c r="U590" i="1"/>
  <c r="V590" i="1"/>
  <c r="W590" i="1"/>
  <c r="X590" i="1"/>
  <c r="Y590" i="1"/>
  <c r="P591" i="1"/>
  <c r="Q591" i="1"/>
  <c r="R591" i="1"/>
  <c r="S591" i="1"/>
  <c r="T591" i="1"/>
  <c r="U591" i="1"/>
  <c r="V591" i="1"/>
  <c r="W591" i="1"/>
  <c r="X591" i="1"/>
  <c r="Y591" i="1"/>
  <c r="P592" i="1"/>
  <c r="Q592" i="1"/>
  <c r="R592" i="1"/>
  <c r="S592" i="1"/>
  <c r="T592" i="1"/>
  <c r="U592" i="1"/>
  <c r="V592" i="1"/>
  <c r="W592" i="1"/>
  <c r="X592" i="1"/>
  <c r="Y592" i="1"/>
  <c r="P593" i="1"/>
  <c r="Q593" i="1"/>
  <c r="R593" i="1"/>
  <c r="S593" i="1"/>
  <c r="T593" i="1"/>
  <c r="U593" i="1"/>
  <c r="V593" i="1"/>
  <c r="W593" i="1"/>
  <c r="X593" i="1"/>
  <c r="Y593" i="1"/>
  <c r="P594" i="1"/>
  <c r="Q594" i="1"/>
  <c r="R594" i="1"/>
  <c r="S594" i="1"/>
  <c r="T594" i="1"/>
  <c r="U594" i="1"/>
  <c r="V594" i="1"/>
  <c r="W594" i="1"/>
  <c r="X594" i="1"/>
  <c r="Y594" i="1"/>
  <c r="P595" i="1"/>
  <c r="Q595" i="1"/>
  <c r="R595" i="1"/>
  <c r="S595" i="1"/>
  <c r="T595" i="1"/>
  <c r="U595" i="1"/>
  <c r="V595" i="1"/>
  <c r="W595" i="1"/>
  <c r="X595" i="1"/>
  <c r="Y595" i="1"/>
  <c r="P596" i="1"/>
  <c r="Q596" i="1"/>
  <c r="R596" i="1"/>
  <c r="S596" i="1"/>
  <c r="T596" i="1"/>
  <c r="U596" i="1"/>
  <c r="V596" i="1"/>
  <c r="W596" i="1"/>
  <c r="X596" i="1"/>
  <c r="Y596" i="1"/>
  <c r="P597" i="1"/>
  <c r="Q597" i="1"/>
  <c r="R597" i="1"/>
  <c r="S597" i="1"/>
  <c r="T597" i="1"/>
  <c r="U597" i="1"/>
  <c r="V597" i="1"/>
  <c r="W597" i="1"/>
  <c r="X597" i="1"/>
  <c r="Y597" i="1"/>
  <c r="P598" i="1"/>
  <c r="Q598" i="1"/>
  <c r="R598" i="1"/>
  <c r="S598" i="1"/>
  <c r="T598" i="1"/>
  <c r="U598" i="1"/>
  <c r="V598" i="1"/>
  <c r="W598" i="1"/>
  <c r="X598" i="1"/>
  <c r="Y598" i="1"/>
  <c r="P599" i="1"/>
  <c r="Q599" i="1"/>
  <c r="R599" i="1"/>
  <c r="S599" i="1"/>
  <c r="T599" i="1"/>
  <c r="U599" i="1"/>
  <c r="V599" i="1"/>
  <c r="W599" i="1"/>
  <c r="X599" i="1"/>
  <c r="Y599" i="1"/>
  <c r="P600" i="1"/>
  <c r="Q600" i="1"/>
  <c r="R600" i="1"/>
  <c r="S600" i="1"/>
  <c r="T600" i="1"/>
  <c r="U600" i="1"/>
  <c r="V600" i="1"/>
  <c r="W600" i="1"/>
  <c r="X600" i="1"/>
  <c r="Y600" i="1"/>
  <c r="P601" i="1"/>
  <c r="Q601" i="1"/>
  <c r="R601" i="1"/>
  <c r="S601" i="1"/>
  <c r="T601" i="1"/>
  <c r="U601" i="1"/>
  <c r="V601" i="1"/>
  <c r="W601" i="1"/>
  <c r="X601" i="1"/>
  <c r="Y601" i="1"/>
  <c r="P602" i="1"/>
  <c r="Q602" i="1"/>
  <c r="R602" i="1"/>
  <c r="S602" i="1"/>
  <c r="T602" i="1"/>
  <c r="U602" i="1"/>
  <c r="V602" i="1"/>
  <c r="W602" i="1"/>
  <c r="X602" i="1"/>
  <c r="Y602" i="1"/>
  <c r="P603" i="1"/>
  <c r="Q603" i="1"/>
  <c r="R603" i="1"/>
  <c r="S603" i="1"/>
  <c r="T603" i="1"/>
  <c r="U603" i="1"/>
  <c r="V603" i="1"/>
  <c r="W603" i="1"/>
  <c r="X603" i="1"/>
  <c r="Y603" i="1"/>
  <c r="P604" i="1"/>
  <c r="Q604" i="1"/>
  <c r="R604" i="1"/>
  <c r="S604" i="1"/>
  <c r="T604" i="1"/>
  <c r="U604" i="1"/>
  <c r="V604" i="1"/>
  <c r="W604" i="1"/>
  <c r="X604" i="1"/>
  <c r="Y604" i="1"/>
  <c r="P605" i="1"/>
  <c r="Q605" i="1"/>
  <c r="R605" i="1"/>
  <c r="S605" i="1"/>
  <c r="T605" i="1"/>
  <c r="U605" i="1"/>
  <c r="V605" i="1"/>
  <c r="W605" i="1"/>
  <c r="X605" i="1"/>
  <c r="Y605" i="1"/>
  <c r="P606" i="1"/>
  <c r="Q606" i="1"/>
  <c r="R606" i="1"/>
  <c r="S606" i="1"/>
  <c r="T606" i="1"/>
  <c r="U606" i="1"/>
  <c r="V606" i="1"/>
  <c r="W606" i="1"/>
  <c r="X606" i="1"/>
  <c r="Y606" i="1"/>
  <c r="P607" i="1"/>
  <c r="Q607" i="1"/>
  <c r="R607" i="1"/>
  <c r="S607" i="1"/>
  <c r="T607" i="1"/>
  <c r="U607" i="1"/>
  <c r="V607" i="1"/>
  <c r="W607" i="1"/>
  <c r="X607" i="1"/>
  <c r="Y607" i="1"/>
  <c r="P608" i="1"/>
  <c r="Q608" i="1"/>
  <c r="R608" i="1"/>
  <c r="S608" i="1"/>
  <c r="T608" i="1"/>
  <c r="U608" i="1"/>
  <c r="V608" i="1"/>
  <c r="W608" i="1"/>
  <c r="X608" i="1"/>
  <c r="Y608" i="1"/>
  <c r="P609" i="1"/>
  <c r="Q609" i="1"/>
  <c r="R609" i="1"/>
  <c r="S609" i="1"/>
  <c r="T609" i="1"/>
  <c r="U609" i="1"/>
  <c r="V609" i="1"/>
  <c r="W609" i="1"/>
  <c r="X609" i="1"/>
  <c r="Y609" i="1"/>
  <c r="P610" i="1"/>
  <c r="Q610" i="1"/>
  <c r="R610" i="1"/>
  <c r="S610" i="1"/>
  <c r="T610" i="1"/>
  <c r="U610" i="1"/>
  <c r="V610" i="1"/>
  <c r="W610" i="1"/>
  <c r="X610" i="1"/>
  <c r="Y610" i="1"/>
  <c r="P611" i="1"/>
  <c r="Q611" i="1"/>
  <c r="R611" i="1"/>
  <c r="S611" i="1"/>
  <c r="T611" i="1"/>
  <c r="U611" i="1"/>
  <c r="V611" i="1"/>
  <c r="W611" i="1"/>
  <c r="X611" i="1"/>
  <c r="Y611" i="1"/>
  <c r="P612" i="1"/>
  <c r="Q612" i="1"/>
  <c r="R612" i="1"/>
  <c r="S612" i="1"/>
  <c r="T612" i="1"/>
  <c r="U612" i="1"/>
  <c r="V612" i="1"/>
  <c r="W612" i="1"/>
  <c r="X612" i="1"/>
  <c r="Y612" i="1"/>
  <c r="P613" i="1"/>
  <c r="Q613" i="1"/>
  <c r="R613" i="1"/>
  <c r="S613" i="1"/>
  <c r="T613" i="1"/>
  <c r="U613" i="1"/>
  <c r="V613" i="1"/>
  <c r="W613" i="1"/>
  <c r="X613" i="1"/>
  <c r="Y613" i="1"/>
  <c r="P614" i="1"/>
  <c r="Q614" i="1"/>
  <c r="R614" i="1"/>
  <c r="S614" i="1"/>
  <c r="T614" i="1"/>
  <c r="U614" i="1"/>
  <c r="V614" i="1"/>
  <c r="W614" i="1"/>
  <c r="X614" i="1"/>
  <c r="Y614" i="1"/>
  <c r="P615" i="1"/>
  <c r="Q615" i="1"/>
  <c r="R615" i="1"/>
  <c r="S615" i="1"/>
  <c r="T615" i="1"/>
  <c r="U615" i="1"/>
  <c r="V615" i="1"/>
  <c r="W615" i="1"/>
  <c r="X615" i="1"/>
  <c r="Y615" i="1"/>
  <c r="P616" i="1"/>
  <c r="Q616" i="1"/>
  <c r="R616" i="1"/>
  <c r="S616" i="1"/>
  <c r="T616" i="1"/>
  <c r="U616" i="1"/>
  <c r="V616" i="1"/>
  <c r="W616" i="1"/>
  <c r="X616" i="1"/>
  <c r="Y616" i="1"/>
  <c r="P617" i="1"/>
  <c r="Q617" i="1"/>
  <c r="R617" i="1"/>
  <c r="S617" i="1"/>
  <c r="T617" i="1"/>
  <c r="U617" i="1"/>
  <c r="V617" i="1"/>
  <c r="W617" i="1"/>
  <c r="X617" i="1"/>
  <c r="Y617" i="1"/>
  <c r="P618" i="1"/>
  <c r="Q618" i="1"/>
  <c r="R618" i="1"/>
  <c r="S618" i="1"/>
  <c r="T618" i="1"/>
  <c r="U618" i="1"/>
  <c r="V618" i="1"/>
  <c r="W618" i="1"/>
  <c r="X618" i="1"/>
  <c r="Y618" i="1"/>
  <c r="P619" i="1"/>
  <c r="Q619" i="1"/>
  <c r="R619" i="1"/>
  <c r="S619" i="1"/>
  <c r="T619" i="1"/>
  <c r="U619" i="1"/>
  <c r="V619" i="1"/>
  <c r="W619" i="1"/>
  <c r="X619" i="1"/>
  <c r="Y619" i="1"/>
  <c r="P620" i="1"/>
  <c r="Q620" i="1"/>
  <c r="R620" i="1"/>
  <c r="S620" i="1"/>
  <c r="T620" i="1"/>
  <c r="U620" i="1"/>
  <c r="V620" i="1"/>
  <c r="W620" i="1"/>
  <c r="X620" i="1"/>
  <c r="Y620" i="1"/>
  <c r="P621" i="1"/>
  <c r="Q621" i="1"/>
  <c r="R621" i="1"/>
  <c r="S621" i="1"/>
  <c r="T621" i="1"/>
  <c r="U621" i="1"/>
  <c r="V621" i="1"/>
  <c r="W621" i="1"/>
  <c r="X621" i="1"/>
  <c r="Y621" i="1"/>
  <c r="P622" i="1"/>
  <c r="Q622" i="1"/>
  <c r="R622" i="1"/>
  <c r="S622" i="1"/>
  <c r="T622" i="1"/>
  <c r="U622" i="1"/>
  <c r="V622" i="1"/>
  <c r="W622" i="1"/>
  <c r="X622" i="1"/>
  <c r="Y622" i="1"/>
  <c r="P623" i="1"/>
  <c r="Q623" i="1"/>
  <c r="R623" i="1"/>
  <c r="S623" i="1"/>
  <c r="T623" i="1"/>
  <c r="U623" i="1"/>
  <c r="V623" i="1"/>
  <c r="W623" i="1"/>
  <c r="X623" i="1"/>
  <c r="Y623" i="1"/>
  <c r="P624" i="1"/>
  <c r="Q624" i="1"/>
  <c r="R624" i="1"/>
  <c r="S624" i="1"/>
  <c r="T624" i="1"/>
  <c r="U624" i="1"/>
  <c r="V624" i="1"/>
  <c r="W624" i="1"/>
  <c r="X624" i="1"/>
  <c r="Y624" i="1"/>
  <c r="P625" i="1"/>
  <c r="Q625" i="1"/>
  <c r="R625" i="1"/>
  <c r="S625" i="1"/>
  <c r="T625" i="1"/>
  <c r="U625" i="1"/>
  <c r="V625" i="1"/>
  <c r="W625" i="1"/>
  <c r="X625" i="1"/>
  <c r="Y625" i="1"/>
  <c r="P626" i="1"/>
  <c r="Q626" i="1"/>
  <c r="R626" i="1"/>
  <c r="S626" i="1"/>
  <c r="T626" i="1"/>
  <c r="U626" i="1"/>
  <c r="V626" i="1"/>
  <c r="W626" i="1"/>
  <c r="X626" i="1"/>
  <c r="Y626" i="1"/>
  <c r="P627" i="1"/>
  <c r="Q627" i="1"/>
  <c r="R627" i="1"/>
  <c r="S627" i="1"/>
  <c r="T627" i="1"/>
  <c r="U627" i="1"/>
  <c r="V627" i="1"/>
  <c r="W627" i="1"/>
  <c r="X627" i="1"/>
  <c r="Y627" i="1"/>
  <c r="P628" i="1"/>
  <c r="Q628" i="1"/>
  <c r="R628" i="1"/>
  <c r="S628" i="1"/>
  <c r="T628" i="1"/>
  <c r="U628" i="1"/>
  <c r="V628" i="1"/>
  <c r="W628" i="1"/>
  <c r="X628" i="1"/>
  <c r="Y628" i="1"/>
  <c r="P629" i="1"/>
  <c r="Q629" i="1"/>
  <c r="R629" i="1"/>
  <c r="S629" i="1"/>
  <c r="T629" i="1"/>
  <c r="U629" i="1"/>
  <c r="V629" i="1"/>
  <c r="W629" i="1"/>
  <c r="X629" i="1"/>
  <c r="Y629" i="1"/>
  <c r="P630" i="1"/>
  <c r="Q630" i="1"/>
  <c r="R630" i="1"/>
  <c r="S630" i="1"/>
  <c r="T630" i="1"/>
  <c r="U630" i="1"/>
  <c r="V630" i="1"/>
  <c r="W630" i="1"/>
  <c r="X630" i="1"/>
  <c r="Y630" i="1"/>
  <c r="P631" i="1"/>
  <c r="Q631" i="1"/>
  <c r="R631" i="1"/>
  <c r="S631" i="1"/>
  <c r="T631" i="1"/>
  <c r="U631" i="1"/>
  <c r="V631" i="1"/>
  <c r="W631" i="1"/>
  <c r="X631" i="1"/>
  <c r="Y631" i="1"/>
  <c r="P632" i="1"/>
  <c r="Q632" i="1"/>
  <c r="R632" i="1"/>
  <c r="S632" i="1"/>
  <c r="T632" i="1"/>
  <c r="U632" i="1"/>
  <c r="V632" i="1"/>
  <c r="W632" i="1"/>
  <c r="X632" i="1"/>
  <c r="Y632" i="1"/>
  <c r="P633" i="1"/>
  <c r="Q633" i="1"/>
  <c r="R633" i="1"/>
  <c r="S633" i="1"/>
  <c r="T633" i="1"/>
  <c r="U633" i="1"/>
  <c r="V633" i="1"/>
  <c r="W633" i="1"/>
  <c r="X633" i="1"/>
  <c r="Y633" i="1"/>
  <c r="P634" i="1"/>
  <c r="Q634" i="1"/>
  <c r="R634" i="1"/>
  <c r="S634" i="1"/>
  <c r="T634" i="1"/>
  <c r="U634" i="1"/>
  <c r="V634" i="1"/>
  <c r="W634" i="1"/>
  <c r="X634" i="1"/>
  <c r="Y634" i="1"/>
  <c r="P635" i="1"/>
  <c r="Q635" i="1"/>
  <c r="R635" i="1"/>
  <c r="S635" i="1"/>
  <c r="T635" i="1"/>
  <c r="U635" i="1"/>
  <c r="V635" i="1"/>
  <c r="W635" i="1"/>
  <c r="X635" i="1"/>
  <c r="Y635" i="1"/>
  <c r="P636" i="1"/>
  <c r="Q636" i="1"/>
  <c r="R636" i="1"/>
  <c r="S636" i="1"/>
  <c r="T636" i="1"/>
  <c r="U636" i="1"/>
  <c r="V636" i="1"/>
  <c r="W636" i="1"/>
  <c r="X636" i="1"/>
  <c r="Y636" i="1"/>
  <c r="P637" i="1"/>
  <c r="Q637" i="1"/>
  <c r="R637" i="1"/>
  <c r="S637" i="1"/>
  <c r="T637" i="1"/>
  <c r="U637" i="1"/>
  <c r="V637" i="1"/>
  <c r="W637" i="1"/>
  <c r="X637" i="1"/>
  <c r="Y637" i="1"/>
  <c r="P638" i="1"/>
  <c r="Q638" i="1"/>
  <c r="R638" i="1"/>
  <c r="S638" i="1"/>
  <c r="T638" i="1"/>
  <c r="U638" i="1"/>
  <c r="V638" i="1"/>
  <c r="W638" i="1"/>
  <c r="X638" i="1"/>
  <c r="Y638" i="1"/>
  <c r="P639" i="1"/>
  <c r="Q639" i="1"/>
  <c r="R639" i="1"/>
  <c r="S639" i="1"/>
  <c r="T639" i="1"/>
  <c r="U639" i="1"/>
  <c r="V639" i="1"/>
  <c r="W639" i="1"/>
  <c r="X639" i="1"/>
  <c r="Y639" i="1"/>
  <c r="P640" i="1"/>
  <c r="Q640" i="1"/>
  <c r="R640" i="1"/>
  <c r="S640" i="1"/>
  <c r="T640" i="1"/>
  <c r="U640" i="1"/>
  <c r="V640" i="1"/>
  <c r="W640" i="1"/>
  <c r="X640" i="1"/>
  <c r="Y640" i="1"/>
  <c r="P641" i="1"/>
  <c r="Q641" i="1"/>
  <c r="R641" i="1"/>
  <c r="S641" i="1"/>
  <c r="T641" i="1"/>
  <c r="U641" i="1"/>
  <c r="V641" i="1"/>
  <c r="W641" i="1"/>
  <c r="X641" i="1"/>
  <c r="Y641" i="1"/>
  <c r="P642" i="1"/>
  <c r="Q642" i="1"/>
  <c r="R642" i="1"/>
  <c r="S642" i="1"/>
  <c r="T642" i="1"/>
  <c r="U642" i="1"/>
  <c r="V642" i="1"/>
  <c r="W642" i="1"/>
  <c r="X642" i="1"/>
  <c r="Y642" i="1"/>
  <c r="P643" i="1"/>
  <c r="Q643" i="1"/>
  <c r="R643" i="1"/>
  <c r="S643" i="1"/>
  <c r="T643" i="1"/>
  <c r="U643" i="1"/>
  <c r="V643" i="1"/>
  <c r="W643" i="1"/>
  <c r="X643" i="1"/>
  <c r="Y643" i="1"/>
  <c r="P644" i="1"/>
  <c r="Q644" i="1"/>
  <c r="R644" i="1"/>
  <c r="S644" i="1"/>
  <c r="T644" i="1"/>
  <c r="U644" i="1"/>
  <c r="V644" i="1"/>
  <c r="W644" i="1"/>
  <c r="X644" i="1"/>
  <c r="Y644" i="1"/>
  <c r="P645" i="1"/>
  <c r="Q645" i="1"/>
  <c r="R645" i="1"/>
  <c r="S645" i="1"/>
  <c r="T645" i="1"/>
  <c r="U645" i="1"/>
  <c r="V645" i="1"/>
  <c r="W645" i="1"/>
  <c r="X645" i="1"/>
  <c r="Y645" i="1"/>
  <c r="P646" i="1"/>
  <c r="Q646" i="1"/>
  <c r="R646" i="1"/>
  <c r="S646" i="1"/>
  <c r="T646" i="1"/>
  <c r="U646" i="1"/>
  <c r="V646" i="1"/>
  <c r="W646" i="1"/>
  <c r="X646" i="1"/>
  <c r="Y646" i="1"/>
  <c r="P647" i="1"/>
  <c r="Q647" i="1"/>
  <c r="R647" i="1"/>
  <c r="S647" i="1"/>
  <c r="T647" i="1"/>
  <c r="U647" i="1"/>
  <c r="V647" i="1"/>
  <c r="W647" i="1"/>
  <c r="X647" i="1"/>
  <c r="Y647" i="1"/>
  <c r="P648" i="1"/>
  <c r="Q648" i="1"/>
  <c r="R648" i="1"/>
  <c r="S648" i="1"/>
  <c r="T648" i="1"/>
  <c r="U648" i="1"/>
  <c r="V648" i="1"/>
  <c r="W648" i="1"/>
  <c r="X648" i="1"/>
  <c r="Y648" i="1"/>
  <c r="P649" i="1"/>
  <c r="Q649" i="1"/>
  <c r="R649" i="1"/>
  <c r="S649" i="1"/>
  <c r="T649" i="1"/>
  <c r="U649" i="1"/>
  <c r="V649" i="1"/>
  <c r="W649" i="1"/>
  <c r="X649" i="1"/>
  <c r="Y649" i="1"/>
  <c r="P650" i="1"/>
  <c r="Q650" i="1"/>
  <c r="R650" i="1"/>
  <c r="S650" i="1"/>
  <c r="T650" i="1"/>
  <c r="U650" i="1"/>
  <c r="V650" i="1"/>
  <c r="W650" i="1"/>
  <c r="X650" i="1"/>
  <c r="Y650" i="1"/>
  <c r="P651" i="1"/>
  <c r="Q651" i="1"/>
  <c r="R651" i="1"/>
  <c r="S651" i="1"/>
  <c r="T651" i="1"/>
  <c r="U651" i="1"/>
  <c r="V651" i="1"/>
  <c r="W651" i="1"/>
  <c r="X651" i="1"/>
  <c r="Y651" i="1"/>
  <c r="P652" i="1"/>
  <c r="Q652" i="1"/>
  <c r="R652" i="1"/>
  <c r="S652" i="1"/>
  <c r="T652" i="1"/>
  <c r="U652" i="1"/>
  <c r="V652" i="1"/>
  <c r="W652" i="1"/>
  <c r="X652" i="1"/>
  <c r="Y652" i="1"/>
  <c r="P653" i="1"/>
  <c r="Q653" i="1"/>
  <c r="R653" i="1"/>
  <c r="S653" i="1"/>
  <c r="T653" i="1"/>
  <c r="U653" i="1"/>
  <c r="V653" i="1"/>
  <c r="W653" i="1"/>
  <c r="X653" i="1"/>
  <c r="Y653" i="1"/>
  <c r="P654" i="1"/>
  <c r="Q654" i="1"/>
  <c r="R654" i="1"/>
  <c r="S654" i="1"/>
  <c r="T654" i="1"/>
  <c r="U654" i="1"/>
  <c r="V654" i="1"/>
  <c r="W654" i="1"/>
  <c r="X654" i="1"/>
  <c r="Y654" i="1"/>
  <c r="P655" i="1"/>
  <c r="Q655" i="1"/>
  <c r="R655" i="1"/>
  <c r="S655" i="1"/>
  <c r="T655" i="1"/>
  <c r="U655" i="1"/>
  <c r="V655" i="1"/>
  <c r="W655" i="1"/>
  <c r="X655" i="1"/>
  <c r="Y655" i="1"/>
  <c r="P656" i="1"/>
  <c r="Q656" i="1"/>
  <c r="R656" i="1"/>
  <c r="S656" i="1"/>
  <c r="T656" i="1"/>
  <c r="U656" i="1"/>
  <c r="V656" i="1"/>
  <c r="W656" i="1"/>
  <c r="X656" i="1"/>
  <c r="Y656" i="1"/>
  <c r="P657" i="1"/>
  <c r="Q657" i="1"/>
  <c r="R657" i="1"/>
  <c r="S657" i="1"/>
  <c r="T657" i="1"/>
  <c r="U657" i="1"/>
  <c r="V657" i="1"/>
  <c r="W657" i="1"/>
  <c r="X657" i="1"/>
  <c r="Y657" i="1"/>
  <c r="P658" i="1"/>
  <c r="Q658" i="1"/>
  <c r="R658" i="1"/>
  <c r="S658" i="1"/>
  <c r="T658" i="1"/>
  <c r="U658" i="1"/>
  <c r="V658" i="1"/>
  <c r="W658" i="1"/>
  <c r="X658" i="1"/>
  <c r="Y658" i="1"/>
  <c r="P659" i="1"/>
  <c r="Q659" i="1"/>
  <c r="R659" i="1"/>
  <c r="S659" i="1"/>
  <c r="T659" i="1"/>
  <c r="U659" i="1"/>
  <c r="V659" i="1"/>
  <c r="W659" i="1"/>
  <c r="X659" i="1"/>
  <c r="Y659" i="1"/>
  <c r="P660" i="1"/>
  <c r="Q660" i="1"/>
  <c r="R660" i="1"/>
  <c r="S660" i="1"/>
  <c r="T660" i="1"/>
  <c r="U660" i="1"/>
  <c r="V660" i="1"/>
  <c r="W660" i="1"/>
  <c r="X660" i="1"/>
  <c r="Y660" i="1"/>
  <c r="P661" i="1"/>
  <c r="Q661" i="1"/>
  <c r="R661" i="1"/>
  <c r="S661" i="1"/>
  <c r="T661" i="1"/>
  <c r="U661" i="1"/>
  <c r="V661" i="1"/>
  <c r="W661" i="1"/>
  <c r="X661" i="1"/>
  <c r="Y661" i="1"/>
  <c r="P662" i="1"/>
  <c r="Q662" i="1"/>
  <c r="R662" i="1"/>
  <c r="S662" i="1"/>
  <c r="T662" i="1"/>
  <c r="U662" i="1"/>
  <c r="V662" i="1"/>
  <c r="W662" i="1"/>
  <c r="X662" i="1"/>
  <c r="Y662" i="1"/>
  <c r="P663" i="1"/>
  <c r="Q663" i="1"/>
  <c r="R663" i="1"/>
  <c r="S663" i="1"/>
  <c r="T663" i="1"/>
  <c r="U663" i="1"/>
  <c r="V663" i="1"/>
  <c r="W663" i="1"/>
  <c r="X663" i="1"/>
  <c r="Y663" i="1"/>
  <c r="P664" i="1"/>
  <c r="Q664" i="1"/>
  <c r="R664" i="1"/>
  <c r="S664" i="1"/>
  <c r="T664" i="1"/>
  <c r="U664" i="1"/>
  <c r="V664" i="1"/>
  <c r="W664" i="1"/>
  <c r="X664" i="1"/>
  <c r="Y664" i="1"/>
  <c r="P665" i="1"/>
  <c r="Q665" i="1"/>
  <c r="R665" i="1"/>
  <c r="S665" i="1"/>
  <c r="T665" i="1"/>
  <c r="U665" i="1"/>
  <c r="V665" i="1"/>
  <c r="W665" i="1"/>
  <c r="X665" i="1"/>
  <c r="Y665" i="1"/>
  <c r="P666" i="1"/>
  <c r="Q666" i="1"/>
  <c r="R666" i="1"/>
  <c r="S666" i="1"/>
  <c r="T666" i="1"/>
  <c r="U666" i="1"/>
  <c r="V666" i="1"/>
  <c r="W666" i="1"/>
  <c r="X666" i="1"/>
  <c r="Y666" i="1"/>
  <c r="P667" i="1"/>
  <c r="Q667" i="1"/>
  <c r="R667" i="1"/>
  <c r="S667" i="1"/>
  <c r="T667" i="1"/>
  <c r="U667" i="1"/>
  <c r="V667" i="1"/>
  <c r="W667" i="1"/>
  <c r="X667" i="1"/>
  <c r="Y667" i="1"/>
  <c r="P668" i="1"/>
  <c r="Q668" i="1"/>
  <c r="R668" i="1"/>
  <c r="S668" i="1"/>
  <c r="T668" i="1"/>
  <c r="U668" i="1"/>
  <c r="V668" i="1"/>
  <c r="W668" i="1"/>
  <c r="X668" i="1"/>
  <c r="Y668" i="1"/>
  <c r="P669" i="1"/>
  <c r="Q669" i="1"/>
  <c r="R669" i="1"/>
  <c r="S669" i="1"/>
  <c r="T669" i="1"/>
  <c r="U669" i="1"/>
  <c r="V669" i="1"/>
  <c r="W669" i="1"/>
  <c r="X669" i="1"/>
  <c r="Y669" i="1"/>
  <c r="P670" i="1"/>
  <c r="Q670" i="1"/>
  <c r="R670" i="1"/>
  <c r="S670" i="1"/>
  <c r="T670" i="1"/>
  <c r="U670" i="1"/>
  <c r="V670" i="1"/>
  <c r="W670" i="1"/>
  <c r="X670" i="1"/>
  <c r="Y670" i="1"/>
  <c r="P671" i="1"/>
  <c r="Q671" i="1"/>
  <c r="R671" i="1"/>
  <c r="S671" i="1"/>
  <c r="T671" i="1"/>
  <c r="U671" i="1"/>
  <c r="V671" i="1"/>
  <c r="W671" i="1"/>
  <c r="X671" i="1"/>
  <c r="Y671" i="1"/>
  <c r="P672" i="1"/>
  <c r="Q672" i="1"/>
  <c r="R672" i="1"/>
  <c r="S672" i="1"/>
  <c r="T672" i="1"/>
  <c r="U672" i="1"/>
  <c r="V672" i="1"/>
  <c r="W672" i="1"/>
  <c r="X672" i="1"/>
  <c r="Y672" i="1"/>
  <c r="P673" i="1"/>
  <c r="Q673" i="1"/>
  <c r="R673" i="1"/>
  <c r="S673" i="1"/>
  <c r="T673" i="1"/>
  <c r="U673" i="1"/>
  <c r="V673" i="1"/>
  <c r="W673" i="1"/>
  <c r="X673" i="1"/>
  <c r="Y673" i="1"/>
  <c r="P674" i="1"/>
  <c r="Q674" i="1"/>
  <c r="R674" i="1"/>
  <c r="S674" i="1"/>
  <c r="T674" i="1"/>
  <c r="U674" i="1"/>
  <c r="V674" i="1"/>
  <c r="W674" i="1"/>
  <c r="X674" i="1"/>
  <c r="Y674" i="1"/>
  <c r="P675" i="1"/>
  <c r="Q675" i="1"/>
  <c r="R675" i="1"/>
  <c r="S675" i="1"/>
  <c r="T675" i="1"/>
  <c r="U675" i="1"/>
  <c r="V675" i="1"/>
  <c r="W675" i="1"/>
  <c r="X675" i="1"/>
  <c r="Y675" i="1"/>
  <c r="P676" i="1"/>
  <c r="Q676" i="1"/>
  <c r="R676" i="1"/>
  <c r="S676" i="1"/>
  <c r="T676" i="1"/>
  <c r="U676" i="1"/>
  <c r="V676" i="1"/>
  <c r="W676" i="1"/>
  <c r="X676" i="1"/>
  <c r="Y676" i="1"/>
  <c r="P677" i="1"/>
  <c r="Q677" i="1"/>
  <c r="R677" i="1"/>
  <c r="S677" i="1"/>
  <c r="T677" i="1"/>
  <c r="U677" i="1"/>
  <c r="V677" i="1"/>
  <c r="W677" i="1"/>
  <c r="X677" i="1"/>
  <c r="Y677" i="1"/>
  <c r="P678" i="1"/>
  <c r="Q678" i="1"/>
  <c r="R678" i="1"/>
  <c r="S678" i="1"/>
  <c r="T678" i="1"/>
  <c r="U678" i="1"/>
  <c r="V678" i="1"/>
  <c r="W678" i="1"/>
  <c r="X678" i="1"/>
  <c r="Y678" i="1"/>
  <c r="P679" i="1"/>
  <c r="Q679" i="1"/>
  <c r="R679" i="1"/>
  <c r="S679" i="1"/>
  <c r="T679" i="1"/>
  <c r="U679" i="1"/>
  <c r="V679" i="1"/>
  <c r="W679" i="1"/>
  <c r="X679" i="1"/>
  <c r="Y679" i="1"/>
  <c r="P680" i="1"/>
  <c r="Q680" i="1"/>
  <c r="R680" i="1"/>
  <c r="S680" i="1"/>
  <c r="T680" i="1"/>
  <c r="U680" i="1"/>
  <c r="V680" i="1"/>
  <c r="W680" i="1"/>
  <c r="X680" i="1"/>
  <c r="Y680" i="1"/>
  <c r="P681" i="1"/>
  <c r="Q681" i="1"/>
  <c r="R681" i="1"/>
  <c r="S681" i="1"/>
  <c r="T681" i="1"/>
  <c r="U681" i="1"/>
  <c r="V681" i="1"/>
  <c r="W681" i="1"/>
  <c r="X681" i="1"/>
  <c r="Y681" i="1"/>
  <c r="P682" i="1"/>
  <c r="Q682" i="1"/>
  <c r="R682" i="1"/>
  <c r="S682" i="1"/>
  <c r="T682" i="1"/>
  <c r="U682" i="1"/>
  <c r="V682" i="1"/>
  <c r="W682" i="1"/>
  <c r="X682" i="1"/>
  <c r="Y682" i="1"/>
  <c r="P683" i="1"/>
  <c r="Q683" i="1"/>
  <c r="R683" i="1"/>
  <c r="S683" i="1"/>
  <c r="T683" i="1"/>
  <c r="U683" i="1"/>
  <c r="V683" i="1"/>
  <c r="W683" i="1"/>
  <c r="X683" i="1"/>
  <c r="Y683" i="1"/>
  <c r="P684" i="1"/>
  <c r="Q684" i="1"/>
  <c r="R684" i="1"/>
  <c r="S684" i="1"/>
  <c r="T684" i="1"/>
  <c r="U684" i="1"/>
  <c r="V684" i="1"/>
  <c r="W684" i="1"/>
  <c r="X684" i="1"/>
  <c r="Y684" i="1"/>
  <c r="P685" i="1"/>
  <c r="Q685" i="1"/>
  <c r="R685" i="1"/>
  <c r="S685" i="1"/>
  <c r="T685" i="1"/>
  <c r="U685" i="1"/>
  <c r="V685" i="1"/>
  <c r="W685" i="1"/>
  <c r="X685" i="1"/>
  <c r="Y685" i="1"/>
  <c r="P686" i="1"/>
  <c r="Q686" i="1"/>
  <c r="R686" i="1"/>
  <c r="S686" i="1"/>
  <c r="T686" i="1"/>
  <c r="U686" i="1"/>
  <c r="V686" i="1"/>
  <c r="W686" i="1"/>
  <c r="X686" i="1"/>
  <c r="Y686" i="1"/>
  <c r="P687" i="1"/>
  <c r="Q687" i="1"/>
  <c r="R687" i="1"/>
  <c r="S687" i="1"/>
  <c r="T687" i="1"/>
  <c r="U687" i="1"/>
  <c r="V687" i="1"/>
  <c r="W687" i="1"/>
  <c r="X687" i="1"/>
  <c r="Y687" i="1"/>
  <c r="P688" i="1"/>
  <c r="Q688" i="1"/>
  <c r="R688" i="1"/>
  <c r="S688" i="1"/>
  <c r="T688" i="1"/>
  <c r="U688" i="1"/>
  <c r="V688" i="1"/>
  <c r="W688" i="1"/>
  <c r="X688" i="1"/>
  <c r="Y688" i="1"/>
  <c r="P689" i="1"/>
  <c r="Q689" i="1"/>
  <c r="R689" i="1"/>
  <c r="S689" i="1"/>
  <c r="T689" i="1"/>
  <c r="U689" i="1"/>
  <c r="V689" i="1"/>
  <c r="W689" i="1"/>
  <c r="X689" i="1"/>
  <c r="Y689" i="1"/>
  <c r="P690" i="1"/>
  <c r="Q690" i="1"/>
  <c r="R690" i="1"/>
  <c r="S690" i="1"/>
  <c r="T690" i="1"/>
  <c r="U690" i="1"/>
  <c r="V690" i="1"/>
  <c r="W690" i="1"/>
  <c r="X690" i="1"/>
  <c r="Y690" i="1"/>
  <c r="P691" i="1"/>
  <c r="Q691" i="1"/>
  <c r="R691" i="1"/>
  <c r="S691" i="1"/>
  <c r="T691" i="1"/>
  <c r="U691" i="1"/>
  <c r="V691" i="1"/>
  <c r="W691" i="1"/>
  <c r="X691" i="1"/>
  <c r="Y691" i="1"/>
  <c r="P692" i="1"/>
  <c r="Q692" i="1"/>
  <c r="R692" i="1"/>
  <c r="S692" i="1"/>
  <c r="T692" i="1"/>
  <c r="U692" i="1"/>
  <c r="V692" i="1"/>
  <c r="W692" i="1"/>
  <c r="X692" i="1"/>
  <c r="Y692" i="1"/>
  <c r="P693" i="1"/>
  <c r="Q693" i="1"/>
  <c r="R693" i="1"/>
  <c r="S693" i="1"/>
  <c r="T693" i="1"/>
  <c r="U693" i="1"/>
  <c r="V693" i="1"/>
  <c r="W693" i="1"/>
  <c r="X693" i="1"/>
  <c r="Y693" i="1"/>
  <c r="P694" i="1"/>
  <c r="Q694" i="1"/>
  <c r="R694" i="1"/>
  <c r="S694" i="1"/>
  <c r="T694" i="1"/>
  <c r="U694" i="1"/>
  <c r="V694" i="1"/>
  <c r="W694" i="1"/>
  <c r="X694" i="1"/>
  <c r="Y694" i="1"/>
  <c r="P695" i="1"/>
  <c r="Q695" i="1"/>
  <c r="R695" i="1"/>
  <c r="S695" i="1"/>
  <c r="T695" i="1"/>
  <c r="U695" i="1"/>
  <c r="V695" i="1"/>
  <c r="W695" i="1"/>
  <c r="X695" i="1"/>
  <c r="Y695" i="1"/>
  <c r="P696" i="1"/>
  <c r="Q696" i="1"/>
  <c r="R696" i="1"/>
  <c r="S696" i="1"/>
  <c r="T696" i="1"/>
  <c r="U696" i="1"/>
  <c r="V696" i="1"/>
  <c r="W696" i="1"/>
  <c r="X696" i="1"/>
  <c r="Y696" i="1"/>
  <c r="P697" i="1"/>
  <c r="Q697" i="1"/>
  <c r="R697" i="1"/>
  <c r="S697" i="1"/>
  <c r="T697" i="1"/>
  <c r="U697" i="1"/>
  <c r="V697" i="1"/>
  <c r="W697" i="1"/>
  <c r="X697" i="1"/>
  <c r="Y697" i="1"/>
  <c r="P698" i="1"/>
  <c r="Q698" i="1"/>
  <c r="R698" i="1"/>
  <c r="S698" i="1"/>
  <c r="T698" i="1"/>
  <c r="U698" i="1"/>
  <c r="V698" i="1"/>
  <c r="W698" i="1"/>
  <c r="X698" i="1"/>
  <c r="Y698" i="1"/>
  <c r="P699" i="1"/>
  <c r="Q699" i="1"/>
  <c r="R699" i="1"/>
  <c r="S699" i="1"/>
  <c r="T699" i="1"/>
  <c r="U699" i="1"/>
  <c r="V699" i="1"/>
  <c r="W699" i="1"/>
  <c r="X699" i="1"/>
  <c r="Y699" i="1"/>
  <c r="P700" i="1"/>
  <c r="Q700" i="1"/>
  <c r="R700" i="1"/>
  <c r="S700" i="1"/>
  <c r="T700" i="1"/>
  <c r="U700" i="1"/>
  <c r="V700" i="1"/>
  <c r="W700" i="1"/>
  <c r="X700" i="1"/>
  <c r="Y700" i="1"/>
  <c r="P701" i="1"/>
  <c r="Q701" i="1"/>
  <c r="R701" i="1"/>
  <c r="S701" i="1"/>
  <c r="T701" i="1"/>
  <c r="U701" i="1"/>
  <c r="V701" i="1"/>
  <c r="W701" i="1"/>
  <c r="X701" i="1"/>
  <c r="Y701" i="1"/>
  <c r="P702" i="1"/>
  <c r="Q702" i="1"/>
  <c r="R702" i="1"/>
  <c r="S702" i="1"/>
  <c r="T702" i="1"/>
  <c r="U702" i="1"/>
  <c r="V702" i="1"/>
  <c r="W702" i="1"/>
  <c r="X702" i="1"/>
  <c r="Y702" i="1"/>
  <c r="P703" i="1"/>
  <c r="Q703" i="1"/>
  <c r="R703" i="1"/>
  <c r="S703" i="1"/>
  <c r="T703" i="1"/>
  <c r="U703" i="1"/>
  <c r="V703" i="1"/>
  <c r="W703" i="1"/>
  <c r="X703" i="1"/>
  <c r="Y703" i="1"/>
  <c r="P704" i="1"/>
  <c r="Q704" i="1"/>
  <c r="R704" i="1"/>
  <c r="S704" i="1"/>
  <c r="T704" i="1"/>
  <c r="U704" i="1"/>
  <c r="V704" i="1"/>
  <c r="W704" i="1"/>
  <c r="X704" i="1"/>
  <c r="Y704" i="1"/>
  <c r="P705" i="1"/>
  <c r="Q705" i="1"/>
  <c r="R705" i="1"/>
  <c r="S705" i="1"/>
  <c r="T705" i="1"/>
  <c r="U705" i="1"/>
  <c r="V705" i="1"/>
  <c r="W705" i="1"/>
  <c r="X705" i="1"/>
  <c r="Y705" i="1"/>
  <c r="P706" i="1"/>
  <c r="Q706" i="1"/>
  <c r="R706" i="1"/>
  <c r="S706" i="1"/>
  <c r="T706" i="1"/>
  <c r="U706" i="1"/>
  <c r="V706" i="1"/>
  <c r="W706" i="1"/>
  <c r="X706" i="1"/>
  <c r="Y706" i="1"/>
  <c r="P707" i="1"/>
  <c r="Q707" i="1"/>
  <c r="R707" i="1"/>
  <c r="S707" i="1"/>
  <c r="T707" i="1"/>
  <c r="U707" i="1"/>
  <c r="V707" i="1"/>
  <c r="W707" i="1"/>
  <c r="X707" i="1"/>
  <c r="Y707" i="1"/>
  <c r="P708" i="1"/>
  <c r="Q708" i="1"/>
  <c r="R708" i="1"/>
  <c r="S708" i="1"/>
  <c r="T708" i="1"/>
  <c r="U708" i="1"/>
  <c r="V708" i="1"/>
  <c r="W708" i="1"/>
  <c r="X708" i="1"/>
  <c r="Y708" i="1"/>
  <c r="P709" i="1"/>
  <c r="Q709" i="1"/>
  <c r="R709" i="1"/>
  <c r="S709" i="1"/>
  <c r="T709" i="1"/>
  <c r="U709" i="1"/>
  <c r="V709" i="1"/>
  <c r="W709" i="1"/>
  <c r="X709" i="1"/>
  <c r="Y709" i="1"/>
  <c r="P710" i="1"/>
  <c r="Q710" i="1"/>
  <c r="R710" i="1"/>
  <c r="S710" i="1"/>
  <c r="T710" i="1"/>
  <c r="U710" i="1"/>
  <c r="V710" i="1"/>
  <c r="W710" i="1"/>
  <c r="X710" i="1"/>
  <c r="Y710" i="1"/>
  <c r="P711" i="1"/>
  <c r="Q711" i="1"/>
  <c r="R711" i="1"/>
  <c r="S711" i="1"/>
  <c r="T711" i="1"/>
  <c r="U711" i="1"/>
  <c r="V711" i="1"/>
  <c r="W711" i="1"/>
  <c r="X711" i="1"/>
  <c r="Y711" i="1"/>
  <c r="P712" i="1"/>
  <c r="Q712" i="1"/>
  <c r="R712" i="1"/>
  <c r="S712" i="1"/>
  <c r="T712" i="1"/>
  <c r="U712" i="1"/>
  <c r="V712" i="1"/>
  <c r="W712" i="1"/>
  <c r="X712" i="1"/>
  <c r="Y712" i="1"/>
  <c r="P713" i="1"/>
  <c r="Q713" i="1"/>
  <c r="R713" i="1"/>
  <c r="S713" i="1"/>
  <c r="T713" i="1"/>
  <c r="U713" i="1"/>
  <c r="V713" i="1"/>
  <c r="W713" i="1"/>
  <c r="X713" i="1"/>
  <c r="Y713" i="1"/>
  <c r="P714" i="1"/>
  <c r="Q714" i="1"/>
  <c r="R714" i="1"/>
  <c r="S714" i="1"/>
  <c r="T714" i="1"/>
  <c r="U714" i="1"/>
  <c r="V714" i="1"/>
  <c r="W714" i="1"/>
  <c r="X714" i="1"/>
  <c r="Y714" i="1"/>
  <c r="P715" i="1"/>
  <c r="Q715" i="1"/>
  <c r="R715" i="1"/>
  <c r="S715" i="1"/>
  <c r="T715" i="1"/>
  <c r="U715" i="1"/>
  <c r="V715" i="1"/>
  <c r="W715" i="1"/>
  <c r="X715" i="1"/>
  <c r="Y715" i="1"/>
  <c r="P716" i="1"/>
  <c r="Q716" i="1"/>
  <c r="R716" i="1"/>
  <c r="S716" i="1"/>
  <c r="T716" i="1"/>
  <c r="U716" i="1"/>
  <c r="V716" i="1"/>
  <c r="W716" i="1"/>
  <c r="X716" i="1"/>
  <c r="Y716" i="1"/>
  <c r="P717" i="1"/>
  <c r="Q717" i="1"/>
  <c r="R717" i="1"/>
  <c r="S717" i="1"/>
  <c r="T717" i="1"/>
  <c r="U717" i="1"/>
  <c r="V717" i="1"/>
  <c r="W717" i="1"/>
  <c r="X717" i="1"/>
  <c r="Y717" i="1"/>
  <c r="P718" i="1"/>
  <c r="Q718" i="1"/>
  <c r="R718" i="1"/>
  <c r="S718" i="1"/>
  <c r="T718" i="1"/>
  <c r="U718" i="1"/>
  <c r="V718" i="1"/>
  <c r="W718" i="1"/>
  <c r="X718" i="1"/>
  <c r="Y718" i="1"/>
  <c r="P719" i="1"/>
  <c r="Q719" i="1"/>
  <c r="R719" i="1"/>
  <c r="S719" i="1"/>
  <c r="T719" i="1"/>
  <c r="U719" i="1"/>
  <c r="V719" i="1"/>
  <c r="W719" i="1"/>
  <c r="X719" i="1"/>
  <c r="Y719" i="1"/>
  <c r="P720" i="1"/>
  <c r="Q720" i="1"/>
  <c r="R720" i="1"/>
  <c r="S720" i="1"/>
  <c r="T720" i="1"/>
  <c r="U720" i="1"/>
  <c r="V720" i="1"/>
  <c r="W720" i="1"/>
  <c r="X720" i="1"/>
  <c r="Y720" i="1"/>
  <c r="P721" i="1"/>
  <c r="Q721" i="1"/>
  <c r="R721" i="1"/>
  <c r="S721" i="1"/>
  <c r="T721" i="1"/>
  <c r="U721" i="1"/>
  <c r="V721" i="1"/>
  <c r="W721" i="1"/>
  <c r="X721" i="1"/>
  <c r="Y721" i="1"/>
  <c r="P722" i="1"/>
  <c r="Q722" i="1"/>
  <c r="R722" i="1"/>
  <c r="S722" i="1"/>
  <c r="T722" i="1"/>
  <c r="U722" i="1"/>
  <c r="V722" i="1"/>
  <c r="W722" i="1"/>
  <c r="X722" i="1"/>
  <c r="Y722" i="1"/>
  <c r="P723" i="1"/>
  <c r="Q723" i="1"/>
  <c r="R723" i="1"/>
  <c r="S723" i="1"/>
  <c r="T723" i="1"/>
  <c r="U723" i="1"/>
  <c r="V723" i="1"/>
  <c r="W723" i="1"/>
  <c r="X723" i="1"/>
  <c r="Y723" i="1"/>
  <c r="P724" i="1"/>
  <c r="Q724" i="1"/>
  <c r="R724" i="1"/>
  <c r="S724" i="1"/>
  <c r="T724" i="1"/>
  <c r="U724" i="1"/>
  <c r="V724" i="1"/>
  <c r="W724" i="1"/>
  <c r="X724" i="1"/>
  <c r="Y724" i="1"/>
  <c r="P725" i="1"/>
  <c r="Q725" i="1"/>
  <c r="R725" i="1"/>
  <c r="S725" i="1"/>
  <c r="T725" i="1"/>
  <c r="U725" i="1"/>
  <c r="V725" i="1"/>
  <c r="W725" i="1"/>
  <c r="X725" i="1"/>
  <c r="Y725" i="1"/>
  <c r="P726" i="1"/>
  <c r="Q726" i="1"/>
  <c r="R726" i="1"/>
  <c r="S726" i="1"/>
  <c r="T726" i="1"/>
  <c r="U726" i="1"/>
  <c r="V726" i="1"/>
  <c r="W726" i="1"/>
  <c r="X726" i="1"/>
  <c r="Y726" i="1"/>
  <c r="P727" i="1"/>
  <c r="Q727" i="1"/>
  <c r="R727" i="1"/>
  <c r="S727" i="1"/>
  <c r="T727" i="1"/>
  <c r="U727" i="1"/>
  <c r="V727" i="1"/>
  <c r="W727" i="1"/>
  <c r="X727" i="1"/>
  <c r="Y727" i="1"/>
  <c r="P728" i="1"/>
  <c r="Q728" i="1"/>
  <c r="R728" i="1"/>
  <c r="S728" i="1"/>
  <c r="T728" i="1"/>
  <c r="U728" i="1"/>
  <c r="V728" i="1"/>
  <c r="W728" i="1"/>
  <c r="X728" i="1"/>
  <c r="Y728" i="1"/>
  <c r="P729" i="1"/>
  <c r="Q729" i="1"/>
  <c r="R729" i="1"/>
  <c r="S729" i="1"/>
  <c r="T729" i="1"/>
  <c r="U729" i="1"/>
  <c r="V729" i="1"/>
  <c r="W729" i="1"/>
  <c r="X729" i="1"/>
  <c r="Y729" i="1"/>
  <c r="P730" i="1"/>
  <c r="Q730" i="1"/>
  <c r="R730" i="1"/>
  <c r="S730" i="1"/>
  <c r="T730" i="1"/>
  <c r="U730" i="1"/>
  <c r="V730" i="1"/>
  <c r="W730" i="1"/>
  <c r="X730" i="1"/>
  <c r="Y730" i="1"/>
  <c r="P731" i="1"/>
  <c r="Q731" i="1"/>
  <c r="R731" i="1"/>
  <c r="S731" i="1"/>
  <c r="T731" i="1"/>
  <c r="U731" i="1"/>
  <c r="V731" i="1"/>
  <c r="W731" i="1"/>
  <c r="X731" i="1"/>
  <c r="Y731" i="1"/>
  <c r="P732" i="1"/>
  <c r="Q732" i="1"/>
  <c r="R732" i="1"/>
  <c r="S732" i="1"/>
  <c r="T732" i="1"/>
  <c r="U732" i="1"/>
  <c r="V732" i="1"/>
  <c r="W732" i="1"/>
  <c r="X732" i="1"/>
  <c r="Y732" i="1"/>
  <c r="P733" i="1"/>
  <c r="Q733" i="1"/>
  <c r="R733" i="1"/>
  <c r="S733" i="1"/>
  <c r="T733" i="1"/>
  <c r="U733" i="1"/>
  <c r="V733" i="1"/>
  <c r="W733" i="1"/>
  <c r="X733" i="1"/>
  <c r="Y733" i="1"/>
  <c r="P734" i="1"/>
  <c r="Q734" i="1"/>
  <c r="R734" i="1"/>
  <c r="S734" i="1"/>
  <c r="T734" i="1"/>
  <c r="U734" i="1"/>
  <c r="V734" i="1"/>
  <c r="W734" i="1"/>
  <c r="X734" i="1"/>
  <c r="Y734" i="1"/>
  <c r="P735" i="1"/>
  <c r="Q735" i="1"/>
  <c r="R735" i="1"/>
  <c r="S735" i="1"/>
  <c r="T735" i="1"/>
  <c r="U735" i="1"/>
  <c r="V735" i="1"/>
  <c r="W735" i="1"/>
  <c r="X735" i="1"/>
  <c r="Y735" i="1"/>
  <c r="P736" i="1"/>
  <c r="Q736" i="1"/>
  <c r="R736" i="1"/>
  <c r="S736" i="1"/>
  <c r="T736" i="1"/>
  <c r="U736" i="1"/>
  <c r="V736" i="1"/>
  <c r="W736" i="1"/>
  <c r="X736" i="1"/>
  <c r="Y736" i="1"/>
  <c r="P737" i="1"/>
  <c r="Q737" i="1"/>
  <c r="R737" i="1"/>
  <c r="S737" i="1"/>
  <c r="T737" i="1"/>
  <c r="U737" i="1"/>
  <c r="V737" i="1"/>
  <c r="W737" i="1"/>
  <c r="X737" i="1"/>
  <c r="Y737" i="1"/>
  <c r="P738" i="1"/>
  <c r="Q738" i="1"/>
  <c r="R738" i="1"/>
  <c r="S738" i="1"/>
  <c r="T738" i="1"/>
  <c r="U738" i="1"/>
  <c r="V738" i="1"/>
  <c r="W738" i="1"/>
  <c r="X738" i="1"/>
  <c r="Y738" i="1"/>
  <c r="P739" i="1"/>
  <c r="Q739" i="1"/>
  <c r="R739" i="1"/>
  <c r="S739" i="1"/>
  <c r="T739" i="1"/>
  <c r="U739" i="1"/>
  <c r="V739" i="1"/>
  <c r="W739" i="1"/>
  <c r="X739" i="1"/>
  <c r="Y739" i="1"/>
  <c r="P740" i="1"/>
  <c r="Q740" i="1"/>
  <c r="R740" i="1"/>
  <c r="S740" i="1"/>
  <c r="T740" i="1"/>
  <c r="U740" i="1"/>
  <c r="V740" i="1"/>
  <c r="W740" i="1"/>
  <c r="X740" i="1"/>
  <c r="Y740" i="1"/>
  <c r="P741" i="1"/>
  <c r="Q741" i="1"/>
  <c r="R741" i="1"/>
  <c r="S741" i="1"/>
  <c r="T741" i="1"/>
  <c r="U741" i="1"/>
  <c r="V741" i="1"/>
  <c r="W741" i="1"/>
  <c r="X741" i="1"/>
  <c r="Y741" i="1"/>
  <c r="P742" i="1"/>
  <c r="Q742" i="1"/>
  <c r="R742" i="1"/>
  <c r="S742" i="1"/>
  <c r="T742" i="1"/>
  <c r="U742" i="1"/>
  <c r="V742" i="1"/>
  <c r="W742" i="1"/>
  <c r="X742" i="1"/>
  <c r="Y742" i="1"/>
  <c r="P743" i="1"/>
  <c r="Q743" i="1"/>
  <c r="R743" i="1"/>
  <c r="S743" i="1"/>
  <c r="T743" i="1"/>
  <c r="U743" i="1"/>
  <c r="V743" i="1"/>
  <c r="W743" i="1"/>
  <c r="X743" i="1"/>
  <c r="Y743" i="1"/>
  <c r="P744" i="1"/>
  <c r="Q744" i="1"/>
  <c r="R744" i="1"/>
  <c r="S744" i="1"/>
  <c r="T744" i="1"/>
  <c r="U744" i="1"/>
  <c r="V744" i="1"/>
  <c r="W744" i="1"/>
  <c r="X744" i="1"/>
  <c r="Y744" i="1"/>
  <c r="P745" i="1"/>
  <c r="Q745" i="1"/>
  <c r="R745" i="1"/>
  <c r="S745" i="1"/>
  <c r="T745" i="1"/>
  <c r="U745" i="1"/>
  <c r="V745" i="1"/>
  <c r="W745" i="1"/>
  <c r="X745" i="1"/>
  <c r="Y745" i="1"/>
  <c r="P746" i="1"/>
  <c r="Q746" i="1"/>
  <c r="R746" i="1"/>
  <c r="S746" i="1"/>
  <c r="T746" i="1"/>
  <c r="U746" i="1"/>
  <c r="V746" i="1"/>
  <c r="W746" i="1"/>
  <c r="X746" i="1"/>
  <c r="Y746" i="1"/>
  <c r="P747" i="1"/>
  <c r="Q747" i="1"/>
  <c r="R747" i="1"/>
  <c r="S747" i="1"/>
  <c r="T747" i="1"/>
  <c r="U747" i="1"/>
  <c r="V747" i="1"/>
  <c r="W747" i="1"/>
  <c r="X747" i="1"/>
  <c r="Y747" i="1"/>
  <c r="P748" i="1"/>
  <c r="Q748" i="1"/>
  <c r="R748" i="1"/>
  <c r="S748" i="1"/>
  <c r="T748" i="1"/>
  <c r="U748" i="1"/>
  <c r="V748" i="1"/>
  <c r="W748" i="1"/>
  <c r="X748" i="1"/>
  <c r="Y748" i="1"/>
  <c r="P749" i="1"/>
  <c r="Q749" i="1"/>
  <c r="R749" i="1"/>
  <c r="S749" i="1"/>
  <c r="T749" i="1"/>
  <c r="U749" i="1"/>
  <c r="V749" i="1"/>
  <c r="W749" i="1"/>
  <c r="X749" i="1"/>
  <c r="Y749" i="1"/>
  <c r="P750" i="1"/>
  <c r="Q750" i="1"/>
  <c r="R750" i="1"/>
  <c r="S750" i="1"/>
  <c r="T750" i="1"/>
  <c r="U750" i="1"/>
  <c r="V750" i="1"/>
  <c r="W750" i="1"/>
  <c r="X750" i="1"/>
  <c r="Y750" i="1"/>
  <c r="P751" i="1"/>
  <c r="Q751" i="1"/>
  <c r="R751" i="1"/>
  <c r="S751" i="1"/>
  <c r="T751" i="1"/>
  <c r="U751" i="1"/>
  <c r="V751" i="1"/>
  <c r="W751" i="1"/>
  <c r="X751" i="1"/>
  <c r="Y751" i="1"/>
  <c r="P752" i="1"/>
  <c r="Q752" i="1"/>
  <c r="R752" i="1"/>
  <c r="S752" i="1"/>
  <c r="T752" i="1"/>
  <c r="U752" i="1"/>
  <c r="V752" i="1"/>
  <c r="W752" i="1"/>
  <c r="X752" i="1"/>
  <c r="Y752" i="1"/>
  <c r="P753" i="1"/>
  <c r="Q753" i="1"/>
  <c r="R753" i="1"/>
  <c r="S753" i="1"/>
  <c r="T753" i="1"/>
  <c r="U753" i="1"/>
  <c r="V753" i="1"/>
  <c r="W753" i="1"/>
  <c r="X753" i="1"/>
  <c r="Y753" i="1"/>
  <c r="P754" i="1"/>
  <c r="Q754" i="1"/>
  <c r="R754" i="1"/>
  <c r="S754" i="1"/>
  <c r="T754" i="1"/>
  <c r="U754" i="1"/>
  <c r="V754" i="1"/>
  <c r="W754" i="1"/>
  <c r="X754" i="1"/>
  <c r="Y754" i="1"/>
  <c r="P755" i="1"/>
  <c r="Q755" i="1"/>
  <c r="R755" i="1"/>
  <c r="S755" i="1"/>
  <c r="T755" i="1"/>
  <c r="U755" i="1"/>
  <c r="V755" i="1"/>
  <c r="W755" i="1"/>
  <c r="X755" i="1"/>
  <c r="Y755" i="1"/>
  <c r="P756" i="1"/>
  <c r="Q756" i="1"/>
  <c r="R756" i="1"/>
  <c r="S756" i="1"/>
  <c r="T756" i="1"/>
  <c r="U756" i="1"/>
  <c r="V756" i="1"/>
  <c r="W756" i="1"/>
  <c r="X756" i="1"/>
  <c r="Y756" i="1"/>
  <c r="P757" i="1"/>
  <c r="Q757" i="1"/>
  <c r="R757" i="1"/>
  <c r="S757" i="1"/>
  <c r="T757" i="1"/>
  <c r="U757" i="1"/>
  <c r="V757" i="1"/>
  <c r="W757" i="1"/>
  <c r="X757" i="1"/>
  <c r="Y757" i="1"/>
  <c r="P758" i="1"/>
  <c r="Q758" i="1"/>
  <c r="R758" i="1"/>
  <c r="S758" i="1"/>
  <c r="T758" i="1"/>
  <c r="U758" i="1"/>
  <c r="V758" i="1"/>
  <c r="W758" i="1"/>
  <c r="X758" i="1"/>
  <c r="Y758" i="1"/>
  <c r="P759" i="1"/>
  <c r="Q759" i="1"/>
  <c r="R759" i="1"/>
  <c r="S759" i="1"/>
  <c r="T759" i="1"/>
  <c r="U759" i="1"/>
  <c r="V759" i="1"/>
  <c r="W759" i="1"/>
  <c r="X759" i="1"/>
  <c r="Y759" i="1"/>
  <c r="P760" i="1"/>
  <c r="Q760" i="1"/>
  <c r="R760" i="1"/>
  <c r="S760" i="1"/>
  <c r="T760" i="1"/>
  <c r="U760" i="1"/>
  <c r="V760" i="1"/>
  <c r="W760" i="1"/>
  <c r="X760" i="1"/>
  <c r="Y760" i="1"/>
  <c r="P761" i="1"/>
  <c r="Q761" i="1"/>
  <c r="R761" i="1"/>
  <c r="S761" i="1"/>
  <c r="T761" i="1"/>
  <c r="U761" i="1"/>
  <c r="V761" i="1"/>
  <c r="W761" i="1"/>
  <c r="X761" i="1"/>
  <c r="Y761" i="1"/>
  <c r="P762" i="1"/>
  <c r="Q762" i="1"/>
  <c r="R762" i="1"/>
  <c r="S762" i="1"/>
  <c r="T762" i="1"/>
  <c r="U762" i="1"/>
  <c r="V762" i="1"/>
  <c r="W762" i="1"/>
  <c r="X762" i="1"/>
  <c r="Y762" i="1"/>
  <c r="P763" i="1"/>
  <c r="Q763" i="1"/>
  <c r="R763" i="1"/>
  <c r="S763" i="1"/>
  <c r="T763" i="1"/>
  <c r="U763" i="1"/>
  <c r="V763" i="1"/>
  <c r="W763" i="1"/>
  <c r="X763" i="1"/>
  <c r="Y763" i="1"/>
  <c r="P764" i="1"/>
  <c r="Q764" i="1"/>
  <c r="R764" i="1"/>
  <c r="S764" i="1"/>
  <c r="T764" i="1"/>
  <c r="U764" i="1"/>
  <c r="V764" i="1"/>
  <c r="W764" i="1"/>
  <c r="X764" i="1"/>
  <c r="Y764" i="1"/>
  <c r="P765" i="1"/>
  <c r="Q765" i="1"/>
  <c r="R765" i="1"/>
  <c r="S765" i="1"/>
  <c r="T765" i="1"/>
  <c r="U765" i="1"/>
  <c r="V765" i="1"/>
  <c r="W765" i="1"/>
  <c r="X765" i="1"/>
  <c r="Y765" i="1"/>
  <c r="P766" i="1"/>
  <c r="Q766" i="1"/>
  <c r="R766" i="1"/>
  <c r="S766" i="1"/>
  <c r="T766" i="1"/>
  <c r="U766" i="1"/>
  <c r="V766" i="1"/>
  <c r="W766" i="1"/>
  <c r="X766" i="1"/>
  <c r="Y766" i="1"/>
  <c r="P767" i="1"/>
  <c r="Q767" i="1"/>
  <c r="R767" i="1"/>
  <c r="S767" i="1"/>
  <c r="T767" i="1"/>
  <c r="U767" i="1"/>
  <c r="V767" i="1"/>
  <c r="W767" i="1"/>
  <c r="X767" i="1"/>
  <c r="Y767" i="1"/>
  <c r="P768" i="1"/>
  <c r="Q768" i="1"/>
  <c r="R768" i="1"/>
  <c r="S768" i="1"/>
  <c r="T768" i="1"/>
  <c r="U768" i="1"/>
  <c r="V768" i="1"/>
  <c r="W768" i="1"/>
  <c r="X768" i="1"/>
  <c r="Y768" i="1"/>
  <c r="P769" i="1"/>
  <c r="Q769" i="1"/>
  <c r="R769" i="1"/>
  <c r="S769" i="1"/>
  <c r="T769" i="1"/>
  <c r="U769" i="1"/>
  <c r="V769" i="1"/>
  <c r="W769" i="1"/>
  <c r="X769" i="1"/>
  <c r="Y769" i="1"/>
  <c r="P770" i="1"/>
  <c r="Q770" i="1"/>
  <c r="R770" i="1"/>
  <c r="S770" i="1"/>
  <c r="T770" i="1"/>
  <c r="U770" i="1"/>
  <c r="V770" i="1"/>
  <c r="W770" i="1"/>
  <c r="X770" i="1"/>
  <c r="Y770" i="1"/>
  <c r="P771" i="1"/>
  <c r="Q771" i="1"/>
  <c r="R771" i="1"/>
  <c r="S771" i="1"/>
  <c r="T771" i="1"/>
  <c r="U771" i="1"/>
  <c r="V771" i="1"/>
  <c r="W771" i="1"/>
  <c r="X771" i="1"/>
  <c r="Y771" i="1"/>
  <c r="P772" i="1"/>
  <c r="Q772" i="1"/>
  <c r="R772" i="1"/>
  <c r="S772" i="1"/>
  <c r="T772" i="1"/>
  <c r="U772" i="1"/>
  <c r="V772" i="1"/>
  <c r="W772" i="1"/>
  <c r="X772" i="1"/>
  <c r="Y772" i="1"/>
  <c r="P773" i="1"/>
  <c r="Q773" i="1"/>
  <c r="R773" i="1"/>
  <c r="S773" i="1"/>
  <c r="T773" i="1"/>
  <c r="U773" i="1"/>
  <c r="V773" i="1"/>
  <c r="W773" i="1"/>
  <c r="X773" i="1"/>
  <c r="Y773" i="1"/>
  <c r="P774" i="1"/>
  <c r="Q774" i="1"/>
  <c r="R774" i="1"/>
  <c r="S774" i="1"/>
  <c r="T774" i="1"/>
  <c r="U774" i="1"/>
  <c r="V774" i="1"/>
  <c r="W774" i="1"/>
  <c r="X774" i="1"/>
  <c r="Y774" i="1"/>
  <c r="P775" i="1"/>
  <c r="Q775" i="1"/>
  <c r="R775" i="1"/>
  <c r="S775" i="1"/>
  <c r="T775" i="1"/>
  <c r="U775" i="1"/>
  <c r="V775" i="1"/>
  <c r="W775" i="1"/>
  <c r="X775" i="1"/>
  <c r="Y775" i="1"/>
  <c r="P776" i="1"/>
  <c r="Q776" i="1"/>
  <c r="R776" i="1"/>
  <c r="S776" i="1"/>
  <c r="T776" i="1"/>
  <c r="U776" i="1"/>
  <c r="V776" i="1"/>
  <c r="W776" i="1"/>
  <c r="X776" i="1"/>
  <c r="Y776" i="1"/>
  <c r="P777" i="1"/>
  <c r="Q777" i="1"/>
  <c r="R777" i="1"/>
  <c r="S777" i="1"/>
  <c r="T777" i="1"/>
  <c r="U777" i="1"/>
  <c r="V777" i="1"/>
  <c r="W777" i="1"/>
  <c r="X777" i="1"/>
  <c r="Y777" i="1"/>
  <c r="P778" i="1"/>
  <c r="Q778" i="1"/>
  <c r="R778" i="1"/>
  <c r="S778" i="1"/>
  <c r="T778" i="1"/>
  <c r="U778" i="1"/>
  <c r="V778" i="1"/>
  <c r="W778" i="1"/>
  <c r="X778" i="1"/>
  <c r="Y778" i="1"/>
  <c r="P779" i="1"/>
  <c r="Q779" i="1"/>
  <c r="R779" i="1"/>
  <c r="S779" i="1"/>
  <c r="T779" i="1"/>
  <c r="U779" i="1"/>
  <c r="V779" i="1"/>
  <c r="W779" i="1"/>
  <c r="X779" i="1"/>
  <c r="Y779" i="1"/>
  <c r="P780" i="1"/>
  <c r="Q780" i="1"/>
  <c r="R780" i="1"/>
  <c r="S780" i="1"/>
  <c r="T780" i="1"/>
  <c r="U780" i="1"/>
  <c r="V780" i="1"/>
  <c r="W780" i="1"/>
  <c r="X780" i="1"/>
  <c r="Y780" i="1"/>
  <c r="P781" i="1"/>
  <c r="Q781" i="1"/>
  <c r="R781" i="1"/>
  <c r="S781" i="1"/>
  <c r="T781" i="1"/>
  <c r="U781" i="1"/>
  <c r="V781" i="1"/>
  <c r="W781" i="1"/>
  <c r="X781" i="1"/>
  <c r="Y781" i="1"/>
  <c r="P782" i="1"/>
  <c r="Q782" i="1"/>
  <c r="R782" i="1"/>
  <c r="S782" i="1"/>
  <c r="T782" i="1"/>
  <c r="U782" i="1"/>
  <c r="V782" i="1"/>
  <c r="W782" i="1"/>
  <c r="X782" i="1"/>
  <c r="Y782" i="1"/>
  <c r="P783" i="1"/>
  <c r="Q783" i="1"/>
  <c r="R783" i="1"/>
  <c r="S783" i="1"/>
  <c r="T783" i="1"/>
  <c r="U783" i="1"/>
  <c r="V783" i="1"/>
  <c r="W783" i="1"/>
  <c r="X783" i="1"/>
  <c r="Y783" i="1"/>
  <c r="P784" i="1"/>
  <c r="Q784" i="1"/>
  <c r="R784" i="1"/>
  <c r="S784" i="1"/>
  <c r="T784" i="1"/>
  <c r="U784" i="1"/>
  <c r="V784" i="1"/>
  <c r="W784" i="1"/>
  <c r="X784" i="1"/>
  <c r="Y784" i="1"/>
  <c r="P785" i="1"/>
  <c r="Q785" i="1"/>
  <c r="R785" i="1"/>
  <c r="S785" i="1"/>
  <c r="T785" i="1"/>
  <c r="U785" i="1"/>
  <c r="V785" i="1"/>
  <c r="W785" i="1"/>
  <c r="X785" i="1"/>
  <c r="Y785" i="1"/>
  <c r="P786" i="1"/>
  <c r="Q786" i="1"/>
  <c r="R786" i="1"/>
  <c r="S786" i="1"/>
  <c r="T786" i="1"/>
  <c r="U786" i="1"/>
  <c r="V786" i="1"/>
  <c r="W786" i="1"/>
  <c r="X786" i="1"/>
  <c r="Y786" i="1"/>
  <c r="P787" i="1"/>
  <c r="Q787" i="1"/>
  <c r="R787" i="1"/>
  <c r="S787" i="1"/>
  <c r="T787" i="1"/>
  <c r="U787" i="1"/>
  <c r="V787" i="1"/>
  <c r="W787" i="1"/>
  <c r="X787" i="1"/>
  <c r="Y787" i="1"/>
  <c r="P788" i="1"/>
  <c r="Q788" i="1"/>
  <c r="R788" i="1"/>
  <c r="S788" i="1"/>
  <c r="T788" i="1"/>
  <c r="U788" i="1"/>
  <c r="V788" i="1"/>
  <c r="W788" i="1"/>
  <c r="X788" i="1"/>
  <c r="Y788" i="1"/>
  <c r="P789" i="1"/>
  <c r="Q789" i="1"/>
  <c r="R789" i="1"/>
  <c r="S789" i="1"/>
  <c r="T789" i="1"/>
  <c r="U789" i="1"/>
  <c r="V789" i="1"/>
  <c r="W789" i="1"/>
  <c r="X789" i="1"/>
  <c r="Y789" i="1"/>
  <c r="P790" i="1"/>
  <c r="Q790" i="1"/>
  <c r="R790" i="1"/>
  <c r="S790" i="1"/>
  <c r="T790" i="1"/>
  <c r="U790" i="1"/>
  <c r="V790" i="1"/>
  <c r="W790" i="1"/>
  <c r="X790" i="1"/>
  <c r="Y790" i="1"/>
  <c r="P791" i="1"/>
  <c r="Q791" i="1"/>
  <c r="R791" i="1"/>
  <c r="S791" i="1"/>
  <c r="T791" i="1"/>
  <c r="U791" i="1"/>
  <c r="V791" i="1"/>
  <c r="W791" i="1"/>
  <c r="X791" i="1"/>
  <c r="Y791" i="1"/>
  <c r="P792" i="1"/>
  <c r="Q792" i="1"/>
  <c r="R792" i="1"/>
  <c r="S792" i="1"/>
  <c r="T792" i="1"/>
  <c r="U792" i="1"/>
  <c r="V792" i="1"/>
  <c r="W792" i="1"/>
  <c r="X792" i="1"/>
  <c r="Y792" i="1"/>
  <c r="P793" i="1"/>
  <c r="Q793" i="1"/>
  <c r="R793" i="1"/>
  <c r="S793" i="1"/>
  <c r="T793" i="1"/>
  <c r="U793" i="1"/>
  <c r="V793" i="1"/>
  <c r="W793" i="1"/>
  <c r="X793" i="1"/>
  <c r="Y793" i="1"/>
  <c r="P794" i="1"/>
  <c r="Q794" i="1"/>
  <c r="R794" i="1"/>
  <c r="S794" i="1"/>
  <c r="T794" i="1"/>
  <c r="U794" i="1"/>
  <c r="V794" i="1"/>
  <c r="W794" i="1"/>
  <c r="X794" i="1"/>
  <c r="Y794" i="1"/>
  <c r="P795" i="1"/>
  <c r="Q795" i="1"/>
  <c r="R795" i="1"/>
  <c r="S795" i="1"/>
  <c r="T795" i="1"/>
  <c r="U795" i="1"/>
  <c r="V795" i="1"/>
  <c r="W795" i="1"/>
  <c r="X795" i="1"/>
  <c r="Y795" i="1"/>
  <c r="P796" i="1"/>
  <c r="Q796" i="1"/>
  <c r="R796" i="1"/>
  <c r="S796" i="1"/>
  <c r="T796" i="1"/>
  <c r="U796" i="1"/>
  <c r="V796" i="1"/>
  <c r="W796" i="1"/>
  <c r="X796" i="1"/>
  <c r="Y796" i="1"/>
  <c r="P797" i="1"/>
  <c r="Q797" i="1"/>
  <c r="R797" i="1"/>
  <c r="S797" i="1"/>
  <c r="T797" i="1"/>
  <c r="U797" i="1"/>
  <c r="V797" i="1"/>
  <c r="W797" i="1"/>
  <c r="X797" i="1"/>
  <c r="Y797" i="1"/>
  <c r="P798" i="1"/>
  <c r="Q798" i="1"/>
  <c r="R798" i="1"/>
  <c r="S798" i="1"/>
  <c r="T798" i="1"/>
  <c r="U798" i="1"/>
  <c r="V798" i="1"/>
  <c r="W798" i="1"/>
  <c r="X798" i="1"/>
  <c r="Y798" i="1"/>
  <c r="P799" i="1"/>
  <c r="Q799" i="1"/>
  <c r="R799" i="1"/>
  <c r="S799" i="1"/>
  <c r="T799" i="1"/>
  <c r="U799" i="1"/>
  <c r="V799" i="1"/>
  <c r="W799" i="1"/>
  <c r="X799" i="1"/>
  <c r="Y799" i="1"/>
  <c r="P800" i="1"/>
  <c r="Q800" i="1"/>
  <c r="R800" i="1"/>
  <c r="S800" i="1"/>
  <c r="T800" i="1"/>
  <c r="U800" i="1"/>
  <c r="V800" i="1"/>
  <c r="W800" i="1"/>
  <c r="X800" i="1"/>
  <c r="Y800" i="1"/>
  <c r="P801" i="1"/>
  <c r="Q801" i="1"/>
  <c r="R801" i="1"/>
  <c r="S801" i="1"/>
  <c r="T801" i="1"/>
  <c r="U801" i="1"/>
  <c r="V801" i="1"/>
  <c r="W801" i="1"/>
  <c r="X801" i="1"/>
  <c r="Y801" i="1"/>
  <c r="P802" i="1"/>
  <c r="Q802" i="1"/>
  <c r="R802" i="1"/>
  <c r="S802" i="1"/>
  <c r="T802" i="1"/>
  <c r="U802" i="1"/>
  <c r="V802" i="1"/>
  <c r="W802" i="1"/>
  <c r="X802" i="1"/>
  <c r="Y802" i="1"/>
  <c r="P803" i="1"/>
  <c r="Q803" i="1"/>
  <c r="R803" i="1"/>
  <c r="S803" i="1"/>
  <c r="T803" i="1"/>
  <c r="U803" i="1"/>
  <c r="V803" i="1"/>
  <c r="W803" i="1"/>
  <c r="X803" i="1"/>
  <c r="Y803" i="1"/>
  <c r="P804" i="1"/>
  <c r="Q804" i="1"/>
  <c r="R804" i="1"/>
  <c r="S804" i="1"/>
  <c r="T804" i="1"/>
  <c r="U804" i="1"/>
  <c r="V804" i="1"/>
  <c r="W804" i="1"/>
  <c r="X804" i="1"/>
  <c r="Y804" i="1"/>
  <c r="P805" i="1"/>
  <c r="Q805" i="1"/>
  <c r="R805" i="1"/>
  <c r="S805" i="1"/>
  <c r="T805" i="1"/>
  <c r="U805" i="1"/>
  <c r="V805" i="1"/>
  <c r="W805" i="1"/>
  <c r="X805" i="1"/>
  <c r="Y805" i="1"/>
  <c r="P806" i="1"/>
  <c r="Q806" i="1"/>
  <c r="R806" i="1"/>
  <c r="S806" i="1"/>
  <c r="T806" i="1"/>
  <c r="U806" i="1"/>
  <c r="V806" i="1"/>
  <c r="W806" i="1"/>
  <c r="X806" i="1"/>
  <c r="Y806" i="1"/>
  <c r="P807" i="1"/>
  <c r="Q807" i="1"/>
  <c r="R807" i="1"/>
  <c r="S807" i="1"/>
  <c r="T807" i="1"/>
  <c r="U807" i="1"/>
  <c r="V807" i="1"/>
  <c r="W807" i="1"/>
  <c r="X807" i="1"/>
  <c r="Y807" i="1"/>
  <c r="P808" i="1"/>
  <c r="Q808" i="1"/>
  <c r="R808" i="1"/>
  <c r="S808" i="1"/>
  <c r="T808" i="1"/>
  <c r="U808" i="1"/>
  <c r="V808" i="1"/>
  <c r="W808" i="1"/>
  <c r="X808" i="1"/>
  <c r="Y808" i="1"/>
  <c r="P809" i="1"/>
  <c r="Q809" i="1"/>
  <c r="R809" i="1"/>
  <c r="S809" i="1"/>
  <c r="T809" i="1"/>
  <c r="U809" i="1"/>
  <c r="V809" i="1"/>
  <c r="W809" i="1"/>
  <c r="X809" i="1"/>
  <c r="Y809" i="1"/>
  <c r="P810" i="1"/>
  <c r="Q810" i="1"/>
  <c r="R810" i="1"/>
  <c r="S810" i="1"/>
  <c r="T810" i="1"/>
  <c r="U810" i="1"/>
  <c r="V810" i="1"/>
  <c r="W810" i="1"/>
  <c r="X810" i="1"/>
  <c r="Y810" i="1"/>
  <c r="P811" i="1"/>
  <c r="Q811" i="1"/>
  <c r="R811" i="1"/>
  <c r="S811" i="1"/>
  <c r="T811" i="1"/>
  <c r="U811" i="1"/>
  <c r="V811" i="1"/>
  <c r="W811" i="1"/>
  <c r="X811" i="1"/>
  <c r="Y811" i="1"/>
  <c r="P812" i="1"/>
  <c r="Q812" i="1"/>
  <c r="R812" i="1"/>
  <c r="S812" i="1"/>
  <c r="T812" i="1"/>
  <c r="U812" i="1"/>
  <c r="V812" i="1"/>
  <c r="W812" i="1"/>
  <c r="X812" i="1"/>
  <c r="Y812" i="1"/>
  <c r="P813" i="1"/>
  <c r="Q813" i="1"/>
  <c r="R813" i="1"/>
  <c r="S813" i="1"/>
  <c r="T813" i="1"/>
  <c r="U813" i="1"/>
  <c r="V813" i="1"/>
  <c r="W813" i="1"/>
  <c r="X813" i="1"/>
  <c r="Y813" i="1"/>
  <c r="P814" i="1"/>
  <c r="Q814" i="1"/>
  <c r="R814" i="1"/>
  <c r="S814" i="1"/>
  <c r="T814" i="1"/>
  <c r="U814" i="1"/>
  <c r="V814" i="1"/>
  <c r="W814" i="1"/>
  <c r="X814" i="1"/>
  <c r="Y814" i="1"/>
  <c r="P815" i="1"/>
  <c r="Q815" i="1"/>
  <c r="R815" i="1"/>
  <c r="S815" i="1"/>
  <c r="T815" i="1"/>
  <c r="U815" i="1"/>
  <c r="V815" i="1"/>
  <c r="W815" i="1"/>
  <c r="X815" i="1"/>
  <c r="Y815" i="1"/>
  <c r="P816" i="1"/>
  <c r="Q816" i="1"/>
  <c r="R816" i="1"/>
  <c r="S816" i="1"/>
  <c r="T816" i="1"/>
  <c r="U816" i="1"/>
  <c r="V816" i="1"/>
  <c r="W816" i="1"/>
  <c r="X816" i="1"/>
  <c r="Y816" i="1"/>
  <c r="P817" i="1"/>
  <c r="Q817" i="1"/>
  <c r="R817" i="1"/>
  <c r="S817" i="1"/>
  <c r="T817" i="1"/>
  <c r="U817" i="1"/>
  <c r="V817" i="1"/>
  <c r="W817" i="1"/>
  <c r="X817" i="1"/>
  <c r="Y817" i="1"/>
  <c r="P818" i="1"/>
  <c r="Q818" i="1"/>
  <c r="R818" i="1"/>
  <c r="S818" i="1"/>
  <c r="T818" i="1"/>
  <c r="U818" i="1"/>
  <c r="V818" i="1"/>
  <c r="W818" i="1"/>
  <c r="X818" i="1"/>
  <c r="Y818" i="1"/>
  <c r="P819" i="1"/>
  <c r="Q819" i="1"/>
  <c r="R819" i="1"/>
  <c r="S819" i="1"/>
  <c r="T819" i="1"/>
  <c r="U819" i="1"/>
  <c r="V819" i="1"/>
  <c r="W819" i="1"/>
  <c r="X819" i="1"/>
  <c r="Y819" i="1"/>
  <c r="P820" i="1"/>
  <c r="Q820" i="1"/>
  <c r="R820" i="1"/>
  <c r="S820" i="1"/>
  <c r="T820" i="1"/>
  <c r="U820" i="1"/>
  <c r="V820" i="1"/>
  <c r="W820" i="1"/>
  <c r="X820" i="1"/>
  <c r="Y820" i="1"/>
  <c r="P821" i="1"/>
  <c r="Q821" i="1"/>
  <c r="R821" i="1"/>
  <c r="S821" i="1"/>
  <c r="T821" i="1"/>
  <c r="U821" i="1"/>
  <c r="V821" i="1"/>
  <c r="W821" i="1"/>
  <c r="X821" i="1"/>
  <c r="Y821" i="1"/>
  <c r="P822" i="1"/>
  <c r="Q822" i="1"/>
  <c r="R822" i="1"/>
  <c r="S822" i="1"/>
  <c r="T822" i="1"/>
  <c r="U822" i="1"/>
  <c r="V822" i="1"/>
  <c r="W822" i="1"/>
  <c r="X822" i="1"/>
  <c r="Y822" i="1"/>
  <c r="P823" i="1"/>
  <c r="Q823" i="1"/>
  <c r="R823" i="1"/>
  <c r="S823" i="1"/>
  <c r="T823" i="1"/>
  <c r="U823" i="1"/>
  <c r="V823" i="1"/>
  <c r="W823" i="1"/>
  <c r="X823" i="1"/>
  <c r="Y823" i="1"/>
  <c r="P824" i="1"/>
  <c r="Q824" i="1"/>
  <c r="R824" i="1"/>
  <c r="S824" i="1"/>
  <c r="T824" i="1"/>
  <c r="U824" i="1"/>
  <c r="V824" i="1"/>
  <c r="W824" i="1"/>
  <c r="X824" i="1"/>
  <c r="Y824" i="1"/>
  <c r="P825" i="1"/>
  <c r="Q825" i="1"/>
  <c r="R825" i="1"/>
  <c r="S825" i="1"/>
  <c r="T825" i="1"/>
  <c r="U825" i="1"/>
  <c r="V825" i="1"/>
  <c r="W825" i="1"/>
  <c r="X825" i="1"/>
  <c r="Y825" i="1"/>
  <c r="P826" i="1"/>
  <c r="Q826" i="1"/>
  <c r="R826" i="1"/>
  <c r="S826" i="1"/>
  <c r="T826" i="1"/>
  <c r="U826" i="1"/>
  <c r="V826" i="1"/>
  <c r="W826" i="1"/>
  <c r="X826" i="1"/>
  <c r="Y826" i="1"/>
  <c r="P827" i="1"/>
  <c r="Q827" i="1"/>
  <c r="R827" i="1"/>
  <c r="S827" i="1"/>
  <c r="T827" i="1"/>
  <c r="U827" i="1"/>
  <c r="V827" i="1"/>
  <c r="W827" i="1"/>
  <c r="X827" i="1"/>
  <c r="Y827" i="1"/>
  <c r="P828" i="1"/>
  <c r="Q828" i="1"/>
  <c r="R828" i="1"/>
  <c r="S828" i="1"/>
  <c r="T828" i="1"/>
  <c r="U828" i="1"/>
  <c r="V828" i="1"/>
  <c r="W828" i="1"/>
  <c r="X828" i="1"/>
  <c r="Y828" i="1"/>
  <c r="P829" i="1"/>
  <c r="Q829" i="1"/>
  <c r="R829" i="1"/>
  <c r="S829" i="1"/>
  <c r="T829" i="1"/>
  <c r="U829" i="1"/>
  <c r="V829" i="1"/>
  <c r="W829" i="1"/>
  <c r="X829" i="1"/>
  <c r="Y829" i="1"/>
  <c r="P830" i="1"/>
  <c r="Q830" i="1"/>
  <c r="R830" i="1"/>
  <c r="S830" i="1"/>
  <c r="T830" i="1"/>
  <c r="U830" i="1"/>
  <c r="V830" i="1"/>
  <c r="W830" i="1"/>
  <c r="X830" i="1"/>
  <c r="Y830" i="1"/>
  <c r="P831" i="1"/>
  <c r="Q831" i="1"/>
  <c r="R831" i="1"/>
  <c r="S831" i="1"/>
  <c r="T831" i="1"/>
  <c r="U831" i="1"/>
  <c r="V831" i="1"/>
  <c r="W831" i="1"/>
  <c r="X831" i="1"/>
  <c r="Y831" i="1"/>
  <c r="P832" i="1"/>
  <c r="Q832" i="1"/>
  <c r="R832" i="1"/>
  <c r="S832" i="1"/>
  <c r="T832" i="1"/>
  <c r="U832" i="1"/>
  <c r="V832" i="1"/>
  <c r="W832" i="1"/>
  <c r="X832" i="1"/>
  <c r="Y832" i="1"/>
  <c r="P833" i="1"/>
  <c r="Q833" i="1"/>
  <c r="R833" i="1"/>
  <c r="S833" i="1"/>
  <c r="T833" i="1"/>
  <c r="U833" i="1"/>
  <c r="V833" i="1"/>
  <c r="W833" i="1"/>
  <c r="X833" i="1"/>
  <c r="Y833" i="1"/>
  <c r="P834" i="1"/>
  <c r="Q834" i="1"/>
  <c r="R834" i="1"/>
  <c r="S834" i="1"/>
  <c r="T834" i="1"/>
  <c r="U834" i="1"/>
  <c r="V834" i="1"/>
  <c r="W834" i="1"/>
  <c r="X834" i="1"/>
  <c r="Y834" i="1"/>
  <c r="P835" i="1"/>
  <c r="Q835" i="1"/>
  <c r="R835" i="1"/>
  <c r="S835" i="1"/>
  <c r="T835" i="1"/>
  <c r="U835" i="1"/>
  <c r="V835" i="1"/>
  <c r="W835" i="1"/>
  <c r="X835" i="1"/>
  <c r="Y835" i="1"/>
  <c r="P836" i="1"/>
  <c r="Q836" i="1"/>
  <c r="R836" i="1"/>
  <c r="S836" i="1"/>
  <c r="T836" i="1"/>
  <c r="U836" i="1"/>
  <c r="V836" i="1"/>
  <c r="W836" i="1"/>
  <c r="X836" i="1"/>
  <c r="Y836" i="1"/>
  <c r="P837" i="1"/>
  <c r="Q837" i="1"/>
  <c r="R837" i="1"/>
  <c r="S837" i="1"/>
  <c r="T837" i="1"/>
  <c r="U837" i="1"/>
  <c r="V837" i="1"/>
  <c r="W837" i="1"/>
  <c r="X837" i="1"/>
  <c r="Y837" i="1"/>
  <c r="P838" i="1"/>
  <c r="Q838" i="1"/>
  <c r="R838" i="1"/>
  <c r="S838" i="1"/>
  <c r="T838" i="1"/>
  <c r="U838" i="1"/>
  <c r="V838" i="1"/>
  <c r="W838" i="1"/>
  <c r="X838" i="1"/>
  <c r="Y838" i="1"/>
  <c r="P839" i="1"/>
  <c r="Q839" i="1"/>
  <c r="R839" i="1"/>
  <c r="S839" i="1"/>
  <c r="T839" i="1"/>
  <c r="U839" i="1"/>
  <c r="V839" i="1"/>
  <c r="W839" i="1"/>
  <c r="X839" i="1"/>
  <c r="Y839" i="1"/>
  <c r="P840" i="1"/>
  <c r="Q840" i="1"/>
  <c r="R840" i="1"/>
  <c r="S840" i="1"/>
  <c r="T840" i="1"/>
  <c r="U840" i="1"/>
  <c r="V840" i="1"/>
  <c r="W840" i="1"/>
  <c r="X840" i="1"/>
  <c r="Y840" i="1"/>
  <c r="P841" i="1"/>
  <c r="Q841" i="1"/>
  <c r="R841" i="1"/>
  <c r="S841" i="1"/>
  <c r="T841" i="1"/>
  <c r="U841" i="1"/>
  <c r="V841" i="1"/>
  <c r="W841" i="1"/>
  <c r="X841" i="1"/>
  <c r="Y841" i="1"/>
  <c r="P842" i="1"/>
  <c r="Q842" i="1"/>
  <c r="R842" i="1"/>
  <c r="S842" i="1"/>
  <c r="T842" i="1"/>
  <c r="U842" i="1"/>
  <c r="V842" i="1"/>
  <c r="W842" i="1"/>
  <c r="X842" i="1"/>
  <c r="Y842" i="1"/>
  <c r="P843" i="1"/>
  <c r="Q843" i="1"/>
  <c r="R843" i="1"/>
  <c r="S843" i="1"/>
  <c r="T843" i="1"/>
  <c r="U843" i="1"/>
  <c r="V843" i="1"/>
  <c r="W843" i="1"/>
  <c r="X843" i="1"/>
  <c r="Y843" i="1"/>
  <c r="P844" i="1"/>
  <c r="Q844" i="1"/>
  <c r="R844" i="1"/>
  <c r="S844" i="1"/>
  <c r="T844" i="1"/>
  <c r="U844" i="1"/>
  <c r="V844" i="1"/>
  <c r="W844" i="1"/>
  <c r="X844" i="1"/>
  <c r="Y844" i="1"/>
  <c r="P845" i="1"/>
  <c r="Q845" i="1"/>
  <c r="R845" i="1"/>
  <c r="S845" i="1"/>
  <c r="T845" i="1"/>
  <c r="U845" i="1"/>
  <c r="V845" i="1"/>
  <c r="W845" i="1"/>
  <c r="X845" i="1"/>
  <c r="Y845" i="1"/>
  <c r="P846" i="1"/>
  <c r="Q846" i="1"/>
  <c r="R846" i="1"/>
  <c r="S846" i="1"/>
  <c r="T846" i="1"/>
  <c r="U846" i="1"/>
  <c r="V846" i="1"/>
  <c r="W846" i="1"/>
  <c r="X846" i="1"/>
  <c r="Y846" i="1"/>
  <c r="P847" i="1"/>
  <c r="Q847" i="1"/>
  <c r="R847" i="1"/>
  <c r="S847" i="1"/>
  <c r="T847" i="1"/>
  <c r="U847" i="1"/>
  <c r="V847" i="1"/>
  <c r="W847" i="1"/>
  <c r="X847" i="1"/>
  <c r="Y847" i="1"/>
  <c r="P848" i="1"/>
  <c r="Q848" i="1"/>
  <c r="R848" i="1"/>
  <c r="S848" i="1"/>
  <c r="T848" i="1"/>
  <c r="U848" i="1"/>
  <c r="V848" i="1"/>
  <c r="W848" i="1"/>
  <c r="X848" i="1"/>
  <c r="Y848" i="1"/>
  <c r="P849" i="1"/>
  <c r="Q849" i="1"/>
  <c r="R849" i="1"/>
  <c r="S849" i="1"/>
  <c r="T849" i="1"/>
  <c r="U849" i="1"/>
  <c r="V849" i="1"/>
  <c r="W849" i="1"/>
  <c r="X849" i="1"/>
  <c r="Y849" i="1"/>
  <c r="P850" i="1"/>
  <c r="Q850" i="1"/>
  <c r="R850" i="1"/>
  <c r="S850" i="1"/>
  <c r="T850" i="1"/>
  <c r="U850" i="1"/>
  <c r="V850" i="1"/>
  <c r="W850" i="1"/>
  <c r="X850" i="1"/>
  <c r="Y850" i="1"/>
  <c r="P851" i="1"/>
  <c r="Q851" i="1"/>
  <c r="R851" i="1"/>
  <c r="S851" i="1"/>
  <c r="T851" i="1"/>
  <c r="U851" i="1"/>
  <c r="V851" i="1"/>
  <c r="W851" i="1"/>
  <c r="X851" i="1"/>
  <c r="Y851" i="1"/>
  <c r="P852" i="1"/>
  <c r="Q852" i="1"/>
  <c r="R852" i="1"/>
  <c r="S852" i="1"/>
  <c r="T852" i="1"/>
  <c r="U852" i="1"/>
  <c r="V852" i="1"/>
  <c r="W852" i="1"/>
  <c r="X852" i="1"/>
  <c r="Y852" i="1"/>
  <c r="P853" i="1"/>
  <c r="Q853" i="1"/>
  <c r="R853" i="1"/>
  <c r="S853" i="1"/>
  <c r="T853" i="1"/>
  <c r="U853" i="1"/>
  <c r="V853" i="1"/>
  <c r="W853" i="1"/>
  <c r="X853" i="1"/>
  <c r="Y853" i="1"/>
  <c r="P854" i="1"/>
  <c r="Q854" i="1"/>
  <c r="R854" i="1"/>
  <c r="S854" i="1"/>
  <c r="T854" i="1"/>
  <c r="U854" i="1"/>
  <c r="V854" i="1"/>
  <c r="W854" i="1"/>
  <c r="X854" i="1"/>
  <c r="Y854" i="1"/>
  <c r="P855" i="1"/>
  <c r="Q855" i="1"/>
  <c r="R855" i="1"/>
  <c r="S855" i="1"/>
  <c r="T855" i="1"/>
  <c r="U855" i="1"/>
  <c r="V855" i="1"/>
  <c r="W855" i="1"/>
  <c r="X855" i="1"/>
  <c r="Y855" i="1"/>
  <c r="P856" i="1"/>
  <c r="Q856" i="1"/>
  <c r="R856" i="1"/>
  <c r="S856" i="1"/>
  <c r="T856" i="1"/>
  <c r="U856" i="1"/>
  <c r="V856" i="1"/>
  <c r="W856" i="1"/>
  <c r="X856" i="1"/>
  <c r="Y856" i="1"/>
  <c r="P857" i="1"/>
  <c r="Q857" i="1"/>
  <c r="R857" i="1"/>
  <c r="S857" i="1"/>
  <c r="T857" i="1"/>
  <c r="U857" i="1"/>
  <c r="V857" i="1"/>
  <c r="W857" i="1"/>
  <c r="X857" i="1"/>
  <c r="Y857" i="1"/>
  <c r="P858" i="1"/>
  <c r="Q858" i="1"/>
  <c r="R858" i="1"/>
  <c r="S858" i="1"/>
  <c r="T858" i="1"/>
  <c r="U858" i="1"/>
  <c r="V858" i="1"/>
  <c r="W858" i="1"/>
  <c r="X858" i="1"/>
  <c r="Y858" i="1"/>
  <c r="P859" i="1"/>
  <c r="Q859" i="1"/>
  <c r="R859" i="1"/>
  <c r="S859" i="1"/>
  <c r="T859" i="1"/>
  <c r="U859" i="1"/>
  <c r="V859" i="1"/>
  <c r="W859" i="1"/>
  <c r="X859" i="1"/>
  <c r="Y859" i="1"/>
  <c r="P860" i="1"/>
  <c r="Q860" i="1"/>
  <c r="R860" i="1"/>
  <c r="S860" i="1"/>
  <c r="T860" i="1"/>
  <c r="U860" i="1"/>
  <c r="V860" i="1"/>
  <c r="W860" i="1"/>
  <c r="X860" i="1"/>
  <c r="Y860" i="1"/>
  <c r="P861" i="1"/>
  <c r="Q861" i="1"/>
  <c r="R861" i="1"/>
  <c r="S861" i="1"/>
  <c r="T861" i="1"/>
  <c r="U861" i="1"/>
  <c r="V861" i="1"/>
  <c r="W861" i="1"/>
  <c r="X861" i="1"/>
  <c r="Y861" i="1"/>
  <c r="P862" i="1"/>
  <c r="Q862" i="1"/>
  <c r="R862" i="1"/>
  <c r="S862" i="1"/>
  <c r="T862" i="1"/>
  <c r="U862" i="1"/>
  <c r="V862" i="1"/>
  <c r="W862" i="1"/>
  <c r="X862" i="1"/>
  <c r="Y862" i="1"/>
  <c r="P863" i="1"/>
  <c r="Q863" i="1"/>
  <c r="R863" i="1"/>
  <c r="S863" i="1"/>
  <c r="T863" i="1"/>
  <c r="U863" i="1"/>
  <c r="V863" i="1"/>
  <c r="W863" i="1"/>
  <c r="X863" i="1"/>
  <c r="Y863" i="1"/>
  <c r="P864" i="1"/>
  <c r="Q864" i="1"/>
  <c r="R864" i="1"/>
  <c r="S864" i="1"/>
  <c r="T864" i="1"/>
  <c r="U864" i="1"/>
  <c r="V864" i="1"/>
  <c r="W864" i="1"/>
  <c r="X864" i="1"/>
  <c r="Y864" i="1"/>
  <c r="P865" i="1"/>
  <c r="Q865" i="1"/>
  <c r="R865" i="1"/>
  <c r="S865" i="1"/>
  <c r="T865" i="1"/>
  <c r="U865" i="1"/>
  <c r="V865" i="1"/>
  <c r="W865" i="1"/>
  <c r="X865" i="1"/>
  <c r="Y865" i="1"/>
  <c r="P866" i="1"/>
  <c r="Q866" i="1"/>
  <c r="R866" i="1"/>
  <c r="S866" i="1"/>
  <c r="T866" i="1"/>
  <c r="U866" i="1"/>
  <c r="V866" i="1"/>
  <c r="W866" i="1"/>
  <c r="X866" i="1"/>
  <c r="Y866" i="1"/>
  <c r="P867" i="1"/>
  <c r="Q867" i="1"/>
  <c r="R867" i="1"/>
  <c r="S867" i="1"/>
  <c r="T867" i="1"/>
  <c r="U867" i="1"/>
  <c r="V867" i="1"/>
  <c r="W867" i="1"/>
  <c r="X867" i="1"/>
  <c r="Y867" i="1"/>
  <c r="P868" i="1"/>
  <c r="Q868" i="1"/>
  <c r="R868" i="1"/>
  <c r="S868" i="1"/>
  <c r="T868" i="1"/>
  <c r="U868" i="1"/>
  <c r="V868" i="1"/>
  <c r="W868" i="1"/>
  <c r="X868" i="1"/>
  <c r="Y868" i="1"/>
  <c r="P869" i="1"/>
  <c r="Q869" i="1"/>
  <c r="R869" i="1"/>
  <c r="S869" i="1"/>
  <c r="T869" i="1"/>
  <c r="U869" i="1"/>
  <c r="V869" i="1"/>
  <c r="W869" i="1"/>
  <c r="X869" i="1"/>
  <c r="Y869" i="1"/>
  <c r="P870" i="1"/>
  <c r="Q870" i="1"/>
  <c r="R870" i="1"/>
  <c r="S870" i="1"/>
  <c r="T870" i="1"/>
  <c r="U870" i="1"/>
  <c r="V870" i="1"/>
  <c r="W870" i="1"/>
  <c r="X870" i="1"/>
  <c r="Y870" i="1"/>
  <c r="P871" i="1"/>
  <c r="Q871" i="1"/>
  <c r="R871" i="1"/>
  <c r="S871" i="1"/>
  <c r="T871" i="1"/>
  <c r="U871" i="1"/>
  <c r="V871" i="1"/>
  <c r="W871" i="1"/>
  <c r="X871" i="1"/>
  <c r="Y871" i="1"/>
  <c r="P872" i="1"/>
  <c r="Q872" i="1"/>
  <c r="R872" i="1"/>
  <c r="S872" i="1"/>
  <c r="T872" i="1"/>
  <c r="U872" i="1"/>
  <c r="V872" i="1"/>
  <c r="W872" i="1"/>
  <c r="X872" i="1"/>
  <c r="Y872" i="1"/>
  <c r="P873" i="1"/>
  <c r="Q873" i="1"/>
  <c r="R873" i="1"/>
  <c r="S873" i="1"/>
  <c r="T873" i="1"/>
  <c r="U873" i="1"/>
  <c r="V873" i="1"/>
  <c r="W873" i="1"/>
  <c r="X873" i="1"/>
  <c r="Y873" i="1"/>
  <c r="P874" i="1"/>
  <c r="Q874" i="1"/>
  <c r="R874" i="1"/>
  <c r="S874" i="1"/>
  <c r="T874" i="1"/>
  <c r="U874" i="1"/>
  <c r="V874" i="1"/>
  <c r="W874" i="1"/>
  <c r="X874" i="1"/>
  <c r="Y874" i="1"/>
  <c r="P875" i="1"/>
  <c r="Q875" i="1"/>
  <c r="R875" i="1"/>
  <c r="S875" i="1"/>
  <c r="T875" i="1"/>
  <c r="U875" i="1"/>
  <c r="V875" i="1"/>
  <c r="W875" i="1"/>
  <c r="X875" i="1"/>
  <c r="Y875" i="1"/>
  <c r="P876" i="1"/>
  <c r="Q876" i="1"/>
  <c r="R876" i="1"/>
  <c r="S876" i="1"/>
  <c r="T876" i="1"/>
  <c r="U876" i="1"/>
  <c r="V876" i="1"/>
  <c r="W876" i="1"/>
  <c r="X876" i="1"/>
  <c r="Y876" i="1"/>
  <c r="P877" i="1"/>
  <c r="Q877" i="1"/>
  <c r="R877" i="1"/>
  <c r="S877" i="1"/>
  <c r="T877" i="1"/>
  <c r="U877" i="1"/>
  <c r="V877" i="1"/>
  <c r="W877" i="1"/>
  <c r="X877" i="1"/>
  <c r="Y877" i="1"/>
  <c r="P878" i="1"/>
  <c r="Q878" i="1"/>
  <c r="R878" i="1"/>
  <c r="S878" i="1"/>
  <c r="T878" i="1"/>
  <c r="U878" i="1"/>
  <c r="V878" i="1"/>
  <c r="W878" i="1"/>
  <c r="X878" i="1"/>
  <c r="Y878" i="1"/>
  <c r="P879" i="1"/>
  <c r="Q879" i="1"/>
  <c r="R879" i="1"/>
  <c r="S879" i="1"/>
  <c r="T879" i="1"/>
  <c r="U879" i="1"/>
  <c r="V879" i="1"/>
  <c r="W879" i="1"/>
  <c r="X879" i="1"/>
  <c r="Y879" i="1"/>
  <c r="P880" i="1"/>
  <c r="Q880" i="1"/>
  <c r="R880" i="1"/>
  <c r="S880" i="1"/>
  <c r="T880" i="1"/>
  <c r="U880" i="1"/>
  <c r="V880" i="1"/>
  <c r="W880" i="1"/>
  <c r="X880" i="1"/>
  <c r="Y880" i="1"/>
  <c r="P881" i="1"/>
  <c r="Q881" i="1"/>
  <c r="R881" i="1"/>
  <c r="S881" i="1"/>
  <c r="T881" i="1"/>
  <c r="U881" i="1"/>
  <c r="V881" i="1"/>
  <c r="W881" i="1"/>
  <c r="X881" i="1"/>
  <c r="Y881" i="1"/>
  <c r="P882" i="1"/>
  <c r="Q882" i="1"/>
  <c r="R882" i="1"/>
  <c r="S882" i="1"/>
  <c r="T882" i="1"/>
  <c r="U882" i="1"/>
  <c r="V882" i="1"/>
  <c r="W882" i="1"/>
  <c r="X882" i="1"/>
  <c r="Y882" i="1"/>
  <c r="P883" i="1"/>
  <c r="Q883" i="1"/>
  <c r="R883" i="1"/>
  <c r="S883" i="1"/>
  <c r="T883" i="1"/>
  <c r="U883" i="1"/>
  <c r="V883" i="1"/>
  <c r="W883" i="1"/>
  <c r="X883" i="1"/>
  <c r="Y883" i="1"/>
  <c r="P884" i="1"/>
  <c r="Q884" i="1"/>
  <c r="R884" i="1"/>
  <c r="S884" i="1"/>
  <c r="T884" i="1"/>
  <c r="U884" i="1"/>
  <c r="V884" i="1"/>
  <c r="W884" i="1"/>
  <c r="X884" i="1"/>
  <c r="Y884" i="1"/>
  <c r="P885" i="1"/>
  <c r="Q885" i="1"/>
  <c r="R885" i="1"/>
  <c r="S885" i="1"/>
  <c r="T885" i="1"/>
  <c r="U885" i="1"/>
  <c r="V885" i="1"/>
  <c r="W885" i="1"/>
  <c r="X885" i="1"/>
  <c r="Y885" i="1"/>
  <c r="P886" i="1"/>
  <c r="Q886" i="1"/>
  <c r="R886" i="1"/>
  <c r="S886" i="1"/>
  <c r="T886" i="1"/>
  <c r="U886" i="1"/>
  <c r="V886" i="1"/>
  <c r="W886" i="1"/>
  <c r="X886" i="1"/>
  <c r="Y886" i="1"/>
  <c r="P887" i="1"/>
  <c r="Q887" i="1"/>
  <c r="R887" i="1"/>
  <c r="S887" i="1"/>
  <c r="T887" i="1"/>
  <c r="U887" i="1"/>
  <c r="V887" i="1"/>
  <c r="W887" i="1"/>
  <c r="X887" i="1"/>
  <c r="Y887" i="1"/>
  <c r="P888" i="1"/>
  <c r="Q888" i="1"/>
  <c r="R888" i="1"/>
  <c r="S888" i="1"/>
  <c r="T888" i="1"/>
  <c r="U888" i="1"/>
  <c r="V888" i="1"/>
  <c r="W888" i="1"/>
  <c r="X888" i="1"/>
  <c r="Y888" i="1"/>
  <c r="P889" i="1"/>
  <c r="Q889" i="1"/>
  <c r="R889" i="1"/>
  <c r="S889" i="1"/>
  <c r="T889" i="1"/>
  <c r="U889" i="1"/>
  <c r="V889" i="1"/>
  <c r="W889" i="1"/>
  <c r="X889" i="1"/>
  <c r="Y889" i="1"/>
  <c r="P890" i="1"/>
  <c r="Q890" i="1"/>
  <c r="R890" i="1"/>
  <c r="S890" i="1"/>
  <c r="T890" i="1"/>
  <c r="U890" i="1"/>
  <c r="V890" i="1"/>
  <c r="W890" i="1"/>
  <c r="X890" i="1"/>
  <c r="Y890" i="1"/>
  <c r="P891" i="1"/>
  <c r="Q891" i="1"/>
  <c r="R891" i="1"/>
  <c r="S891" i="1"/>
  <c r="T891" i="1"/>
  <c r="U891" i="1"/>
  <c r="V891" i="1"/>
  <c r="W891" i="1"/>
  <c r="X891" i="1"/>
  <c r="Y891" i="1"/>
  <c r="P892" i="1"/>
  <c r="Q892" i="1"/>
  <c r="R892" i="1"/>
  <c r="S892" i="1"/>
  <c r="T892" i="1"/>
  <c r="U892" i="1"/>
  <c r="V892" i="1"/>
  <c r="W892" i="1"/>
  <c r="X892" i="1"/>
  <c r="Y892" i="1"/>
  <c r="P893" i="1"/>
  <c r="Q893" i="1"/>
  <c r="R893" i="1"/>
  <c r="S893" i="1"/>
  <c r="T893" i="1"/>
  <c r="U893" i="1"/>
  <c r="V893" i="1"/>
  <c r="W893" i="1"/>
  <c r="X893" i="1"/>
  <c r="Y893" i="1"/>
  <c r="P894" i="1"/>
  <c r="Q894" i="1"/>
  <c r="R894" i="1"/>
  <c r="S894" i="1"/>
  <c r="T894" i="1"/>
  <c r="U894" i="1"/>
  <c r="V894" i="1"/>
  <c r="W894" i="1"/>
  <c r="X894" i="1"/>
  <c r="Y894" i="1"/>
  <c r="P895" i="1"/>
  <c r="Q895" i="1"/>
  <c r="R895" i="1"/>
  <c r="S895" i="1"/>
  <c r="T895" i="1"/>
  <c r="U895" i="1"/>
  <c r="V895" i="1"/>
  <c r="W895" i="1"/>
  <c r="X895" i="1"/>
  <c r="Y895" i="1"/>
  <c r="P896" i="1"/>
  <c r="Q896" i="1"/>
  <c r="R896" i="1"/>
  <c r="S896" i="1"/>
  <c r="T896" i="1"/>
  <c r="U896" i="1"/>
  <c r="V896" i="1"/>
  <c r="W896" i="1"/>
  <c r="X896" i="1"/>
  <c r="Y896" i="1"/>
  <c r="P897" i="1"/>
  <c r="Q897" i="1"/>
  <c r="R897" i="1"/>
  <c r="S897" i="1"/>
  <c r="T897" i="1"/>
  <c r="U897" i="1"/>
  <c r="V897" i="1"/>
  <c r="W897" i="1"/>
  <c r="X897" i="1"/>
  <c r="Y897" i="1"/>
  <c r="P898" i="1"/>
  <c r="Q898" i="1"/>
  <c r="R898" i="1"/>
  <c r="S898" i="1"/>
  <c r="T898" i="1"/>
  <c r="U898" i="1"/>
  <c r="V898" i="1"/>
  <c r="W898" i="1"/>
  <c r="X898" i="1"/>
  <c r="Y898" i="1"/>
  <c r="P899" i="1"/>
  <c r="Q899" i="1"/>
  <c r="R899" i="1"/>
  <c r="S899" i="1"/>
  <c r="T899" i="1"/>
  <c r="U899" i="1"/>
  <c r="V899" i="1"/>
  <c r="W899" i="1"/>
  <c r="X899" i="1"/>
  <c r="Y899" i="1"/>
  <c r="P900" i="1"/>
  <c r="Q900" i="1"/>
  <c r="R900" i="1"/>
  <c r="S900" i="1"/>
  <c r="T900" i="1"/>
  <c r="U900" i="1"/>
  <c r="V900" i="1"/>
  <c r="W900" i="1"/>
  <c r="X900" i="1"/>
  <c r="Y900" i="1"/>
  <c r="P901" i="1"/>
  <c r="Q901" i="1"/>
  <c r="R901" i="1"/>
  <c r="S901" i="1"/>
  <c r="T901" i="1"/>
  <c r="U901" i="1"/>
  <c r="V901" i="1"/>
  <c r="W901" i="1"/>
  <c r="X901" i="1"/>
  <c r="Y901" i="1"/>
  <c r="P902" i="1"/>
  <c r="Q902" i="1"/>
  <c r="R902" i="1"/>
  <c r="S902" i="1"/>
  <c r="T902" i="1"/>
  <c r="U902" i="1"/>
  <c r="V902" i="1"/>
  <c r="W902" i="1"/>
  <c r="X902" i="1"/>
  <c r="Y902" i="1"/>
  <c r="P903" i="1"/>
  <c r="Q903" i="1"/>
  <c r="R903" i="1"/>
  <c r="S903" i="1"/>
  <c r="T903" i="1"/>
  <c r="U903" i="1"/>
  <c r="V903" i="1"/>
  <c r="W903" i="1"/>
  <c r="X903" i="1"/>
  <c r="Y903" i="1"/>
  <c r="P904" i="1"/>
  <c r="Q904" i="1"/>
  <c r="R904" i="1"/>
  <c r="S904" i="1"/>
  <c r="T904" i="1"/>
  <c r="U904" i="1"/>
  <c r="V904" i="1"/>
  <c r="W904" i="1"/>
  <c r="X904" i="1"/>
  <c r="Y904" i="1"/>
  <c r="P905" i="1"/>
  <c r="Q905" i="1"/>
  <c r="R905" i="1"/>
  <c r="S905" i="1"/>
  <c r="T905" i="1"/>
  <c r="U905" i="1"/>
  <c r="V905" i="1"/>
  <c r="W905" i="1"/>
  <c r="X905" i="1"/>
  <c r="Y905" i="1"/>
  <c r="P906" i="1"/>
  <c r="Q906" i="1"/>
  <c r="R906" i="1"/>
  <c r="S906" i="1"/>
  <c r="T906" i="1"/>
  <c r="U906" i="1"/>
  <c r="V906" i="1"/>
  <c r="W906" i="1"/>
  <c r="X906" i="1"/>
  <c r="Y906" i="1"/>
  <c r="P907" i="1"/>
  <c r="Q907" i="1"/>
  <c r="R907" i="1"/>
  <c r="S907" i="1"/>
  <c r="T907" i="1"/>
  <c r="U907" i="1"/>
  <c r="V907" i="1"/>
  <c r="W907" i="1"/>
  <c r="X907" i="1"/>
  <c r="Y907" i="1"/>
  <c r="P908" i="1"/>
  <c r="Q908" i="1"/>
  <c r="R908" i="1"/>
  <c r="S908" i="1"/>
  <c r="T908" i="1"/>
  <c r="U908" i="1"/>
  <c r="V908" i="1"/>
  <c r="W908" i="1"/>
  <c r="X908" i="1"/>
  <c r="Y908" i="1"/>
  <c r="P909" i="1"/>
  <c r="Q909" i="1"/>
  <c r="R909" i="1"/>
  <c r="S909" i="1"/>
  <c r="T909" i="1"/>
  <c r="U909" i="1"/>
  <c r="V909" i="1"/>
  <c r="W909" i="1"/>
  <c r="X909" i="1"/>
  <c r="Y909" i="1"/>
  <c r="P910" i="1"/>
  <c r="Q910" i="1"/>
  <c r="R910" i="1"/>
  <c r="S910" i="1"/>
  <c r="T910" i="1"/>
  <c r="U910" i="1"/>
  <c r="V910" i="1"/>
  <c r="W910" i="1"/>
  <c r="X910" i="1"/>
  <c r="Y910" i="1"/>
  <c r="P911" i="1"/>
  <c r="Q911" i="1"/>
  <c r="R911" i="1"/>
  <c r="S911" i="1"/>
  <c r="T911" i="1"/>
  <c r="U911" i="1"/>
  <c r="V911" i="1"/>
  <c r="W911" i="1"/>
  <c r="X911" i="1"/>
  <c r="Y911" i="1"/>
  <c r="P912" i="1"/>
  <c r="Q912" i="1"/>
  <c r="R912" i="1"/>
  <c r="S912" i="1"/>
  <c r="T912" i="1"/>
  <c r="U912" i="1"/>
  <c r="V912" i="1"/>
  <c r="W912" i="1"/>
  <c r="X912" i="1"/>
  <c r="Y912" i="1"/>
  <c r="P913" i="1"/>
  <c r="Q913" i="1"/>
  <c r="R913" i="1"/>
  <c r="S913" i="1"/>
  <c r="T913" i="1"/>
  <c r="U913" i="1"/>
  <c r="V913" i="1"/>
  <c r="W913" i="1"/>
  <c r="X913" i="1"/>
  <c r="Y913" i="1"/>
  <c r="P914" i="1"/>
  <c r="Q914" i="1"/>
  <c r="R914" i="1"/>
  <c r="S914" i="1"/>
  <c r="T914" i="1"/>
  <c r="U914" i="1"/>
  <c r="V914" i="1"/>
  <c r="W914" i="1"/>
  <c r="X914" i="1"/>
  <c r="Y914" i="1"/>
  <c r="P915" i="1"/>
  <c r="Q915" i="1"/>
  <c r="R915" i="1"/>
  <c r="S915" i="1"/>
  <c r="T915" i="1"/>
  <c r="U915" i="1"/>
  <c r="V915" i="1"/>
  <c r="W915" i="1"/>
  <c r="X915" i="1"/>
  <c r="Y915" i="1"/>
  <c r="P916" i="1"/>
  <c r="Q916" i="1"/>
  <c r="R916" i="1"/>
  <c r="S916" i="1"/>
  <c r="T916" i="1"/>
  <c r="U916" i="1"/>
  <c r="V916" i="1"/>
  <c r="W916" i="1"/>
  <c r="X916" i="1"/>
  <c r="Y916" i="1"/>
  <c r="P917" i="1"/>
  <c r="Q917" i="1"/>
  <c r="R917" i="1"/>
  <c r="S917" i="1"/>
  <c r="T917" i="1"/>
  <c r="U917" i="1"/>
  <c r="V917" i="1"/>
  <c r="W917" i="1"/>
  <c r="X917" i="1"/>
  <c r="Y917" i="1"/>
  <c r="P918" i="1"/>
  <c r="Q918" i="1"/>
  <c r="R918" i="1"/>
  <c r="S918" i="1"/>
  <c r="T918" i="1"/>
  <c r="U918" i="1"/>
  <c r="V918" i="1"/>
  <c r="W918" i="1"/>
  <c r="X918" i="1"/>
  <c r="Y918" i="1"/>
  <c r="P919" i="1"/>
  <c r="Q919" i="1"/>
  <c r="R919" i="1"/>
  <c r="S919" i="1"/>
  <c r="T919" i="1"/>
  <c r="U919" i="1"/>
  <c r="V919" i="1"/>
  <c r="W919" i="1"/>
  <c r="X919" i="1"/>
  <c r="Y919" i="1"/>
  <c r="P920" i="1"/>
  <c r="Q920" i="1"/>
  <c r="R920" i="1"/>
  <c r="S920" i="1"/>
  <c r="T920" i="1"/>
  <c r="U920" i="1"/>
  <c r="V920" i="1"/>
  <c r="W920" i="1"/>
  <c r="X920" i="1"/>
  <c r="Y920" i="1"/>
  <c r="P921" i="1"/>
  <c r="Q921" i="1"/>
  <c r="R921" i="1"/>
  <c r="S921" i="1"/>
  <c r="T921" i="1"/>
  <c r="U921" i="1"/>
  <c r="V921" i="1"/>
  <c r="W921" i="1"/>
  <c r="X921" i="1"/>
  <c r="Y921" i="1"/>
  <c r="P922" i="1"/>
  <c r="Q922" i="1"/>
  <c r="R922" i="1"/>
  <c r="S922" i="1"/>
  <c r="T922" i="1"/>
  <c r="U922" i="1"/>
  <c r="V922" i="1"/>
  <c r="W922" i="1"/>
  <c r="X922" i="1"/>
  <c r="Y922" i="1"/>
  <c r="P923" i="1"/>
  <c r="Q923" i="1"/>
  <c r="R923" i="1"/>
  <c r="S923" i="1"/>
  <c r="T923" i="1"/>
  <c r="U923" i="1"/>
  <c r="V923" i="1"/>
  <c r="W923" i="1"/>
  <c r="X923" i="1"/>
  <c r="Y923" i="1"/>
  <c r="P924" i="1"/>
  <c r="Q924" i="1"/>
  <c r="R924" i="1"/>
  <c r="S924" i="1"/>
  <c r="T924" i="1"/>
  <c r="U924" i="1"/>
  <c r="V924" i="1"/>
  <c r="W924" i="1"/>
  <c r="X924" i="1"/>
  <c r="Y924" i="1"/>
  <c r="P925" i="1"/>
  <c r="Q925" i="1"/>
  <c r="R925" i="1"/>
  <c r="S925" i="1"/>
  <c r="T925" i="1"/>
  <c r="U925" i="1"/>
  <c r="V925" i="1"/>
  <c r="W925" i="1"/>
  <c r="X925" i="1"/>
  <c r="Y925" i="1"/>
  <c r="P926" i="1"/>
  <c r="Q926" i="1"/>
  <c r="R926" i="1"/>
  <c r="S926" i="1"/>
  <c r="T926" i="1"/>
  <c r="U926" i="1"/>
  <c r="V926" i="1"/>
  <c r="W926" i="1"/>
  <c r="X926" i="1"/>
  <c r="Y926" i="1"/>
  <c r="P927" i="1"/>
  <c r="Q927" i="1"/>
  <c r="R927" i="1"/>
  <c r="S927" i="1"/>
  <c r="T927" i="1"/>
  <c r="U927" i="1"/>
  <c r="V927" i="1"/>
  <c r="W927" i="1"/>
  <c r="X927" i="1"/>
  <c r="Y927" i="1"/>
  <c r="P928" i="1"/>
  <c r="Q928" i="1"/>
  <c r="R928" i="1"/>
  <c r="S928" i="1"/>
  <c r="T928" i="1"/>
  <c r="U928" i="1"/>
  <c r="V928" i="1"/>
  <c r="W928" i="1"/>
  <c r="X928" i="1"/>
  <c r="Y928" i="1"/>
  <c r="P929" i="1"/>
  <c r="Q929" i="1"/>
  <c r="R929" i="1"/>
  <c r="S929" i="1"/>
  <c r="T929" i="1"/>
  <c r="U929" i="1"/>
  <c r="V929" i="1"/>
  <c r="W929" i="1"/>
  <c r="X929" i="1"/>
  <c r="Y929" i="1"/>
  <c r="P930" i="1"/>
  <c r="Q930" i="1"/>
  <c r="R930" i="1"/>
  <c r="S930" i="1"/>
  <c r="T930" i="1"/>
  <c r="U930" i="1"/>
  <c r="V930" i="1"/>
  <c r="W930" i="1"/>
  <c r="X930" i="1"/>
  <c r="Y930" i="1"/>
  <c r="P931" i="1"/>
  <c r="Q931" i="1"/>
  <c r="R931" i="1"/>
  <c r="S931" i="1"/>
  <c r="T931" i="1"/>
  <c r="U931" i="1"/>
  <c r="V931" i="1"/>
  <c r="W931" i="1"/>
  <c r="X931" i="1"/>
  <c r="Y931" i="1"/>
  <c r="P932" i="1"/>
  <c r="Q932" i="1"/>
  <c r="R932" i="1"/>
  <c r="S932" i="1"/>
  <c r="T932" i="1"/>
  <c r="U932" i="1"/>
  <c r="V932" i="1"/>
  <c r="W932" i="1"/>
  <c r="X932" i="1"/>
  <c r="Y932" i="1"/>
  <c r="P933" i="1"/>
  <c r="Q933" i="1"/>
  <c r="R933" i="1"/>
  <c r="S933" i="1"/>
  <c r="T933" i="1"/>
  <c r="U933" i="1"/>
  <c r="V933" i="1"/>
  <c r="W933" i="1"/>
  <c r="X933" i="1"/>
  <c r="Y933" i="1"/>
  <c r="P934" i="1"/>
  <c r="Q934" i="1"/>
  <c r="R934" i="1"/>
  <c r="S934" i="1"/>
  <c r="T934" i="1"/>
  <c r="U934" i="1"/>
  <c r="V934" i="1"/>
  <c r="W934" i="1"/>
  <c r="X934" i="1"/>
  <c r="Y934" i="1"/>
  <c r="P935" i="1"/>
  <c r="Q935" i="1"/>
  <c r="R935" i="1"/>
  <c r="S935" i="1"/>
  <c r="T935" i="1"/>
  <c r="U935" i="1"/>
  <c r="V935" i="1"/>
  <c r="W935" i="1"/>
  <c r="X935" i="1"/>
  <c r="Y935" i="1"/>
  <c r="P936" i="1"/>
  <c r="Q936" i="1"/>
  <c r="R936" i="1"/>
  <c r="S936" i="1"/>
  <c r="T936" i="1"/>
  <c r="U936" i="1"/>
  <c r="V936" i="1"/>
  <c r="W936" i="1"/>
  <c r="X936" i="1"/>
  <c r="Y936" i="1"/>
  <c r="P937" i="1"/>
  <c r="Q937" i="1"/>
  <c r="R937" i="1"/>
  <c r="S937" i="1"/>
  <c r="T937" i="1"/>
  <c r="U937" i="1"/>
  <c r="V937" i="1"/>
  <c r="W937" i="1"/>
  <c r="X937" i="1"/>
  <c r="Y937" i="1"/>
  <c r="P938" i="1"/>
  <c r="Q938" i="1"/>
  <c r="R938" i="1"/>
  <c r="S938" i="1"/>
  <c r="T938" i="1"/>
  <c r="U938" i="1"/>
  <c r="V938" i="1"/>
  <c r="W938" i="1"/>
  <c r="X938" i="1"/>
  <c r="Y938" i="1"/>
  <c r="P939" i="1"/>
  <c r="Q939" i="1"/>
  <c r="R939" i="1"/>
  <c r="S939" i="1"/>
  <c r="T939" i="1"/>
  <c r="U939" i="1"/>
  <c r="V939" i="1"/>
  <c r="W939" i="1"/>
  <c r="X939" i="1"/>
  <c r="Y939" i="1"/>
  <c r="P940" i="1"/>
  <c r="Q940" i="1"/>
  <c r="R940" i="1"/>
  <c r="S940" i="1"/>
  <c r="T940" i="1"/>
  <c r="U940" i="1"/>
  <c r="V940" i="1"/>
  <c r="W940" i="1"/>
  <c r="X940" i="1"/>
  <c r="Y940" i="1"/>
  <c r="P941" i="1"/>
  <c r="Q941" i="1"/>
  <c r="R941" i="1"/>
  <c r="S941" i="1"/>
  <c r="T941" i="1"/>
  <c r="U941" i="1"/>
  <c r="V941" i="1"/>
  <c r="W941" i="1"/>
  <c r="X941" i="1"/>
  <c r="Y941" i="1"/>
  <c r="P942" i="1"/>
  <c r="Q942" i="1"/>
  <c r="R942" i="1"/>
  <c r="S942" i="1"/>
  <c r="T942" i="1"/>
  <c r="U942" i="1"/>
  <c r="V942" i="1"/>
  <c r="W942" i="1"/>
  <c r="X942" i="1"/>
  <c r="Y942" i="1"/>
  <c r="P943" i="1"/>
  <c r="Q943" i="1"/>
  <c r="R943" i="1"/>
  <c r="S943" i="1"/>
  <c r="T943" i="1"/>
  <c r="U943" i="1"/>
  <c r="V943" i="1"/>
  <c r="W943" i="1"/>
  <c r="X943" i="1"/>
  <c r="Y943" i="1"/>
  <c r="P944" i="1"/>
  <c r="Q944" i="1"/>
  <c r="R944" i="1"/>
  <c r="S944" i="1"/>
  <c r="T944" i="1"/>
  <c r="U944" i="1"/>
  <c r="V944" i="1"/>
  <c r="W944" i="1"/>
  <c r="X944" i="1"/>
  <c r="Y944" i="1"/>
  <c r="P945" i="1"/>
  <c r="Q945" i="1"/>
  <c r="R945" i="1"/>
  <c r="S945" i="1"/>
  <c r="T945" i="1"/>
  <c r="U945" i="1"/>
  <c r="V945" i="1"/>
  <c r="W945" i="1"/>
  <c r="X945" i="1"/>
  <c r="Y945" i="1"/>
  <c r="P946" i="1"/>
  <c r="Q946" i="1"/>
  <c r="R946" i="1"/>
  <c r="S946" i="1"/>
  <c r="T946" i="1"/>
  <c r="U946" i="1"/>
  <c r="V946" i="1"/>
  <c r="W946" i="1"/>
  <c r="X946" i="1"/>
  <c r="Y946" i="1"/>
  <c r="P947" i="1"/>
  <c r="Q947" i="1"/>
  <c r="R947" i="1"/>
  <c r="S947" i="1"/>
  <c r="T947" i="1"/>
  <c r="U947" i="1"/>
  <c r="V947" i="1"/>
  <c r="W947" i="1"/>
  <c r="X947" i="1"/>
  <c r="Y947" i="1"/>
  <c r="P948" i="1"/>
  <c r="Q948" i="1"/>
  <c r="R948" i="1"/>
  <c r="S948" i="1"/>
  <c r="T948" i="1"/>
  <c r="U948" i="1"/>
  <c r="V948" i="1"/>
  <c r="W948" i="1"/>
  <c r="X948" i="1"/>
  <c r="Y948" i="1"/>
  <c r="P949" i="1"/>
  <c r="Q949" i="1"/>
  <c r="R949" i="1"/>
  <c r="S949" i="1"/>
  <c r="T949" i="1"/>
  <c r="U949" i="1"/>
  <c r="V949" i="1"/>
  <c r="W949" i="1"/>
  <c r="X949" i="1"/>
  <c r="Y949" i="1"/>
  <c r="P950" i="1"/>
  <c r="Q950" i="1"/>
  <c r="R950" i="1"/>
  <c r="S950" i="1"/>
  <c r="T950" i="1"/>
  <c r="U950" i="1"/>
  <c r="V950" i="1"/>
  <c r="W950" i="1"/>
  <c r="X950" i="1"/>
  <c r="Y950" i="1"/>
  <c r="P951" i="1"/>
  <c r="Q951" i="1"/>
  <c r="R951" i="1"/>
  <c r="S951" i="1"/>
  <c r="T951" i="1"/>
  <c r="U951" i="1"/>
  <c r="V951" i="1"/>
  <c r="W951" i="1"/>
  <c r="X951" i="1"/>
  <c r="Y951" i="1"/>
  <c r="P952" i="1"/>
  <c r="Q952" i="1"/>
  <c r="R952" i="1"/>
  <c r="S952" i="1"/>
  <c r="T952" i="1"/>
  <c r="U952" i="1"/>
  <c r="V952" i="1"/>
  <c r="W952" i="1"/>
  <c r="X952" i="1"/>
  <c r="Y952" i="1"/>
  <c r="P953" i="1"/>
  <c r="Q953" i="1"/>
  <c r="R953" i="1"/>
  <c r="S953" i="1"/>
  <c r="T953" i="1"/>
  <c r="U953" i="1"/>
  <c r="V953" i="1"/>
  <c r="W953" i="1"/>
  <c r="X953" i="1"/>
  <c r="Y953" i="1"/>
  <c r="P954" i="1"/>
  <c r="Q954" i="1"/>
  <c r="R954" i="1"/>
  <c r="S954" i="1"/>
  <c r="T954" i="1"/>
  <c r="U954" i="1"/>
  <c r="V954" i="1"/>
  <c r="W954" i="1"/>
  <c r="X954" i="1"/>
  <c r="Y954" i="1"/>
  <c r="P955" i="1"/>
  <c r="Q955" i="1"/>
  <c r="R955" i="1"/>
  <c r="S955" i="1"/>
  <c r="T955" i="1"/>
  <c r="U955" i="1"/>
  <c r="V955" i="1"/>
  <c r="W955" i="1"/>
  <c r="X955" i="1"/>
  <c r="Y955" i="1"/>
  <c r="P956" i="1"/>
  <c r="Q956" i="1"/>
  <c r="R956" i="1"/>
  <c r="S956" i="1"/>
  <c r="T956" i="1"/>
  <c r="U956" i="1"/>
  <c r="V956" i="1"/>
  <c r="W956" i="1"/>
  <c r="X956" i="1"/>
  <c r="Y956" i="1"/>
  <c r="P957" i="1"/>
  <c r="Q957" i="1"/>
  <c r="R957" i="1"/>
  <c r="S957" i="1"/>
  <c r="T957" i="1"/>
  <c r="U957" i="1"/>
  <c r="V957" i="1"/>
  <c r="W957" i="1"/>
  <c r="X957" i="1"/>
  <c r="Y957" i="1"/>
  <c r="P958" i="1"/>
  <c r="Q958" i="1"/>
  <c r="R958" i="1"/>
  <c r="S958" i="1"/>
  <c r="T958" i="1"/>
  <c r="U958" i="1"/>
  <c r="V958" i="1"/>
  <c r="W958" i="1"/>
  <c r="X958" i="1"/>
  <c r="Y958" i="1"/>
  <c r="P959" i="1"/>
  <c r="Q959" i="1"/>
  <c r="R959" i="1"/>
  <c r="S959" i="1"/>
  <c r="T959" i="1"/>
  <c r="U959" i="1"/>
  <c r="V959" i="1"/>
  <c r="W959" i="1"/>
  <c r="X959" i="1"/>
  <c r="Y959" i="1"/>
  <c r="P960" i="1"/>
  <c r="Q960" i="1"/>
  <c r="R960" i="1"/>
  <c r="S960" i="1"/>
  <c r="T960" i="1"/>
  <c r="U960" i="1"/>
  <c r="V960" i="1"/>
  <c r="W960" i="1"/>
  <c r="X960" i="1"/>
  <c r="Y960" i="1"/>
  <c r="P961" i="1"/>
  <c r="Q961" i="1"/>
  <c r="R961" i="1"/>
  <c r="S961" i="1"/>
  <c r="T961" i="1"/>
  <c r="U961" i="1"/>
  <c r="V961" i="1"/>
  <c r="W961" i="1"/>
  <c r="X961" i="1"/>
  <c r="Y961" i="1"/>
  <c r="P962" i="1"/>
  <c r="Q962" i="1"/>
  <c r="R962" i="1"/>
  <c r="S962" i="1"/>
  <c r="T962" i="1"/>
  <c r="U962" i="1"/>
  <c r="V962" i="1"/>
  <c r="W962" i="1"/>
  <c r="X962" i="1"/>
  <c r="Y962" i="1"/>
  <c r="P963" i="1"/>
  <c r="Q963" i="1"/>
  <c r="R963" i="1"/>
  <c r="S963" i="1"/>
  <c r="T963" i="1"/>
  <c r="U963" i="1"/>
  <c r="V963" i="1"/>
  <c r="W963" i="1"/>
  <c r="X963" i="1"/>
  <c r="Y963" i="1"/>
  <c r="P964" i="1"/>
  <c r="Q964" i="1"/>
  <c r="R964" i="1"/>
  <c r="S964" i="1"/>
  <c r="T964" i="1"/>
  <c r="U964" i="1"/>
  <c r="V964" i="1"/>
  <c r="W964" i="1"/>
  <c r="X964" i="1"/>
  <c r="Y964" i="1"/>
  <c r="P965" i="1"/>
  <c r="Q965" i="1"/>
  <c r="R965" i="1"/>
  <c r="S965" i="1"/>
  <c r="T965" i="1"/>
  <c r="U965" i="1"/>
  <c r="V965" i="1"/>
  <c r="W965" i="1"/>
  <c r="X965" i="1"/>
  <c r="Y965" i="1"/>
  <c r="P966" i="1"/>
  <c r="Q966" i="1"/>
  <c r="R966" i="1"/>
  <c r="S966" i="1"/>
  <c r="T966" i="1"/>
  <c r="U966" i="1"/>
  <c r="V966" i="1"/>
  <c r="W966" i="1"/>
  <c r="X966" i="1"/>
  <c r="Y966" i="1"/>
  <c r="P967" i="1"/>
  <c r="Q967" i="1"/>
  <c r="R967" i="1"/>
  <c r="S967" i="1"/>
  <c r="T967" i="1"/>
  <c r="U967" i="1"/>
  <c r="V967" i="1"/>
  <c r="W967" i="1"/>
  <c r="X967" i="1"/>
  <c r="Y967" i="1"/>
  <c r="P968" i="1"/>
  <c r="Q968" i="1"/>
  <c r="R968" i="1"/>
  <c r="S968" i="1"/>
  <c r="T968" i="1"/>
  <c r="U968" i="1"/>
  <c r="V968" i="1"/>
  <c r="W968" i="1"/>
  <c r="X968" i="1"/>
  <c r="Y968" i="1"/>
  <c r="P969" i="1"/>
  <c r="Q969" i="1"/>
  <c r="R969" i="1"/>
  <c r="S969" i="1"/>
  <c r="T969" i="1"/>
  <c r="U969" i="1"/>
  <c r="V969" i="1"/>
  <c r="W969" i="1"/>
  <c r="X969" i="1"/>
  <c r="Y969" i="1"/>
  <c r="P970" i="1"/>
  <c r="Q970" i="1"/>
  <c r="R970" i="1"/>
  <c r="S970" i="1"/>
  <c r="T970" i="1"/>
  <c r="U970" i="1"/>
  <c r="V970" i="1"/>
  <c r="W970" i="1"/>
  <c r="X970" i="1"/>
  <c r="Y970" i="1"/>
  <c r="P971" i="1"/>
  <c r="Q971" i="1"/>
  <c r="R971" i="1"/>
  <c r="S971" i="1"/>
  <c r="T971" i="1"/>
  <c r="U971" i="1"/>
  <c r="V971" i="1"/>
  <c r="W971" i="1"/>
  <c r="X971" i="1"/>
  <c r="Y971" i="1"/>
  <c r="P972" i="1"/>
  <c r="Q972" i="1"/>
  <c r="R972" i="1"/>
  <c r="S972" i="1"/>
  <c r="T972" i="1"/>
  <c r="U972" i="1"/>
  <c r="V972" i="1"/>
  <c r="W972" i="1"/>
  <c r="X972" i="1"/>
  <c r="Y972" i="1"/>
  <c r="P973" i="1"/>
  <c r="Q973" i="1"/>
  <c r="R973" i="1"/>
  <c r="S973" i="1"/>
  <c r="T973" i="1"/>
  <c r="U973" i="1"/>
  <c r="V973" i="1"/>
  <c r="W973" i="1"/>
  <c r="X973" i="1"/>
  <c r="Y973" i="1"/>
  <c r="P974" i="1"/>
  <c r="Q974" i="1"/>
  <c r="R974" i="1"/>
  <c r="S974" i="1"/>
  <c r="T974" i="1"/>
  <c r="U974" i="1"/>
  <c r="V974" i="1"/>
  <c r="W974" i="1"/>
  <c r="X974" i="1"/>
  <c r="Y974" i="1"/>
  <c r="P975" i="1"/>
  <c r="Q975" i="1"/>
  <c r="R975" i="1"/>
  <c r="S975" i="1"/>
  <c r="T975" i="1"/>
  <c r="U975" i="1"/>
  <c r="V975" i="1"/>
  <c r="W975" i="1"/>
  <c r="X975" i="1"/>
  <c r="Y975" i="1"/>
  <c r="P976" i="1"/>
  <c r="Q976" i="1"/>
  <c r="R976" i="1"/>
  <c r="S976" i="1"/>
  <c r="T976" i="1"/>
  <c r="U976" i="1"/>
  <c r="V976" i="1"/>
  <c r="W976" i="1"/>
  <c r="X976" i="1"/>
  <c r="Y976" i="1"/>
  <c r="P977" i="1"/>
  <c r="Q977" i="1"/>
  <c r="R977" i="1"/>
  <c r="S977" i="1"/>
  <c r="T977" i="1"/>
  <c r="U977" i="1"/>
  <c r="V977" i="1"/>
  <c r="W977" i="1"/>
  <c r="X977" i="1"/>
  <c r="Y977" i="1"/>
  <c r="P978" i="1"/>
  <c r="Q978" i="1"/>
  <c r="R978" i="1"/>
  <c r="S978" i="1"/>
  <c r="T978" i="1"/>
  <c r="U978" i="1"/>
  <c r="V978" i="1"/>
  <c r="W978" i="1"/>
  <c r="X978" i="1"/>
  <c r="Y978" i="1"/>
  <c r="P979" i="1"/>
  <c r="Q979" i="1"/>
  <c r="R979" i="1"/>
  <c r="S979" i="1"/>
  <c r="T979" i="1"/>
  <c r="U979" i="1"/>
  <c r="V979" i="1"/>
  <c r="W979" i="1"/>
  <c r="X979" i="1"/>
  <c r="Y979" i="1"/>
  <c r="P980" i="1"/>
  <c r="Q980" i="1"/>
  <c r="R980" i="1"/>
  <c r="S980" i="1"/>
  <c r="T980" i="1"/>
  <c r="U980" i="1"/>
  <c r="V980" i="1"/>
  <c r="W980" i="1"/>
  <c r="X980" i="1"/>
  <c r="Y980" i="1"/>
  <c r="P981" i="1"/>
  <c r="Q981" i="1"/>
  <c r="R981" i="1"/>
  <c r="S981" i="1"/>
  <c r="T981" i="1"/>
  <c r="U981" i="1"/>
  <c r="V981" i="1"/>
  <c r="W981" i="1"/>
  <c r="X981" i="1"/>
  <c r="Y981" i="1"/>
  <c r="P982" i="1"/>
  <c r="Q982" i="1"/>
  <c r="R982" i="1"/>
  <c r="S982" i="1"/>
  <c r="T982" i="1"/>
  <c r="U982" i="1"/>
  <c r="V982" i="1"/>
  <c r="W982" i="1"/>
  <c r="X982" i="1"/>
  <c r="Y982" i="1"/>
  <c r="P983" i="1"/>
  <c r="Q983" i="1"/>
  <c r="R983" i="1"/>
  <c r="S983" i="1"/>
  <c r="T983" i="1"/>
  <c r="U983" i="1"/>
  <c r="V983" i="1"/>
  <c r="W983" i="1"/>
  <c r="X983" i="1"/>
  <c r="Y983" i="1"/>
  <c r="P984" i="1"/>
  <c r="Q984" i="1"/>
  <c r="R984" i="1"/>
  <c r="S984" i="1"/>
  <c r="T984" i="1"/>
  <c r="U984" i="1"/>
  <c r="V984" i="1"/>
  <c r="W984" i="1"/>
  <c r="X984" i="1"/>
  <c r="Y984" i="1"/>
  <c r="P985" i="1"/>
  <c r="Q985" i="1"/>
  <c r="R985" i="1"/>
  <c r="S985" i="1"/>
  <c r="T985" i="1"/>
  <c r="U985" i="1"/>
  <c r="V985" i="1"/>
  <c r="W985" i="1"/>
  <c r="X985" i="1"/>
  <c r="Y985" i="1"/>
  <c r="P986" i="1"/>
  <c r="Q986" i="1"/>
  <c r="R986" i="1"/>
  <c r="S986" i="1"/>
  <c r="T986" i="1"/>
  <c r="U986" i="1"/>
  <c r="V986" i="1"/>
  <c r="W986" i="1"/>
  <c r="X986" i="1"/>
  <c r="Y986" i="1"/>
  <c r="P987" i="1"/>
  <c r="Q987" i="1"/>
  <c r="R987" i="1"/>
  <c r="S987" i="1"/>
  <c r="T987" i="1"/>
  <c r="U987" i="1"/>
  <c r="V987" i="1"/>
  <c r="W987" i="1"/>
  <c r="X987" i="1"/>
  <c r="Y987" i="1"/>
  <c r="P988" i="1"/>
  <c r="Q988" i="1"/>
  <c r="R988" i="1"/>
  <c r="S988" i="1"/>
  <c r="T988" i="1"/>
  <c r="U988" i="1"/>
  <c r="V988" i="1"/>
  <c r="W988" i="1"/>
  <c r="X988" i="1"/>
  <c r="Y988" i="1"/>
  <c r="P989" i="1"/>
  <c r="Q989" i="1"/>
  <c r="R989" i="1"/>
  <c r="S989" i="1"/>
  <c r="T989" i="1"/>
  <c r="U989" i="1"/>
  <c r="V989" i="1"/>
  <c r="W989" i="1"/>
  <c r="X989" i="1"/>
  <c r="Y989" i="1"/>
  <c r="P990" i="1"/>
  <c r="Q990" i="1"/>
  <c r="R990" i="1"/>
  <c r="S990" i="1"/>
  <c r="T990" i="1"/>
  <c r="U990" i="1"/>
  <c r="V990" i="1"/>
  <c r="W990" i="1"/>
  <c r="X990" i="1"/>
  <c r="Y990" i="1"/>
  <c r="P991" i="1"/>
  <c r="Q991" i="1"/>
  <c r="R991" i="1"/>
  <c r="S991" i="1"/>
  <c r="T991" i="1"/>
  <c r="U991" i="1"/>
  <c r="V991" i="1"/>
  <c r="W991" i="1"/>
  <c r="X991" i="1"/>
  <c r="Y991" i="1"/>
  <c r="P992" i="1"/>
  <c r="Q992" i="1"/>
  <c r="R992" i="1"/>
  <c r="S992" i="1"/>
  <c r="T992" i="1"/>
  <c r="U992" i="1"/>
  <c r="V992" i="1"/>
  <c r="W992" i="1"/>
  <c r="X992" i="1"/>
  <c r="Y992" i="1"/>
  <c r="P993" i="1"/>
  <c r="Q993" i="1"/>
  <c r="R993" i="1"/>
  <c r="S993" i="1"/>
  <c r="T993" i="1"/>
  <c r="U993" i="1"/>
  <c r="V993" i="1"/>
  <c r="W993" i="1"/>
  <c r="X993" i="1"/>
  <c r="Y993" i="1"/>
  <c r="P994" i="1"/>
  <c r="Q994" i="1"/>
  <c r="R994" i="1"/>
  <c r="S994" i="1"/>
  <c r="T994" i="1"/>
  <c r="U994" i="1"/>
  <c r="V994" i="1"/>
  <c r="W994" i="1"/>
  <c r="X994" i="1"/>
  <c r="Y994" i="1"/>
  <c r="P995" i="1"/>
  <c r="Q995" i="1"/>
  <c r="R995" i="1"/>
  <c r="S995" i="1"/>
  <c r="T995" i="1"/>
  <c r="U995" i="1"/>
  <c r="V995" i="1"/>
  <c r="W995" i="1"/>
  <c r="X995" i="1"/>
  <c r="Y995" i="1"/>
  <c r="P996" i="1"/>
  <c r="Q996" i="1"/>
  <c r="R996" i="1"/>
  <c r="S996" i="1"/>
  <c r="T996" i="1"/>
  <c r="U996" i="1"/>
  <c r="V996" i="1"/>
  <c r="W996" i="1"/>
  <c r="X996" i="1"/>
  <c r="Y996" i="1"/>
  <c r="P997" i="1"/>
  <c r="Q997" i="1"/>
  <c r="R997" i="1"/>
  <c r="S997" i="1"/>
  <c r="T997" i="1"/>
  <c r="U997" i="1"/>
  <c r="V997" i="1"/>
  <c r="W997" i="1"/>
  <c r="X997" i="1"/>
  <c r="Y997" i="1"/>
  <c r="P998" i="1"/>
  <c r="Q998" i="1"/>
  <c r="R998" i="1"/>
  <c r="S998" i="1"/>
  <c r="T998" i="1"/>
  <c r="U998" i="1"/>
  <c r="V998" i="1"/>
  <c r="W998" i="1"/>
  <c r="X998" i="1"/>
  <c r="Y998" i="1"/>
  <c r="P999" i="1"/>
  <c r="Q999" i="1"/>
  <c r="R999" i="1"/>
  <c r="S999" i="1"/>
  <c r="T999" i="1"/>
  <c r="U999" i="1"/>
  <c r="V999" i="1"/>
  <c r="W999" i="1"/>
  <c r="X999" i="1"/>
  <c r="Y999" i="1"/>
  <c r="P1000" i="1"/>
  <c r="Q1000" i="1"/>
  <c r="R1000" i="1"/>
  <c r="S1000" i="1"/>
  <c r="T1000" i="1"/>
  <c r="U1000" i="1"/>
  <c r="V1000" i="1"/>
  <c r="W1000" i="1"/>
  <c r="X1000" i="1"/>
  <c r="Y1000" i="1"/>
  <c r="P1001" i="1"/>
  <c r="Q1001" i="1"/>
  <c r="R1001" i="1"/>
  <c r="S1001" i="1"/>
  <c r="T1001" i="1"/>
  <c r="U1001" i="1"/>
  <c r="V1001" i="1"/>
  <c r="W1001" i="1"/>
  <c r="X1001" i="1"/>
  <c r="Y1001" i="1"/>
  <c r="P1002" i="1"/>
  <c r="Q1002" i="1"/>
  <c r="R1002" i="1"/>
  <c r="S1002" i="1"/>
  <c r="T1002" i="1"/>
  <c r="U1002" i="1"/>
  <c r="V1002" i="1"/>
  <c r="W1002" i="1"/>
  <c r="X1002" i="1"/>
  <c r="Y1002" i="1"/>
  <c r="P1003" i="1"/>
  <c r="Q1003" i="1"/>
  <c r="R1003" i="1"/>
  <c r="S1003" i="1"/>
  <c r="T1003" i="1"/>
  <c r="U1003" i="1"/>
  <c r="V1003" i="1"/>
  <c r="W1003" i="1"/>
  <c r="X1003" i="1"/>
  <c r="Y1003" i="1"/>
  <c r="P1004" i="1"/>
  <c r="Q1004" i="1"/>
  <c r="R1004" i="1"/>
  <c r="S1004" i="1"/>
  <c r="T1004" i="1"/>
  <c r="U1004" i="1"/>
  <c r="V1004" i="1"/>
  <c r="W1004" i="1"/>
  <c r="X1004" i="1"/>
  <c r="Y1004" i="1"/>
  <c r="P1005" i="1"/>
  <c r="Q1005" i="1"/>
  <c r="R1005" i="1"/>
  <c r="S1005" i="1"/>
  <c r="T1005" i="1"/>
  <c r="U1005" i="1"/>
  <c r="V1005" i="1"/>
  <c r="W1005" i="1"/>
  <c r="X1005" i="1"/>
  <c r="Y1005" i="1"/>
  <c r="P1006" i="1"/>
  <c r="Q1006" i="1"/>
  <c r="R1006" i="1"/>
  <c r="S1006" i="1"/>
  <c r="T1006" i="1"/>
  <c r="U1006" i="1"/>
  <c r="V1006" i="1"/>
  <c r="W1006" i="1"/>
  <c r="X1006" i="1"/>
  <c r="Y1006" i="1"/>
  <c r="P1007" i="1"/>
  <c r="Q1007" i="1"/>
  <c r="R1007" i="1"/>
  <c r="S1007" i="1"/>
  <c r="T1007" i="1"/>
  <c r="U1007" i="1"/>
  <c r="V1007" i="1"/>
  <c r="W1007" i="1"/>
  <c r="X1007" i="1"/>
  <c r="Y1007" i="1"/>
  <c r="P1008" i="1"/>
  <c r="Q1008" i="1"/>
  <c r="R1008" i="1"/>
  <c r="S1008" i="1"/>
  <c r="T1008" i="1"/>
  <c r="U1008" i="1"/>
  <c r="V1008" i="1"/>
  <c r="W1008" i="1"/>
  <c r="X1008" i="1"/>
  <c r="Y1008" i="1"/>
  <c r="P1009" i="1"/>
  <c r="Q1009" i="1"/>
  <c r="R1009" i="1"/>
  <c r="S1009" i="1"/>
  <c r="T1009" i="1"/>
  <c r="U1009" i="1"/>
  <c r="V1009" i="1"/>
  <c r="W1009" i="1"/>
  <c r="X1009" i="1"/>
  <c r="Y1009" i="1"/>
  <c r="P1010" i="1"/>
  <c r="Q1010" i="1"/>
  <c r="R1010" i="1"/>
  <c r="S1010" i="1"/>
  <c r="T1010" i="1"/>
  <c r="U1010" i="1"/>
  <c r="V1010" i="1"/>
  <c r="W1010" i="1"/>
  <c r="X1010" i="1"/>
  <c r="Y1010" i="1"/>
  <c r="P1011" i="1"/>
  <c r="Q1011" i="1"/>
  <c r="R1011" i="1"/>
  <c r="S1011" i="1"/>
  <c r="T1011" i="1"/>
  <c r="U1011" i="1"/>
  <c r="V1011" i="1"/>
  <c r="W1011" i="1"/>
  <c r="X1011" i="1"/>
  <c r="Y1011" i="1"/>
  <c r="P1012" i="1"/>
  <c r="Q1012" i="1"/>
  <c r="R1012" i="1"/>
  <c r="S1012" i="1"/>
  <c r="T1012" i="1"/>
  <c r="U1012" i="1"/>
  <c r="V1012" i="1"/>
  <c r="W1012" i="1"/>
  <c r="X1012" i="1"/>
  <c r="Y1012" i="1"/>
  <c r="P1013" i="1"/>
  <c r="Q1013" i="1"/>
  <c r="R1013" i="1"/>
  <c r="S1013" i="1"/>
  <c r="T1013" i="1"/>
  <c r="U1013" i="1"/>
  <c r="V1013" i="1"/>
  <c r="W1013" i="1"/>
  <c r="X1013" i="1"/>
  <c r="Y1013" i="1"/>
  <c r="P1014" i="1"/>
  <c r="Q1014" i="1"/>
  <c r="R1014" i="1"/>
  <c r="S1014" i="1"/>
  <c r="T1014" i="1"/>
  <c r="U1014" i="1"/>
  <c r="V1014" i="1"/>
  <c r="W1014" i="1"/>
  <c r="X1014" i="1"/>
  <c r="Y1014" i="1"/>
  <c r="P1015" i="1"/>
  <c r="Q1015" i="1"/>
  <c r="R1015" i="1"/>
  <c r="S1015" i="1"/>
  <c r="T1015" i="1"/>
  <c r="U1015" i="1"/>
  <c r="V1015" i="1"/>
  <c r="W1015" i="1"/>
  <c r="X1015" i="1"/>
  <c r="Y1015" i="1"/>
  <c r="P1016" i="1"/>
  <c r="Q1016" i="1"/>
  <c r="R1016" i="1"/>
  <c r="S1016" i="1"/>
  <c r="T1016" i="1"/>
  <c r="U1016" i="1"/>
  <c r="V1016" i="1"/>
  <c r="W1016" i="1"/>
  <c r="X1016" i="1"/>
  <c r="Y1016" i="1"/>
  <c r="P1017" i="1"/>
  <c r="Q1017" i="1"/>
  <c r="R1017" i="1"/>
  <c r="S1017" i="1"/>
  <c r="T1017" i="1"/>
  <c r="U1017" i="1"/>
  <c r="V1017" i="1"/>
  <c r="W1017" i="1"/>
  <c r="X1017" i="1"/>
  <c r="Y1017" i="1"/>
  <c r="P1018" i="1"/>
  <c r="Q1018" i="1"/>
  <c r="R1018" i="1"/>
  <c r="S1018" i="1"/>
  <c r="T1018" i="1"/>
  <c r="U1018" i="1"/>
  <c r="V1018" i="1"/>
  <c r="W1018" i="1"/>
  <c r="X1018" i="1"/>
  <c r="Y1018" i="1"/>
  <c r="P1019" i="1"/>
  <c r="Q1019" i="1"/>
  <c r="R1019" i="1"/>
  <c r="S1019" i="1"/>
  <c r="T1019" i="1"/>
  <c r="U1019" i="1"/>
  <c r="V1019" i="1"/>
  <c r="W1019" i="1"/>
  <c r="X1019" i="1"/>
  <c r="Y1019" i="1"/>
  <c r="P1020" i="1"/>
  <c r="Q1020" i="1"/>
  <c r="R1020" i="1"/>
  <c r="S1020" i="1"/>
  <c r="T1020" i="1"/>
  <c r="U1020" i="1"/>
  <c r="V1020" i="1"/>
  <c r="W1020" i="1"/>
  <c r="X1020" i="1"/>
  <c r="Y1020" i="1"/>
  <c r="P1021" i="1"/>
  <c r="Q1021" i="1"/>
  <c r="R1021" i="1"/>
  <c r="S1021" i="1"/>
  <c r="T1021" i="1"/>
  <c r="U1021" i="1"/>
  <c r="V1021" i="1"/>
  <c r="W1021" i="1"/>
  <c r="X1021" i="1"/>
  <c r="Y1021" i="1"/>
  <c r="P1022" i="1"/>
  <c r="Q1022" i="1"/>
  <c r="R1022" i="1"/>
  <c r="S1022" i="1"/>
  <c r="T1022" i="1"/>
  <c r="U1022" i="1"/>
  <c r="V1022" i="1"/>
  <c r="W1022" i="1"/>
  <c r="X1022" i="1"/>
  <c r="Y1022" i="1"/>
  <c r="P1023" i="1"/>
  <c r="Q1023" i="1"/>
  <c r="R1023" i="1"/>
  <c r="S1023" i="1"/>
  <c r="T1023" i="1"/>
  <c r="U1023" i="1"/>
  <c r="V1023" i="1"/>
  <c r="W1023" i="1"/>
  <c r="X1023" i="1"/>
  <c r="Y1023" i="1"/>
  <c r="P1024" i="1"/>
  <c r="Q1024" i="1"/>
  <c r="R1024" i="1"/>
  <c r="S1024" i="1"/>
  <c r="T1024" i="1"/>
  <c r="U1024" i="1"/>
  <c r="V1024" i="1"/>
  <c r="W1024" i="1"/>
  <c r="X1024" i="1"/>
  <c r="Y1024" i="1"/>
  <c r="P1025" i="1"/>
  <c r="Q1025" i="1"/>
  <c r="R1025" i="1"/>
  <c r="S1025" i="1"/>
  <c r="T1025" i="1"/>
  <c r="U1025" i="1"/>
  <c r="V1025" i="1"/>
  <c r="W1025" i="1"/>
  <c r="X1025" i="1"/>
  <c r="Y1025" i="1"/>
  <c r="P1026" i="1"/>
  <c r="Q1026" i="1"/>
  <c r="R1026" i="1"/>
  <c r="S1026" i="1"/>
  <c r="T1026" i="1"/>
  <c r="U1026" i="1"/>
  <c r="V1026" i="1"/>
  <c r="W1026" i="1"/>
  <c r="X1026" i="1"/>
  <c r="Y1026" i="1"/>
  <c r="P1027" i="1"/>
  <c r="Q1027" i="1"/>
  <c r="R1027" i="1"/>
  <c r="S1027" i="1"/>
  <c r="T1027" i="1"/>
  <c r="U1027" i="1"/>
  <c r="V1027" i="1"/>
  <c r="W1027" i="1"/>
  <c r="X1027" i="1"/>
  <c r="Y1027" i="1"/>
  <c r="P1028" i="1"/>
  <c r="Q1028" i="1"/>
  <c r="R1028" i="1"/>
  <c r="S1028" i="1"/>
  <c r="T1028" i="1"/>
  <c r="U1028" i="1"/>
  <c r="V1028" i="1"/>
  <c r="W1028" i="1"/>
  <c r="X1028" i="1"/>
  <c r="Y1028" i="1"/>
  <c r="P1029" i="1"/>
  <c r="Q1029" i="1"/>
  <c r="R1029" i="1"/>
  <c r="S1029" i="1"/>
  <c r="T1029" i="1"/>
  <c r="U1029" i="1"/>
  <c r="V1029" i="1"/>
  <c r="W1029" i="1"/>
  <c r="X1029" i="1"/>
  <c r="Y1029" i="1"/>
  <c r="P1030" i="1"/>
  <c r="Q1030" i="1"/>
  <c r="R1030" i="1"/>
  <c r="S1030" i="1"/>
  <c r="T1030" i="1"/>
  <c r="U1030" i="1"/>
  <c r="V1030" i="1"/>
  <c r="W1030" i="1"/>
  <c r="X1030" i="1"/>
  <c r="Y1030" i="1"/>
  <c r="P1031" i="1"/>
  <c r="Q1031" i="1"/>
  <c r="R1031" i="1"/>
  <c r="S1031" i="1"/>
  <c r="T1031" i="1"/>
  <c r="U1031" i="1"/>
  <c r="V1031" i="1"/>
  <c r="W1031" i="1"/>
  <c r="X1031" i="1"/>
  <c r="Y1031" i="1"/>
  <c r="P1032" i="1"/>
  <c r="Q1032" i="1"/>
  <c r="R1032" i="1"/>
  <c r="S1032" i="1"/>
  <c r="T1032" i="1"/>
  <c r="U1032" i="1"/>
  <c r="V1032" i="1"/>
  <c r="W1032" i="1"/>
  <c r="X1032" i="1"/>
  <c r="Y1032" i="1"/>
  <c r="P1033" i="1"/>
  <c r="Q1033" i="1"/>
  <c r="R1033" i="1"/>
  <c r="S1033" i="1"/>
  <c r="T1033" i="1"/>
  <c r="U1033" i="1"/>
  <c r="V1033" i="1"/>
  <c r="W1033" i="1"/>
  <c r="X1033" i="1"/>
  <c r="Y1033" i="1"/>
  <c r="P1034" i="1"/>
  <c r="Q1034" i="1"/>
  <c r="R1034" i="1"/>
  <c r="S1034" i="1"/>
  <c r="T1034" i="1"/>
  <c r="U1034" i="1"/>
  <c r="V1034" i="1"/>
  <c r="W1034" i="1"/>
  <c r="X1034" i="1"/>
  <c r="Y1034" i="1"/>
  <c r="P1035" i="1"/>
  <c r="Q1035" i="1"/>
  <c r="R1035" i="1"/>
  <c r="S1035" i="1"/>
  <c r="T1035" i="1"/>
  <c r="U1035" i="1"/>
  <c r="V1035" i="1"/>
  <c r="W1035" i="1"/>
  <c r="X1035" i="1"/>
  <c r="Y1035" i="1"/>
  <c r="P1036" i="1"/>
  <c r="Q1036" i="1"/>
  <c r="R1036" i="1"/>
  <c r="S1036" i="1"/>
  <c r="T1036" i="1"/>
  <c r="U1036" i="1"/>
  <c r="V1036" i="1"/>
  <c r="W1036" i="1"/>
  <c r="X1036" i="1"/>
  <c r="Y1036" i="1"/>
  <c r="P1037" i="1"/>
  <c r="Q1037" i="1"/>
  <c r="R1037" i="1"/>
  <c r="S1037" i="1"/>
  <c r="T1037" i="1"/>
  <c r="U1037" i="1"/>
  <c r="V1037" i="1"/>
  <c r="W1037" i="1"/>
  <c r="X1037" i="1"/>
  <c r="Y1037" i="1"/>
  <c r="P1038" i="1"/>
  <c r="Q1038" i="1"/>
  <c r="R1038" i="1"/>
  <c r="S1038" i="1"/>
  <c r="T1038" i="1"/>
  <c r="U1038" i="1"/>
  <c r="V1038" i="1"/>
  <c r="W1038" i="1"/>
  <c r="X1038" i="1"/>
  <c r="Y1038" i="1"/>
  <c r="P1039" i="1"/>
  <c r="Q1039" i="1"/>
  <c r="R1039" i="1"/>
  <c r="S1039" i="1"/>
  <c r="T1039" i="1"/>
  <c r="U1039" i="1"/>
  <c r="V1039" i="1"/>
  <c r="W1039" i="1"/>
  <c r="X1039" i="1"/>
  <c r="Y1039" i="1"/>
  <c r="P1040" i="1"/>
  <c r="Q1040" i="1"/>
  <c r="R1040" i="1"/>
  <c r="S1040" i="1"/>
  <c r="T1040" i="1"/>
  <c r="U1040" i="1"/>
  <c r="V1040" i="1"/>
  <c r="W1040" i="1"/>
  <c r="X1040" i="1"/>
  <c r="Y1040" i="1"/>
  <c r="P1041" i="1"/>
  <c r="Q1041" i="1"/>
  <c r="R1041" i="1"/>
  <c r="S1041" i="1"/>
  <c r="T1041" i="1"/>
  <c r="U1041" i="1"/>
  <c r="V1041" i="1"/>
  <c r="W1041" i="1"/>
  <c r="X1041" i="1"/>
  <c r="Y1041" i="1"/>
  <c r="P1042" i="1"/>
  <c r="Q1042" i="1"/>
  <c r="R1042" i="1"/>
  <c r="S1042" i="1"/>
  <c r="T1042" i="1"/>
  <c r="U1042" i="1"/>
  <c r="V1042" i="1"/>
  <c r="W1042" i="1"/>
  <c r="X1042" i="1"/>
  <c r="Y1042" i="1"/>
  <c r="P1043" i="1"/>
  <c r="Q1043" i="1"/>
  <c r="R1043" i="1"/>
  <c r="S1043" i="1"/>
  <c r="T1043" i="1"/>
  <c r="U1043" i="1"/>
  <c r="V1043" i="1"/>
  <c r="W1043" i="1"/>
  <c r="X1043" i="1"/>
  <c r="Y1043" i="1"/>
  <c r="P1044" i="1"/>
  <c r="Q1044" i="1"/>
  <c r="R1044" i="1"/>
  <c r="S1044" i="1"/>
  <c r="T1044" i="1"/>
  <c r="U1044" i="1"/>
  <c r="V1044" i="1"/>
  <c r="W1044" i="1"/>
  <c r="X1044" i="1"/>
  <c r="Y1044" i="1"/>
  <c r="P1045" i="1"/>
  <c r="Q1045" i="1"/>
  <c r="R1045" i="1"/>
  <c r="S1045" i="1"/>
  <c r="T1045" i="1"/>
  <c r="U1045" i="1"/>
  <c r="V1045" i="1"/>
  <c r="W1045" i="1"/>
  <c r="X1045" i="1"/>
  <c r="Y1045" i="1"/>
  <c r="P1046" i="1"/>
  <c r="Q1046" i="1"/>
  <c r="R1046" i="1"/>
  <c r="S1046" i="1"/>
  <c r="T1046" i="1"/>
  <c r="U1046" i="1"/>
  <c r="V1046" i="1"/>
  <c r="W1046" i="1"/>
  <c r="X1046" i="1"/>
  <c r="Y1046" i="1"/>
  <c r="P1047" i="1"/>
  <c r="Q1047" i="1"/>
  <c r="R1047" i="1"/>
  <c r="S1047" i="1"/>
  <c r="T1047" i="1"/>
  <c r="U1047" i="1"/>
  <c r="V1047" i="1"/>
  <c r="W1047" i="1"/>
  <c r="X1047" i="1"/>
  <c r="Y1047" i="1"/>
  <c r="P1048" i="1"/>
  <c r="Q1048" i="1"/>
  <c r="R1048" i="1"/>
  <c r="S1048" i="1"/>
  <c r="T1048" i="1"/>
  <c r="U1048" i="1"/>
  <c r="V1048" i="1"/>
  <c r="W1048" i="1"/>
  <c r="X1048" i="1"/>
  <c r="Y1048" i="1"/>
  <c r="P1049" i="1"/>
  <c r="Q1049" i="1"/>
  <c r="R1049" i="1"/>
  <c r="S1049" i="1"/>
  <c r="T1049" i="1"/>
  <c r="U1049" i="1"/>
  <c r="V1049" i="1"/>
  <c r="W1049" i="1"/>
  <c r="X1049" i="1"/>
  <c r="Y1049" i="1"/>
  <c r="P1050" i="1"/>
  <c r="Q1050" i="1"/>
  <c r="R1050" i="1"/>
  <c r="S1050" i="1"/>
  <c r="T1050" i="1"/>
  <c r="U1050" i="1"/>
  <c r="V1050" i="1"/>
  <c r="W1050" i="1"/>
  <c r="X1050" i="1"/>
  <c r="Y1050" i="1"/>
  <c r="P1051" i="1"/>
  <c r="Q1051" i="1"/>
  <c r="R1051" i="1"/>
  <c r="S1051" i="1"/>
  <c r="T1051" i="1"/>
  <c r="U1051" i="1"/>
  <c r="V1051" i="1"/>
  <c r="W1051" i="1"/>
  <c r="X1051" i="1"/>
  <c r="Y1051" i="1"/>
  <c r="P1052" i="1"/>
  <c r="Q1052" i="1"/>
  <c r="R1052" i="1"/>
  <c r="S1052" i="1"/>
  <c r="T1052" i="1"/>
  <c r="U1052" i="1"/>
  <c r="V1052" i="1"/>
  <c r="W1052" i="1"/>
  <c r="X1052" i="1"/>
  <c r="Y1052" i="1"/>
  <c r="P1053" i="1"/>
  <c r="Q1053" i="1"/>
  <c r="R1053" i="1"/>
  <c r="S1053" i="1"/>
  <c r="T1053" i="1"/>
  <c r="U1053" i="1"/>
  <c r="V1053" i="1"/>
  <c r="W1053" i="1"/>
  <c r="X1053" i="1"/>
  <c r="Y1053" i="1"/>
  <c r="P1054" i="1"/>
  <c r="Q1054" i="1"/>
  <c r="R1054" i="1"/>
  <c r="S1054" i="1"/>
  <c r="T1054" i="1"/>
  <c r="U1054" i="1"/>
  <c r="V1054" i="1"/>
  <c r="W1054" i="1"/>
  <c r="X1054" i="1"/>
  <c r="Y1054" i="1"/>
  <c r="P1055" i="1"/>
  <c r="Q1055" i="1"/>
  <c r="R1055" i="1"/>
  <c r="S1055" i="1"/>
  <c r="T1055" i="1"/>
  <c r="U1055" i="1"/>
  <c r="V1055" i="1"/>
  <c r="W1055" i="1"/>
  <c r="X1055" i="1"/>
  <c r="Y1055" i="1"/>
  <c r="P1056" i="1"/>
  <c r="Q1056" i="1"/>
  <c r="R1056" i="1"/>
  <c r="S1056" i="1"/>
  <c r="T1056" i="1"/>
  <c r="U1056" i="1"/>
  <c r="V1056" i="1"/>
  <c r="W1056" i="1"/>
  <c r="X1056" i="1"/>
  <c r="Y1056" i="1"/>
  <c r="P1057" i="1"/>
  <c r="Q1057" i="1"/>
  <c r="R1057" i="1"/>
  <c r="S1057" i="1"/>
  <c r="T1057" i="1"/>
  <c r="U1057" i="1"/>
  <c r="V1057" i="1"/>
  <c r="W1057" i="1"/>
  <c r="X1057" i="1"/>
  <c r="Y1057" i="1"/>
  <c r="P1058" i="1"/>
  <c r="Q1058" i="1"/>
  <c r="R1058" i="1"/>
  <c r="S1058" i="1"/>
  <c r="T1058" i="1"/>
  <c r="U1058" i="1"/>
  <c r="V1058" i="1"/>
  <c r="W1058" i="1"/>
  <c r="X1058" i="1"/>
  <c r="Y1058" i="1"/>
  <c r="P1059" i="1"/>
  <c r="Q1059" i="1"/>
  <c r="R1059" i="1"/>
  <c r="S1059" i="1"/>
  <c r="T1059" i="1"/>
  <c r="U1059" i="1"/>
  <c r="V1059" i="1"/>
  <c r="W1059" i="1"/>
  <c r="X1059" i="1"/>
  <c r="Y1059" i="1"/>
  <c r="P1060" i="1"/>
  <c r="Q1060" i="1"/>
  <c r="R1060" i="1"/>
  <c r="S1060" i="1"/>
  <c r="T1060" i="1"/>
  <c r="U1060" i="1"/>
  <c r="V1060" i="1"/>
  <c r="W1060" i="1"/>
  <c r="X1060" i="1"/>
  <c r="Y1060" i="1"/>
  <c r="P1061" i="1"/>
  <c r="Q1061" i="1"/>
  <c r="R1061" i="1"/>
  <c r="S1061" i="1"/>
  <c r="T1061" i="1"/>
  <c r="U1061" i="1"/>
  <c r="V1061" i="1"/>
  <c r="W1061" i="1"/>
  <c r="X1061" i="1"/>
  <c r="Y1061" i="1"/>
  <c r="P1062" i="1"/>
  <c r="Q1062" i="1"/>
  <c r="R1062" i="1"/>
  <c r="S1062" i="1"/>
  <c r="T1062" i="1"/>
  <c r="U1062" i="1"/>
  <c r="V1062" i="1"/>
  <c r="W1062" i="1"/>
  <c r="X1062" i="1"/>
  <c r="Y1062" i="1"/>
  <c r="P1063" i="1"/>
  <c r="Q1063" i="1"/>
  <c r="R1063" i="1"/>
  <c r="S1063" i="1"/>
  <c r="T1063" i="1"/>
  <c r="U1063" i="1"/>
  <c r="V1063" i="1"/>
  <c r="W1063" i="1"/>
  <c r="X1063" i="1"/>
  <c r="Y1063" i="1"/>
  <c r="P1064" i="1"/>
  <c r="Q1064" i="1"/>
  <c r="R1064" i="1"/>
  <c r="S1064" i="1"/>
  <c r="T1064" i="1"/>
  <c r="U1064" i="1"/>
  <c r="V1064" i="1"/>
  <c r="W1064" i="1"/>
  <c r="X1064" i="1"/>
  <c r="Y1064" i="1"/>
  <c r="P1065" i="1"/>
  <c r="Q1065" i="1"/>
  <c r="R1065" i="1"/>
  <c r="S1065" i="1"/>
  <c r="T1065" i="1"/>
  <c r="U1065" i="1"/>
  <c r="V1065" i="1"/>
  <c r="W1065" i="1"/>
  <c r="X1065" i="1"/>
  <c r="Y1065" i="1"/>
  <c r="P1066" i="1"/>
  <c r="Q1066" i="1"/>
  <c r="R1066" i="1"/>
  <c r="S1066" i="1"/>
  <c r="T1066" i="1"/>
  <c r="U1066" i="1"/>
  <c r="V1066" i="1"/>
  <c r="W1066" i="1"/>
  <c r="X1066" i="1"/>
  <c r="Y1066" i="1"/>
  <c r="P1067" i="1"/>
  <c r="Q1067" i="1"/>
  <c r="R1067" i="1"/>
  <c r="S1067" i="1"/>
  <c r="T1067" i="1"/>
  <c r="U1067" i="1"/>
  <c r="V1067" i="1"/>
  <c r="W1067" i="1"/>
  <c r="X1067" i="1"/>
  <c r="Y1067" i="1"/>
  <c r="P1068" i="1"/>
  <c r="Q1068" i="1"/>
  <c r="R1068" i="1"/>
  <c r="S1068" i="1"/>
  <c r="T1068" i="1"/>
  <c r="U1068" i="1"/>
  <c r="V1068" i="1"/>
  <c r="W1068" i="1"/>
  <c r="X1068" i="1"/>
  <c r="Y1068" i="1"/>
  <c r="P1069" i="1"/>
  <c r="Q1069" i="1"/>
  <c r="R1069" i="1"/>
  <c r="S1069" i="1"/>
  <c r="T1069" i="1"/>
  <c r="U1069" i="1"/>
  <c r="V1069" i="1"/>
  <c r="W1069" i="1"/>
  <c r="X1069" i="1"/>
  <c r="Y1069" i="1"/>
  <c r="P1070" i="1"/>
  <c r="Q1070" i="1"/>
  <c r="R1070" i="1"/>
  <c r="S1070" i="1"/>
  <c r="T1070" i="1"/>
  <c r="U1070" i="1"/>
  <c r="V1070" i="1"/>
  <c r="W1070" i="1"/>
  <c r="X1070" i="1"/>
  <c r="Y1070" i="1"/>
  <c r="P1071" i="1"/>
  <c r="Q1071" i="1"/>
  <c r="R1071" i="1"/>
  <c r="S1071" i="1"/>
  <c r="T1071" i="1"/>
  <c r="U1071" i="1"/>
  <c r="V1071" i="1"/>
  <c r="W1071" i="1"/>
  <c r="X1071" i="1"/>
  <c r="Y1071" i="1"/>
  <c r="P1072" i="1"/>
  <c r="Q1072" i="1"/>
  <c r="R1072" i="1"/>
  <c r="S1072" i="1"/>
  <c r="T1072" i="1"/>
  <c r="U1072" i="1"/>
  <c r="V1072" i="1"/>
  <c r="W1072" i="1"/>
  <c r="X1072" i="1"/>
  <c r="Y1072" i="1"/>
  <c r="P1073" i="1"/>
  <c r="Q1073" i="1"/>
  <c r="R1073" i="1"/>
  <c r="S1073" i="1"/>
  <c r="T1073" i="1"/>
  <c r="U1073" i="1"/>
  <c r="V1073" i="1"/>
  <c r="W1073" i="1"/>
  <c r="X1073" i="1"/>
  <c r="Y1073" i="1"/>
  <c r="P1074" i="1"/>
  <c r="Q1074" i="1"/>
  <c r="R1074" i="1"/>
  <c r="S1074" i="1"/>
  <c r="T1074" i="1"/>
  <c r="U1074" i="1"/>
  <c r="V1074" i="1"/>
  <c r="W1074" i="1"/>
  <c r="X1074" i="1"/>
  <c r="Y1074" i="1"/>
  <c r="P1075" i="1"/>
  <c r="Q1075" i="1"/>
  <c r="R1075" i="1"/>
  <c r="S1075" i="1"/>
  <c r="T1075" i="1"/>
  <c r="U1075" i="1"/>
  <c r="V1075" i="1"/>
  <c r="W1075" i="1"/>
  <c r="X1075" i="1"/>
  <c r="Y1075" i="1"/>
  <c r="P1076" i="1"/>
  <c r="Q1076" i="1"/>
  <c r="R1076" i="1"/>
  <c r="S1076" i="1"/>
  <c r="T1076" i="1"/>
  <c r="U1076" i="1"/>
  <c r="V1076" i="1"/>
  <c r="W1076" i="1"/>
  <c r="X1076" i="1"/>
  <c r="Y1076" i="1"/>
  <c r="P1077" i="1"/>
  <c r="Q1077" i="1"/>
  <c r="R1077" i="1"/>
  <c r="S1077" i="1"/>
  <c r="T1077" i="1"/>
  <c r="U1077" i="1"/>
  <c r="V1077" i="1"/>
  <c r="W1077" i="1"/>
  <c r="X1077" i="1"/>
  <c r="Y1077" i="1"/>
  <c r="P1078" i="1"/>
  <c r="Q1078" i="1"/>
  <c r="R1078" i="1"/>
  <c r="S1078" i="1"/>
  <c r="T1078" i="1"/>
  <c r="U1078" i="1"/>
  <c r="V1078" i="1"/>
  <c r="W1078" i="1"/>
  <c r="X1078" i="1"/>
  <c r="Y1078" i="1"/>
  <c r="P1079" i="1"/>
  <c r="Q1079" i="1"/>
  <c r="R1079" i="1"/>
  <c r="S1079" i="1"/>
  <c r="T1079" i="1"/>
  <c r="U1079" i="1"/>
  <c r="V1079" i="1"/>
  <c r="W1079" i="1"/>
  <c r="X1079" i="1"/>
  <c r="Y1079" i="1"/>
  <c r="P1080" i="1"/>
  <c r="Q1080" i="1"/>
  <c r="R1080" i="1"/>
  <c r="S1080" i="1"/>
  <c r="T1080" i="1"/>
  <c r="U1080" i="1"/>
  <c r="V1080" i="1"/>
  <c r="W1080" i="1"/>
  <c r="X1080" i="1"/>
  <c r="Y1080" i="1"/>
  <c r="P1081" i="1"/>
  <c r="Q1081" i="1"/>
  <c r="R1081" i="1"/>
  <c r="S1081" i="1"/>
  <c r="T1081" i="1"/>
  <c r="U1081" i="1"/>
  <c r="V1081" i="1"/>
  <c r="W1081" i="1"/>
  <c r="X1081" i="1"/>
  <c r="Y1081" i="1"/>
  <c r="P1082" i="1"/>
  <c r="Q1082" i="1"/>
  <c r="R1082" i="1"/>
  <c r="S1082" i="1"/>
  <c r="T1082" i="1"/>
  <c r="U1082" i="1"/>
  <c r="V1082" i="1"/>
  <c r="W1082" i="1"/>
  <c r="X1082" i="1"/>
  <c r="Y1082" i="1"/>
  <c r="P1083" i="1"/>
  <c r="Q1083" i="1"/>
  <c r="R1083" i="1"/>
  <c r="S1083" i="1"/>
  <c r="T1083" i="1"/>
  <c r="U1083" i="1"/>
  <c r="V1083" i="1"/>
  <c r="W1083" i="1"/>
  <c r="X1083" i="1"/>
  <c r="Y1083" i="1"/>
  <c r="P1084" i="1"/>
  <c r="Q1084" i="1"/>
  <c r="R1084" i="1"/>
  <c r="S1084" i="1"/>
  <c r="T1084" i="1"/>
  <c r="U1084" i="1"/>
  <c r="V1084" i="1"/>
  <c r="W1084" i="1"/>
  <c r="X1084" i="1"/>
  <c r="Y1084" i="1"/>
  <c r="P1085" i="1"/>
  <c r="Q1085" i="1"/>
  <c r="R1085" i="1"/>
  <c r="S1085" i="1"/>
  <c r="T1085" i="1"/>
  <c r="U1085" i="1"/>
  <c r="V1085" i="1"/>
  <c r="W1085" i="1"/>
  <c r="X1085" i="1"/>
  <c r="Y1085" i="1"/>
  <c r="P1086" i="1"/>
  <c r="Q1086" i="1"/>
  <c r="R1086" i="1"/>
  <c r="S1086" i="1"/>
  <c r="T1086" i="1"/>
  <c r="U1086" i="1"/>
  <c r="V1086" i="1"/>
  <c r="W1086" i="1"/>
  <c r="X1086" i="1"/>
  <c r="Y1086" i="1"/>
  <c r="P1087" i="1"/>
  <c r="Q1087" i="1"/>
  <c r="R1087" i="1"/>
  <c r="S1087" i="1"/>
  <c r="T1087" i="1"/>
  <c r="U1087" i="1"/>
  <c r="V1087" i="1"/>
  <c r="W1087" i="1"/>
  <c r="X1087" i="1"/>
  <c r="Y1087" i="1"/>
  <c r="P1088" i="1"/>
  <c r="Q1088" i="1"/>
  <c r="R1088" i="1"/>
  <c r="S1088" i="1"/>
  <c r="T1088" i="1"/>
  <c r="U1088" i="1"/>
  <c r="V1088" i="1"/>
  <c r="W1088" i="1"/>
  <c r="X1088" i="1"/>
  <c r="Y1088" i="1"/>
  <c r="P1089" i="1"/>
  <c r="Q1089" i="1"/>
  <c r="R1089" i="1"/>
  <c r="S1089" i="1"/>
  <c r="T1089" i="1"/>
  <c r="U1089" i="1"/>
  <c r="V1089" i="1"/>
  <c r="W1089" i="1"/>
  <c r="X1089" i="1"/>
  <c r="Y1089" i="1"/>
  <c r="P1090" i="1"/>
  <c r="Q1090" i="1"/>
  <c r="R1090" i="1"/>
  <c r="S1090" i="1"/>
  <c r="T1090" i="1"/>
  <c r="U1090" i="1"/>
  <c r="V1090" i="1"/>
  <c r="W1090" i="1"/>
  <c r="X1090" i="1"/>
  <c r="Y1090" i="1"/>
  <c r="P1091" i="1"/>
  <c r="Q1091" i="1"/>
  <c r="R1091" i="1"/>
  <c r="S1091" i="1"/>
  <c r="T1091" i="1"/>
  <c r="U1091" i="1"/>
  <c r="V1091" i="1"/>
  <c r="W1091" i="1"/>
  <c r="X1091" i="1"/>
  <c r="Y1091" i="1"/>
  <c r="P1092" i="1"/>
  <c r="Q1092" i="1"/>
  <c r="R1092" i="1"/>
  <c r="S1092" i="1"/>
  <c r="T1092" i="1"/>
  <c r="U1092" i="1"/>
  <c r="V1092" i="1"/>
  <c r="W1092" i="1"/>
  <c r="X1092" i="1"/>
  <c r="Y1092" i="1"/>
  <c r="P1093" i="1"/>
  <c r="Q1093" i="1"/>
  <c r="R1093" i="1"/>
  <c r="S1093" i="1"/>
  <c r="T1093" i="1"/>
  <c r="U1093" i="1"/>
  <c r="V1093" i="1"/>
  <c r="W1093" i="1"/>
  <c r="X1093" i="1"/>
  <c r="Y1093" i="1"/>
  <c r="P1094" i="1"/>
  <c r="Q1094" i="1"/>
  <c r="R1094" i="1"/>
  <c r="S1094" i="1"/>
  <c r="T1094" i="1"/>
  <c r="U1094" i="1"/>
  <c r="V1094" i="1"/>
  <c r="W1094" i="1"/>
  <c r="X1094" i="1"/>
  <c r="Y1094" i="1"/>
  <c r="P1095" i="1"/>
  <c r="Q1095" i="1"/>
  <c r="R1095" i="1"/>
  <c r="S1095" i="1"/>
  <c r="T1095" i="1"/>
  <c r="U1095" i="1"/>
  <c r="V1095" i="1"/>
  <c r="W1095" i="1"/>
  <c r="X1095" i="1"/>
  <c r="Y1095" i="1"/>
  <c r="P1096" i="1"/>
  <c r="Q1096" i="1"/>
  <c r="R1096" i="1"/>
  <c r="S1096" i="1"/>
  <c r="T1096" i="1"/>
  <c r="U1096" i="1"/>
  <c r="V1096" i="1"/>
  <c r="W1096" i="1"/>
  <c r="X1096" i="1"/>
  <c r="Y1096" i="1"/>
  <c r="P1097" i="1"/>
  <c r="Q1097" i="1"/>
  <c r="R1097" i="1"/>
  <c r="S1097" i="1"/>
  <c r="T1097" i="1"/>
  <c r="U1097" i="1"/>
  <c r="V1097" i="1"/>
  <c r="W1097" i="1"/>
  <c r="X1097" i="1"/>
  <c r="Y1097" i="1"/>
  <c r="P1098" i="1"/>
  <c r="Q1098" i="1"/>
  <c r="R1098" i="1"/>
  <c r="S1098" i="1"/>
  <c r="T1098" i="1"/>
  <c r="U1098" i="1"/>
  <c r="V1098" i="1"/>
  <c r="W1098" i="1"/>
  <c r="X1098" i="1"/>
  <c r="Y1098" i="1"/>
  <c r="P1099" i="1"/>
  <c r="Q1099" i="1"/>
  <c r="R1099" i="1"/>
  <c r="S1099" i="1"/>
  <c r="T1099" i="1"/>
  <c r="U1099" i="1"/>
  <c r="V1099" i="1"/>
  <c r="W1099" i="1"/>
  <c r="X1099" i="1"/>
  <c r="Y1099" i="1"/>
  <c r="P1100" i="1"/>
  <c r="Q1100" i="1"/>
  <c r="R1100" i="1"/>
  <c r="S1100" i="1"/>
  <c r="T1100" i="1"/>
  <c r="U1100" i="1"/>
  <c r="V1100" i="1"/>
  <c r="W1100" i="1"/>
  <c r="X1100" i="1"/>
  <c r="Y1100" i="1"/>
  <c r="P1101" i="1"/>
  <c r="Q1101" i="1"/>
  <c r="R1101" i="1"/>
  <c r="S1101" i="1"/>
  <c r="T1101" i="1"/>
  <c r="U1101" i="1"/>
  <c r="V1101" i="1"/>
  <c r="W1101" i="1"/>
  <c r="X1101" i="1"/>
  <c r="Y1101" i="1"/>
  <c r="P1102" i="1"/>
  <c r="Q1102" i="1"/>
  <c r="R1102" i="1"/>
  <c r="S1102" i="1"/>
  <c r="T1102" i="1"/>
  <c r="U1102" i="1"/>
  <c r="V1102" i="1"/>
  <c r="W1102" i="1"/>
  <c r="X1102" i="1"/>
  <c r="Y1102" i="1"/>
  <c r="P1103" i="1"/>
  <c r="Q1103" i="1"/>
  <c r="R1103" i="1"/>
  <c r="S1103" i="1"/>
  <c r="T1103" i="1"/>
  <c r="U1103" i="1"/>
  <c r="V1103" i="1"/>
  <c r="W1103" i="1"/>
  <c r="X1103" i="1"/>
  <c r="Y1103" i="1"/>
  <c r="P1104" i="1"/>
  <c r="Q1104" i="1"/>
  <c r="R1104" i="1"/>
  <c r="S1104" i="1"/>
  <c r="T1104" i="1"/>
  <c r="U1104" i="1"/>
  <c r="V1104" i="1"/>
  <c r="W1104" i="1"/>
  <c r="X1104" i="1"/>
  <c r="Y1104" i="1"/>
  <c r="P1105" i="1"/>
  <c r="Q1105" i="1"/>
  <c r="R1105" i="1"/>
  <c r="S1105" i="1"/>
  <c r="T1105" i="1"/>
  <c r="U1105" i="1"/>
  <c r="V1105" i="1"/>
  <c r="W1105" i="1"/>
  <c r="X1105" i="1"/>
  <c r="Y1105" i="1"/>
  <c r="P1106" i="1"/>
  <c r="Q1106" i="1"/>
  <c r="R1106" i="1"/>
  <c r="S1106" i="1"/>
  <c r="T1106" i="1"/>
  <c r="U1106" i="1"/>
  <c r="V1106" i="1"/>
  <c r="W1106" i="1"/>
  <c r="X1106" i="1"/>
  <c r="Y1106" i="1"/>
  <c r="P1107" i="1"/>
  <c r="Q1107" i="1"/>
  <c r="R1107" i="1"/>
  <c r="S1107" i="1"/>
  <c r="T1107" i="1"/>
  <c r="U1107" i="1"/>
  <c r="V1107" i="1"/>
  <c r="W1107" i="1"/>
  <c r="X1107" i="1"/>
  <c r="Y1107" i="1"/>
  <c r="P1108" i="1"/>
  <c r="Q1108" i="1"/>
  <c r="R1108" i="1"/>
  <c r="S1108" i="1"/>
  <c r="T1108" i="1"/>
  <c r="U1108" i="1"/>
  <c r="V1108" i="1"/>
  <c r="W1108" i="1"/>
  <c r="X1108" i="1"/>
  <c r="Y1108" i="1"/>
  <c r="P1109" i="1"/>
  <c r="Q1109" i="1"/>
  <c r="R1109" i="1"/>
  <c r="S1109" i="1"/>
  <c r="T1109" i="1"/>
  <c r="U1109" i="1"/>
  <c r="V1109" i="1"/>
  <c r="W1109" i="1"/>
  <c r="X1109" i="1"/>
  <c r="Y1109" i="1"/>
  <c r="P1110" i="1"/>
  <c r="Q1110" i="1"/>
  <c r="R1110" i="1"/>
  <c r="S1110" i="1"/>
  <c r="T1110" i="1"/>
  <c r="U1110" i="1"/>
  <c r="V1110" i="1"/>
  <c r="W1110" i="1"/>
  <c r="X1110" i="1"/>
  <c r="Y1110" i="1"/>
  <c r="P1111" i="1"/>
  <c r="Q1111" i="1"/>
  <c r="R1111" i="1"/>
  <c r="S1111" i="1"/>
  <c r="T1111" i="1"/>
  <c r="U1111" i="1"/>
  <c r="V1111" i="1"/>
  <c r="W1111" i="1"/>
  <c r="X1111" i="1"/>
  <c r="Y1111" i="1"/>
  <c r="P1112" i="1"/>
  <c r="Q1112" i="1"/>
  <c r="R1112" i="1"/>
  <c r="S1112" i="1"/>
  <c r="T1112" i="1"/>
  <c r="U1112" i="1"/>
  <c r="V1112" i="1"/>
  <c r="W1112" i="1"/>
  <c r="X1112" i="1"/>
  <c r="Y1112" i="1"/>
  <c r="P1113" i="1"/>
  <c r="Q1113" i="1"/>
  <c r="R1113" i="1"/>
  <c r="S1113" i="1"/>
  <c r="T1113" i="1"/>
  <c r="U1113" i="1"/>
  <c r="V1113" i="1"/>
  <c r="W1113" i="1"/>
  <c r="X1113" i="1"/>
  <c r="Y1113" i="1"/>
  <c r="P1114" i="1"/>
  <c r="Q1114" i="1"/>
  <c r="R1114" i="1"/>
  <c r="S1114" i="1"/>
  <c r="T1114" i="1"/>
  <c r="U1114" i="1"/>
  <c r="V1114" i="1"/>
  <c r="W1114" i="1"/>
  <c r="X1114" i="1"/>
  <c r="Y1114" i="1"/>
  <c r="P1115" i="1"/>
  <c r="Q1115" i="1"/>
  <c r="R1115" i="1"/>
  <c r="S1115" i="1"/>
  <c r="T1115" i="1"/>
  <c r="U1115" i="1"/>
  <c r="V1115" i="1"/>
  <c r="W1115" i="1"/>
  <c r="X1115" i="1"/>
  <c r="Y1115" i="1"/>
  <c r="P1116" i="1"/>
  <c r="Q1116" i="1"/>
  <c r="R1116" i="1"/>
  <c r="S1116" i="1"/>
  <c r="T1116" i="1"/>
  <c r="U1116" i="1"/>
  <c r="V1116" i="1"/>
  <c r="W1116" i="1"/>
  <c r="X1116" i="1"/>
  <c r="Y1116" i="1"/>
  <c r="P1117" i="1"/>
  <c r="Q1117" i="1"/>
  <c r="R1117" i="1"/>
  <c r="S1117" i="1"/>
  <c r="T1117" i="1"/>
  <c r="U1117" i="1"/>
  <c r="V1117" i="1"/>
  <c r="W1117" i="1"/>
  <c r="X1117" i="1"/>
  <c r="Y1117" i="1"/>
  <c r="P1118" i="1"/>
  <c r="Q1118" i="1"/>
  <c r="R1118" i="1"/>
  <c r="S1118" i="1"/>
  <c r="T1118" i="1"/>
  <c r="U1118" i="1"/>
  <c r="V1118" i="1"/>
  <c r="W1118" i="1"/>
  <c r="X1118" i="1"/>
  <c r="Y1118" i="1"/>
  <c r="P1119" i="1"/>
  <c r="Q1119" i="1"/>
  <c r="R1119" i="1"/>
  <c r="S1119" i="1"/>
  <c r="T1119" i="1"/>
  <c r="U1119" i="1"/>
  <c r="V1119" i="1"/>
  <c r="W1119" i="1"/>
  <c r="X1119" i="1"/>
  <c r="Y1119" i="1"/>
  <c r="P1120" i="1"/>
  <c r="Q1120" i="1"/>
  <c r="R1120" i="1"/>
  <c r="S1120" i="1"/>
  <c r="T1120" i="1"/>
  <c r="U1120" i="1"/>
  <c r="V1120" i="1"/>
  <c r="W1120" i="1"/>
  <c r="X1120" i="1"/>
  <c r="Y1120" i="1"/>
  <c r="P1121" i="1"/>
  <c r="Q1121" i="1"/>
  <c r="R1121" i="1"/>
  <c r="S1121" i="1"/>
  <c r="T1121" i="1"/>
  <c r="U1121" i="1"/>
  <c r="V1121" i="1"/>
  <c r="W1121" i="1"/>
  <c r="X1121" i="1"/>
  <c r="Y1121" i="1"/>
  <c r="P1122" i="1"/>
  <c r="Q1122" i="1"/>
  <c r="R1122" i="1"/>
  <c r="S1122" i="1"/>
  <c r="T1122" i="1"/>
  <c r="U1122" i="1"/>
  <c r="V1122" i="1"/>
  <c r="W1122" i="1"/>
  <c r="X1122" i="1"/>
  <c r="Y1122" i="1"/>
  <c r="P1123" i="1"/>
  <c r="Q1123" i="1"/>
  <c r="R1123" i="1"/>
  <c r="S1123" i="1"/>
  <c r="T1123" i="1"/>
  <c r="U1123" i="1"/>
  <c r="V1123" i="1"/>
  <c r="W1123" i="1"/>
  <c r="X1123" i="1"/>
  <c r="Y1123" i="1"/>
  <c r="P1124" i="1"/>
  <c r="Q1124" i="1"/>
  <c r="R1124" i="1"/>
  <c r="S1124" i="1"/>
  <c r="T1124" i="1"/>
  <c r="U1124" i="1"/>
  <c r="V1124" i="1"/>
  <c r="W1124" i="1"/>
  <c r="X1124" i="1"/>
  <c r="Y1124" i="1"/>
  <c r="P1125" i="1"/>
  <c r="Q1125" i="1"/>
  <c r="R1125" i="1"/>
  <c r="S1125" i="1"/>
  <c r="T1125" i="1"/>
  <c r="U1125" i="1"/>
  <c r="V1125" i="1"/>
  <c r="W1125" i="1"/>
  <c r="X1125" i="1"/>
  <c r="Y1125" i="1"/>
  <c r="P1126" i="1"/>
  <c r="Q1126" i="1"/>
  <c r="R1126" i="1"/>
  <c r="S1126" i="1"/>
  <c r="T1126" i="1"/>
  <c r="U1126" i="1"/>
  <c r="V1126" i="1"/>
  <c r="W1126" i="1"/>
  <c r="X1126" i="1"/>
  <c r="Y1126" i="1"/>
  <c r="P1127" i="1"/>
  <c r="Q1127" i="1"/>
  <c r="R1127" i="1"/>
  <c r="S1127" i="1"/>
  <c r="T1127" i="1"/>
  <c r="U1127" i="1"/>
  <c r="V1127" i="1"/>
  <c r="W1127" i="1"/>
  <c r="X1127" i="1"/>
  <c r="Y1127" i="1"/>
  <c r="P1128" i="1"/>
  <c r="Q1128" i="1"/>
  <c r="R1128" i="1"/>
  <c r="S1128" i="1"/>
  <c r="T1128" i="1"/>
  <c r="U1128" i="1"/>
  <c r="V1128" i="1"/>
  <c r="W1128" i="1"/>
  <c r="X1128" i="1"/>
  <c r="Y1128" i="1"/>
  <c r="P1129" i="1"/>
  <c r="Q1129" i="1"/>
  <c r="R1129" i="1"/>
  <c r="S1129" i="1"/>
  <c r="T1129" i="1"/>
  <c r="U1129" i="1"/>
  <c r="V1129" i="1"/>
  <c r="W1129" i="1"/>
  <c r="X1129" i="1"/>
  <c r="Y1129" i="1"/>
  <c r="P1130" i="1"/>
  <c r="Q1130" i="1"/>
  <c r="R1130" i="1"/>
  <c r="S1130" i="1"/>
  <c r="T1130" i="1"/>
  <c r="U1130" i="1"/>
  <c r="V1130" i="1"/>
  <c r="W1130" i="1"/>
  <c r="X1130" i="1"/>
  <c r="Y1130" i="1"/>
  <c r="P1131" i="1"/>
  <c r="Q1131" i="1"/>
  <c r="R1131" i="1"/>
  <c r="S1131" i="1"/>
  <c r="T1131" i="1"/>
  <c r="U1131" i="1"/>
  <c r="V1131" i="1"/>
  <c r="W1131" i="1"/>
  <c r="X1131" i="1"/>
  <c r="Y1131" i="1"/>
  <c r="P1132" i="1"/>
  <c r="Q1132" i="1"/>
  <c r="R1132" i="1"/>
  <c r="S1132" i="1"/>
  <c r="T1132" i="1"/>
  <c r="U1132" i="1"/>
  <c r="V1132" i="1"/>
  <c r="W1132" i="1"/>
  <c r="X1132" i="1"/>
  <c r="Y1132" i="1"/>
  <c r="P1133" i="1"/>
  <c r="Q1133" i="1"/>
  <c r="R1133" i="1"/>
  <c r="S1133" i="1"/>
  <c r="T1133" i="1"/>
  <c r="U1133" i="1"/>
  <c r="V1133" i="1"/>
  <c r="W1133" i="1"/>
  <c r="X1133" i="1"/>
  <c r="Y1133" i="1"/>
  <c r="P1134" i="1"/>
  <c r="Q1134" i="1"/>
  <c r="R1134" i="1"/>
  <c r="S1134" i="1"/>
  <c r="T1134" i="1"/>
  <c r="U1134" i="1"/>
  <c r="V1134" i="1"/>
  <c r="W1134" i="1"/>
  <c r="X1134" i="1"/>
  <c r="Y1134" i="1"/>
  <c r="P1135" i="1"/>
  <c r="Q1135" i="1"/>
  <c r="R1135" i="1"/>
  <c r="S1135" i="1"/>
  <c r="T1135" i="1"/>
  <c r="U1135" i="1"/>
  <c r="V1135" i="1"/>
  <c r="W1135" i="1"/>
  <c r="X1135" i="1"/>
  <c r="Y1135" i="1"/>
  <c r="P1136" i="1"/>
  <c r="Q1136" i="1"/>
  <c r="R1136" i="1"/>
  <c r="S1136" i="1"/>
  <c r="T1136" i="1"/>
  <c r="U1136" i="1"/>
  <c r="V1136" i="1"/>
  <c r="W1136" i="1"/>
  <c r="X1136" i="1"/>
  <c r="Y1136" i="1"/>
  <c r="P1137" i="1"/>
  <c r="Q1137" i="1"/>
  <c r="R1137" i="1"/>
  <c r="S1137" i="1"/>
  <c r="T1137" i="1"/>
  <c r="U1137" i="1"/>
  <c r="V1137" i="1"/>
  <c r="W1137" i="1"/>
  <c r="X1137" i="1"/>
  <c r="Y1137" i="1"/>
  <c r="P1138" i="1"/>
  <c r="Q1138" i="1"/>
  <c r="R1138" i="1"/>
  <c r="S1138" i="1"/>
  <c r="T1138" i="1"/>
  <c r="U1138" i="1"/>
  <c r="V1138" i="1"/>
  <c r="W1138" i="1"/>
  <c r="X1138" i="1"/>
  <c r="Y1138" i="1"/>
  <c r="P1139" i="1"/>
  <c r="Q1139" i="1"/>
  <c r="R1139" i="1"/>
  <c r="S1139" i="1"/>
  <c r="T1139" i="1"/>
  <c r="U1139" i="1"/>
  <c r="V1139" i="1"/>
  <c r="W1139" i="1"/>
  <c r="X1139" i="1"/>
  <c r="Y1139" i="1"/>
  <c r="P1140" i="1"/>
  <c r="Q1140" i="1"/>
  <c r="R1140" i="1"/>
  <c r="S1140" i="1"/>
  <c r="T1140" i="1"/>
  <c r="U1140" i="1"/>
  <c r="V1140" i="1"/>
  <c r="W1140" i="1"/>
  <c r="X1140" i="1"/>
  <c r="Y1140" i="1"/>
  <c r="P1141" i="1"/>
  <c r="Q1141" i="1"/>
  <c r="R1141" i="1"/>
  <c r="S1141" i="1"/>
  <c r="T1141" i="1"/>
  <c r="U1141" i="1"/>
  <c r="V1141" i="1"/>
  <c r="W1141" i="1"/>
  <c r="X1141" i="1"/>
  <c r="Y1141" i="1"/>
  <c r="P1142" i="1"/>
  <c r="Q1142" i="1"/>
  <c r="R1142" i="1"/>
  <c r="S1142" i="1"/>
  <c r="T1142" i="1"/>
  <c r="U1142" i="1"/>
  <c r="V1142" i="1"/>
  <c r="W1142" i="1"/>
  <c r="X1142" i="1"/>
  <c r="Y1142" i="1"/>
  <c r="P1143" i="1"/>
  <c r="Q1143" i="1"/>
  <c r="R1143" i="1"/>
  <c r="S1143" i="1"/>
  <c r="T1143" i="1"/>
  <c r="U1143" i="1"/>
  <c r="V1143" i="1"/>
  <c r="W1143" i="1"/>
  <c r="X1143" i="1"/>
  <c r="Y1143" i="1"/>
  <c r="P1144" i="1"/>
  <c r="Q1144" i="1"/>
  <c r="R1144" i="1"/>
  <c r="S1144" i="1"/>
  <c r="T1144" i="1"/>
  <c r="U1144" i="1"/>
  <c r="V1144" i="1"/>
  <c r="W1144" i="1"/>
  <c r="X1144" i="1"/>
  <c r="Y1144" i="1"/>
  <c r="P1145" i="1"/>
  <c r="Q1145" i="1"/>
  <c r="R1145" i="1"/>
  <c r="S1145" i="1"/>
  <c r="T1145" i="1"/>
  <c r="U1145" i="1"/>
  <c r="V1145" i="1"/>
  <c r="W1145" i="1"/>
  <c r="X1145" i="1"/>
  <c r="Y1145" i="1"/>
  <c r="P1146" i="1"/>
  <c r="Q1146" i="1"/>
  <c r="R1146" i="1"/>
  <c r="S1146" i="1"/>
  <c r="T1146" i="1"/>
  <c r="U1146" i="1"/>
  <c r="V1146" i="1"/>
  <c r="W1146" i="1"/>
  <c r="X1146" i="1"/>
  <c r="Y1146" i="1"/>
  <c r="P1147" i="1"/>
  <c r="Q1147" i="1"/>
  <c r="R1147" i="1"/>
  <c r="S1147" i="1"/>
  <c r="T1147" i="1"/>
  <c r="U1147" i="1"/>
  <c r="V1147" i="1"/>
  <c r="W1147" i="1"/>
  <c r="X1147" i="1"/>
  <c r="Y1147" i="1"/>
  <c r="P1148" i="1"/>
  <c r="Q1148" i="1"/>
  <c r="R1148" i="1"/>
  <c r="S1148" i="1"/>
  <c r="T1148" i="1"/>
  <c r="U1148" i="1"/>
  <c r="V1148" i="1"/>
  <c r="W1148" i="1"/>
  <c r="X1148" i="1"/>
  <c r="Y1148" i="1"/>
  <c r="P1149" i="1"/>
  <c r="Q1149" i="1"/>
  <c r="R1149" i="1"/>
  <c r="S1149" i="1"/>
  <c r="T1149" i="1"/>
  <c r="U1149" i="1"/>
  <c r="V1149" i="1"/>
  <c r="W1149" i="1"/>
  <c r="X1149" i="1"/>
  <c r="Y1149" i="1"/>
  <c r="P1150" i="1"/>
  <c r="Q1150" i="1"/>
  <c r="R1150" i="1"/>
  <c r="S1150" i="1"/>
  <c r="T1150" i="1"/>
  <c r="U1150" i="1"/>
  <c r="V1150" i="1"/>
  <c r="W1150" i="1"/>
  <c r="X1150" i="1"/>
  <c r="Y1150" i="1"/>
  <c r="P1151" i="1"/>
  <c r="Q1151" i="1"/>
  <c r="R1151" i="1"/>
  <c r="S1151" i="1"/>
  <c r="T1151" i="1"/>
  <c r="U1151" i="1"/>
  <c r="V1151" i="1"/>
  <c r="W1151" i="1"/>
  <c r="X1151" i="1"/>
  <c r="Y1151" i="1"/>
  <c r="P1152" i="1"/>
  <c r="Q1152" i="1"/>
  <c r="R1152" i="1"/>
  <c r="S1152" i="1"/>
  <c r="T1152" i="1"/>
  <c r="U1152" i="1"/>
  <c r="V1152" i="1"/>
  <c r="W1152" i="1"/>
  <c r="X1152" i="1"/>
  <c r="Y1152" i="1"/>
  <c r="P1153" i="1"/>
  <c r="Q1153" i="1"/>
  <c r="R1153" i="1"/>
  <c r="S1153" i="1"/>
  <c r="T1153" i="1"/>
  <c r="U1153" i="1"/>
  <c r="V1153" i="1"/>
  <c r="W1153" i="1"/>
  <c r="X1153" i="1"/>
  <c r="Y1153" i="1"/>
  <c r="P1154" i="1"/>
  <c r="Q1154" i="1"/>
  <c r="R1154" i="1"/>
  <c r="S1154" i="1"/>
  <c r="T1154" i="1"/>
  <c r="U1154" i="1"/>
  <c r="V1154" i="1"/>
  <c r="W1154" i="1"/>
  <c r="X1154" i="1"/>
  <c r="Y1154" i="1"/>
  <c r="P1155" i="1"/>
  <c r="Q1155" i="1"/>
  <c r="R1155" i="1"/>
  <c r="S1155" i="1"/>
  <c r="T1155" i="1"/>
  <c r="U1155" i="1"/>
  <c r="V1155" i="1"/>
  <c r="W1155" i="1"/>
  <c r="X1155" i="1"/>
  <c r="Y1155" i="1"/>
  <c r="P1156" i="1"/>
  <c r="Q1156" i="1"/>
  <c r="R1156" i="1"/>
  <c r="S1156" i="1"/>
  <c r="T1156" i="1"/>
  <c r="U1156" i="1"/>
  <c r="V1156" i="1"/>
  <c r="W1156" i="1"/>
  <c r="X1156" i="1"/>
  <c r="Y1156" i="1"/>
  <c r="P1157" i="1"/>
  <c r="Q1157" i="1"/>
  <c r="R1157" i="1"/>
  <c r="S1157" i="1"/>
  <c r="T1157" i="1"/>
  <c r="U1157" i="1"/>
  <c r="V1157" i="1"/>
  <c r="W1157" i="1"/>
  <c r="X1157" i="1"/>
  <c r="Y1157" i="1"/>
  <c r="P1158" i="1"/>
  <c r="Q1158" i="1"/>
  <c r="R1158" i="1"/>
  <c r="S1158" i="1"/>
  <c r="T1158" i="1"/>
  <c r="U1158" i="1"/>
  <c r="V1158" i="1"/>
  <c r="W1158" i="1"/>
  <c r="X1158" i="1"/>
  <c r="Y1158" i="1"/>
  <c r="P1159" i="1"/>
  <c r="Q1159" i="1"/>
  <c r="R1159" i="1"/>
  <c r="S1159" i="1"/>
  <c r="T1159" i="1"/>
  <c r="U1159" i="1"/>
  <c r="V1159" i="1"/>
  <c r="W1159" i="1"/>
  <c r="X1159" i="1"/>
  <c r="Y1159" i="1"/>
  <c r="P1160" i="1"/>
  <c r="Q1160" i="1"/>
  <c r="R1160" i="1"/>
  <c r="S1160" i="1"/>
  <c r="T1160" i="1"/>
  <c r="U1160" i="1"/>
  <c r="V1160" i="1"/>
  <c r="W1160" i="1"/>
  <c r="X1160" i="1"/>
  <c r="Y1160" i="1"/>
  <c r="P1161" i="1"/>
  <c r="Q1161" i="1"/>
  <c r="R1161" i="1"/>
  <c r="S1161" i="1"/>
  <c r="T1161" i="1"/>
  <c r="U1161" i="1"/>
  <c r="V1161" i="1"/>
  <c r="W1161" i="1"/>
  <c r="X1161" i="1"/>
  <c r="Y1161" i="1"/>
  <c r="P1162" i="1"/>
  <c r="Q1162" i="1"/>
  <c r="R1162" i="1"/>
  <c r="S1162" i="1"/>
  <c r="T1162" i="1"/>
  <c r="U1162" i="1"/>
  <c r="V1162" i="1"/>
  <c r="W1162" i="1"/>
  <c r="X1162" i="1"/>
  <c r="Y1162" i="1"/>
  <c r="P1163" i="1"/>
  <c r="Q1163" i="1"/>
  <c r="R1163" i="1"/>
  <c r="S1163" i="1"/>
  <c r="T1163" i="1"/>
  <c r="U1163" i="1"/>
  <c r="V1163" i="1"/>
  <c r="W1163" i="1"/>
  <c r="X1163" i="1"/>
  <c r="Y1163" i="1"/>
  <c r="P1164" i="1"/>
  <c r="Q1164" i="1"/>
  <c r="R1164" i="1"/>
  <c r="S1164" i="1"/>
  <c r="T1164" i="1"/>
  <c r="U1164" i="1"/>
  <c r="V1164" i="1"/>
  <c r="W1164" i="1"/>
  <c r="X1164" i="1"/>
  <c r="Y1164" i="1"/>
  <c r="P1165" i="1"/>
  <c r="Q1165" i="1"/>
  <c r="R1165" i="1"/>
  <c r="S1165" i="1"/>
  <c r="T1165" i="1"/>
  <c r="U1165" i="1"/>
  <c r="V1165" i="1"/>
  <c r="W1165" i="1"/>
  <c r="X1165" i="1"/>
  <c r="Y1165" i="1"/>
  <c r="P1166" i="1"/>
  <c r="Q1166" i="1"/>
  <c r="R1166" i="1"/>
  <c r="S1166" i="1"/>
  <c r="T1166" i="1"/>
  <c r="U1166" i="1"/>
  <c r="V1166" i="1"/>
  <c r="W1166" i="1"/>
  <c r="X1166" i="1"/>
  <c r="Y1166" i="1"/>
  <c r="P1167" i="1"/>
  <c r="Q1167" i="1"/>
  <c r="R1167" i="1"/>
  <c r="S1167" i="1"/>
  <c r="T1167" i="1"/>
  <c r="U1167" i="1"/>
  <c r="V1167" i="1"/>
  <c r="W1167" i="1"/>
  <c r="X1167" i="1"/>
  <c r="Y1167" i="1"/>
  <c r="P1168" i="1"/>
  <c r="Q1168" i="1"/>
  <c r="R1168" i="1"/>
  <c r="S1168" i="1"/>
  <c r="T1168" i="1"/>
  <c r="U1168" i="1"/>
  <c r="V1168" i="1"/>
  <c r="W1168" i="1"/>
  <c r="X1168" i="1"/>
  <c r="Y1168" i="1"/>
  <c r="P1169" i="1"/>
  <c r="Q1169" i="1"/>
  <c r="R1169" i="1"/>
  <c r="S1169" i="1"/>
  <c r="T1169" i="1"/>
  <c r="U1169" i="1"/>
  <c r="V1169" i="1"/>
  <c r="W1169" i="1"/>
  <c r="X1169" i="1"/>
  <c r="Y1169" i="1"/>
  <c r="P1170" i="1"/>
  <c r="Q1170" i="1"/>
  <c r="R1170" i="1"/>
  <c r="S1170" i="1"/>
  <c r="T1170" i="1"/>
  <c r="U1170" i="1"/>
  <c r="V1170" i="1"/>
  <c r="W1170" i="1"/>
  <c r="X1170" i="1"/>
  <c r="Y1170" i="1"/>
  <c r="P1171" i="1"/>
  <c r="Q1171" i="1"/>
  <c r="R1171" i="1"/>
  <c r="S1171" i="1"/>
  <c r="T1171" i="1"/>
  <c r="U1171" i="1"/>
  <c r="V1171" i="1"/>
  <c r="W1171" i="1"/>
  <c r="X1171" i="1"/>
  <c r="Y1171" i="1"/>
  <c r="P1172" i="1"/>
  <c r="Q1172" i="1"/>
  <c r="R1172" i="1"/>
  <c r="S1172" i="1"/>
  <c r="T1172" i="1"/>
  <c r="U1172" i="1"/>
  <c r="V1172" i="1"/>
  <c r="W1172" i="1"/>
  <c r="X1172" i="1"/>
  <c r="Y1172" i="1"/>
  <c r="P1173" i="1"/>
  <c r="Q1173" i="1"/>
  <c r="R1173" i="1"/>
  <c r="S1173" i="1"/>
  <c r="T1173" i="1"/>
  <c r="U1173" i="1"/>
  <c r="V1173" i="1"/>
  <c r="W1173" i="1"/>
  <c r="X1173" i="1"/>
  <c r="Y1173" i="1"/>
  <c r="P1174" i="1"/>
  <c r="Q1174" i="1"/>
  <c r="R1174" i="1"/>
  <c r="S1174" i="1"/>
  <c r="T1174" i="1"/>
  <c r="U1174" i="1"/>
  <c r="V1174" i="1"/>
  <c r="W1174" i="1"/>
  <c r="X1174" i="1"/>
  <c r="Y1174" i="1"/>
  <c r="P1175" i="1"/>
  <c r="Q1175" i="1"/>
  <c r="R1175" i="1"/>
  <c r="S1175" i="1"/>
  <c r="T1175" i="1"/>
  <c r="U1175" i="1"/>
  <c r="V1175" i="1"/>
  <c r="W1175" i="1"/>
  <c r="X1175" i="1"/>
  <c r="Y1175" i="1"/>
  <c r="P1176" i="1"/>
  <c r="Q1176" i="1"/>
  <c r="R1176" i="1"/>
  <c r="S1176" i="1"/>
  <c r="T1176" i="1"/>
  <c r="U1176" i="1"/>
  <c r="V1176" i="1"/>
  <c r="W1176" i="1"/>
  <c r="X1176" i="1"/>
  <c r="Y1176" i="1"/>
  <c r="P1177" i="1"/>
  <c r="Q1177" i="1"/>
  <c r="R1177" i="1"/>
  <c r="S1177" i="1"/>
  <c r="T1177" i="1"/>
  <c r="U1177" i="1"/>
  <c r="V1177" i="1"/>
  <c r="W1177" i="1"/>
  <c r="X1177" i="1"/>
  <c r="Y1177" i="1"/>
  <c r="P1178" i="1"/>
  <c r="Q1178" i="1"/>
  <c r="R1178" i="1"/>
  <c r="S1178" i="1"/>
  <c r="T1178" i="1"/>
  <c r="U1178" i="1"/>
  <c r="V1178" i="1"/>
  <c r="W1178" i="1"/>
  <c r="X1178" i="1"/>
  <c r="Y1178" i="1"/>
  <c r="P1179" i="1"/>
  <c r="Q1179" i="1"/>
  <c r="R1179" i="1"/>
  <c r="S1179" i="1"/>
  <c r="T1179" i="1"/>
  <c r="U1179" i="1"/>
  <c r="V1179" i="1"/>
  <c r="W1179" i="1"/>
  <c r="X1179" i="1"/>
  <c r="Y1179" i="1"/>
  <c r="P1180" i="1"/>
  <c r="Q1180" i="1"/>
  <c r="R1180" i="1"/>
  <c r="S1180" i="1"/>
  <c r="T1180" i="1"/>
  <c r="U1180" i="1"/>
  <c r="V1180" i="1"/>
  <c r="W1180" i="1"/>
  <c r="X1180" i="1"/>
  <c r="Y1180" i="1"/>
  <c r="P1181" i="1"/>
  <c r="Q1181" i="1"/>
  <c r="R1181" i="1"/>
  <c r="S1181" i="1"/>
  <c r="T1181" i="1"/>
  <c r="U1181" i="1"/>
  <c r="V1181" i="1"/>
  <c r="W1181" i="1"/>
  <c r="X1181" i="1"/>
  <c r="Y1181" i="1"/>
  <c r="P1182" i="1"/>
  <c r="Q1182" i="1"/>
  <c r="R1182" i="1"/>
  <c r="S1182" i="1"/>
  <c r="T1182" i="1"/>
  <c r="U1182" i="1"/>
  <c r="V1182" i="1"/>
  <c r="W1182" i="1"/>
  <c r="X1182" i="1"/>
  <c r="Y1182" i="1"/>
  <c r="P1183" i="1"/>
  <c r="Q1183" i="1"/>
  <c r="R1183" i="1"/>
  <c r="S1183" i="1"/>
  <c r="T1183" i="1"/>
  <c r="U1183" i="1"/>
  <c r="V1183" i="1"/>
  <c r="W1183" i="1"/>
  <c r="X1183" i="1"/>
  <c r="Y1183" i="1"/>
  <c r="P1184" i="1"/>
  <c r="Q1184" i="1"/>
  <c r="R1184" i="1"/>
  <c r="S1184" i="1"/>
  <c r="T1184" i="1"/>
  <c r="U1184" i="1"/>
  <c r="V1184" i="1"/>
  <c r="W1184" i="1"/>
  <c r="X1184" i="1"/>
  <c r="Y1184" i="1"/>
  <c r="P1185" i="1"/>
  <c r="Q1185" i="1"/>
  <c r="R1185" i="1"/>
  <c r="S1185" i="1"/>
  <c r="T1185" i="1"/>
  <c r="U1185" i="1"/>
  <c r="V1185" i="1"/>
  <c r="W1185" i="1"/>
  <c r="X1185" i="1"/>
  <c r="Y1185" i="1"/>
  <c r="P1186" i="1"/>
  <c r="Q1186" i="1"/>
  <c r="R1186" i="1"/>
  <c r="S1186" i="1"/>
  <c r="T1186" i="1"/>
  <c r="U1186" i="1"/>
  <c r="V1186" i="1"/>
  <c r="W1186" i="1"/>
  <c r="X1186" i="1"/>
  <c r="Y1186" i="1"/>
  <c r="P1187" i="1"/>
  <c r="Q1187" i="1"/>
  <c r="R1187" i="1"/>
  <c r="S1187" i="1"/>
  <c r="T1187" i="1"/>
  <c r="U1187" i="1"/>
  <c r="V1187" i="1"/>
  <c r="W1187" i="1"/>
  <c r="X1187" i="1"/>
  <c r="Y1187" i="1"/>
  <c r="P1188" i="1"/>
  <c r="Q1188" i="1"/>
  <c r="R1188" i="1"/>
  <c r="S1188" i="1"/>
  <c r="T1188" i="1"/>
  <c r="U1188" i="1"/>
  <c r="V1188" i="1"/>
  <c r="W1188" i="1"/>
  <c r="X1188" i="1"/>
  <c r="Y1188" i="1"/>
  <c r="P1189" i="1"/>
  <c r="Q1189" i="1"/>
  <c r="R1189" i="1"/>
  <c r="S1189" i="1"/>
  <c r="T1189" i="1"/>
  <c r="U1189" i="1"/>
  <c r="V1189" i="1"/>
  <c r="W1189" i="1"/>
  <c r="X1189" i="1"/>
  <c r="Y1189" i="1"/>
  <c r="P1190" i="1"/>
  <c r="Q1190" i="1"/>
  <c r="R1190" i="1"/>
  <c r="S1190" i="1"/>
  <c r="T1190" i="1"/>
  <c r="U1190" i="1"/>
  <c r="V1190" i="1"/>
  <c r="W1190" i="1"/>
  <c r="X1190" i="1"/>
  <c r="Y1190" i="1"/>
  <c r="P1191" i="1"/>
  <c r="Q1191" i="1"/>
  <c r="R1191" i="1"/>
  <c r="S1191" i="1"/>
  <c r="T1191" i="1"/>
  <c r="U1191" i="1"/>
  <c r="V1191" i="1"/>
  <c r="W1191" i="1"/>
  <c r="X1191" i="1"/>
  <c r="Y1191" i="1"/>
  <c r="P1192" i="1"/>
  <c r="Q1192" i="1"/>
  <c r="R1192" i="1"/>
  <c r="S1192" i="1"/>
  <c r="T1192" i="1"/>
  <c r="U1192" i="1"/>
  <c r="V1192" i="1"/>
  <c r="W1192" i="1"/>
  <c r="X1192" i="1"/>
  <c r="Y1192" i="1"/>
  <c r="P1193" i="1"/>
  <c r="Q1193" i="1"/>
  <c r="R1193" i="1"/>
  <c r="S1193" i="1"/>
  <c r="T1193" i="1"/>
  <c r="U1193" i="1"/>
  <c r="V1193" i="1"/>
  <c r="W1193" i="1"/>
  <c r="X1193" i="1"/>
  <c r="Y1193" i="1"/>
  <c r="P1194" i="1"/>
  <c r="Q1194" i="1"/>
  <c r="R1194" i="1"/>
  <c r="S1194" i="1"/>
  <c r="T1194" i="1"/>
  <c r="U1194" i="1"/>
  <c r="V1194" i="1"/>
  <c r="W1194" i="1"/>
  <c r="X1194" i="1"/>
  <c r="Y1194" i="1"/>
  <c r="P1195" i="1"/>
  <c r="Q1195" i="1"/>
  <c r="R1195" i="1"/>
  <c r="S1195" i="1"/>
  <c r="T1195" i="1"/>
  <c r="U1195" i="1"/>
  <c r="V1195" i="1"/>
  <c r="W1195" i="1"/>
  <c r="X1195" i="1"/>
  <c r="Y1195" i="1"/>
  <c r="P1196" i="1"/>
  <c r="Q1196" i="1"/>
  <c r="R1196" i="1"/>
  <c r="S1196" i="1"/>
  <c r="T1196" i="1"/>
  <c r="U1196" i="1"/>
  <c r="V1196" i="1"/>
  <c r="W1196" i="1"/>
  <c r="X1196" i="1"/>
  <c r="Y1196" i="1"/>
  <c r="P1197" i="1"/>
  <c r="Q1197" i="1"/>
  <c r="R1197" i="1"/>
  <c r="S1197" i="1"/>
  <c r="T1197" i="1"/>
  <c r="U1197" i="1"/>
  <c r="V1197" i="1"/>
  <c r="W1197" i="1"/>
  <c r="X1197" i="1"/>
  <c r="Y1197" i="1"/>
  <c r="P1198" i="1"/>
  <c r="Q1198" i="1"/>
  <c r="R1198" i="1"/>
  <c r="S1198" i="1"/>
  <c r="T1198" i="1"/>
  <c r="U1198" i="1"/>
  <c r="V1198" i="1"/>
  <c r="W1198" i="1"/>
  <c r="X1198" i="1"/>
  <c r="Y1198" i="1"/>
  <c r="P1199" i="1"/>
  <c r="Q1199" i="1"/>
  <c r="R1199" i="1"/>
  <c r="S1199" i="1"/>
  <c r="T1199" i="1"/>
  <c r="U1199" i="1"/>
  <c r="V1199" i="1"/>
  <c r="W1199" i="1"/>
  <c r="X1199" i="1"/>
  <c r="Y1199" i="1"/>
  <c r="P1200" i="1"/>
  <c r="Q1200" i="1"/>
  <c r="R1200" i="1"/>
  <c r="S1200" i="1"/>
  <c r="T1200" i="1"/>
  <c r="U1200" i="1"/>
  <c r="V1200" i="1"/>
  <c r="W1200" i="1"/>
  <c r="X1200" i="1"/>
  <c r="Y1200" i="1"/>
  <c r="P1201" i="1"/>
  <c r="Q1201" i="1"/>
  <c r="R1201" i="1"/>
  <c r="S1201" i="1"/>
  <c r="T1201" i="1"/>
  <c r="U1201" i="1"/>
  <c r="V1201" i="1"/>
  <c r="W1201" i="1"/>
  <c r="X1201" i="1"/>
  <c r="Y1201" i="1"/>
  <c r="P1202" i="1"/>
  <c r="Q1202" i="1"/>
  <c r="R1202" i="1"/>
  <c r="S1202" i="1"/>
  <c r="T1202" i="1"/>
  <c r="U1202" i="1"/>
  <c r="V1202" i="1"/>
  <c r="W1202" i="1"/>
  <c r="X1202" i="1"/>
  <c r="Y1202" i="1"/>
  <c r="P1203" i="1"/>
  <c r="Q1203" i="1"/>
  <c r="R1203" i="1"/>
  <c r="S1203" i="1"/>
  <c r="T1203" i="1"/>
  <c r="U1203" i="1"/>
  <c r="V1203" i="1"/>
  <c r="W1203" i="1"/>
  <c r="X1203" i="1"/>
  <c r="Y1203" i="1"/>
  <c r="P1204" i="1"/>
  <c r="Q1204" i="1"/>
  <c r="R1204" i="1"/>
  <c r="S1204" i="1"/>
  <c r="T1204" i="1"/>
  <c r="U1204" i="1"/>
  <c r="V1204" i="1"/>
  <c r="W1204" i="1"/>
  <c r="X1204" i="1"/>
  <c r="Y1204" i="1"/>
  <c r="P1205" i="1"/>
  <c r="Q1205" i="1"/>
  <c r="R1205" i="1"/>
  <c r="S1205" i="1"/>
  <c r="T1205" i="1"/>
  <c r="U1205" i="1"/>
  <c r="V1205" i="1"/>
  <c r="W1205" i="1"/>
  <c r="X1205" i="1"/>
  <c r="Y1205" i="1"/>
  <c r="P1206" i="1"/>
  <c r="Q1206" i="1"/>
  <c r="R1206" i="1"/>
  <c r="S1206" i="1"/>
  <c r="T1206" i="1"/>
  <c r="U1206" i="1"/>
  <c r="V1206" i="1"/>
  <c r="W1206" i="1"/>
  <c r="X1206" i="1"/>
  <c r="Y1206" i="1"/>
  <c r="P1207" i="1"/>
  <c r="Q1207" i="1"/>
  <c r="R1207" i="1"/>
  <c r="S1207" i="1"/>
  <c r="T1207" i="1"/>
  <c r="U1207" i="1"/>
  <c r="V1207" i="1"/>
  <c r="W1207" i="1"/>
  <c r="X1207" i="1"/>
  <c r="Y1207" i="1"/>
  <c r="P1208" i="1"/>
  <c r="Q1208" i="1"/>
  <c r="R1208" i="1"/>
  <c r="S1208" i="1"/>
  <c r="T1208" i="1"/>
  <c r="U1208" i="1"/>
  <c r="V1208" i="1"/>
  <c r="W1208" i="1"/>
  <c r="X1208" i="1"/>
  <c r="Y1208" i="1"/>
  <c r="P1209" i="1"/>
  <c r="Q1209" i="1"/>
  <c r="R1209" i="1"/>
  <c r="S1209" i="1"/>
  <c r="T1209" i="1"/>
  <c r="U1209" i="1"/>
  <c r="V1209" i="1"/>
  <c r="W1209" i="1"/>
  <c r="X1209" i="1"/>
  <c r="Y1209" i="1"/>
  <c r="P1210" i="1"/>
  <c r="Q1210" i="1"/>
  <c r="R1210" i="1"/>
  <c r="S1210" i="1"/>
  <c r="T1210" i="1"/>
  <c r="U1210" i="1"/>
  <c r="V1210" i="1"/>
  <c r="W1210" i="1"/>
  <c r="X1210" i="1"/>
  <c r="Y1210" i="1"/>
  <c r="P1211" i="1"/>
  <c r="Q1211" i="1"/>
  <c r="R1211" i="1"/>
  <c r="S1211" i="1"/>
  <c r="T1211" i="1"/>
  <c r="U1211" i="1"/>
  <c r="V1211" i="1"/>
  <c r="W1211" i="1"/>
  <c r="X1211" i="1"/>
  <c r="Y1211" i="1"/>
  <c r="P1212" i="1"/>
  <c r="Q1212" i="1"/>
  <c r="R1212" i="1"/>
  <c r="S1212" i="1"/>
  <c r="T1212" i="1"/>
  <c r="U1212" i="1"/>
  <c r="V1212" i="1"/>
  <c r="W1212" i="1"/>
  <c r="X1212" i="1"/>
  <c r="Y1212" i="1"/>
  <c r="P1213" i="1"/>
  <c r="Q1213" i="1"/>
  <c r="R1213" i="1"/>
  <c r="S1213" i="1"/>
  <c r="T1213" i="1"/>
  <c r="U1213" i="1"/>
  <c r="V1213" i="1"/>
  <c r="W1213" i="1"/>
  <c r="X1213" i="1"/>
  <c r="Y1213" i="1"/>
  <c r="P1214" i="1"/>
  <c r="Q1214" i="1"/>
  <c r="R1214" i="1"/>
  <c r="S1214" i="1"/>
  <c r="T1214" i="1"/>
  <c r="U1214" i="1"/>
  <c r="V1214" i="1"/>
  <c r="W1214" i="1"/>
  <c r="X1214" i="1"/>
  <c r="Y1214" i="1"/>
  <c r="P1215" i="1"/>
  <c r="Q1215" i="1"/>
  <c r="R1215" i="1"/>
  <c r="S1215" i="1"/>
  <c r="T1215" i="1"/>
  <c r="U1215" i="1"/>
  <c r="V1215" i="1"/>
  <c r="W1215" i="1"/>
  <c r="X1215" i="1"/>
  <c r="Y1215" i="1"/>
  <c r="P1216" i="1"/>
  <c r="Q1216" i="1"/>
  <c r="R1216" i="1"/>
  <c r="S1216" i="1"/>
  <c r="T1216" i="1"/>
  <c r="U1216" i="1"/>
  <c r="V1216" i="1"/>
  <c r="W1216" i="1"/>
  <c r="X1216" i="1"/>
  <c r="Y1216" i="1"/>
  <c r="P1217" i="1"/>
  <c r="Q1217" i="1"/>
  <c r="R1217" i="1"/>
  <c r="S1217" i="1"/>
  <c r="T1217" i="1"/>
  <c r="U1217" i="1"/>
  <c r="V1217" i="1"/>
  <c r="W1217" i="1"/>
  <c r="X1217" i="1"/>
  <c r="Y1217" i="1"/>
  <c r="P1218" i="1"/>
  <c r="Q1218" i="1"/>
  <c r="R1218" i="1"/>
  <c r="S1218" i="1"/>
  <c r="T1218" i="1"/>
  <c r="U1218" i="1"/>
  <c r="V1218" i="1"/>
  <c r="W1218" i="1"/>
  <c r="X1218" i="1"/>
  <c r="Y1218" i="1"/>
  <c r="P1219" i="1"/>
  <c r="Q1219" i="1"/>
  <c r="R1219" i="1"/>
  <c r="S1219" i="1"/>
  <c r="T1219" i="1"/>
  <c r="U1219" i="1"/>
  <c r="V1219" i="1"/>
  <c r="W1219" i="1"/>
  <c r="X1219" i="1"/>
  <c r="Y1219" i="1"/>
  <c r="P1220" i="1"/>
  <c r="Q1220" i="1"/>
  <c r="R1220" i="1"/>
  <c r="S1220" i="1"/>
  <c r="T1220" i="1"/>
  <c r="U1220" i="1"/>
  <c r="V1220" i="1"/>
  <c r="W1220" i="1"/>
  <c r="X1220" i="1"/>
  <c r="Y1220" i="1"/>
  <c r="P1221" i="1"/>
  <c r="Q1221" i="1"/>
  <c r="R1221" i="1"/>
  <c r="S1221" i="1"/>
  <c r="T1221" i="1"/>
  <c r="U1221" i="1"/>
  <c r="V1221" i="1"/>
  <c r="W1221" i="1"/>
  <c r="X1221" i="1"/>
  <c r="Y1221" i="1"/>
  <c r="P1222" i="1"/>
  <c r="Q1222" i="1"/>
  <c r="R1222" i="1"/>
  <c r="S1222" i="1"/>
  <c r="T1222" i="1"/>
  <c r="U1222" i="1"/>
  <c r="V1222" i="1"/>
  <c r="W1222" i="1"/>
  <c r="X1222" i="1"/>
  <c r="Y1222" i="1"/>
  <c r="P1223" i="1"/>
  <c r="Q1223" i="1"/>
  <c r="R1223" i="1"/>
  <c r="S1223" i="1"/>
  <c r="T1223" i="1"/>
  <c r="U1223" i="1"/>
  <c r="V1223" i="1"/>
  <c r="W1223" i="1"/>
  <c r="X1223" i="1"/>
  <c r="Y1223" i="1"/>
  <c r="P1224" i="1"/>
  <c r="Q1224" i="1"/>
  <c r="R1224" i="1"/>
  <c r="S1224" i="1"/>
  <c r="T1224" i="1"/>
  <c r="U1224" i="1"/>
  <c r="V1224" i="1"/>
  <c r="W1224" i="1"/>
  <c r="X1224" i="1"/>
  <c r="Y1224" i="1"/>
  <c r="P1225" i="1"/>
  <c r="Q1225" i="1"/>
  <c r="R1225" i="1"/>
  <c r="S1225" i="1"/>
  <c r="T1225" i="1"/>
  <c r="U1225" i="1"/>
  <c r="V1225" i="1"/>
  <c r="W1225" i="1"/>
  <c r="X1225" i="1"/>
  <c r="Y1225" i="1"/>
  <c r="P1226" i="1"/>
  <c r="Q1226" i="1"/>
  <c r="R1226" i="1"/>
  <c r="S1226" i="1"/>
  <c r="T1226" i="1"/>
  <c r="U1226" i="1"/>
  <c r="V1226" i="1"/>
  <c r="W1226" i="1"/>
  <c r="X1226" i="1"/>
  <c r="Y1226" i="1"/>
  <c r="P1227" i="1"/>
  <c r="Q1227" i="1"/>
  <c r="R1227" i="1"/>
  <c r="S1227" i="1"/>
  <c r="T1227" i="1"/>
  <c r="U1227" i="1"/>
  <c r="V1227" i="1"/>
  <c r="W1227" i="1"/>
  <c r="X1227" i="1"/>
  <c r="Y1227" i="1"/>
  <c r="P1228" i="1"/>
  <c r="Q1228" i="1"/>
  <c r="R1228" i="1"/>
  <c r="S1228" i="1"/>
  <c r="T1228" i="1"/>
  <c r="U1228" i="1"/>
  <c r="V1228" i="1"/>
  <c r="W1228" i="1"/>
  <c r="X1228" i="1"/>
  <c r="Y1228" i="1"/>
  <c r="P1229" i="1"/>
  <c r="Q1229" i="1"/>
  <c r="R1229" i="1"/>
  <c r="S1229" i="1"/>
  <c r="T1229" i="1"/>
  <c r="U1229" i="1"/>
  <c r="V1229" i="1"/>
  <c r="W1229" i="1"/>
  <c r="X1229" i="1"/>
  <c r="Y1229" i="1"/>
  <c r="P1230" i="1"/>
  <c r="Q1230" i="1"/>
  <c r="R1230" i="1"/>
  <c r="S1230" i="1"/>
  <c r="T1230" i="1"/>
  <c r="U1230" i="1"/>
  <c r="V1230" i="1"/>
  <c r="W1230" i="1"/>
  <c r="X1230" i="1"/>
  <c r="Y1230" i="1"/>
  <c r="P1231" i="1"/>
  <c r="Q1231" i="1"/>
  <c r="R1231" i="1"/>
  <c r="S1231" i="1"/>
  <c r="T1231" i="1"/>
  <c r="U1231" i="1"/>
  <c r="V1231" i="1"/>
  <c r="W1231" i="1"/>
  <c r="X1231" i="1"/>
  <c r="Y1231" i="1"/>
  <c r="P1232" i="1"/>
  <c r="Q1232" i="1"/>
  <c r="R1232" i="1"/>
  <c r="S1232" i="1"/>
  <c r="T1232" i="1"/>
  <c r="U1232" i="1"/>
  <c r="V1232" i="1"/>
  <c r="W1232" i="1"/>
  <c r="X1232" i="1"/>
  <c r="Y1232" i="1"/>
  <c r="P1233" i="1"/>
  <c r="Q1233" i="1"/>
  <c r="R1233" i="1"/>
  <c r="S1233" i="1"/>
  <c r="T1233" i="1"/>
  <c r="U1233" i="1"/>
  <c r="V1233" i="1"/>
  <c r="W1233" i="1"/>
  <c r="X1233" i="1"/>
  <c r="Y1233" i="1"/>
  <c r="P1234" i="1"/>
  <c r="Q1234" i="1"/>
  <c r="R1234" i="1"/>
  <c r="S1234" i="1"/>
  <c r="T1234" i="1"/>
  <c r="U1234" i="1"/>
  <c r="V1234" i="1"/>
  <c r="W1234" i="1"/>
  <c r="X1234" i="1"/>
  <c r="Y1234" i="1"/>
  <c r="P1235" i="1"/>
  <c r="Q1235" i="1"/>
  <c r="R1235" i="1"/>
  <c r="S1235" i="1"/>
  <c r="T1235" i="1"/>
  <c r="U1235" i="1"/>
  <c r="V1235" i="1"/>
  <c r="W1235" i="1"/>
  <c r="X1235" i="1"/>
  <c r="Y1235" i="1"/>
  <c r="P1236" i="1"/>
  <c r="Q1236" i="1"/>
  <c r="R1236" i="1"/>
  <c r="S1236" i="1"/>
  <c r="T1236" i="1"/>
  <c r="U1236" i="1"/>
  <c r="V1236" i="1"/>
  <c r="W1236" i="1"/>
  <c r="X1236" i="1"/>
  <c r="Y1236" i="1"/>
  <c r="P1237" i="1"/>
  <c r="Q1237" i="1"/>
  <c r="R1237" i="1"/>
  <c r="S1237" i="1"/>
  <c r="T1237" i="1"/>
  <c r="U1237" i="1"/>
  <c r="V1237" i="1"/>
  <c r="W1237" i="1"/>
  <c r="X1237" i="1"/>
  <c r="Y1237" i="1"/>
  <c r="P1238" i="1"/>
  <c r="Q1238" i="1"/>
  <c r="R1238" i="1"/>
  <c r="S1238" i="1"/>
  <c r="T1238" i="1"/>
  <c r="U1238" i="1"/>
  <c r="V1238" i="1"/>
  <c r="W1238" i="1"/>
  <c r="X1238" i="1"/>
  <c r="Y1238" i="1"/>
  <c r="P1239" i="1"/>
  <c r="Q1239" i="1"/>
  <c r="R1239" i="1"/>
  <c r="S1239" i="1"/>
  <c r="T1239" i="1"/>
  <c r="U1239" i="1"/>
  <c r="V1239" i="1"/>
  <c r="W1239" i="1"/>
  <c r="X1239" i="1"/>
  <c r="Y1239" i="1"/>
  <c r="P1240" i="1"/>
  <c r="Q1240" i="1"/>
  <c r="R1240" i="1"/>
  <c r="S1240" i="1"/>
  <c r="T1240" i="1"/>
  <c r="U1240" i="1"/>
  <c r="V1240" i="1"/>
  <c r="W1240" i="1"/>
  <c r="X1240" i="1"/>
  <c r="Y1240" i="1"/>
  <c r="P1241" i="1"/>
  <c r="Q1241" i="1"/>
  <c r="R1241" i="1"/>
  <c r="S1241" i="1"/>
  <c r="T1241" i="1"/>
  <c r="U1241" i="1"/>
  <c r="V1241" i="1"/>
  <c r="W1241" i="1"/>
  <c r="X1241" i="1"/>
  <c r="Y1241" i="1"/>
  <c r="P1242" i="1"/>
  <c r="Q1242" i="1"/>
  <c r="R1242" i="1"/>
  <c r="S1242" i="1"/>
  <c r="T1242" i="1"/>
  <c r="U1242" i="1"/>
  <c r="V1242" i="1"/>
  <c r="W1242" i="1"/>
  <c r="X1242" i="1"/>
  <c r="Y1242" i="1"/>
  <c r="P1243" i="1"/>
  <c r="Q1243" i="1"/>
  <c r="R1243" i="1"/>
  <c r="S1243" i="1"/>
  <c r="T1243" i="1"/>
  <c r="U1243" i="1"/>
  <c r="V1243" i="1"/>
  <c r="W1243" i="1"/>
  <c r="X1243" i="1"/>
  <c r="Y1243" i="1"/>
  <c r="P1244" i="1"/>
  <c r="Q1244" i="1"/>
  <c r="R1244" i="1"/>
  <c r="S1244" i="1"/>
  <c r="T1244" i="1"/>
  <c r="U1244" i="1"/>
  <c r="V1244" i="1"/>
  <c r="W1244" i="1"/>
  <c r="X1244" i="1"/>
  <c r="Y1244" i="1"/>
  <c r="P1245" i="1"/>
  <c r="Q1245" i="1"/>
  <c r="R1245" i="1"/>
  <c r="S1245" i="1"/>
  <c r="T1245" i="1"/>
  <c r="U1245" i="1"/>
  <c r="V1245" i="1"/>
  <c r="W1245" i="1"/>
  <c r="X1245" i="1"/>
  <c r="Y1245" i="1"/>
  <c r="P1246" i="1"/>
  <c r="Q1246" i="1"/>
  <c r="R1246" i="1"/>
  <c r="S1246" i="1"/>
  <c r="T1246" i="1"/>
  <c r="U1246" i="1"/>
  <c r="V1246" i="1"/>
  <c r="W1246" i="1"/>
  <c r="X1246" i="1"/>
  <c r="Y1246" i="1"/>
  <c r="P1247" i="1"/>
  <c r="Q1247" i="1"/>
  <c r="R1247" i="1"/>
  <c r="S1247" i="1"/>
  <c r="T1247" i="1"/>
  <c r="U1247" i="1"/>
  <c r="V1247" i="1"/>
  <c r="W1247" i="1"/>
  <c r="X1247" i="1"/>
  <c r="Y1247" i="1"/>
  <c r="P1248" i="1"/>
  <c r="Q1248" i="1"/>
  <c r="R1248" i="1"/>
  <c r="S1248" i="1"/>
  <c r="T1248" i="1"/>
  <c r="U1248" i="1"/>
  <c r="V1248" i="1"/>
  <c r="W1248" i="1"/>
  <c r="X1248" i="1"/>
  <c r="Y1248" i="1"/>
  <c r="P1249" i="1"/>
  <c r="Q1249" i="1"/>
  <c r="R1249" i="1"/>
  <c r="S1249" i="1"/>
  <c r="T1249" i="1"/>
  <c r="U1249" i="1"/>
  <c r="V1249" i="1"/>
  <c r="W1249" i="1"/>
  <c r="X1249" i="1"/>
  <c r="Y1249" i="1"/>
  <c r="P1250" i="1"/>
  <c r="Q1250" i="1"/>
  <c r="R1250" i="1"/>
  <c r="S1250" i="1"/>
  <c r="T1250" i="1"/>
  <c r="U1250" i="1"/>
  <c r="V1250" i="1"/>
  <c r="W1250" i="1"/>
  <c r="X1250" i="1"/>
  <c r="Y1250" i="1"/>
  <c r="P1251" i="1"/>
  <c r="Q1251" i="1"/>
  <c r="R1251" i="1"/>
  <c r="S1251" i="1"/>
  <c r="T1251" i="1"/>
  <c r="U1251" i="1"/>
  <c r="V1251" i="1"/>
  <c r="W1251" i="1"/>
  <c r="X1251" i="1"/>
  <c r="Y1251" i="1"/>
  <c r="P1252" i="1"/>
  <c r="Q1252" i="1"/>
  <c r="R1252" i="1"/>
  <c r="S1252" i="1"/>
  <c r="T1252" i="1"/>
  <c r="U1252" i="1"/>
  <c r="V1252" i="1"/>
  <c r="W1252" i="1"/>
  <c r="X1252" i="1"/>
  <c r="Y1252" i="1"/>
  <c r="P1253" i="1"/>
  <c r="Q1253" i="1"/>
  <c r="R1253" i="1"/>
  <c r="S1253" i="1"/>
  <c r="T1253" i="1"/>
  <c r="U1253" i="1"/>
  <c r="V1253" i="1"/>
  <c r="W1253" i="1"/>
  <c r="X1253" i="1"/>
  <c r="Y1253" i="1"/>
  <c r="P1254" i="1"/>
  <c r="Q1254" i="1"/>
  <c r="R1254" i="1"/>
  <c r="S1254" i="1"/>
  <c r="T1254" i="1"/>
  <c r="U1254" i="1"/>
  <c r="V1254" i="1"/>
  <c r="W1254" i="1"/>
  <c r="X1254" i="1"/>
  <c r="Y1254" i="1"/>
  <c r="P1255" i="1"/>
  <c r="Q1255" i="1"/>
  <c r="R1255" i="1"/>
  <c r="S1255" i="1"/>
  <c r="T1255" i="1"/>
  <c r="U1255" i="1"/>
  <c r="V1255" i="1"/>
  <c r="W1255" i="1"/>
  <c r="X1255" i="1"/>
  <c r="Y1255" i="1"/>
  <c r="P1256" i="1"/>
  <c r="Q1256" i="1"/>
  <c r="R1256" i="1"/>
  <c r="S1256" i="1"/>
  <c r="T1256" i="1"/>
  <c r="U1256" i="1"/>
  <c r="V1256" i="1"/>
  <c r="W1256" i="1"/>
  <c r="X1256" i="1"/>
  <c r="Y1256" i="1"/>
  <c r="P1257" i="1"/>
  <c r="Q1257" i="1"/>
  <c r="R1257" i="1"/>
  <c r="S1257" i="1"/>
  <c r="T1257" i="1"/>
  <c r="U1257" i="1"/>
  <c r="V1257" i="1"/>
  <c r="W1257" i="1"/>
  <c r="X1257" i="1"/>
  <c r="Y1257" i="1"/>
  <c r="P1258" i="1"/>
  <c r="Q1258" i="1"/>
  <c r="R1258" i="1"/>
  <c r="S1258" i="1"/>
  <c r="T1258" i="1"/>
  <c r="U1258" i="1"/>
  <c r="V1258" i="1"/>
  <c r="W1258" i="1"/>
  <c r="X1258" i="1"/>
  <c r="Y1258" i="1"/>
  <c r="P1259" i="1"/>
  <c r="Q1259" i="1"/>
  <c r="R1259" i="1"/>
  <c r="S1259" i="1"/>
  <c r="T1259" i="1"/>
  <c r="U1259" i="1"/>
  <c r="V1259" i="1"/>
  <c r="W1259" i="1"/>
  <c r="X1259" i="1"/>
  <c r="Y1259" i="1"/>
  <c r="P1260" i="1"/>
  <c r="Q1260" i="1"/>
  <c r="R1260" i="1"/>
  <c r="S1260" i="1"/>
  <c r="T1260" i="1"/>
  <c r="U1260" i="1"/>
  <c r="V1260" i="1"/>
  <c r="W1260" i="1"/>
  <c r="X1260" i="1"/>
  <c r="Y1260" i="1"/>
  <c r="P1261" i="1"/>
  <c r="Q1261" i="1"/>
  <c r="R1261" i="1"/>
  <c r="S1261" i="1"/>
  <c r="T1261" i="1"/>
  <c r="U1261" i="1"/>
  <c r="V1261" i="1"/>
  <c r="W1261" i="1"/>
  <c r="X1261" i="1"/>
  <c r="Y1261" i="1"/>
  <c r="Q5" i="1"/>
  <c r="AH4" i="1" s="1"/>
  <c r="R5" i="1"/>
  <c r="AI4" i="1" s="1"/>
  <c r="S5" i="1"/>
  <c r="AJ4" i="1" s="1"/>
  <c r="T5" i="1"/>
  <c r="AK4" i="1" s="1"/>
  <c r="U5" i="1"/>
  <c r="AL4" i="1" s="1"/>
  <c r="V5" i="1"/>
  <c r="AM4" i="1" s="1"/>
  <c r="W5" i="1"/>
  <c r="AN4" i="1" s="1"/>
  <c r="X5" i="1"/>
  <c r="AO4" i="1" s="1"/>
  <c r="Y5" i="1"/>
  <c r="AP4" i="1" s="1"/>
  <c r="AG4" i="1"/>
  <c r="AG16" i="1" l="1"/>
  <c r="AG12" i="1"/>
  <c r="AG8" i="1"/>
  <c r="AG15" i="1"/>
  <c r="AG11" i="1"/>
  <c r="AG7" i="1"/>
  <c r="AG18" i="1"/>
  <c r="AG14" i="1"/>
  <c r="AG10" i="1"/>
  <c r="AG6" i="1"/>
  <c r="AG17" i="1"/>
  <c r="AG13" i="1"/>
  <c r="AG9" i="1"/>
  <c r="AG5" i="1"/>
  <c r="AX3" i="1"/>
  <c r="AV3" i="1"/>
  <c r="BB3" i="1"/>
  <c r="AT3" i="1"/>
  <c r="AZ3" i="1"/>
  <c r="AW3" i="1"/>
  <c r="AU3" i="1"/>
  <c r="BA3" i="1"/>
  <c r="AY3" i="1"/>
  <c r="AS3" i="1" l="1"/>
  <c r="AS8" i="1" s="1" a="1"/>
  <c r="AS8" i="1" s="1"/>
  <c r="AS22" i="1" s="1"/>
  <c r="AY28" i="1" l="1"/>
  <c r="Q13" i="2" s="1"/>
  <c r="AT27" i="1"/>
  <c r="L12" i="2" s="1"/>
  <c r="BB29" i="1"/>
  <c r="T14" i="2" s="1"/>
  <c r="BB26" i="1"/>
  <c r="T11" i="2" s="1"/>
  <c r="AY25" i="1"/>
  <c r="Q10" i="2" s="1"/>
  <c r="BB24" i="1"/>
  <c r="T9" i="2" s="1"/>
  <c r="BB27" i="1"/>
  <c r="T12" i="2" s="1"/>
  <c r="AT29" i="1"/>
  <c r="L14" i="2" s="1"/>
  <c r="AX27" i="1"/>
  <c r="P12" i="2" s="1"/>
  <c r="AY31" i="1"/>
  <c r="Q16" i="2" s="1"/>
  <c r="AT26" i="1"/>
  <c r="L11" i="2" s="1"/>
  <c r="AX24" i="1"/>
  <c r="P9" i="2" s="1"/>
  <c r="BA23" i="1"/>
  <c r="S8" i="2" s="1"/>
  <c r="BA27" i="1"/>
  <c r="S12" i="2" s="1"/>
  <c r="AW25" i="1"/>
  <c r="O10" i="2" s="1"/>
  <c r="AX26" i="1"/>
  <c r="P11" i="2" s="1"/>
  <c r="AX30" i="1"/>
  <c r="P15" i="2" s="1"/>
  <c r="AU23" i="1"/>
  <c r="M8" i="2" s="1"/>
  <c r="BB31" i="1"/>
  <c r="T16" i="2" s="1"/>
  <c r="AZ24" i="1"/>
  <c r="R9" i="2" s="1"/>
  <c r="BA26" i="1"/>
  <c r="S11" i="2" s="1"/>
  <c r="AU29" i="1"/>
  <c r="M14" i="2" s="1"/>
  <c r="BA30" i="1"/>
  <c r="S15" i="2" s="1"/>
  <c r="AU26" i="1"/>
  <c r="M11" i="2" s="1"/>
  <c r="BA28" i="1"/>
  <c r="S13" i="2" s="1"/>
  <c r="AW26" i="1"/>
  <c r="O11" i="2" s="1"/>
  <c r="AU28" i="1"/>
  <c r="M13" i="2" s="1"/>
  <c r="AY29" i="1"/>
  <c r="Q14" i="2" s="1"/>
  <c r="AW24" i="1"/>
  <c r="O9" i="2" s="1"/>
  <c r="BA24" i="1"/>
  <c r="S9" i="2" s="1"/>
  <c r="BB28" i="1"/>
  <c r="T13" i="2" s="1"/>
  <c r="AX28" i="1"/>
  <c r="P13" i="2" s="1"/>
  <c r="BB25" i="1"/>
  <c r="T10" i="2" s="1"/>
  <c r="AZ28" i="1"/>
  <c r="R13" i="2" s="1"/>
  <c r="AX23" i="1"/>
  <c r="P8" i="2" s="1"/>
  <c r="AW28" i="1"/>
  <c r="O13" i="2" s="1"/>
  <c r="AY26" i="1"/>
  <c r="Q11" i="2" s="1"/>
  <c r="AY24" i="1"/>
  <c r="Q9" i="2" s="1"/>
  <c r="AZ25" i="1"/>
  <c r="R10" i="2" s="1"/>
  <c r="BB23" i="1"/>
  <c r="T8" i="2" s="1"/>
  <c r="AV30" i="1"/>
  <c r="N15" i="2" s="1"/>
  <c r="AV23" i="1"/>
  <c r="N8" i="2" s="1"/>
  <c r="AV25" i="1"/>
  <c r="N10" i="2" s="1"/>
  <c r="AW23" i="1"/>
  <c r="O8" i="2" s="1"/>
  <c r="AT30" i="1"/>
  <c r="L15" i="2" s="1"/>
  <c r="AY30" i="1"/>
  <c r="Q15" i="2" s="1"/>
  <c r="AX31" i="1"/>
  <c r="P16" i="2" s="1"/>
  <c r="AU30" i="1"/>
  <c r="M15" i="2" s="1"/>
  <c r="BA25" i="1"/>
  <c r="S10" i="2" s="1"/>
  <c r="AT24" i="1"/>
  <c r="L9" i="2" s="1"/>
  <c r="AU27" i="1"/>
  <c r="M12" i="2" s="1"/>
  <c r="AZ26" i="1"/>
  <c r="R11" i="2" s="1"/>
  <c r="AZ30" i="1"/>
  <c r="R15" i="2" s="1"/>
  <c r="AV27" i="1"/>
  <c r="N12" i="2" s="1"/>
  <c r="AU24" i="1"/>
  <c r="M9" i="2" s="1"/>
  <c r="AT25" i="1"/>
  <c r="L10" i="2" s="1"/>
  <c r="AZ31" i="1"/>
  <c r="R16" i="2" s="1"/>
  <c r="AZ29" i="1"/>
  <c r="R14" i="2" s="1"/>
  <c r="AX29" i="1"/>
  <c r="P14" i="2" s="1"/>
  <c r="BA29" i="1"/>
  <c r="S14" i="2" s="1"/>
  <c r="AW30" i="1"/>
  <c r="O15" i="2" s="1"/>
  <c r="AT28" i="1"/>
  <c r="L13" i="2" s="1"/>
  <c r="AT23" i="1"/>
  <c r="L8" i="2" s="1"/>
  <c r="AV31" i="1"/>
  <c r="N16" i="2" s="1"/>
  <c r="AX25" i="1"/>
  <c r="P10" i="2" s="1"/>
  <c r="AW29" i="1"/>
  <c r="O14" i="2" s="1"/>
  <c r="AV26" i="1"/>
  <c r="N11" i="2" s="1"/>
  <c r="AV28" i="1"/>
  <c r="N13" i="2" s="1"/>
  <c r="AW31" i="1"/>
  <c r="O16" i="2" s="1"/>
  <c r="AZ23" i="1"/>
  <c r="R8" i="2" s="1"/>
  <c r="AZ27" i="1"/>
  <c r="R12" i="2" s="1"/>
  <c r="AV24" i="1"/>
  <c r="N9" i="2" s="1"/>
  <c r="AY23" i="1"/>
  <c r="Q8" i="2" s="1"/>
  <c r="AY27" i="1"/>
  <c r="Q12" i="2" s="1"/>
  <c r="AU25" i="1"/>
  <c r="M10" i="2" s="1"/>
  <c r="AV29" i="1"/>
  <c r="N14" i="2" s="1"/>
  <c r="AU31" i="1"/>
  <c r="M16" i="2" s="1"/>
  <c r="BB30" i="1"/>
  <c r="T15" i="2" s="1"/>
  <c r="BA31" i="1"/>
  <c r="S16" i="2" s="1"/>
  <c r="AW27" i="1"/>
  <c r="O12" i="2" s="1"/>
  <c r="AT31" i="1"/>
  <c r="L16" i="2" s="1"/>
  <c r="K7" i="2"/>
  <c r="AS29" i="1"/>
  <c r="K14" i="2" s="1"/>
  <c r="AV22" i="1"/>
  <c r="N7" i="2" s="1"/>
  <c r="AS25" i="1"/>
  <c r="K10" i="2" s="1"/>
  <c r="AY22" i="1"/>
  <c r="Q7" i="2" s="1"/>
  <c r="AS31" i="1"/>
  <c r="K16" i="2" s="1"/>
  <c r="AW22" i="1"/>
  <c r="O7" i="2" s="1"/>
  <c r="BA22" i="1"/>
  <c r="S7" i="2" s="1"/>
  <c r="AS23" i="1"/>
  <c r="K8" i="2" s="1"/>
  <c r="AT22" i="1"/>
  <c r="L7" i="2" s="1"/>
  <c r="AS28" i="1"/>
  <c r="K13" i="2" s="1"/>
  <c r="AX22" i="1"/>
  <c r="P7" i="2" s="1"/>
  <c r="AS27" i="1"/>
  <c r="K12" i="2" s="1"/>
  <c r="AZ22" i="1"/>
  <c r="R7" i="2" s="1"/>
  <c r="AS26" i="1"/>
  <c r="K11" i="2" s="1"/>
  <c r="AU22" i="1"/>
  <c r="M7" i="2" s="1"/>
  <c r="AS30" i="1"/>
  <c r="K15" i="2" s="1"/>
  <c r="BB22" i="1"/>
  <c r="T7" i="2" s="1"/>
  <c r="AS24" i="1"/>
  <c r="K9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<sst xmlns="http://schemas.openxmlformats.org/spreadsheetml/2006/main" count="146" uniqueCount="32">
  <si>
    <t>ADBE</t>
  </si>
  <si>
    <t>CPT</t>
  </si>
  <si>
    <t>DOV</t>
  </si>
  <si>
    <t>MNST</t>
  </si>
  <si>
    <t>PEP</t>
  </si>
  <si>
    <t>SNA</t>
  </si>
  <si>
    <t>SNPS</t>
  </si>
  <si>
    <t>UDR</t>
  </si>
  <si>
    <t>WBD</t>
  </si>
  <si>
    <t>Adatok</t>
  </si>
  <si>
    <t>IPG</t>
  </si>
  <si>
    <t>Loghozamok</t>
  </si>
  <si>
    <t>Dátum</t>
  </si>
  <si>
    <t>Információs technológia</t>
  </si>
  <si>
    <t>Defenzív (nem ciklikus) fogyasztás</t>
  </si>
  <si>
    <t>Ingatlan</t>
  </si>
  <si>
    <t>Ipar</t>
  </si>
  <si>
    <t>Kommunikációs szolgáltatások</t>
  </si>
  <si>
    <t>Kezdő dátum:</t>
  </si>
  <si>
    <t>Időablak hossza</t>
  </si>
  <si>
    <t>Nap</t>
  </si>
  <si>
    <t>Átlagok</t>
  </si>
  <si>
    <t>Megfigyelések száma:</t>
  </si>
  <si>
    <t>Korreláció</t>
  </si>
  <si>
    <t>Kovariancia</t>
  </si>
  <si>
    <t>Kiválasztott loghozamok</t>
  </si>
  <si>
    <t>Időablak hosszának beállítása</t>
  </si>
  <si>
    <t>Színskála</t>
  </si>
  <si>
    <t>Időablak</t>
  </si>
  <si>
    <t>Záró nap:</t>
  </si>
  <si>
    <t>Induló nap:</t>
  </si>
  <si>
    <t>Induló nap beállítása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</si>
</sst>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0"/>
    <numFmt numFmtId="165" formatCode="0.000"/>
    <numFmt numFmtId="166" formatCode="[$-F400]h:mm:ss\ AM/PM"/>
  </numFmts>
  <fonts count="9" x14ac:knownFonts="1">
    <font>
      <sz val="11"/>
      <color theme="1"/>
      <name val="Aptos Narrow"/>
      <family val="2"/>
      <charset val="238"/>
      <scheme val="minor"/>
    </font>
    <font>
      <sz val="11"/>
      <color theme="0"/>
      <name val="Aptos Narrow"/>
      <family val="2"/>
      <charset val="238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name val="Aptos Narrow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5">
    <xf numFmtId="0" fontId="0" fillId="0" borderId="0" xfId="0"/>
    <xf numFmtId="14" fontId="0" fillId="0" borderId="1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1" fontId="0" fillId="0" borderId="4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1" fontId="0" fillId="0" borderId="16" xfId="0" applyNumberFormat="1" applyBorder="1" applyAlignment="1">
      <alignment horizontal="center"/>
    </xf>
    <xf numFmtId="14" fontId="0" fillId="0" borderId="16" xfId="0" applyNumberFormat="1" applyBorder="1" applyAlignment="1">
      <alignment horizontal="center"/>
    </xf>
    <xf numFmtId="165" fontId="0" fillId="0" borderId="16" xfId="0" applyNumberFormat="1" applyBorder="1" applyAlignment="1">
      <alignment horizontal="center"/>
    </xf>
    <xf numFmtId="0" fontId="0" fillId="3" borderId="0" xfId="0" applyFill="1"/>
    <xf numFmtId="165" fontId="4" fillId="3" borderId="17" xfId="0" applyNumberFormat="1" applyFont="1" applyFill="1" applyBorder="1" applyAlignment="1">
      <alignment horizontal="center" vertical="center"/>
    </xf>
    <xf numFmtId="0" fontId="4" fillId="3" borderId="20" xfId="0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/>
    </xf>
    <xf numFmtId="0" fontId="4" fillId="3" borderId="19" xfId="0" applyFont="1" applyFill="1" applyBorder="1" applyAlignment="1">
      <alignment horizontal="center" vertical="center"/>
    </xf>
    <xf numFmtId="164" fontId="5" fillId="3" borderId="1" xfId="0" applyNumberFormat="1" applyFont="1" applyFill="1" applyBorder="1" applyAlignment="1">
      <alignment horizontal="center" vertical="center"/>
    </xf>
    <xf numFmtId="0" fontId="1" fillId="3" borderId="0" xfId="0" applyFont="1" applyFill="1"/>
    <xf numFmtId="0" fontId="1" fillId="0" borderId="0" xfId="0" applyFont="1"/>
    <xf numFmtId="0" fontId="6" fillId="3" borderId="24" xfId="0" applyFont="1" applyFill="1" applyBorder="1" applyAlignment="1">
      <alignment horizontal="center" vertical="center"/>
    </xf>
    <xf numFmtId="0" fontId="4" fillId="3" borderId="27" xfId="0" applyFont="1" applyFill="1" applyBorder="1" applyAlignment="1">
      <alignment horizontal="center" vertical="center"/>
    </xf>
    <xf numFmtId="0" fontId="4" fillId="3" borderId="28" xfId="0" applyFont="1" applyFill="1" applyBorder="1" applyAlignment="1">
      <alignment horizontal="center" vertical="center"/>
    </xf>
    <xf numFmtId="0" fontId="4" fillId="3" borderId="29" xfId="0" applyFont="1" applyFill="1" applyBorder="1" applyAlignment="1">
      <alignment horizontal="center" vertical="center"/>
    </xf>
    <xf numFmtId="0" fontId="0" fillId="0" borderId="4" xfId="0" applyBorder="1"/>
    <xf numFmtId="0" fontId="0" fillId="0" borderId="11" xfId="0" applyBorder="1"/>
    <xf numFmtId="0" fontId="0" fillId="0" borderId="12" xfId="0" applyBorder="1"/>
    <xf numFmtId="0" fontId="4" fillId="0" borderId="3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164" fontId="5" fillId="3" borderId="31" xfId="0" applyNumberFormat="1" applyFont="1" applyFill="1" applyBorder="1" applyAlignment="1">
      <alignment horizontal="center" vertical="center"/>
    </xf>
    <xf numFmtId="164" fontId="5" fillId="3" borderId="16" xfId="0" applyNumberFormat="1" applyFont="1" applyFill="1" applyBorder="1" applyAlignment="1">
      <alignment horizontal="center" vertical="center"/>
    </xf>
    <xf numFmtId="164" fontId="5" fillId="3" borderId="32" xfId="0" applyNumberFormat="1" applyFont="1" applyFill="1" applyBorder="1" applyAlignment="1">
      <alignment horizontal="center" vertical="center"/>
    </xf>
    <xf numFmtId="164" fontId="5" fillId="3" borderId="33" xfId="0" applyNumberFormat="1" applyFont="1" applyFill="1" applyBorder="1" applyAlignment="1">
      <alignment horizontal="center" vertical="center"/>
    </xf>
    <xf numFmtId="164" fontId="5" fillId="3" borderId="34" xfId="0" applyNumberFormat="1" applyFont="1" applyFill="1" applyBorder="1" applyAlignment="1">
      <alignment horizontal="center" vertical="center"/>
    </xf>
    <xf numFmtId="164" fontId="5" fillId="3" borderId="35" xfId="0" applyNumberFormat="1" applyFont="1" applyFill="1" applyBorder="1" applyAlignment="1">
      <alignment horizontal="center" vertical="center"/>
    </xf>
    <xf numFmtId="164" fontId="5" fillId="3" borderId="2" xfId="0" applyNumberFormat="1" applyFont="1" applyFill="1" applyBorder="1" applyAlignment="1">
      <alignment horizontal="center" vertical="center"/>
    </xf>
    <xf numFmtId="164" fontId="5" fillId="3" borderId="36" xfId="0" applyNumberFormat="1" applyFont="1" applyFill="1" applyBorder="1" applyAlignment="1">
      <alignment horizontal="center" vertical="center"/>
    </xf>
    <xf numFmtId="14" fontId="6" fillId="3" borderId="0" xfId="0" applyNumberFormat="1" applyFont="1" applyFill="1" applyAlignment="1">
      <alignment horizontal="center" vertical="center"/>
    </xf>
    <xf numFmtId="14" fontId="1" fillId="0" borderId="0" xfId="0" applyNumberFormat="1" applyFont="1"/>
    <xf numFmtId="1" fontId="1" fillId="0" borderId="0" xfId="0" applyNumberFormat="1" applyFont="1"/>
    <xf numFmtId="1" fontId="1" fillId="0" borderId="0" xfId="0" applyNumberFormat="1" applyFont="1" applyAlignment="1">
      <alignment horizontal="center"/>
    </xf>
    <xf numFmtId="0" fontId="8" fillId="0" borderId="0" xfId="0" applyFont="1"/>
    <xf numFmtId="0" fontId="2" fillId="2" borderId="5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3" fillId="2" borderId="14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15" xfId="0" applyFont="1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166" fontId="6" fillId="3" borderId="23" xfId="0" applyNumberFormat="1" applyFont="1" applyFill="1" applyBorder="1" applyAlignment="1">
      <alignment horizontal="center" vertical="center"/>
    </xf>
    <xf numFmtId="166" fontId="6" fillId="3" borderId="24" xfId="0" applyNumberFormat="1" applyFont="1" applyFill="1" applyBorder="1" applyAlignment="1">
      <alignment horizontal="center" vertical="center"/>
    </xf>
    <xf numFmtId="166" fontId="6" fillId="3" borderId="25" xfId="0" applyNumberFormat="1" applyFont="1" applyFill="1" applyBorder="1" applyAlignment="1">
      <alignment horizontal="center" vertical="center"/>
    </xf>
    <xf numFmtId="0" fontId="4" fillId="3" borderId="23" xfId="0" applyFont="1" applyFill="1" applyBorder="1" applyAlignment="1">
      <alignment horizontal="center" vertical="center" wrapText="1"/>
    </xf>
    <xf numFmtId="0" fontId="4" fillId="3" borderId="20" xfId="0" applyFont="1" applyFill="1" applyBorder="1" applyAlignment="1">
      <alignment horizontal="center" vertical="center" wrapText="1"/>
    </xf>
    <xf numFmtId="0" fontId="4" fillId="3" borderId="26" xfId="0" applyFont="1" applyFill="1" applyBorder="1" applyAlignment="1">
      <alignment horizontal="center" vertical="center" wrapText="1"/>
    </xf>
    <xf numFmtId="0" fontId="4" fillId="3" borderId="25" xfId="0" applyFont="1" applyFill="1" applyBorder="1" applyAlignment="1">
      <alignment horizontal="center" vertical="center" wrapText="1"/>
    </xf>
    <xf numFmtId="0" fontId="4" fillId="0" borderId="30" xfId="0" applyFont="1" applyBorder="1" applyAlignment="1">
      <alignment horizontal="center" vertical="center" wrapText="1"/>
    </xf>
    <xf numFmtId="0" fontId="4" fillId="0" borderId="21" xfId="0" applyFont="1" applyBorder="1" applyAlignment="1">
      <alignment horizontal="center" vertical="center" wrapText="1"/>
    </xf>
    <xf numFmtId="0" fontId="4" fillId="0" borderId="22" xfId="0" applyFont="1" applyBorder="1" applyAlignment="1">
      <alignment horizontal="center" vertical="center" wrapText="1"/>
    </xf>
    <xf numFmtId="1" fontId="4" fillId="0" borderId="17" xfId="0" applyNumberFormat="1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0" fontId="7" fillId="0" borderId="24" xfId="0" applyFont="1" applyBorder="1" applyAlignment="1">
      <alignment horizontal="center" vertical="center"/>
    </xf>
    <xf numFmtId="0" fontId="7" fillId="0" borderId="25" xfId="0" applyFont="1" applyBorder="1" applyAlignment="1">
      <alignment horizontal="center" vertical="center"/>
    </xf>
    <xf numFmtId="14" fontId="4" fillId="0" borderId="17" xfId="0" applyNumberFormat="1" applyFont="1" applyBorder="1" applyAlignment="1">
      <alignment horizontal="center" vertical="center"/>
    </xf>
  </cellXfs>
  <cellStyles count="1">
    <cellStyle name="Normál" xfId="0" builtinId="0"/>
  </cellStyles>
  <dxfs count="3">
    <dxf>
      <font>
        <color theme="0"/>
      </font>
    </dxf>
    <dxf>
      <font>
        <color theme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10</xdr:row>
          <xdr:rowOff>30480</xdr:rowOff>
        </xdr:from>
        <xdr:to>
          <xdr:col>7</xdr:col>
          <xdr:colOff>0</xdr:colOff>
          <xdr:row>10</xdr:row>
          <xdr:rowOff>571500</xdr:rowOff>
        </xdr:to>
        <xdr:sp macro="" textlink="">
          <xdr:nvSpPr>
            <xdr:cNvPr id="2062" name="ScrollBar1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14</xdr:row>
          <xdr:rowOff>30480</xdr:rowOff>
        </xdr:from>
        <xdr:to>
          <xdr:col>6</xdr:col>
          <xdr:colOff>601980</xdr:colOff>
          <xdr:row>14</xdr:row>
          <xdr:rowOff>571500</xdr:rowOff>
        </xdr:to>
        <xdr:sp macro="" textlink="">
          <xdr:nvSpPr>
            <xdr:cNvPr id="2063" name="ScrollBar2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43630-0921-4DBB-97AE-67344E35E724}">
  <sheetPr codeName="Munka2"/>
  <dimension ref="A1:BC1261"/>
  <sheetViews>
    <sheetView showGridLines="0" tabSelected="1" zoomScale="71" workbookViewId="0">
      <selection activeCell="AQ10" sqref="AQ10"/>
    </sheetView>
  </sheetViews>
  <sheetFormatPr defaultRowHeight="14.4" x14ac:dyDescent="0.3"/>
  <cols>
    <col min="1" max="1" width="11.5546875" customWidth="1"/>
    <col min="2" max="11" width="16" customWidth="1"/>
    <col min="14" max="15" width="11.5546875" customWidth="1"/>
    <col min="16" max="25" width="16" customWidth="1"/>
    <col min="26" max="26" width="9" bestFit="1" customWidth="1"/>
    <col min="27" max="28" width="16.33203125" customWidth="1"/>
    <col min="29" max="29" width="11.77734375" customWidth="1"/>
    <col min="31" max="32" width="11.5546875" customWidth="1"/>
    <col min="33" max="42" width="16" customWidth="1"/>
    <col min="44" max="54" width="13.109375" customWidth="1"/>
  </cols>
  <sheetData>
    <row r="1" spans="1:54" x14ac:dyDescent="0.3">
      <c r="A1" s="57" t="s">
        <v>9</v>
      </c>
      <c r="B1" s="58"/>
      <c r="C1" s="58"/>
      <c r="D1" s="58"/>
      <c r="E1" s="58"/>
      <c r="F1" s="58"/>
      <c r="G1" s="58"/>
      <c r="H1" s="58"/>
      <c r="I1" s="58"/>
      <c r="J1" s="58"/>
      <c r="K1" s="58"/>
      <c r="N1" s="58" t="s">
        <v>11</v>
      </c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AE1" s="58" t="s">
        <v>25</v>
      </c>
      <c r="AF1" s="58"/>
      <c r="AG1" s="58"/>
      <c r="AH1" s="58"/>
      <c r="AI1" s="58"/>
      <c r="AJ1" s="58"/>
      <c r="AK1" s="58"/>
      <c r="AL1" s="58"/>
      <c r="AM1" s="58"/>
      <c r="AN1" s="58"/>
      <c r="AO1" s="58"/>
      <c r="AP1" s="58"/>
    </row>
    <row r="2" spans="1:54" x14ac:dyDescent="0.3">
      <c r="A2" s="10"/>
      <c r="B2" s="59" t="s">
        <v>13</v>
      </c>
      <c r="C2" s="60"/>
      <c r="D2" s="61" t="s">
        <v>14</v>
      </c>
      <c r="E2" s="60"/>
      <c r="F2" s="61" t="s">
        <v>15</v>
      </c>
      <c r="G2" s="60"/>
      <c r="H2" s="61" t="s">
        <v>16</v>
      </c>
      <c r="I2" s="60"/>
      <c r="J2" s="61" t="s">
        <v>17</v>
      </c>
      <c r="K2" s="60"/>
      <c r="N2" s="10"/>
      <c r="O2" s="10"/>
      <c r="P2" s="59" t="s">
        <v>13</v>
      </c>
      <c r="Q2" s="60"/>
      <c r="R2" s="61" t="s">
        <v>14</v>
      </c>
      <c r="S2" s="60"/>
      <c r="T2" s="61" t="s">
        <v>15</v>
      </c>
      <c r="U2" s="60"/>
      <c r="V2" s="61" t="s">
        <v>16</v>
      </c>
      <c r="W2" s="60"/>
      <c r="X2" s="61" t="s">
        <v>17</v>
      </c>
      <c r="Y2" s="60"/>
      <c r="AC2" s="56"/>
      <c r="AE2" s="62" t="s">
        <v>20</v>
      </c>
      <c r="AF2" s="62" t="s">
        <v>12</v>
      </c>
      <c r="AG2" s="65" t="s">
        <v>13</v>
      </c>
      <c r="AH2" s="66"/>
      <c r="AI2" s="67" t="s">
        <v>14</v>
      </c>
      <c r="AJ2" s="66"/>
      <c r="AK2" s="67" t="s">
        <v>15</v>
      </c>
      <c r="AL2" s="66"/>
      <c r="AM2" s="67" t="s">
        <v>16</v>
      </c>
      <c r="AN2" s="66"/>
      <c r="AO2" s="67" t="s">
        <v>17</v>
      </c>
      <c r="AP2" s="66"/>
      <c r="AR2" s="62" t="s">
        <v>21</v>
      </c>
      <c r="AS2" s="2" t="s">
        <v>0</v>
      </c>
      <c r="AT2" s="2" t="s">
        <v>6</v>
      </c>
      <c r="AU2" s="2" t="s">
        <v>3</v>
      </c>
      <c r="AV2" s="2" t="s">
        <v>4</v>
      </c>
      <c r="AW2" s="2" t="s">
        <v>1</v>
      </c>
      <c r="AX2" s="2" t="s">
        <v>7</v>
      </c>
      <c r="AY2" s="2" t="s">
        <v>2</v>
      </c>
      <c r="AZ2" s="2" t="s">
        <v>5</v>
      </c>
      <c r="BA2" s="2" t="s">
        <v>10</v>
      </c>
      <c r="BB2" s="2" t="s">
        <v>8</v>
      </c>
    </row>
    <row r="3" spans="1:54" ht="15" thickBot="1" x14ac:dyDescent="0.35">
      <c r="A3" s="12" t="s">
        <v>12</v>
      </c>
      <c r="B3" s="11" t="s">
        <v>0</v>
      </c>
      <c r="C3" s="3" t="s">
        <v>6</v>
      </c>
      <c r="D3" s="3" t="s">
        <v>3</v>
      </c>
      <c r="E3" s="3" t="s">
        <v>4</v>
      </c>
      <c r="F3" s="3" t="s">
        <v>1</v>
      </c>
      <c r="G3" s="3" t="s">
        <v>7</v>
      </c>
      <c r="H3" s="3" t="s">
        <v>2</v>
      </c>
      <c r="I3" s="3" t="s">
        <v>5</v>
      </c>
      <c r="J3" s="3" t="s">
        <v>10</v>
      </c>
      <c r="K3" s="3" t="s">
        <v>8</v>
      </c>
      <c r="N3" s="16" t="s">
        <v>20</v>
      </c>
      <c r="O3" s="16" t="s">
        <v>12</v>
      </c>
      <c r="P3" s="11" t="s">
        <v>0</v>
      </c>
      <c r="Q3" s="3" t="s">
        <v>6</v>
      </c>
      <c r="R3" s="3" t="s">
        <v>3</v>
      </c>
      <c r="S3" s="3" t="s">
        <v>4</v>
      </c>
      <c r="T3" s="3" t="s">
        <v>1</v>
      </c>
      <c r="U3" s="3" t="s">
        <v>7</v>
      </c>
      <c r="V3" s="3" t="s">
        <v>2</v>
      </c>
      <c r="W3" s="3" t="s">
        <v>5</v>
      </c>
      <c r="X3" s="3" t="s">
        <v>10</v>
      </c>
      <c r="Y3" s="3" t="s">
        <v>8</v>
      </c>
      <c r="AA3" s="17" t="s">
        <v>18</v>
      </c>
      <c r="AB3" s="1">
        <f>AC3</f>
        <v>45288</v>
      </c>
      <c r="AC3" s="53">
        <f>Ábrázolás!B1</f>
        <v>45288</v>
      </c>
      <c r="AE3" s="68"/>
      <c r="AF3" s="68"/>
      <c r="AG3" s="3" t="s">
        <v>0</v>
      </c>
      <c r="AH3" s="3" t="s">
        <v>6</v>
      </c>
      <c r="AI3" s="3" t="s">
        <v>3</v>
      </c>
      <c r="AJ3" s="3" t="s">
        <v>4</v>
      </c>
      <c r="AK3" s="3" t="s">
        <v>1</v>
      </c>
      <c r="AL3" s="3" t="s">
        <v>7</v>
      </c>
      <c r="AM3" s="3" t="s">
        <v>2</v>
      </c>
      <c r="AN3" s="3" t="s">
        <v>5</v>
      </c>
      <c r="AO3" s="3" t="s">
        <v>10</v>
      </c>
      <c r="AP3" s="3" t="s">
        <v>8</v>
      </c>
      <c r="AR3" s="63"/>
      <c r="AS3" s="6">
        <f ca="1">AVERAGE(AG4:AG1261)</f>
        <v>4.3595854377770273E-4</v>
      </c>
      <c r="AT3" s="6">
        <f t="shared" ref="AT3:BB3" ca="1" si="0">AVERAGE(AH4:AH1261)</f>
        <v>-3.0880759118187616E-3</v>
      </c>
      <c r="AU3" s="6">
        <f t="shared" ca="1" si="0"/>
        <v>2.348860323582602E-3</v>
      </c>
      <c r="AV3" s="6">
        <f t="shared" ca="1" si="0"/>
        <v>1.2970235222977335E-3</v>
      </c>
      <c r="AW3" s="6">
        <f t="shared" ca="1" si="0"/>
        <v>2.0689538737180668E-3</v>
      </c>
      <c r="AX3" s="6">
        <f t="shared" ca="1" si="0"/>
        <v>-5.2206998261528775E-4</v>
      </c>
      <c r="AY3" s="6">
        <f t="shared" ca="1" si="0"/>
        <v>-1.1364942962576938E-3</v>
      </c>
      <c r="AZ3" s="6">
        <f t="shared" ca="1" si="0"/>
        <v>-2.3315000100590905E-3</v>
      </c>
      <c r="BA3" s="6">
        <f t="shared" ca="1" si="0"/>
        <v>-4.7263959194391806E-3</v>
      </c>
      <c r="BB3" s="6">
        <f t="shared" ca="1" si="0"/>
        <v>-4.8098315812396628E-3</v>
      </c>
    </row>
    <row r="4" spans="1:54" x14ac:dyDescent="0.3">
      <c r="A4" s="8">
        <v>43467</v>
      </c>
      <c r="B4" s="5">
        <v>224.570007</v>
      </c>
      <c r="C4" s="5">
        <v>84.050003000000004</v>
      </c>
      <c r="D4" s="5">
        <v>24.379999000000002</v>
      </c>
      <c r="E4" s="5">
        <v>109.279999</v>
      </c>
      <c r="F4" s="5">
        <v>84.279999000000004</v>
      </c>
      <c r="G4" s="5">
        <v>38.389999000000003</v>
      </c>
      <c r="H4" s="5">
        <v>71.25</v>
      </c>
      <c r="I4" s="5">
        <v>147.46000699999999</v>
      </c>
      <c r="J4" s="5">
        <v>20.239999999999998</v>
      </c>
      <c r="K4" s="5">
        <v>25.83</v>
      </c>
      <c r="N4" s="18">
        <v>0</v>
      </c>
      <c r="O4" s="8">
        <v>43467</v>
      </c>
      <c r="P4" s="13"/>
      <c r="Q4" s="14"/>
      <c r="R4" s="14"/>
      <c r="S4" s="14"/>
      <c r="T4" s="14"/>
      <c r="U4" s="14"/>
      <c r="V4" s="14"/>
      <c r="W4" s="14"/>
      <c r="X4" s="14"/>
      <c r="Y4" s="15"/>
      <c r="Z4" s="33">
        <v>0</v>
      </c>
      <c r="AA4" s="7" t="s">
        <v>19</v>
      </c>
      <c r="AB4" s="19">
        <f>Ábrázolás!A2</f>
        <v>1256</v>
      </c>
      <c r="AC4" s="33">
        <f>IF(AA6+AB4&lt;=1257,AB4,1257-AA6)</f>
        <v>1</v>
      </c>
      <c r="AE4" s="23">
        <f>IF(AC4&lt;&gt;0,AA6,"")</f>
        <v>1256</v>
      </c>
      <c r="AF4" s="24">
        <f>IF(AE4="","",VLOOKUP(AE4,N4:O1261,2))</f>
        <v>45288</v>
      </c>
      <c r="AG4" s="25">
        <f t="shared" ref="AG4:AP4" ca="1" si="1">IF($AE$4=0,"",OFFSET(P$4,$AE4,0))</f>
        <v>-9.3990772715344057E-4</v>
      </c>
      <c r="AH4" s="25">
        <f t="shared" ca="1" si="1"/>
        <v>-1.3326827092085597E-3</v>
      </c>
      <c r="AI4" s="25">
        <f t="shared" ca="1" si="1"/>
        <v>1.3941794066241373E-3</v>
      </c>
      <c r="AJ4" s="25">
        <f t="shared" ca="1" si="1"/>
        <v>-5.900410407278066E-5</v>
      </c>
      <c r="AK4" s="25">
        <f t="shared" ca="1" si="1"/>
        <v>1.5554004035673395E-2</v>
      </c>
      <c r="AL4" s="25">
        <f t="shared" ca="1" si="1"/>
        <v>1.1413820111925084E-2</v>
      </c>
      <c r="AM4" s="25">
        <f t="shared" ca="1" si="1"/>
        <v>0</v>
      </c>
      <c r="AN4" s="25">
        <f t="shared" ca="1" si="1"/>
        <v>-8.6187583387127998E-4</v>
      </c>
      <c r="AO4" s="25">
        <f t="shared" ca="1" si="1"/>
        <v>-3.0359690626264782E-4</v>
      </c>
      <c r="AP4" s="25">
        <f t="shared" ca="1" si="1"/>
        <v>1.7256683623312744E-2</v>
      </c>
    </row>
    <row r="5" spans="1:54" x14ac:dyDescent="0.3">
      <c r="A5" s="1">
        <v>43468</v>
      </c>
      <c r="B5" s="6">
        <v>215.699997</v>
      </c>
      <c r="C5" s="6">
        <v>81.110000999999997</v>
      </c>
      <c r="D5" s="6">
        <v>24</v>
      </c>
      <c r="E5" s="6">
        <v>108.260002</v>
      </c>
      <c r="F5" s="6">
        <v>84.900002000000001</v>
      </c>
      <c r="G5" s="6">
        <v>38.580002</v>
      </c>
      <c r="H5" s="6">
        <v>69.790001000000004</v>
      </c>
      <c r="I5" s="6">
        <v>145.46000699999999</v>
      </c>
      <c r="J5" s="6">
        <v>20.399999999999999</v>
      </c>
      <c r="K5" s="6">
        <v>25.68</v>
      </c>
      <c r="N5" s="19">
        <v>1</v>
      </c>
      <c r="O5" s="1">
        <v>43468</v>
      </c>
      <c r="P5" s="5">
        <f>LN(B5/B4)</f>
        <v>-4.0298954274226577E-2</v>
      </c>
      <c r="Q5" s="5">
        <f t="shared" ref="Q5:Q36" si="2">LN(C5/C4)</f>
        <v>-3.5605625136474639E-2</v>
      </c>
      <c r="R5" s="5">
        <f t="shared" ref="R5:R36" si="3">LN(D5/D4)</f>
        <v>-1.5709252687951838E-2</v>
      </c>
      <c r="S5" s="5">
        <f t="shared" ref="S5:S36" si="4">LN(E5/E4)</f>
        <v>-9.3776268287989861E-3</v>
      </c>
      <c r="T5" s="5">
        <f t="shared" ref="T5:T36" si="5">LN(F5/F4)</f>
        <v>7.3295398036503515E-3</v>
      </c>
      <c r="U5" s="5">
        <f t="shared" ref="U5:U36" si="6">LN(G5/G4)</f>
        <v>4.9370763536574266E-3</v>
      </c>
      <c r="V5" s="5">
        <f t="shared" ref="V5:V36" si="7">LN(H5/H4)</f>
        <v>-2.0704071790999326E-2</v>
      </c>
      <c r="W5" s="5">
        <f t="shared" ref="W5:W36" si="8">LN(I5/I4)</f>
        <v>-1.3655817182415011E-2</v>
      </c>
      <c r="X5" s="5">
        <f t="shared" ref="X5:X36" si="9">LN(J5/J4)</f>
        <v>7.8740564309058656E-3</v>
      </c>
      <c r="Y5" s="5">
        <f t="shared" ref="Y5:Y36" si="10">LN(K5/K4)</f>
        <v>-5.8241282859886508E-3</v>
      </c>
      <c r="Z5" s="33">
        <v>1</v>
      </c>
      <c r="AA5" s="33"/>
      <c r="AB5" s="53">
        <f>VLOOKUP(AC5,N4:O1261,2)</f>
        <v>45289</v>
      </c>
      <c r="AC5" s="54">
        <f>AA6+AC4</f>
        <v>1257</v>
      </c>
      <c r="AE5" s="20">
        <f>IF(AE4="","",IF(AE4+1&lt;=$AC$5,AE4+1,""))</f>
        <v>1257</v>
      </c>
      <c r="AF5" s="22">
        <f t="shared" ref="AF5:AF36" si="11">IF(AE5="","",VLOOKUP(AE5,N4:O1261,2))</f>
        <v>45289</v>
      </c>
      <c r="AG5" s="9">
        <f t="shared" ref="AG5:AG68" ca="1" si="12">IF($AE5="","",OFFSET(P$4,$AE5,0))</f>
        <v>1.811824814708846E-3</v>
      </c>
      <c r="AH5" s="9">
        <f t="shared" ref="AH5:AH68" ca="1" si="13">IF($AE5="","",OFFSET(Q$4,$AE5,0))</f>
        <v>-4.8434691144289633E-3</v>
      </c>
      <c r="AI5" s="9">
        <f t="shared" ref="AI5:AI68" ca="1" si="14">IF($AE5="","",OFFSET(R$4,$AE5,0))</f>
        <v>3.3035412405410668E-3</v>
      </c>
      <c r="AJ5" s="9">
        <f t="shared" ref="AJ5:AJ68" ca="1" si="15">IF($AE5="","",OFFSET(S$4,$AE5,0))</f>
        <v>2.6530511486682479E-3</v>
      </c>
      <c r="AK5" s="9">
        <f t="shared" ref="AK5:AK68" ca="1" si="16">IF($AE5="","",OFFSET(T$4,$AE5,0))</f>
        <v>-1.1416096288237261E-2</v>
      </c>
      <c r="AL5" s="9">
        <f t="shared" ref="AL5:AL68" ca="1" si="17">IF($AE5="","",OFFSET(U$4,$AE5,0))</f>
        <v>-1.2457960077155659E-2</v>
      </c>
      <c r="AM5" s="9">
        <f t="shared" ref="AM5:AM68" ca="1" si="18">IF($AE5="","",OFFSET(V$4,$AE5,0))</f>
        <v>-2.2729885925153875E-3</v>
      </c>
      <c r="AN5" s="9">
        <f t="shared" ref="AN5:AN68" ca="1" si="19">IF($AE5="","",OFFSET(W$4,$AE5,0))</f>
        <v>-3.8011241862469011E-3</v>
      </c>
      <c r="AO5" s="9">
        <f t="shared" ref="AO5:AO68" ca="1" si="20">IF($AE5="","",OFFSET(X$4,$AE5,0))</f>
        <v>-9.1491949326157132E-3</v>
      </c>
      <c r="AP5" s="9">
        <f t="shared" ref="AP5:AP68" ca="1" si="21">IF($AE5="","",OFFSET(Y$4,$AE5,0))</f>
        <v>-2.6876346785792069E-2</v>
      </c>
      <c r="AQ5" s="9"/>
      <c r="AR5" s="64" t="s">
        <v>22</v>
      </c>
      <c r="AS5" s="64"/>
      <c r="AT5" s="19">
        <f>MAX(AE4:AE1261)-AE4+1</f>
        <v>2</v>
      </c>
      <c r="AU5" s="9"/>
    </row>
    <row r="6" spans="1:54" x14ac:dyDescent="0.3">
      <c r="A6" s="1">
        <v>43469</v>
      </c>
      <c r="B6" s="6">
        <v>226.19000199999999</v>
      </c>
      <c r="C6" s="6">
        <v>83.900002000000001</v>
      </c>
      <c r="D6" s="6">
        <v>24.895</v>
      </c>
      <c r="E6" s="6">
        <v>110.480003</v>
      </c>
      <c r="F6" s="6">
        <v>84.940002000000007</v>
      </c>
      <c r="G6" s="6">
        <v>38.520000000000003</v>
      </c>
      <c r="H6" s="6">
        <v>72.959998999999996</v>
      </c>
      <c r="I6" s="6">
        <v>150.770004</v>
      </c>
      <c r="J6" s="6">
        <v>20.73</v>
      </c>
      <c r="K6" s="6">
        <v>26.139999</v>
      </c>
      <c r="N6" s="18">
        <v>2</v>
      </c>
      <c r="O6" s="1">
        <v>43469</v>
      </c>
      <c r="P6" s="5">
        <f t="shared" ref="P6:P36" si="22">LN(B6/B5)</f>
        <v>4.7486823395108901E-2</v>
      </c>
      <c r="Q6" s="5">
        <f t="shared" si="2"/>
        <v>3.3819366899873284E-2</v>
      </c>
      <c r="R6" s="5">
        <f t="shared" si="3"/>
        <v>3.6613149746200481E-2</v>
      </c>
      <c r="S6" s="5">
        <f t="shared" si="4"/>
        <v>2.0298776412396632E-2</v>
      </c>
      <c r="T6" s="5">
        <f t="shared" si="5"/>
        <v>4.7103155673006739E-4</v>
      </c>
      <c r="U6" s="5">
        <f t="shared" si="6"/>
        <v>-1.5564723879885444E-3</v>
      </c>
      <c r="V6" s="5">
        <f t="shared" si="7"/>
        <v>4.4420584702174831E-2</v>
      </c>
      <c r="W6" s="5">
        <f t="shared" si="8"/>
        <v>3.5854340471714916E-2</v>
      </c>
      <c r="X6" s="5">
        <f t="shared" si="9"/>
        <v>1.6047025597517677E-2</v>
      </c>
      <c r="Y6" s="5">
        <f t="shared" si="10"/>
        <v>1.7754191118767765E-2</v>
      </c>
      <c r="Z6" s="33">
        <v>2</v>
      </c>
      <c r="AA6" s="55">
        <f>VLOOKUP(AC3,O4:Z1261,12)</f>
        <v>1256</v>
      </c>
      <c r="AB6" s="33"/>
      <c r="AC6" s="33"/>
      <c r="AE6" s="20" t="str">
        <f t="shared" ref="AE6:AE69" si="23">IF(AE5="","",IF(AE5+1&lt;=$AC$5,AE5+1,""))</f>
        <v/>
      </c>
      <c r="AF6" s="22" t="str">
        <f t="shared" si="11"/>
        <v/>
      </c>
      <c r="AG6" s="9" t="str">
        <f t="shared" ca="1" si="12"/>
        <v/>
      </c>
      <c r="AH6" s="9" t="str">
        <f t="shared" ca="1" si="13"/>
        <v/>
      </c>
      <c r="AI6" s="9" t="str">
        <f t="shared" ca="1" si="14"/>
        <v/>
      </c>
      <c r="AJ6" s="9" t="str">
        <f t="shared" ca="1" si="15"/>
        <v/>
      </c>
      <c r="AK6" s="9" t="str">
        <f t="shared" ca="1" si="16"/>
        <v/>
      </c>
      <c r="AL6" s="9" t="str">
        <f t="shared" ca="1" si="17"/>
        <v/>
      </c>
      <c r="AM6" s="9" t="str">
        <f t="shared" ca="1" si="18"/>
        <v/>
      </c>
      <c r="AN6" s="9" t="str">
        <f t="shared" ca="1" si="19"/>
        <v/>
      </c>
      <c r="AO6" s="9" t="str">
        <f t="shared" ca="1" si="20"/>
        <v/>
      </c>
      <c r="AP6" s="9" t="str">
        <f t="shared" ca="1" si="21"/>
        <v/>
      </c>
      <c r="AQ6" s="9"/>
      <c r="AR6" s="9"/>
      <c r="AS6" s="9"/>
      <c r="AT6" s="9"/>
      <c r="AU6" s="9"/>
    </row>
    <row r="7" spans="1:54" x14ac:dyDescent="0.3">
      <c r="A7" s="1">
        <v>43472</v>
      </c>
      <c r="B7" s="6">
        <v>229.259995</v>
      </c>
      <c r="C7" s="6">
        <v>85.760002</v>
      </c>
      <c r="D7" s="6">
        <v>24.864999999999998</v>
      </c>
      <c r="E7" s="6">
        <v>109.529999</v>
      </c>
      <c r="F7" s="6">
        <v>85.160004000000001</v>
      </c>
      <c r="G7" s="6">
        <v>38.599997999999999</v>
      </c>
      <c r="H7" s="6">
        <v>73.930000000000007</v>
      </c>
      <c r="I7" s="6">
        <v>152.699997</v>
      </c>
      <c r="J7" s="6">
        <v>21.24</v>
      </c>
      <c r="K7" s="6">
        <v>26.530000999999999</v>
      </c>
      <c r="N7" s="19">
        <v>3</v>
      </c>
      <c r="O7" s="1">
        <v>43472</v>
      </c>
      <c r="P7" s="5">
        <f t="shared" si="22"/>
        <v>1.3481345995550044E-2</v>
      </c>
      <c r="Q7" s="5">
        <f t="shared" si="2"/>
        <v>2.1927083332324727E-2</v>
      </c>
      <c r="R7" s="5">
        <f t="shared" si="3"/>
        <v>-1.2057879274441957E-3</v>
      </c>
      <c r="S7" s="5">
        <f t="shared" si="4"/>
        <v>-8.636061049535947E-3</v>
      </c>
      <c r="T7" s="5">
        <f t="shared" si="5"/>
        <v>2.5867385645288246E-3</v>
      </c>
      <c r="U7" s="5">
        <f t="shared" si="6"/>
        <v>2.0746377273875303E-3</v>
      </c>
      <c r="V7" s="5">
        <f t="shared" si="7"/>
        <v>1.3207367509073382E-2</v>
      </c>
      <c r="W7" s="5">
        <f t="shared" si="8"/>
        <v>1.271966925691744E-2</v>
      </c>
      <c r="X7" s="5">
        <f t="shared" si="9"/>
        <v>2.4304269926049733E-2</v>
      </c>
      <c r="Y7" s="5">
        <f t="shared" si="10"/>
        <v>1.4809535902296929E-2</v>
      </c>
      <c r="Z7" s="33">
        <v>3</v>
      </c>
      <c r="AA7" s="33"/>
      <c r="AB7" s="33"/>
      <c r="AC7" s="56"/>
      <c r="AE7" s="20" t="str">
        <f t="shared" si="23"/>
        <v/>
      </c>
      <c r="AF7" s="22" t="str">
        <f t="shared" si="11"/>
        <v/>
      </c>
      <c r="AG7" s="9" t="str">
        <f t="shared" ca="1" si="12"/>
        <v/>
      </c>
      <c r="AH7" s="9" t="str">
        <f t="shared" ca="1" si="13"/>
        <v/>
      </c>
      <c r="AI7" s="9" t="str">
        <f t="shared" ca="1" si="14"/>
        <v/>
      </c>
      <c r="AJ7" s="9" t="str">
        <f t="shared" ca="1" si="15"/>
        <v/>
      </c>
      <c r="AK7" s="9" t="str">
        <f t="shared" ca="1" si="16"/>
        <v/>
      </c>
      <c r="AL7" s="9" t="str">
        <f t="shared" ca="1" si="17"/>
        <v/>
      </c>
      <c r="AM7" s="9" t="str">
        <f t="shared" ca="1" si="18"/>
        <v/>
      </c>
      <c r="AN7" s="9" t="str">
        <f t="shared" ca="1" si="19"/>
        <v/>
      </c>
      <c r="AO7" s="9" t="str">
        <f t="shared" ca="1" si="20"/>
        <v/>
      </c>
      <c r="AP7" s="9" t="str">
        <f t="shared" ca="1" si="21"/>
        <v/>
      </c>
      <c r="AQ7" s="9"/>
      <c r="AR7" s="21" t="s">
        <v>24</v>
      </c>
      <c r="AS7" s="2" t="s">
        <v>0</v>
      </c>
      <c r="AT7" s="2" t="s">
        <v>6</v>
      </c>
      <c r="AU7" s="2" t="s">
        <v>3</v>
      </c>
      <c r="AV7" s="2" t="s">
        <v>4</v>
      </c>
      <c r="AW7" s="2" t="s">
        <v>1</v>
      </c>
      <c r="AX7" s="2" t="s">
        <v>7</v>
      </c>
      <c r="AY7" s="2" t="s">
        <v>2</v>
      </c>
      <c r="AZ7" s="2" t="s">
        <v>5</v>
      </c>
      <c r="BA7" s="2" t="s">
        <v>10</v>
      </c>
      <c r="BB7" s="2" t="s">
        <v>8</v>
      </c>
    </row>
    <row r="8" spans="1:54" x14ac:dyDescent="0.3">
      <c r="A8" s="1">
        <v>43473</v>
      </c>
      <c r="B8" s="6">
        <v>232.679993</v>
      </c>
      <c r="C8" s="6">
        <v>86.099997999999999</v>
      </c>
      <c r="D8" s="6">
        <v>26.415001</v>
      </c>
      <c r="E8" s="6">
        <v>110.58000199999999</v>
      </c>
      <c r="F8" s="6">
        <v>87.239998</v>
      </c>
      <c r="G8" s="6">
        <v>39.479999999999997</v>
      </c>
      <c r="H8" s="6">
        <v>75.559997999999993</v>
      </c>
      <c r="I8" s="6">
        <v>154.64999399999999</v>
      </c>
      <c r="J8" s="6">
        <v>21.889999</v>
      </c>
      <c r="K8" s="6">
        <v>27.24</v>
      </c>
      <c r="N8" s="18">
        <v>4</v>
      </c>
      <c r="O8" s="1">
        <v>43473</v>
      </c>
      <c r="P8" s="5">
        <f t="shared" si="22"/>
        <v>1.4807380080760487E-2</v>
      </c>
      <c r="Q8" s="5">
        <f t="shared" si="2"/>
        <v>3.9566675614940939E-3</v>
      </c>
      <c r="R8" s="5">
        <f t="shared" si="3"/>
        <v>6.0470876306854784E-2</v>
      </c>
      <c r="S8" s="5">
        <f t="shared" si="4"/>
        <v>9.5407837905034116E-3</v>
      </c>
      <c r="T8" s="5">
        <f t="shared" si="5"/>
        <v>2.413103141247817E-2</v>
      </c>
      <c r="U8" s="5">
        <f t="shared" si="6"/>
        <v>2.254198990796839E-2</v>
      </c>
      <c r="V8" s="5">
        <f t="shared" si="7"/>
        <v>2.1808316595268436E-2</v>
      </c>
      <c r="W8" s="5">
        <f t="shared" si="8"/>
        <v>1.2689267755572515E-2</v>
      </c>
      <c r="X8" s="5">
        <f t="shared" si="9"/>
        <v>3.0143669478072177E-2</v>
      </c>
      <c r="Y8" s="5">
        <f t="shared" si="10"/>
        <v>2.6410275438486584E-2</v>
      </c>
      <c r="Z8" s="33">
        <v>4</v>
      </c>
      <c r="AA8" s="56"/>
      <c r="AB8" s="56"/>
      <c r="AC8" s="56"/>
      <c r="AE8" s="20" t="str">
        <f t="shared" si="23"/>
        <v/>
      </c>
      <c r="AF8" s="22" t="str">
        <f t="shared" si="11"/>
        <v/>
      </c>
      <c r="AG8" s="9" t="str">
        <f t="shared" ca="1" si="12"/>
        <v/>
      </c>
      <c r="AH8" s="9" t="str">
        <f t="shared" ca="1" si="13"/>
        <v/>
      </c>
      <c r="AI8" s="9" t="str">
        <f t="shared" ca="1" si="14"/>
        <v/>
      </c>
      <c r="AJ8" s="9" t="str">
        <f t="shared" ca="1" si="15"/>
        <v/>
      </c>
      <c r="AK8" s="9" t="str">
        <f t="shared" ca="1" si="16"/>
        <v/>
      </c>
      <c r="AL8" s="9" t="str">
        <f t="shared" ca="1" si="17"/>
        <v/>
      </c>
      <c r="AM8" s="9" t="str">
        <f t="shared" ca="1" si="18"/>
        <v/>
      </c>
      <c r="AN8" s="9" t="str">
        <f t="shared" ca="1" si="19"/>
        <v/>
      </c>
      <c r="AO8" s="9" t="str">
        <f t="shared" ca="1" si="20"/>
        <v/>
      </c>
      <c r="AP8" s="9" t="str">
        <f t="shared" ca="1" si="21"/>
        <v/>
      </c>
      <c r="AQ8" s="9"/>
      <c r="AR8" s="2" t="s">
        <v>0</v>
      </c>
      <c r="AS8" s="4" cm="1">
        <f t="array" aca="1" ref="AS8:BB17" ca="1">1/(AT5-1)*(MMULT(TRANSPOSE(AG4:OFFSET(AP4,AT5-1,0)),AG4:OFFSET(AP4,AT5-1,0))-AT5*MMULT(TRANSPOSE(AS3:BB3),AS3:BB3))</f>
        <v>3.7860159909719403E-6</v>
      </c>
      <c r="AT8" s="4">
        <f ca="1"/>
        <v>-4.8303725993863501E-6</v>
      </c>
      <c r="AU8" s="4">
        <f ca="1"/>
        <v>2.6270265462895349E-6</v>
      </c>
      <c r="AV8" s="4">
        <f ca="1"/>
        <v>3.7314253471480183E-6</v>
      </c>
      <c r="AW8" s="4">
        <f ca="1"/>
        <v>-3.7107251359297772E-5</v>
      </c>
      <c r="AX8" s="4">
        <f ca="1"/>
        <v>-3.284437718923846E-5</v>
      </c>
      <c r="AY8" s="4">
        <f ca="1"/>
        <v>-3.1273283386531744E-6</v>
      </c>
      <c r="AZ8" s="4">
        <f ca="1"/>
        <v>-4.0440126699235529E-6</v>
      </c>
      <c r="BA8" s="4">
        <f ca="1"/>
        <v>-1.2170359970674274E-5</v>
      </c>
      <c r="BB8" s="4">
        <f ca="1"/>
        <v>-6.0721147973865789E-5</v>
      </c>
    </row>
    <row r="9" spans="1:54" x14ac:dyDescent="0.3">
      <c r="A9" s="1">
        <v>43474</v>
      </c>
      <c r="B9" s="6">
        <v>235.429993</v>
      </c>
      <c r="C9" s="6">
        <v>86.959998999999996</v>
      </c>
      <c r="D9" s="6">
        <v>26.665001</v>
      </c>
      <c r="E9" s="6">
        <v>107.489998</v>
      </c>
      <c r="F9" s="6">
        <v>87.419998000000007</v>
      </c>
      <c r="G9" s="6">
        <v>39.110000999999997</v>
      </c>
      <c r="H9" s="6">
        <v>76.349997999999999</v>
      </c>
      <c r="I9" s="6">
        <v>157.759995</v>
      </c>
      <c r="J9" s="6">
        <v>22.190000999999999</v>
      </c>
      <c r="K9" s="6">
        <v>27.280000999999999</v>
      </c>
      <c r="N9" s="19">
        <v>5</v>
      </c>
      <c r="O9" s="1">
        <v>43474</v>
      </c>
      <c r="P9" s="5">
        <f t="shared" si="22"/>
        <v>1.1749510665704661E-2</v>
      </c>
      <c r="Q9" s="5">
        <f t="shared" si="2"/>
        <v>9.938843108532748E-3</v>
      </c>
      <c r="R9" s="5">
        <f t="shared" si="3"/>
        <v>9.4198130813522799E-3</v>
      </c>
      <c r="S9" s="5">
        <f t="shared" si="4"/>
        <v>-2.8341457617649914E-2</v>
      </c>
      <c r="T9" s="5">
        <f t="shared" si="5"/>
        <v>2.0611481489439766E-3</v>
      </c>
      <c r="U9" s="5">
        <f t="shared" si="6"/>
        <v>-9.4160002289502501E-3</v>
      </c>
      <c r="V9" s="5">
        <f t="shared" si="7"/>
        <v>1.0400989305210148E-2</v>
      </c>
      <c r="W9" s="5">
        <f t="shared" si="8"/>
        <v>1.9910398826819119E-2</v>
      </c>
      <c r="X9" s="5">
        <f t="shared" si="9"/>
        <v>1.361191615803594E-2</v>
      </c>
      <c r="Y9" s="5">
        <f t="shared" si="10"/>
        <v>1.4673883508406133E-3</v>
      </c>
      <c r="Z9" s="33">
        <v>5</v>
      </c>
      <c r="AE9" s="20" t="str">
        <f t="shared" si="23"/>
        <v/>
      </c>
      <c r="AF9" s="22" t="str">
        <f t="shared" si="11"/>
        <v/>
      </c>
      <c r="AG9" s="9" t="str">
        <f t="shared" ca="1" si="12"/>
        <v/>
      </c>
      <c r="AH9" s="9" t="str">
        <f t="shared" ca="1" si="13"/>
        <v/>
      </c>
      <c r="AI9" s="9" t="str">
        <f t="shared" ca="1" si="14"/>
        <v/>
      </c>
      <c r="AJ9" s="9" t="str">
        <f t="shared" ca="1" si="15"/>
        <v/>
      </c>
      <c r="AK9" s="9" t="str">
        <f t="shared" ca="1" si="16"/>
        <v/>
      </c>
      <c r="AL9" s="9" t="str">
        <f t="shared" ca="1" si="17"/>
        <v/>
      </c>
      <c r="AM9" s="9" t="str">
        <f t="shared" ca="1" si="18"/>
        <v/>
      </c>
      <c r="AN9" s="9" t="str">
        <f t="shared" ca="1" si="19"/>
        <v/>
      </c>
      <c r="AO9" s="9" t="str">
        <f t="shared" ca="1" si="20"/>
        <v/>
      </c>
      <c r="AP9" s="9" t="str">
        <f t="shared" ca="1" si="21"/>
        <v/>
      </c>
      <c r="AQ9" s="9"/>
      <c r="AR9" s="2" t="s">
        <v>6</v>
      </c>
      <c r="AS9" s="4">
        <f ca="1"/>
        <v>-4.8303725993863501E-6</v>
      </c>
      <c r="AT9" s="4">
        <f ca="1"/>
        <v>6.1628105915401992E-6</v>
      </c>
      <c r="AU9" s="4">
        <f ca="1"/>
        <v>-3.3516807845811258E-6</v>
      </c>
      <c r="AV9" s="4">
        <f ca="1"/>
        <v>-4.7607233557648946E-6</v>
      </c>
      <c r="AW9" s="4">
        <f ca="1"/>
        <v>4.7343130782307968E-5</v>
      </c>
      <c r="AX9" s="4">
        <f ca="1"/>
        <v>4.1904360678117212E-5</v>
      </c>
      <c r="AY9" s="4">
        <f ca="1"/>
        <v>3.9899887249120403E-6</v>
      </c>
      <c r="AZ9" s="4">
        <f ca="1"/>
        <v>5.1595365785433986E-6</v>
      </c>
      <c r="BA9" s="4">
        <f ca="1"/>
        <v>1.5527502648482389E-5</v>
      </c>
      <c r="BB9" s="4">
        <f ca="1"/>
        <v>7.7470821590731905E-5</v>
      </c>
    </row>
    <row r="10" spans="1:54" x14ac:dyDescent="0.3">
      <c r="A10" s="1">
        <v>43475</v>
      </c>
      <c r="B10" s="6">
        <v>237.770004</v>
      </c>
      <c r="C10" s="6">
        <v>87.82</v>
      </c>
      <c r="D10" s="6">
        <v>26.629999000000002</v>
      </c>
      <c r="E10" s="6">
        <v>108.150002</v>
      </c>
      <c r="F10" s="6">
        <v>88.489998</v>
      </c>
      <c r="G10" s="6">
        <v>40.009998000000003</v>
      </c>
      <c r="H10" s="6">
        <v>77.480002999999996</v>
      </c>
      <c r="I10" s="6">
        <v>160.11000100000001</v>
      </c>
      <c r="J10" s="6">
        <v>22.25</v>
      </c>
      <c r="K10" s="6">
        <v>26.809999000000001</v>
      </c>
      <c r="N10" s="18">
        <v>6</v>
      </c>
      <c r="O10" s="1">
        <v>43475</v>
      </c>
      <c r="P10" s="5">
        <f t="shared" si="22"/>
        <v>9.8902370632620133E-3</v>
      </c>
      <c r="Q10" s="5">
        <f t="shared" si="2"/>
        <v>9.8410338201573803E-3</v>
      </c>
      <c r="R10" s="5">
        <f t="shared" si="3"/>
        <v>-1.3135192807019623E-3</v>
      </c>
      <c r="S10" s="5">
        <f t="shared" si="4"/>
        <v>6.1213695133116855E-3</v>
      </c>
      <c r="T10" s="5">
        <f t="shared" si="5"/>
        <v>1.2165462120726231E-2</v>
      </c>
      <c r="U10" s="5">
        <f t="shared" si="6"/>
        <v>2.2751158545308885E-2</v>
      </c>
      <c r="V10" s="5">
        <f t="shared" si="7"/>
        <v>1.4691871788976685E-2</v>
      </c>
      <c r="W10" s="5">
        <f t="shared" si="8"/>
        <v>1.4786226099056429E-2</v>
      </c>
      <c r="X10" s="5">
        <f t="shared" si="9"/>
        <v>2.7002266024030168E-3</v>
      </c>
      <c r="Y10" s="5">
        <f t="shared" si="10"/>
        <v>-1.7378954683799956E-2</v>
      </c>
      <c r="Z10" s="33">
        <v>6</v>
      </c>
      <c r="AE10" s="20" t="str">
        <f t="shared" si="23"/>
        <v/>
      </c>
      <c r="AF10" s="22" t="str">
        <f t="shared" si="11"/>
        <v/>
      </c>
      <c r="AG10" s="9" t="str">
        <f t="shared" ca="1" si="12"/>
        <v/>
      </c>
      <c r="AH10" s="9" t="str">
        <f t="shared" ca="1" si="13"/>
        <v/>
      </c>
      <c r="AI10" s="9" t="str">
        <f t="shared" ca="1" si="14"/>
        <v/>
      </c>
      <c r="AJ10" s="9" t="str">
        <f t="shared" ca="1" si="15"/>
        <v/>
      </c>
      <c r="AK10" s="9" t="str">
        <f t="shared" ca="1" si="16"/>
        <v/>
      </c>
      <c r="AL10" s="9" t="str">
        <f t="shared" ca="1" si="17"/>
        <v/>
      </c>
      <c r="AM10" s="9" t="str">
        <f t="shared" ca="1" si="18"/>
        <v/>
      </c>
      <c r="AN10" s="9" t="str">
        <f t="shared" ca="1" si="19"/>
        <v/>
      </c>
      <c r="AO10" s="9" t="str">
        <f t="shared" ca="1" si="20"/>
        <v/>
      </c>
      <c r="AP10" s="9" t="str">
        <f t="shared" ca="1" si="21"/>
        <v/>
      </c>
      <c r="AQ10" s="9"/>
      <c r="AR10" s="2" t="s">
        <v>3</v>
      </c>
      <c r="AS10" s="4">
        <f ca="1"/>
        <v>2.6270265462895349E-6</v>
      </c>
      <c r="AT10" s="4">
        <f ca="1"/>
        <v>-3.3516807845811258E-6</v>
      </c>
      <c r="AU10" s="4">
        <f ca="1"/>
        <v>1.8228313064093088E-6</v>
      </c>
      <c r="AV10" s="4">
        <f ca="1"/>
        <v>2.5891473955288268E-6</v>
      </c>
      <c r="AW10" s="4">
        <f ca="1"/>
        <v>-2.5747840107692813E-5</v>
      </c>
      <c r="AX10" s="4">
        <f ca="1"/>
        <v>-2.2789933000342513E-5</v>
      </c>
      <c r="AY10" s="4">
        <f ca="1"/>
        <v>-2.1699788337387205E-6</v>
      </c>
      <c r="AZ10" s="4">
        <f ca="1"/>
        <v>-2.806044312214615E-6</v>
      </c>
      <c r="BA10" s="4">
        <f ca="1"/>
        <v>-8.4447236348447296E-6</v>
      </c>
      <c r="BB10" s="4">
        <f ca="1"/>
        <v>-4.2132961939119989E-5</v>
      </c>
    </row>
    <row r="11" spans="1:54" x14ac:dyDescent="0.3">
      <c r="A11" s="1">
        <v>43476</v>
      </c>
      <c r="B11" s="6">
        <v>237.550003</v>
      </c>
      <c r="C11" s="6">
        <v>87.709998999999996</v>
      </c>
      <c r="D11" s="6">
        <v>27.184999000000001</v>
      </c>
      <c r="E11" s="6">
        <v>108.160004</v>
      </c>
      <c r="F11" s="6">
        <v>88.790001000000004</v>
      </c>
      <c r="G11" s="6">
        <v>40.150002000000001</v>
      </c>
      <c r="H11" s="6">
        <v>77.860000999999997</v>
      </c>
      <c r="I11" s="6">
        <v>160.33000200000001</v>
      </c>
      <c r="J11" s="6">
        <v>22.280000999999999</v>
      </c>
      <c r="K11" s="6">
        <v>27.120000999999998</v>
      </c>
      <c r="N11" s="19">
        <v>7</v>
      </c>
      <c r="O11" s="1">
        <v>43476</v>
      </c>
      <c r="P11" s="5">
        <f t="shared" si="22"/>
        <v>-9.2569642544066267E-4</v>
      </c>
      <c r="Q11" s="5">
        <f t="shared" si="2"/>
        <v>-1.2533585714896887E-3</v>
      </c>
      <c r="R11" s="5">
        <f t="shared" si="3"/>
        <v>2.0626951538684983E-2</v>
      </c>
      <c r="S11" s="5">
        <f t="shared" si="4"/>
        <v>9.2478385000165542E-5</v>
      </c>
      <c r="T11" s="5">
        <f t="shared" si="5"/>
        <v>3.3845136289303124E-3</v>
      </c>
      <c r="U11" s="5">
        <f t="shared" si="6"/>
        <v>3.4931173243305563E-3</v>
      </c>
      <c r="V11" s="5">
        <f t="shared" si="7"/>
        <v>4.8924777674109483E-3</v>
      </c>
      <c r="W11" s="5">
        <f t="shared" si="8"/>
        <v>1.3731184153483972E-3</v>
      </c>
      <c r="X11" s="5">
        <f t="shared" si="9"/>
        <v>1.3474513301363325E-3</v>
      </c>
      <c r="Y11" s="5">
        <f t="shared" si="10"/>
        <v>1.149658499699834E-2</v>
      </c>
      <c r="Z11" s="33">
        <v>7</v>
      </c>
      <c r="AE11" s="20" t="str">
        <f t="shared" si="23"/>
        <v/>
      </c>
      <c r="AF11" s="22" t="str">
        <f t="shared" si="11"/>
        <v/>
      </c>
      <c r="AG11" s="9" t="str">
        <f t="shared" ca="1" si="12"/>
        <v/>
      </c>
      <c r="AH11" s="9" t="str">
        <f t="shared" ca="1" si="13"/>
        <v/>
      </c>
      <c r="AI11" s="9" t="str">
        <f t="shared" ca="1" si="14"/>
        <v/>
      </c>
      <c r="AJ11" s="9" t="str">
        <f t="shared" ca="1" si="15"/>
        <v/>
      </c>
      <c r="AK11" s="9" t="str">
        <f t="shared" ca="1" si="16"/>
        <v/>
      </c>
      <c r="AL11" s="9" t="str">
        <f t="shared" ca="1" si="17"/>
        <v/>
      </c>
      <c r="AM11" s="9" t="str">
        <f t="shared" ca="1" si="18"/>
        <v/>
      </c>
      <c r="AN11" s="9" t="str">
        <f t="shared" ca="1" si="19"/>
        <v/>
      </c>
      <c r="AO11" s="9" t="str">
        <f t="shared" ca="1" si="20"/>
        <v/>
      </c>
      <c r="AP11" s="9" t="str">
        <f t="shared" ca="1" si="21"/>
        <v/>
      </c>
      <c r="AQ11" s="9"/>
      <c r="AR11" s="2" t="s">
        <v>4</v>
      </c>
      <c r="AS11" s="4">
        <f ca="1"/>
        <v>3.7314253471480183E-6</v>
      </c>
      <c r="AT11" s="4">
        <f ca="1"/>
        <v>-4.7607233557648946E-6</v>
      </c>
      <c r="AU11" s="4">
        <f ca="1"/>
        <v>2.5891473955288268E-6</v>
      </c>
      <c r="AV11" s="4">
        <f ca="1"/>
        <v>3.6776218469601025E-6</v>
      </c>
      <c r="AW11" s="4">
        <f ca="1"/>
        <v>-3.6572201125207202E-5</v>
      </c>
      <c r="AX11" s="4">
        <f ca="1"/>
        <v>-3.2370793427037826E-5</v>
      </c>
      <c r="AY11" s="4">
        <f ca="1"/>
        <v>-3.0822353258758973E-6</v>
      </c>
      <c r="AZ11" s="4">
        <f ca="1"/>
        <v>-3.9857019665853577E-6</v>
      </c>
      <c r="BA11" s="4">
        <f ca="1"/>
        <v>-1.1994875295503254E-5</v>
      </c>
      <c r="BB11" s="4">
        <f ca="1"/>
        <v>-5.9845608470196117E-5</v>
      </c>
    </row>
    <row r="12" spans="1:54" x14ac:dyDescent="0.3">
      <c r="A12" s="1">
        <v>43479</v>
      </c>
      <c r="B12" s="6">
        <v>234.55999800000001</v>
      </c>
      <c r="C12" s="6">
        <v>87.410004000000001</v>
      </c>
      <c r="D12" s="6">
        <v>27.075001</v>
      </c>
      <c r="E12" s="6">
        <v>107.32</v>
      </c>
      <c r="F12" s="6">
        <v>88.559997999999993</v>
      </c>
      <c r="G12" s="6">
        <v>40.119999</v>
      </c>
      <c r="H12" s="6">
        <v>78.059997999999993</v>
      </c>
      <c r="I12" s="6">
        <v>162.13000500000001</v>
      </c>
      <c r="J12" s="6">
        <v>22.309999000000001</v>
      </c>
      <c r="K12" s="6">
        <v>27</v>
      </c>
      <c r="N12" s="18">
        <v>8</v>
      </c>
      <c r="O12" s="1">
        <v>43479</v>
      </c>
      <c r="P12" s="5">
        <f t="shared" si="22"/>
        <v>-1.2666730090166852E-2</v>
      </c>
      <c r="Q12" s="5">
        <f t="shared" si="2"/>
        <v>-3.4261682083314838E-3</v>
      </c>
      <c r="R12" s="5">
        <f t="shared" si="3"/>
        <v>-4.0544839913966681E-3</v>
      </c>
      <c r="S12" s="5">
        <f t="shared" si="4"/>
        <v>-7.7966237194784628E-3</v>
      </c>
      <c r="T12" s="5">
        <f t="shared" si="5"/>
        <v>-2.5937764899430478E-3</v>
      </c>
      <c r="U12" s="5">
        <f t="shared" si="6"/>
        <v>-7.4755203745981613E-4</v>
      </c>
      <c r="V12" s="5">
        <f t="shared" si="7"/>
        <v>2.5653811052766553E-3</v>
      </c>
      <c r="W12" s="5">
        <f t="shared" si="8"/>
        <v>1.1164309726409397E-2</v>
      </c>
      <c r="X12" s="5">
        <f t="shared" si="9"/>
        <v>1.3455036791052456E-3</v>
      </c>
      <c r="Y12" s="5">
        <f t="shared" si="10"/>
        <v>-4.4346339410213593E-3</v>
      </c>
      <c r="Z12" s="33">
        <v>8</v>
      </c>
      <c r="AE12" s="20" t="str">
        <f t="shared" si="23"/>
        <v/>
      </c>
      <c r="AF12" s="22" t="str">
        <f t="shared" si="11"/>
        <v/>
      </c>
      <c r="AG12" s="9" t="str">
        <f t="shared" ca="1" si="12"/>
        <v/>
      </c>
      <c r="AH12" s="9" t="str">
        <f t="shared" ca="1" si="13"/>
        <v/>
      </c>
      <c r="AI12" s="9" t="str">
        <f t="shared" ca="1" si="14"/>
        <v/>
      </c>
      <c r="AJ12" s="9" t="str">
        <f t="shared" ca="1" si="15"/>
        <v/>
      </c>
      <c r="AK12" s="9" t="str">
        <f t="shared" ca="1" si="16"/>
        <v/>
      </c>
      <c r="AL12" s="9" t="str">
        <f t="shared" ca="1" si="17"/>
        <v/>
      </c>
      <c r="AM12" s="9" t="str">
        <f t="shared" ca="1" si="18"/>
        <v/>
      </c>
      <c r="AN12" s="9" t="str">
        <f t="shared" ca="1" si="19"/>
        <v/>
      </c>
      <c r="AO12" s="9" t="str">
        <f t="shared" ca="1" si="20"/>
        <v/>
      </c>
      <c r="AP12" s="9" t="str">
        <f t="shared" ca="1" si="21"/>
        <v/>
      </c>
      <c r="AQ12" s="9"/>
      <c r="AR12" s="2" t="s">
        <v>1</v>
      </c>
      <c r="AS12" s="4">
        <f ca="1"/>
        <v>-3.7107251359297772E-5</v>
      </c>
      <c r="AT12" s="4">
        <f ca="1"/>
        <v>4.7343130782307968E-5</v>
      </c>
      <c r="AU12" s="4">
        <f ca="1"/>
        <v>-2.5747840107692813E-5</v>
      </c>
      <c r="AV12" s="4">
        <f ca="1"/>
        <v>-3.6572201125207202E-5</v>
      </c>
      <c r="AW12" s="4">
        <f ca="1"/>
        <v>3.6369315574090282E-4</v>
      </c>
      <c r="AX12" s="4">
        <f ca="1"/>
        <v>3.2191215330492522E-4</v>
      </c>
      <c r="AY12" s="4">
        <f ca="1"/>
        <v>3.0651365187622237E-5</v>
      </c>
      <c r="AZ12" s="4">
        <f ca="1"/>
        <v>3.96359114702298E-5</v>
      </c>
      <c r="BA12" s="4">
        <f ca="1"/>
        <v>1.1928333309786413E-4</v>
      </c>
      <c r="BB12" s="4">
        <f ca="1"/>
        <v>5.9513612886587827E-4</v>
      </c>
    </row>
    <row r="13" spans="1:54" x14ac:dyDescent="0.3">
      <c r="A13" s="1">
        <v>43480</v>
      </c>
      <c r="B13" s="6">
        <v>242.36000100000001</v>
      </c>
      <c r="C13" s="6">
        <v>88.470000999999996</v>
      </c>
      <c r="D13" s="6">
        <v>27.379999000000002</v>
      </c>
      <c r="E13" s="6">
        <v>108.989998</v>
      </c>
      <c r="F13" s="6">
        <v>89.970000999999996</v>
      </c>
      <c r="G13" s="6">
        <v>40.830002</v>
      </c>
      <c r="H13" s="6">
        <v>78.099997999999999</v>
      </c>
      <c r="I13" s="6">
        <v>161.63000500000001</v>
      </c>
      <c r="J13" s="6">
        <v>22.27</v>
      </c>
      <c r="K13" s="6">
        <v>27.1</v>
      </c>
      <c r="N13" s="19">
        <v>9</v>
      </c>
      <c r="O13" s="1">
        <v>43480</v>
      </c>
      <c r="P13" s="5">
        <f t="shared" si="22"/>
        <v>3.2712818031198063E-2</v>
      </c>
      <c r="Q13" s="5">
        <f t="shared" si="2"/>
        <v>1.2053784444811146E-2</v>
      </c>
      <c r="R13" s="5">
        <f t="shared" si="3"/>
        <v>1.1201953515797747E-2</v>
      </c>
      <c r="S13" s="5">
        <f t="shared" si="4"/>
        <v>1.5441090993489419E-2</v>
      </c>
      <c r="T13" s="5">
        <f t="shared" si="5"/>
        <v>1.5796026727021451E-2</v>
      </c>
      <c r="U13" s="5">
        <f t="shared" si="6"/>
        <v>1.7542216146563653E-2</v>
      </c>
      <c r="V13" s="5">
        <f t="shared" si="7"/>
        <v>5.1229510629384912E-4</v>
      </c>
      <c r="W13" s="5">
        <f t="shared" si="8"/>
        <v>-3.0887100448590966E-3</v>
      </c>
      <c r="X13" s="5">
        <f t="shared" si="9"/>
        <v>-1.7944823522146327E-3</v>
      </c>
      <c r="Y13" s="5">
        <f t="shared" si="10"/>
        <v>3.6968618813262026E-3</v>
      </c>
      <c r="Z13" s="33">
        <v>9</v>
      </c>
      <c r="AE13" s="20" t="str">
        <f t="shared" si="23"/>
        <v/>
      </c>
      <c r="AF13" s="22" t="str">
        <f t="shared" si="11"/>
        <v/>
      </c>
      <c r="AG13" s="9" t="str">
        <f t="shared" ca="1" si="12"/>
        <v/>
      </c>
      <c r="AH13" s="9" t="str">
        <f t="shared" ca="1" si="13"/>
        <v/>
      </c>
      <c r="AI13" s="9" t="str">
        <f t="shared" ca="1" si="14"/>
        <v/>
      </c>
      <c r="AJ13" s="9" t="str">
        <f t="shared" ca="1" si="15"/>
        <v/>
      </c>
      <c r="AK13" s="9" t="str">
        <f t="shared" ca="1" si="16"/>
        <v/>
      </c>
      <c r="AL13" s="9" t="str">
        <f t="shared" ca="1" si="17"/>
        <v/>
      </c>
      <c r="AM13" s="9" t="str">
        <f t="shared" ca="1" si="18"/>
        <v/>
      </c>
      <c r="AN13" s="9" t="str">
        <f t="shared" ca="1" si="19"/>
        <v/>
      </c>
      <c r="AO13" s="9" t="str">
        <f t="shared" ca="1" si="20"/>
        <v/>
      </c>
      <c r="AP13" s="9" t="str">
        <f t="shared" ca="1" si="21"/>
        <v/>
      </c>
      <c r="AQ13" s="9"/>
      <c r="AR13" s="2" t="s">
        <v>7</v>
      </c>
      <c r="AS13" s="4">
        <f ca="1"/>
        <v>-3.284437718923846E-5</v>
      </c>
      <c r="AT13" s="4">
        <f ca="1"/>
        <v>4.1904360678117212E-5</v>
      </c>
      <c r="AU13" s="4">
        <f ca="1"/>
        <v>-2.2789933000342513E-5</v>
      </c>
      <c r="AV13" s="4">
        <f ca="1"/>
        <v>-3.2370793427037826E-5</v>
      </c>
      <c r="AW13" s="4">
        <f ca="1"/>
        <v>3.2191215330492522E-4</v>
      </c>
      <c r="AX13" s="4">
        <f ca="1"/>
        <v>2.8493094469789388E-4</v>
      </c>
      <c r="AY13" s="4">
        <f ca="1"/>
        <v>2.7130142026407676E-5</v>
      </c>
      <c r="AZ13" s="4">
        <f ca="1"/>
        <v>3.5082545294514282E-5</v>
      </c>
      <c r="BA13" s="4">
        <f ca="1"/>
        <v>1.0558008586303341E-4</v>
      </c>
      <c r="BB13" s="4">
        <f ca="1"/>
        <v>5.2676700050208311E-4</v>
      </c>
    </row>
    <row r="14" spans="1:54" x14ac:dyDescent="0.3">
      <c r="A14" s="1">
        <v>43481</v>
      </c>
      <c r="B14" s="6">
        <v>241.949997</v>
      </c>
      <c r="C14" s="6">
        <v>88.949996999999996</v>
      </c>
      <c r="D14" s="6">
        <v>26.905000999999999</v>
      </c>
      <c r="E14" s="6">
        <v>108.339996</v>
      </c>
      <c r="F14" s="6">
        <v>91.370002999999997</v>
      </c>
      <c r="G14" s="6">
        <v>41.279998999999997</v>
      </c>
      <c r="H14" s="6">
        <v>77.730002999999996</v>
      </c>
      <c r="I14" s="6">
        <v>162.449997</v>
      </c>
      <c r="J14" s="6">
        <v>22.209999</v>
      </c>
      <c r="K14" s="6">
        <v>27.110001</v>
      </c>
      <c r="N14" s="18">
        <v>10</v>
      </c>
      <c r="O14" s="1">
        <v>43481</v>
      </c>
      <c r="P14" s="5">
        <f t="shared" si="22"/>
        <v>-1.6931473628102841E-3</v>
      </c>
      <c r="Q14" s="5">
        <f t="shared" si="2"/>
        <v>5.4108575864696201E-3</v>
      </c>
      <c r="R14" s="5">
        <f t="shared" si="3"/>
        <v>-1.7500603228097877E-2</v>
      </c>
      <c r="S14" s="5">
        <f t="shared" si="4"/>
        <v>-5.9817232419654637E-3</v>
      </c>
      <c r="T14" s="5">
        <f t="shared" si="5"/>
        <v>1.5440937300219169E-2</v>
      </c>
      <c r="U14" s="5">
        <f t="shared" si="6"/>
        <v>1.0960942633427086E-2</v>
      </c>
      <c r="V14" s="5">
        <f t="shared" si="7"/>
        <v>-4.748709400180756E-3</v>
      </c>
      <c r="W14" s="5">
        <f t="shared" si="8"/>
        <v>5.060440291320409E-3</v>
      </c>
      <c r="X14" s="5">
        <f t="shared" si="9"/>
        <v>-2.6978883877047744E-3</v>
      </c>
      <c r="Y14" s="5">
        <f t="shared" si="10"/>
        <v>3.6897251167577826E-4</v>
      </c>
      <c r="Z14" s="33">
        <v>10</v>
      </c>
      <c r="AE14" s="20" t="str">
        <f t="shared" si="23"/>
        <v/>
      </c>
      <c r="AF14" s="22" t="str">
        <f t="shared" si="11"/>
        <v/>
      </c>
      <c r="AG14" s="9" t="str">
        <f t="shared" ca="1" si="12"/>
        <v/>
      </c>
      <c r="AH14" s="9" t="str">
        <f t="shared" ca="1" si="13"/>
        <v/>
      </c>
      <c r="AI14" s="9" t="str">
        <f t="shared" ca="1" si="14"/>
        <v/>
      </c>
      <c r="AJ14" s="9" t="str">
        <f t="shared" ca="1" si="15"/>
        <v/>
      </c>
      <c r="AK14" s="9" t="str">
        <f t="shared" ca="1" si="16"/>
        <v/>
      </c>
      <c r="AL14" s="9" t="str">
        <f t="shared" ca="1" si="17"/>
        <v/>
      </c>
      <c r="AM14" s="9" t="str">
        <f t="shared" ca="1" si="18"/>
        <v/>
      </c>
      <c r="AN14" s="9" t="str">
        <f t="shared" ca="1" si="19"/>
        <v/>
      </c>
      <c r="AO14" s="9" t="str">
        <f t="shared" ca="1" si="20"/>
        <v/>
      </c>
      <c r="AP14" s="9" t="str">
        <f t="shared" ca="1" si="21"/>
        <v/>
      </c>
      <c r="AQ14" s="9"/>
      <c r="AR14" s="2" t="s">
        <v>2</v>
      </c>
      <c r="AS14" s="4">
        <f ca="1"/>
        <v>-3.1273283386531744E-6</v>
      </c>
      <c r="AT14" s="4">
        <f ca="1"/>
        <v>3.9899887249120403E-6</v>
      </c>
      <c r="AU14" s="4">
        <f ca="1"/>
        <v>-2.1699788337387205E-6</v>
      </c>
      <c r="AV14" s="4">
        <f ca="1"/>
        <v>-3.0822353258758973E-6</v>
      </c>
      <c r="AW14" s="4">
        <f ca="1"/>
        <v>3.0651365187622237E-5</v>
      </c>
      <c r="AX14" s="4">
        <f ca="1"/>
        <v>2.7130142026407676E-5</v>
      </c>
      <c r="AY14" s="4">
        <f ca="1"/>
        <v>2.5832385708525412E-6</v>
      </c>
      <c r="AZ14" s="4">
        <f ca="1"/>
        <v>3.3404389877597177E-6</v>
      </c>
      <c r="BA14" s="4">
        <f ca="1"/>
        <v>1.0052971703938571E-5</v>
      </c>
      <c r="BB14" s="4">
        <f ca="1"/>
        <v>5.0156937336514971E-5</v>
      </c>
    </row>
    <row r="15" spans="1:54" x14ac:dyDescent="0.3">
      <c r="A15" s="1">
        <v>43482</v>
      </c>
      <c r="B15" s="6">
        <v>244.39999399999999</v>
      </c>
      <c r="C15" s="6">
        <v>89.139999000000003</v>
      </c>
      <c r="D15" s="6">
        <v>27.135000000000002</v>
      </c>
      <c r="E15" s="6">
        <v>109.220001</v>
      </c>
      <c r="F15" s="6">
        <v>91.769997000000004</v>
      </c>
      <c r="G15" s="6">
        <v>41.529998999999997</v>
      </c>
      <c r="H15" s="6">
        <v>79.059997999999993</v>
      </c>
      <c r="I15" s="6">
        <v>166.229996</v>
      </c>
      <c r="J15" s="6">
        <v>22.34</v>
      </c>
      <c r="K15" s="6">
        <v>27.299999</v>
      </c>
      <c r="N15" s="19">
        <v>11</v>
      </c>
      <c r="O15" s="1">
        <v>43482</v>
      </c>
      <c r="P15" s="5">
        <f t="shared" si="22"/>
        <v>1.0075121907450446E-2</v>
      </c>
      <c r="Q15" s="5">
        <f t="shared" si="2"/>
        <v>2.1337759150707337E-3</v>
      </c>
      <c r="R15" s="5">
        <f t="shared" si="3"/>
        <v>8.5122274061733907E-3</v>
      </c>
      <c r="S15" s="5">
        <f t="shared" si="4"/>
        <v>8.0898125708925624E-3</v>
      </c>
      <c r="T15" s="5">
        <f t="shared" si="5"/>
        <v>4.368184296436861E-3</v>
      </c>
      <c r="U15" s="5">
        <f t="shared" si="6"/>
        <v>6.0379366151820943E-3</v>
      </c>
      <c r="V15" s="5">
        <f t="shared" si="7"/>
        <v>1.6965710734032025E-2</v>
      </c>
      <c r="W15" s="5">
        <f t="shared" si="8"/>
        <v>2.3002103836434067E-2</v>
      </c>
      <c r="X15" s="5">
        <f t="shared" si="9"/>
        <v>5.8362007594831324E-3</v>
      </c>
      <c r="Y15" s="5">
        <f t="shared" si="10"/>
        <v>6.9839651635456431E-3</v>
      </c>
      <c r="Z15" s="33">
        <v>11</v>
      </c>
      <c r="AE15" s="20" t="str">
        <f t="shared" si="23"/>
        <v/>
      </c>
      <c r="AF15" s="22" t="str">
        <f t="shared" si="11"/>
        <v/>
      </c>
      <c r="AG15" s="9" t="str">
        <f t="shared" ca="1" si="12"/>
        <v/>
      </c>
      <c r="AH15" s="9" t="str">
        <f t="shared" ca="1" si="13"/>
        <v/>
      </c>
      <c r="AI15" s="9" t="str">
        <f t="shared" ca="1" si="14"/>
        <v/>
      </c>
      <c r="AJ15" s="9" t="str">
        <f t="shared" ca="1" si="15"/>
        <v/>
      </c>
      <c r="AK15" s="9" t="str">
        <f t="shared" ca="1" si="16"/>
        <v/>
      </c>
      <c r="AL15" s="9" t="str">
        <f t="shared" ca="1" si="17"/>
        <v/>
      </c>
      <c r="AM15" s="9" t="str">
        <f t="shared" ca="1" si="18"/>
        <v/>
      </c>
      <c r="AN15" s="9" t="str">
        <f t="shared" ca="1" si="19"/>
        <v/>
      </c>
      <c r="AO15" s="9" t="str">
        <f t="shared" ca="1" si="20"/>
        <v/>
      </c>
      <c r="AP15" s="9" t="str">
        <f t="shared" ca="1" si="21"/>
        <v/>
      </c>
      <c r="AQ15" s="9"/>
      <c r="AR15" s="2" t="s">
        <v>5</v>
      </c>
      <c r="AS15" s="4">
        <f ca="1"/>
        <v>-4.0440126699235529E-6</v>
      </c>
      <c r="AT15" s="4">
        <f ca="1"/>
        <v>5.1595365785433986E-6</v>
      </c>
      <c r="AU15" s="4">
        <f ca="1"/>
        <v>-2.806044312214615E-6</v>
      </c>
      <c r="AV15" s="4">
        <f ca="1"/>
        <v>-3.9857019665853577E-6</v>
      </c>
      <c r="AW15" s="4">
        <f ca="1"/>
        <v>3.96359114702298E-5</v>
      </c>
      <c r="AX15" s="4">
        <f ca="1"/>
        <v>3.5082545294514282E-5</v>
      </c>
      <c r="AY15" s="4">
        <f ca="1"/>
        <v>3.3404389877597177E-6</v>
      </c>
      <c r="AZ15" s="4">
        <f ca="1"/>
        <v>4.3195904384714022E-6</v>
      </c>
      <c r="BA15" s="4">
        <f ca="1"/>
        <v>1.2999704712367646E-5</v>
      </c>
      <c r="BB15" s="4">
        <f ca="1"/>
        <v>6.4858968457652243E-5</v>
      </c>
    </row>
    <row r="16" spans="1:54" x14ac:dyDescent="0.3">
      <c r="A16" s="1">
        <v>43483</v>
      </c>
      <c r="B16" s="6">
        <v>247.509995</v>
      </c>
      <c r="C16" s="6">
        <v>91.489998</v>
      </c>
      <c r="D16" s="6">
        <v>27.790001</v>
      </c>
      <c r="E16" s="6">
        <v>110.07</v>
      </c>
      <c r="F16" s="6">
        <v>91.93</v>
      </c>
      <c r="G16" s="6">
        <v>41.68</v>
      </c>
      <c r="H16" s="6">
        <v>80.690002000000007</v>
      </c>
      <c r="I16" s="6">
        <v>167.759995</v>
      </c>
      <c r="J16" s="6">
        <v>22.25</v>
      </c>
      <c r="K16" s="6">
        <v>27.709999</v>
      </c>
      <c r="N16" s="18">
        <v>12</v>
      </c>
      <c r="O16" s="1">
        <v>43483</v>
      </c>
      <c r="P16" s="5">
        <f t="shared" si="22"/>
        <v>1.2644762284201937E-2</v>
      </c>
      <c r="Q16" s="5">
        <f t="shared" si="2"/>
        <v>2.6021498531029575E-2</v>
      </c>
      <c r="R16" s="5">
        <f t="shared" si="3"/>
        <v>2.3851872223210408E-2</v>
      </c>
      <c r="S16" s="5">
        <f t="shared" si="4"/>
        <v>7.7523211554604773E-3</v>
      </c>
      <c r="T16" s="5">
        <f t="shared" si="5"/>
        <v>1.7420037351637305E-3</v>
      </c>
      <c r="U16" s="5">
        <f t="shared" si="6"/>
        <v>3.6053638814287732E-3</v>
      </c>
      <c r="V16" s="5">
        <f t="shared" si="7"/>
        <v>2.0407644075337475E-2</v>
      </c>
      <c r="W16" s="5">
        <f t="shared" si="8"/>
        <v>9.1620093048590586E-3</v>
      </c>
      <c r="X16" s="5">
        <f t="shared" si="9"/>
        <v>-4.0367850288054053E-3</v>
      </c>
      <c r="Y16" s="5">
        <f t="shared" si="10"/>
        <v>1.4906657225954795E-2</v>
      </c>
      <c r="Z16" s="33">
        <v>12</v>
      </c>
      <c r="AE16" s="20" t="str">
        <f t="shared" si="23"/>
        <v/>
      </c>
      <c r="AF16" s="22" t="str">
        <f t="shared" si="11"/>
        <v/>
      </c>
      <c r="AG16" s="9" t="str">
        <f t="shared" ca="1" si="12"/>
        <v/>
      </c>
      <c r="AH16" s="9" t="str">
        <f t="shared" ca="1" si="13"/>
        <v/>
      </c>
      <c r="AI16" s="9" t="str">
        <f t="shared" ca="1" si="14"/>
        <v/>
      </c>
      <c r="AJ16" s="9" t="str">
        <f t="shared" ca="1" si="15"/>
        <v/>
      </c>
      <c r="AK16" s="9" t="str">
        <f t="shared" ca="1" si="16"/>
        <v/>
      </c>
      <c r="AL16" s="9" t="str">
        <f t="shared" ca="1" si="17"/>
        <v/>
      </c>
      <c r="AM16" s="9" t="str">
        <f t="shared" ca="1" si="18"/>
        <v/>
      </c>
      <c r="AN16" s="9" t="str">
        <f t="shared" ca="1" si="19"/>
        <v/>
      </c>
      <c r="AO16" s="9" t="str">
        <f t="shared" ca="1" si="20"/>
        <v/>
      </c>
      <c r="AP16" s="9" t="str">
        <f t="shared" ca="1" si="21"/>
        <v/>
      </c>
      <c r="AQ16" s="9"/>
      <c r="AR16" s="2" t="s">
        <v>10</v>
      </c>
      <c r="AS16" s="4">
        <f ca="1"/>
        <v>-1.2170359970674274E-5</v>
      </c>
      <c r="AT16" s="4">
        <f ca="1"/>
        <v>1.5527502648482389E-5</v>
      </c>
      <c r="AU16" s="4">
        <f ca="1"/>
        <v>-8.4447236348447296E-6</v>
      </c>
      <c r="AV16" s="4">
        <f ca="1"/>
        <v>-1.1994875295503254E-5</v>
      </c>
      <c r="AW16" s="4">
        <f ca="1"/>
        <v>1.1928333309786413E-4</v>
      </c>
      <c r="AX16" s="4">
        <f ca="1"/>
        <v>1.0558008586303341E-4</v>
      </c>
      <c r="AY16" s="4">
        <f ca="1"/>
        <v>1.0052971703938571E-5</v>
      </c>
      <c r="AZ16" s="4">
        <f ca="1"/>
        <v>1.2999704712367646E-5</v>
      </c>
      <c r="BA16" s="4">
        <f ca="1"/>
        <v>3.9122302221910613E-5</v>
      </c>
      <c r="BB16" s="4">
        <f ca="1"/>
        <v>1.9519152334187867E-4</v>
      </c>
    </row>
    <row r="17" spans="1:55" x14ac:dyDescent="0.3">
      <c r="A17" s="1">
        <v>43487</v>
      </c>
      <c r="B17" s="6">
        <v>243.85000600000001</v>
      </c>
      <c r="C17" s="6">
        <v>89.790001000000004</v>
      </c>
      <c r="D17" s="6">
        <v>27.74</v>
      </c>
      <c r="E17" s="6">
        <v>109.910004</v>
      </c>
      <c r="F17" s="6">
        <v>91.760002</v>
      </c>
      <c r="G17" s="6">
        <v>41.869999</v>
      </c>
      <c r="H17" s="6">
        <v>79.290001000000004</v>
      </c>
      <c r="I17" s="6">
        <v>162.64999399999999</v>
      </c>
      <c r="J17" s="6">
        <v>21.65</v>
      </c>
      <c r="K17" s="6">
        <v>26.6</v>
      </c>
      <c r="N17" s="19">
        <v>13</v>
      </c>
      <c r="O17" s="1">
        <v>43487</v>
      </c>
      <c r="P17" s="5">
        <f t="shared" si="22"/>
        <v>-1.489765827037212E-2</v>
      </c>
      <c r="Q17" s="5">
        <f t="shared" si="2"/>
        <v>-1.8756033161316184E-2</v>
      </c>
      <c r="R17" s="5">
        <f t="shared" si="3"/>
        <v>-1.8008648518932091E-3</v>
      </c>
      <c r="S17" s="5">
        <f t="shared" si="4"/>
        <v>-1.4546415610792096E-3</v>
      </c>
      <c r="T17" s="5">
        <f t="shared" si="5"/>
        <v>-1.8509232585588299E-3</v>
      </c>
      <c r="U17" s="5">
        <f t="shared" si="6"/>
        <v>4.5481587024914644E-3</v>
      </c>
      <c r="V17" s="5">
        <f t="shared" si="7"/>
        <v>-1.7502646750395468E-2</v>
      </c>
      <c r="W17" s="5">
        <f t="shared" si="8"/>
        <v>-3.093374075884732E-2</v>
      </c>
      <c r="X17" s="5">
        <f t="shared" si="9"/>
        <v>-2.7336554163750387E-2</v>
      </c>
      <c r="Y17" s="5">
        <f t="shared" si="10"/>
        <v>-4.0882106999178054E-2</v>
      </c>
      <c r="Z17" s="33">
        <v>13</v>
      </c>
      <c r="AE17" s="20" t="str">
        <f t="shared" si="23"/>
        <v/>
      </c>
      <c r="AF17" s="22" t="str">
        <f t="shared" si="11"/>
        <v/>
      </c>
      <c r="AG17" s="9" t="str">
        <f t="shared" ca="1" si="12"/>
        <v/>
      </c>
      <c r="AH17" s="9" t="str">
        <f t="shared" ca="1" si="13"/>
        <v/>
      </c>
      <c r="AI17" s="9" t="str">
        <f t="shared" ca="1" si="14"/>
        <v/>
      </c>
      <c r="AJ17" s="9" t="str">
        <f t="shared" ca="1" si="15"/>
        <v/>
      </c>
      <c r="AK17" s="9" t="str">
        <f t="shared" ca="1" si="16"/>
        <v/>
      </c>
      <c r="AL17" s="9" t="str">
        <f t="shared" ca="1" si="17"/>
        <v/>
      </c>
      <c r="AM17" s="9" t="str">
        <f t="shared" ca="1" si="18"/>
        <v/>
      </c>
      <c r="AN17" s="9" t="str">
        <f t="shared" ca="1" si="19"/>
        <v/>
      </c>
      <c r="AO17" s="9" t="str">
        <f t="shared" ca="1" si="20"/>
        <v/>
      </c>
      <c r="AP17" s="9" t="str">
        <f t="shared" ca="1" si="21"/>
        <v/>
      </c>
      <c r="AQ17" s="9"/>
      <c r="AR17" s="2" t="s">
        <v>8</v>
      </c>
      <c r="AS17" s="4">
        <f ca="1"/>
        <v>-6.0721147973865789E-5</v>
      </c>
      <c r="AT17" s="4">
        <f ca="1"/>
        <v>7.7470821590731905E-5</v>
      </c>
      <c r="AU17" s="4">
        <f ca="1"/>
        <v>-4.2132961939119989E-5</v>
      </c>
      <c r="AV17" s="4">
        <f ca="1"/>
        <v>-5.9845608470196117E-5</v>
      </c>
      <c r="AW17" s="4">
        <f ca="1"/>
        <v>5.9513612886587827E-4</v>
      </c>
      <c r="AX17" s="4">
        <f ca="1"/>
        <v>5.2676700050208311E-4</v>
      </c>
      <c r="AY17" s="4">
        <f ca="1"/>
        <v>5.0156937336514971E-5</v>
      </c>
      <c r="AZ17" s="4">
        <f ca="1"/>
        <v>6.4858968457652243E-5</v>
      </c>
      <c r="BA17" s="4">
        <f ca="1"/>
        <v>1.9519152334187867E-4</v>
      </c>
      <c r="BB17" s="4">
        <f ca="1"/>
        <v>9.7386218654548504E-4</v>
      </c>
    </row>
    <row r="18" spans="1:55" x14ac:dyDescent="0.3">
      <c r="A18" s="1">
        <v>43488</v>
      </c>
      <c r="B18" s="6">
        <v>245.13999899999999</v>
      </c>
      <c r="C18" s="6">
        <v>89.980002999999996</v>
      </c>
      <c r="D18" s="6">
        <v>27.59</v>
      </c>
      <c r="E18" s="6">
        <v>110.730003</v>
      </c>
      <c r="F18" s="6">
        <v>92.559997999999993</v>
      </c>
      <c r="G18" s="6">
        <v>41.959999000000003</v>
      </c>
      <c r="H18" s="6">
        <v>78.819999999999993</v>
      </c>
      <c r="I18" s="6">
        <v>163.16999799999999</v>
      </c>
      <c r="J18" s="6">
        <v>21.9</v>
      </c>
      <c r="K18" s="6">
        <v>26.559999000000001</v>
      </c>
      <c r="N18" s="18">
        <v>14</v>
      </c>
      <c r="O18" s="1">
        <v>43488</v>
      </c>
      <c r="P18" s="5">
        <f t="shared" si="22"/>
        <v>5.2761650723659077E-3</v>
      </c>
      <c r="Q18" s="5">
        <f t="shared" si="2"/>
        <v>2.1138350839531692E-3</v>
      </c>
      <c r="R18" s="5">
        <f t="shared" si="3"/>
        <v>-5.4220266574907302E-3</v>
      </c>
      <c r="S18" s="5">
        <f t="shared" si="4"/>
        <v>7.4329473287241534E-3</v>
      </c>
      <c r="T18" s="5">
        <f t="shared" si="5"/>
        <v>8.6805666607103829E-3</v>
      </c>
      <c r="U18" s="5">
        <f t="shared" si="6"/>
        <v>2.1472035482720726E-3</v>
      </c>
      <c r="V18" s="5">
        <f t="shared" si="7"/>
        <v>-5.9452581293808846E-3</v>
      </c>
      <c r="W18" s="5">
        <f t="shared" si="8"/>
        <v>3.1919738154895468E-3</v>
      </c>
      <c r="X18" s="5">
        <f t="shared" si="9"/>
        <v>1.1481182373956232E-2</v>
      </c>
      <c r="Y18" s="5">
        <f t="shared" si="10"/>
        <v>-1.5049288300233578E-3</v>
      </c>
      <c r="Z18" s="33">
        <v>14</v>
      </c>
      <c r="AE18" s="20" t="str">
        <f t="shared" si="23"/>
        <v/>
      </c>
      <c r="AF18" s="22" t="str">
        <f t="shared" si="11"/>
        <v/>
      </c>
      <c r="AG18" s="9" t="str">
        <f t="shared" ca="1" si="12"/>
        <v/>
      </c>
      <c r="AH18" s="9" t="str">
        <f t="shared" ca="1" si="13"/>
        <v/>
      </c>
      <c r="AI18" s="9" t="str">
        <f t="shared" ca="1" si="14"/>
        <v/>
      </c>
      <c r="AJ18" s="9" t="str">
        <f t="shared" ca="1" si="15"/>
        <v/>
      </c>
      <c r="AK18" s="9" t="str">
        <f t="shared" ca="1" si="16"/>
        <v/>
      </c>
      <c r="AL18" s="9" t="str">
        <f t="shared" ca="1" si="17"/>
        <v/>
      </c>
      <c r="AM18" s="9" t="str">
        <f t="shared" ca="1" si="18"/>
        <v/>
      </c>
      <c r="AN18" s="9" t="str">
        <f t="shared" ca="1" si="19"/>
        <v/>
      </c>
      <c r="AO18" s="9" t="str">
        <f t="shared" ca="1" si="20"/>
        <v/>
      </c>
      <c r="AP18" s="9" t="str">
        <f t="shared" ca="1" si="21"/>
        <v/>
      </c>
      <c r="AQ18" s="9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</row>
    <row r="19" spans="1:55" x14ac:dyDescent="0.3">
      <c r="A19" s="1">
        <v>43489</v>
      </c>
      <c r="B19" s="6">
        <v>242.55999800000001</v>
      </c>
      <c r="C19" s="6">
        <v>91.419998000000007</v>
      </c>
      <c r="D19" s="6">
        <v>27.68</v>
      </c>
      <c r="E19" s="6">
        <v>109.5</v>
      </c>
      <c r="F19" s="6">
        <v>92.32</v>
      </c>
      <c r="G19" s="6">
        <v>41.900002000000001</v>
      </c>
      <c r="H19" s="6">
        <v>79.180000000000007</v>
      </c>
      <c r="I19" s="6">
        <v>163.36999499999999</v>
      </c>
      <c r="J19" s="6">
        <v>22.24</v>
      </c>
      <c r="K19" s="6">
        <v>27.32</v>
      </c>
      <c r="N19" s="19">
        <v>15</v>
      </c>
      <c r="O19" s="1">
        <v>43489</v>
      </c>
      <c r="P19" s="5">
        <f t="shared" si="22"/>
        <v>-1.0580377625093219E-2</v>
      </c>
      <c r="Q19" s="5">
        <f t="shared" si="2"/>
        <v>1.5876794272779084E-2</v>
      </c>
      <c r="R19" s="5">
        <f t="shared" si="3"/>
        <v>3.2567425202740725E-3</v>
      </c>
      <c r="S19" s="5">
        <f t="shared" si="4"/>
        <v>-1.117028354638978E-2</v>
      </c>
      <c r="T19" s="5">
        <f t="shared" si="5"/>
        <v>-2.5962585180255887E-3</v>
      </c>
      <c r="U19" s="5">
        <f t="shared" si="6"/>
        <v>-1.4308850350872025E-3</v>
      </c>
      <c r="V19" s="5">
        <f t="shared" si="7"/>
        <v>4.5569699111271556E-3</v>
      </c>
      <c r="W19" s="5">
        <f t="shared" si="8"/>
        <v>1.2249465872186049E-3</v>
      </c>
      <c r="X19" s="5">
        <f t="shared" si="9"/>
        <v>1.5405832559926391E-2</v>
      </c>
      <c r="Y19" s="5">
        <f t="shared" si="10"/>
        <v>2.8212747744959309E-2</v>
      </c>
      <c r="Z19" s="33">
        <v>15</v>
      </c>
      <c r="AA19" s="9"/>
      <c r="AE19" s="20" t="str">
        <f t="shared" si="23"/>
        <v/>
      </c>
      <c r="AF19" s="22" t="str">
        <f t="shared" si="11"/>
        <v/>
      </c>
      <c r="AG19" s="9" t="str">
        <f t="shared" ca="1" si="12"/>
        <v/>
      </c>
      <c r="AH19" s="9" t="str">
        <f t="shared" ca="1" si="13"/>
        <v/>
      </c>
      <c r="AI19" s="9" t="str">
        <f t="shared" ca="1" si="14"/>
        <v/>
      </c>
      <c r="AJ19" s="9" t="str">
        <f t="shared" ca="1" si="15"/>
        <v/>
      </c>
      <c r="AK19" s="9" t="str">
        <f t="shared" ca="1" si="16"/>
        <v/>
      </c>
      <c r="AL19" s="9" t="str">
        <f t="shared" ca="1" si="17"/>
        <v/>
      </c>
      <c r="AM19" s="9" t="str">
        <f t="shared" ca="1" si="18"/>
        <v/>
      </c>
      <c r="AN19" s="9" t="str">
        <f t="shared" ca="1" si="19"/>
        <v/>
      </c>
      <c r="AO19" s="9" t="str">
        <f t="shared" ca="1" si="20"/>
        <v/>
      </c>
      <c r="AP19" s="9" t="str">
        <f t="shared" ca="1" si="21"/>
        <v/>
      </c>
      <c r="AQ19" s="9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</row>
    <row r="20" spans="1:55" x14ac:dyDescent="0.3">
      <c r="A20" s="1">
        <v>43490</v>
      </c>
      <c r="B20" s="6">
        <v>244.949997</v>
      </c>
      <c r="C20" s="6">
        <v>93.550003000000004</v>
      </c>
      <c r="D20" s="6">
        <v>27.924999</v>
      </c>
      <c r="E20" s="6">
        <v>109.349998</v>
      </c>
      <c r="F20" s="6">
        <v>93.519997000000004</v>
      </c>
      <c r="G20" s="6">
        <v>42.419998</v>
      </c>
      <c r="H20" s="6">
        <v>79.480002999999996</v>
      </c>
      <c r="I20" s="6">
        <v>163.220001</v>
      </c>
      <c r="J20" s="6">
        <v>22.41</v>
      </c>
      <c r="K20" s="6">
        <v>27.68</v>
      </c>
      <c r="N20" s="18">
        <v>16</v>
      </c>
      <c r="O20" s="1">
        <v>43490</v>
      </c>
      <c r="P20" s="5">
        <f t="shared" si="22"/>
        <v>9.8050016285620937E-3</v>
      </c>
      <c r="Q20" s="5">
        <f t="shared" si="2"/>
        <v>2.3031833761963591E-2</v>
      </c>
      <c r="R20" s="5">
        <f t="shared" si="3"/>
        <v>8.8121783955890688E-3</v>
      </c>
      <c r="S20" s="5">
        <f t="shared" si="4"/>
        <v>-1.370820423673617E-3</v>
      </c>
      <c r="T20" s="5">
        <f t="shared" si="5"/>
        <v>1.291448232532337E-2</v>
      </c>
      <c r="U20" s="5">
        <f t="shared" si="6"/>
        <v>1.2334027328175642E-2</v>
      </c>
      <c r="V20" s="5">
        <f t="shared" si="7"/>
        <v>3.7817137509753413E-3</v>
      </c>
      <c r="W20" s="5">
        <f t="shared" si="8"/>
        <v>-9.1854626524539087E-4</v>
      </c>
      <c r="X20" s="5">
        <f t="shared" si="9"/>
        <v>7.6148184304540107E-3</v>
      </c>
      <c r="Y20" s="5">
        <f t="shared" si="10"/>
        <v>1.309109604687942E-2</v>
      </c>
      <c r="Z20" s="33">
        <v>16</v>
      </c>
      <c r="AE20" s="20" t="str">
        <f t="shared" si="23"/>
        <v/>
      </c>
      <c r="AF20" s="22" t="str">
        <f t="shared" si="11"/>
        <v/>
      </c>
      <c r="AG20" s="9" t="str">
        <f t="shared" ca="1" si="12"/>
        <v/>
      </c>
      <c r="AH20" s="9" t="str">
        <f t="shared" ca="1" si="13"/>
        <v/>
      </c>
      <c r="AI20" s="9" t="str">
        <f t="shared" ca="1" si="14"/>
        <v/>
      </c>
      <c r="AJ20" s="9" t="str">
        <f t="shared" ca="1" si="15"/>
        <v/>
      </c>
      <c r="AK20" s="9" t="str">
        <f t="shared" ca="1" si="16"/>
        <v/>
      </c>
      <c r="AL20" s="9" t="str">
        <f t="shared" ca="1" si="17"/>
        <v/>
      </c>
      <c r="AM20" s="9" t="str">
        <f t="shared" ca="1" si="18"/>
        <v/>
      </c>
      <c r="AN20" s="9" t="str">
        <f t="shared" ca="1" si="19"/>
        <v/>
      </c>
      <c r="AO20" s="9" t="str">
        <f t="shared" ca="1" si="20"/>
        <v/>
      </c>
      <c r="AP20" s="9" t="str">
        <f t="shared" ca="1" si="21"/>
        <v/>
      </c>
      <c r="AQ20" s="9"/>
      <c r="AR20" s="26"/>
      <c r="AS20" s="32">
        <v>0</v>
      </c>
      <c r="AT20" s="32">
        <v>1</v>
      </c>
      <c r="AU20" s="32">
        <v>2</v>
      </c>
      <c r="AV20" s="32">
        <v>3</v>
      </c>
      <c r="AW20" s="32">
        <v>4</v>
      </c>
      <c r="AX20" s="32">
        <v>5</v>
      </c>
      <c r="AY20" s="32">
        <v>6</v>
      </c>
      <c r="AZ20" s="32">
        <v>7</v>
      </c>
      <c r="BA20" s="32">
        <v>8</v>
      </c>
      <c r="BB20" s="32">
        <v>9</v>
      </c>
    </row>
    <row r="21" spans="1:55" x14ac:dyDescent="0.3">
      <c r="A21" s="1">
        <v>43493</v>
      </c>
      <c r="B21" s="6">
        <v>241.85000600000001</v>
      </c>
      <c r="C21" s="6">
        <v>91.650002000000001</v>
      </c>
      <c r="D21" s="6">
        <v>27.780000999999999</v>
      </c>
      <c r="E21" s="6">
        <v>108.82</v>
      </c>
      <c r="F21" s="6">
        <v>94.75</v>
      </c>
      <c r="G21" s="6">
        <v>42.970001000000003</v>
      </c>
      <c r="H21" s="6">
        <v>79.239998</v>
      </c>
      <c r="I21" s="6">
        <v>162.86000100000001</v>
      </c>
      <c r="J21" s="6">
        <v>22.5</v>
      </c>
      <c r="K21" s="6">
        <v>27.790001</v>
      </c>
      <c r="N21" s="19">
        <v>17</v>
      </c>
      <c r="O21" s="1">
        <v>43493</v>
      </c>
      <c r="P21" s="5">
        <f t="shared" si="22"/>
        <v>-1.2736371759428645E-2</v>
      </c>
      <c r="Q21" s="5">
        <f t="shared" si="2"/>
        <v>-2.0519088680647442E-2</v>
      </c>
      <c r="R21" s="5">
        <f t="shared" si="3"/>
        <v>-5.2059358217406235E-3</v>
      </c>
      <c r="S21" s="5">
        <f t="shared" si="4"/>
        <v>-4.8585877751026385E-3</v>
      </c>
      <c r="T21" s="5">
        <f t="shared" si="5"/>
        <v>1.3066558877423052E-2</v>
      </c>
      <c r="U21" s="5">
        <f t="shared" si="6"/>
        <v>1.288231906999034E-2</v>
      </c>
      <c r="V21" s="5">
        <f t="shared" si="7"/>
        <v>-3.0242588383880904E-3</v>
      </c>
      <c r="W21" s="5">
        <f t="shared" si="8"/>
        <v>-2.2080479885685069E-3</v>
      </c>
      <c r="X21" s="5">
        <f t="shared" si="9"/>
        <v>4.0080213975388678E-3</v>
      </c>
      <c r="Y21" s="5">
        <f t="shared" si="10"/>
        <v>3.9661489891099737E-3</v>
      </c>
      <c r="Z21" s="33">
        <v>17</v>
      </c>
      <c r="AE21" s="20" t="str">
        <f t="shared" si="23"/>
        <v/>
      </c>
      <c r="AF21" s="22" t="str">
        <f t="shared" si="11"/>
        <v/>
      </c>
      <c r="AG21" s="9" t="str">
        <f t="shared" ca="1" si="12"/>
        <v/>
      </c>
      <c r="AH21" s="9" t="str">
        <f t="shared" ca="1" si="13"/>
        <v/>
      </c>
      <c r="AI21" s="9" t="str">
        <f t="shared" ca="1" si="14"/>
        <v/>
      </c>
      <c r="AJ21" s="9" t="str">
        <f t="shared" ca="1" si="15"/>
        <v/>
      </c>
      <c r="AK21" s="9" t="str">
        <f t="shared" ca="1" si="16"/>
        <v/>
      </c>
      <c r="AL21" s="9" t="str">
        <f t="shared" ca="1" si="17"/>
        <v/>
      </c>
      <c r="AM21" s="9" t="str">
        <f t="shared" ca="1" si="18"/>
        <v/>
      </c>
      <c r="AN21" s="9" t="str">
        <f t="shared" ca="1" si="19"/>
        <v/>
      </c>
      <c r="AO21" s="9" t="str">
        <f t="shared" ca="1" si="20"/>
        <v/>
      </c>
      <c r="AP21" s="9" t="str">
        <f t="shared" ca="1" si="21"/>
        <v/>
      </c>
      <c r="AQ21" s="9"/>
      <c r="AR21" s="21" t="s">
        <v>23</v>
      </c>
      <c r="AS21" s="2" t="s">
        <v>0</v>
      </c>
      <c r="AT21" s="2" t="s">
        <v>6</v>
      </c>
      <c r="AU21" s="2" t="s">
        <v>3</v>
      </c>
      <c r="AV21" s="2" t="s">
        <v>4</v>
      </c>
      <c r="AW21" s="2" t="s">
        <v>1</v>
      </c>
      <c r="AX21" s="2" t="s">
        <v>7</v>
      </c>
      <c r="AY21" s="2" t="s">
        <v>2</v>
      </c>
      <c r="AZ21" s="2" t="s">
        <v>5</v>
      </c>
      <c r="BA21" s="2" t="s">
        <v>10</v>
      </c>
      <c r="BB21" s="2" t="s">
        <v>8</v>
      </c>
    </row>
    <row r="22" spans="1:55" x14ac:dyDescent="0.3">
      <c r="A22" s="1">
        <v>43494</v>
      </c>
      <c r="B22" s="6">
        <v>238.270004</v>
      </c>
      <c r="C22" s="6">
        <v>90.339995999999999</v>
      </c>
      <c r="D22" s="6">
        <v>27.74</v>
      </c>
      <c r="E22" s="6">
        <v>109</v>
      </c>
      <c r="F22" s="6">
        <v>96.010002</v>
      </c>
      <c r="G22" s="6">
        <v>43.259998000000003</v>
      </c>
      <c r="H22" s="6">
        <v>86.160004000000001</v>
      </c>
      <c r="I22" s="6">
        <v>162.35000600000001</v>
      </c>
      <c r="J22" s="6">
        <v>22.76</v>
      </c>
      <c r="K22" s="6">
        <v>27.4</v>
      </c>
      <c r="N22" s="18">
        <v>18</v>
      </c>
      <c r="O22" s="1">
        <v>43494</v>
      </c>
      <c r="P22" s="5">
        <f t="shared" si="22"/>
        <v>-1.4913222843522428E-2</v>
      </c>
      <c r="Q22" s="5">
        <f t="shared" si="2"/>
        <v>-1.4396710158581297E-2</v>
      </c>
      <c r="R22" s="5">
        <f t="shared" si="3"/>
        <v>-1.4409584366317657E-3</v>
      </c>
      <c r="S22" s="5">
        <f t="shared" si="4"/>
        <v>1.6527411713644531E-3</v>
      </c>
      <c r="T22" s="5">
        <f t="shared" si="5"/>
        <v>1.3210529578159923E-2</v>
      </c>
      <c r="U22" s="5">
        <f t="shared" si="6"/>
        <v>6.7261532338728511E-3</v>
      </c>
      <c r="V22" s="5">
        <f t="shared" si="7"/>
        <v>8.3724882682815444E-2</v>
      </c>
      <c r="W22" s="5">
        <f t="shared" si="8"/>
        <v>-3.1364066731828792E-3</v>
      </c>
      <c r="X22" s="5">
        <f t="shared" si="9"/>
        <v>1.148930004775571E-2</v>
      </c>
      <c r="Y22" s="5">
        <f t="shared" si="10"/>
        <v>-1.4133266344554177E-2</v>
      </c>
      <c r="Z22" s="33">
        <v>18</v>
      </c>
      <c r="AE22" s="20" t="str">
        <f t="shared" si="23"/>
        <v/>
      </c>
      <c r="AF22" s="22" t="str">
        <f t="shared" si="11"/>
        <v/>
      </c>
      <c r="AG22" s="9" t="str">
        <f t="shared" ca="1" si="12"/>
        <v/>
      </c>
      <c r="AH22" s="9" t="str">
        <f t="shared" ca="1" si="13"/>
        <v/>
      </c>
      <c r="AI22" s="9" t="str">
        <f t="shared" ca="1" si="14"/>
        <v/>
      </c>
      <c r="AJ22" s="9" t="str">
        <f t="shared" ca="1" si="15"/>
        <v/>
      </c>
      <c r="AK22" s="9" t="str">
        <f t="shared" ca="1" si="16"/>
        <v/>
      </c>
      <c r="AL22" s="9" t="str">
        <f t="shared" ca="1" si="17"/>
        <v/>
      </c>
      <c r="AM22" s="9" t="str">
        <f t="shared" ca="1" si="18"/>
        <v/>
      </c>
      <c r="AN22" s="9" t="str">
        <f t="shared" ca="1" si="19"/>
        <v/>
      </c>
      <c r="AO22" s="9" t="str">
        <f t="shared" ca="1" si="20"/>
        <v/>
      </c>
      <c r="AP22" s="9" t="str">
        <f t="shared" ca="1" si="21"/>
        <v/>
      </c>
      <c r="AQ22" s="9"/>
      <c r="AR22" s="2" t="s">
        <v>0</v>
      </c>
      <c r="AS22" s="4">
        <f ca="1">AS8/(OFFSET($AS$8,AS$20,AS$20)*OFFSET($AS$8,$BC22,$BC22))^0.5</f>
        <v>1</v>
      </c>
      <c r="AT22" s="4">
        <f t="shared" ref="AT22:BB22" ca="1" si="24">AT8/(OFFSET($AS$8,AT$20,AT$20)*OFFSET($AS$8,$BC22,$BC22))^0.5</f>
        <v>-1.0000000000000002</v>
      </c>
      <c r="AU22" s="4">
        <f t="shared" ca="1" si="24"/>
        <v>1.0000000000000004</v>
      </c>
      <c r="AV22" s="4">
        <f t="shared" ca="1" si="24"/>
        <v>1</v>
      </c>
      <c r="AW22" s="4">
        <f t="shared" ca="1" si="24"/>
        <v>-1</v>
      </c>
      <c r="AX22" s="4">
        <f t="shared" ca="1" si="24"/>
        <v>-1</v>
      </c>
      <c r="AY22" s="4">
        <f t="shared" ca="1" si="24"/>
        <v>-1</v>
      </c>
      <c r="AZ22" s="4">
        <f t="shared" ca="1" si="24"/>
        <v>-1</v>
      </c>
      <c r="BA22" s="4">
        <f t="shared" ca="1" si="24"/>
        <v>-1.0000000000000002</v>
      </c>
      <c r="BB22" s="4">
        <f t="shared" ca="1" si="24"/>
        <v>-1</v>
      </c>
      <c r="BC22" s="32">
        <v>0</v>
      </c>
    </row>
    <row r="23" spans="1:55" x14ac:dyDescent="0.3">
      <c r="A23" s="1">
        <v>43495</v>
      </c>
      <c r="B23" s="6">
        <v>242.66999799999999</v>
      </c>
      <c r="C23" s="6">
        <v>92.43</v>
      </c>
      <c r="D23" s="6">
        <v>28.110001</v>
      </c>
      <c r="E23" s="6">
        <v>110.82</v>
      </c>
      <c r="F23" s="6">
        <v>96.57</v>
      </c>
      <c r="G23" s="6">
        <v>43.630001</v>
      </c>
      <c r="H23" s="6">
        <v>88.82</v>
      </c>
      <c r="I23" s="6">
        <v>164</v>
      </c>
      <c r="J23" s="6">
        <v>22.719999000000001</v>
      </c>
      <c r="K23" s="6">
        <v>26.74</v>
      </c>
      <c r="N23" s="19">
        <v>19</v>
      </c>
      <c r="O23" s="1">
        <v>43495</v>
      </c>
      <c r="P23" s="5">
        <f t="shared" si="22"/>
        <v>1.8297986222090522E-2</v>
      </c>
      <c r="Q23" s="5">
        <f t="shared" si="2"/>
        <v>2.2871315327404385E-2</v>
      </c>
      <c r="R23" s="5">
        <f t="shared" si="3"/>
        <v>1.3250005606283153E-2</v>
      </c>
      <c r="S23" s="5">
        <f t="shared" si="4"/>
        <v>1.6559381210059877E-2</v>
      </c>
      <c r="T23" s="5">
        <f t="shared" si="5"/>
        <v>5.8157604381308924E-3</v>
      </c>
      <c r="U23" s="5">
        <f t="shared" si="6"/>
        <v>8.5166357627005484E-3</v>
      </c>
      <c r="V23" s="5">
        <f t="shared" si="7"/>
        <v>3.0405770590568759E-2</v>
      </c>
      <c r="W23" s="5">
        <f t="shared" si="8"/>
        <v>1.0111892318152904E-2</v>
      </c>
      <c r="X23" s="5">
        <f t="shared" si="9"/>
        <v>-1.7590594192650694E-3</v>
      </c>
      <c r="Y23" s="5">
        <f t="shared" si="10"/>
        <v>-2.4382441720227403E-2</v>
      </c>
      <c r="Z23" s="33">
        <v>19</v>
      </c>
      <c r="AE23" s="20" t="str">
        <f t="shared" si="23"/>
        <v/>
      </c>
      <c r="AF23" s="22" t="str">
        <f t="shared" si="11"/>
        <v/>
      </c>
      <c r="AG23" s="9" t="str">
        <f t="shared" ca="1" si="12"/>
        <v/>
      </c>
      <c r="AH23" s="9" t="str">
        <f t="shared" ca="1" si="13"/>
        <v/>
      </c>
      <c r="AI23" s="9" t="str">
        <f t="shared" ca="1" si="14"/>
        <v/>
      </c>
      <c r="AJ23" s="9" t="str">
        <f t="shared" ca="1" si="15"/>
        <v/>
      </c>
      <c r="AK23" s="9" t="str">
        <f t="shared" ca="1" si="16"/>
        <v/>
      </c>
      <c r="AL23" s="9" t="str">
        <f t="shared" ca="1" si="17"/>
        <v/>
      </c>
      <c r="AM23" s="9" t="str">
        <f t="shared" ca="1" si="18"/>
        <v/>
      </c>
      <c r="AN23" s="9" t="str">
        <f t="shared" ca="1" si="19"/>
        <v/>
      </c>
      <c r="AO23" s="9" t="str">
        <f t="shared" ca="1" si="20"/>
        <v/>
      </c>
      <c r="AP23" s="9" t="str">
        <f t="shared" ca="1" si="21"/>
        <v/>
      </c>
      <c r="AQ23" s="9"/>
      <c r="AR23" s="2" t="s">
        <v>6</v>
      </c>
      <c r="AS23" s="4">
        <f t="shared" ref="AS23:BB23" ca="1" si="25">AS9/(OFFSET($AS$8,AS$20,AS$20)*OFFSET($AS$8,$BC23,$BC23))^0.5</f>
        <v>-1.0000000000000002</v>
      </c>
      <c r="AT23" s="4">
        <f t="shared" ca="1" si="25"/>
        <v>1</v>
      </c>
      <c r="AU23" s="4">
        <f t="shared" ca="1" si="25"/>
        <v>-1.0000000000000002</v>
      </c>
      <c r="AV23" s="4">
        <f t="shared" ca="1" si="25"/>
        <v>-1.0000000000000002</v>
      </c>
      <c r="AW23" s="4">
        <f t="shared" ca="1" si="25"/>
        <v>1.0000000000000002</v>
      </c>
      <c r="AX23" s="4">
        <f t="shared" ca="1" si="25"/>
        <v>1.0000000000000002</v>
      </c>
      <c r="AY23" s="4">
        <f t="shared" ca="1" si="25"/>
        <v>1</v>
      </c>
      <c r="AZ23" s="4">
        <f t="shared" ca="1" si="25"/>
        <v>0.99999999999999989</v>
      </c>
      <c r="BA23" s="4">
        <f t="shared" ca="1" si="25"/>
        <v>1.0000000000000004</v>
      </c>
      <c r="BB23" s="4">
        <f t="shared" ca="1" si="25"/>
        <v>1</v>
      </c>
      <c r="BC23" s="32">
        <v>1</v>
      </c>
    </row>
    <row r="24" spans="1:55" x14ac:dyDescent="0.3">
      <c r="A24" s="1">
        <v>43496</v>
      </c>
      <c r="B24" s="6">
        <v>247.820007</v>
      </c>
      <c r="C24" s="6">
        <v>93.349997999999999</v>
      </c>
      <c r="D24" s="6">
        <v>28.620000999999998</v>
      </c>
      <c r="E24" s="6">
        <v>112.66999800000001</v>
      </c>
      <c r="F24" s="6">
        <v>96.949996999999996</v>
      </c>
      <c r="G24" s="6">
        <v>43.75</v>
      </c>
      <c r="H24" s="6">
        <v>87.830001999999993</v>
      </c>
      <c r="I24" s="6">
        <v>165.990005</v>
      </c>
      <c r="J24" s="6">
        <v>22.75</v>
      </c>
      <c r="K24" s="6">
        <v>28.379999000000002</v>
      </c>
      <c r="N24" s="18">
        <v>20</v>
      </c>
      <c r="O24" s="1">
        <v>43496</v>
      </c>
      <c r="P24" s="5">
        <f t="shared" si="22"/>
        <v>2.1000216978328452E-2</v>
      </c>
      <c r="Q24" s="5">
        <f t="shared" si="2"/>
        <v>9.9042472862994092E-3</v>
      </c>
      <c r="R24" s="5">
        <f t="shared" si="3"/>
        <v>1.7980388575936635E-2</v>
      </c>
      <c r="S24" s="5">
        <f t="shared" si="4"/>
        <v>1.6555910985916827E-2</v>
      </c>
      <c r="T24" s="5">
        <f t="shared" si="5"/>
        <v>3.9272167660483444E-3</v>
      </c>
      <c r="U24" s="5">
        <f t="shared" si="6"/>
        <v>2.7466027480962524E-3</v>
      </c>
      <c r="V24" s="5">
        <f t="shared" si="7"/>
        <v>-1.1208699163667768E-2</v>
      </c>
      <c r="W24" s="5">
        <f t="shared" si="8"/>
        <v>1.2061147876225637E-2</v>
      </c>
      <c r="X24" s="5">
        <f t="shared" si="9"/>
        <v>1.3195955580943104E-3</v>
      </c>
      <c r="Y24" s="5">
        <f t="shared" si="10"/>
        <v>5.952406482201722E-2</v>
      </c>
      <c r="Z24" s="33">
        <v>20</v>
      </c>
      <c r="AE24" s="20" t="str">
        <f t="shared" si="23"/>
        <v/>
      </c>
      <c r="AF24" s="22" t="str">
        <f t="shared" si="11"/>
        <v/>
      </c>
      <c r="AG24" s="9" t="str">
        <f t="shared" ca="1" si="12"/>
        <v/>
      </c>
      <c r="AH24" s="9" t="str">
        <f t="shared" ca="1" si="13"/>
        <v/>
      </c>
      <c r="AI24" s="9" t="str">
        <f t="shared" ca="1" si="14"/>
        <v/>
      </c>
      <c r="AJ24" s="9" t="str">
        <f t="shared" ca="1" si="15"/>
        <v/>
      </c>
      <c r="AK24" s="9" t="str">
        <f t="shared" ca="1" si="16"/>
        <v/>
      </c>
      <c r="AL24" s="9" t="str">
        <f t="shared" ca="1" si="17"/>
        <v/>
      </c>
      <c r="AM24" s="9" t="str">
        <f t="shared" ca="1" si="18"/>
        <v/>
      </c>
      <c r="AN24" s="9" t="str">
        <f t="shared" ca="1" si="19"/>
        <v/>
      </c>
      <c r="AO24" s="9" t="str">
        <f t="shared" ca="1" si="20"/>
        <v/>
      </c>
      <c r="AP24" s="9" t="str">
        <f t="shared" ca="1" si="21"/>
        <v/>
      </c>
      <c r="AQ24" s="9"/>
      <c r="AR24" s="2" t="s">
        <v>3</v>
      </c>
      <c r="AS24" s="4">
        <f t="shared" ref="AS24:BB24" ca="1" si="26">AS10/(OFFSET($AS$8,AS$20,AS$20)*OFFSET($AS$8,$BC24,$BC24))^0.5</f>
        <v>1.0000000000000004</v>
      </c>
      <c r="AT24" s="4">
        <f t="shared" ca="1" si="26"/>
        <v>-1.0000000000000002</v>
      </c>
      <c r="AU24" s="4">
        <f t="shared" ca="1" si="26"/>
        <v>1</v>
      </c>
      <c r="AV24" s="4">
        <f t="shared" ca="1" si="26"/>
        <v>1.0000000000000007</v>
      </c>
      <c r="AW24" s="4">
        <f t="shared" ca="1" si="26"/>
        <v>-1.0000000000000004</v>
      </c>
      <c r="AX24" s="4">
        <f t="shared" ca="1" si="26"/>
        <v>-1.0000000000000002</v>
      </c>
      <c r="AY24" s="4">
        <f t="shared" ca="1" si="26"/>
        <v>-1.0000000000000004</v>
      </c>
      <c r="AZ24" s="4">
        <f t="shared" ca="1" si="26"/>
        <v>-1.0000000000000004</v>
      </c>
      <c r="BA24" s="4">
        <f t="shared" ca="1" si="26"/>
        <v>-1.0000000000000004</v>
      </c>
      <c r="BB24" s="4">
        <f t="shared" ca="1" si="26"/>
        <v>-1.0000000000000002</v>
      </c>
      <c r="BC24" s="32">
        <v>2</v>
      </c>
    </row>
    <row r="25" spans="1:55" x14ac:dyDescent="0.3">
      <c r="A25" s="1">
        <v>43497</v>
      </c>
      <c r="B25" s="6">
        <v>247.38000500000001</v>
      </c>
      <c r="C25" s="6">
        <v>94.790001000000004</v>
      </c>
      <c r="D25" s="6">
        <v>28.975000000000001</v>
      </c>
      <c r="E25" s="6">
        <v>112.19000200000001</v>
      </c>
      <c r="F25" s="6">
        <v>96.690002000000007</v>
      </c>
      <c r="G25" s="6">
        <v>43.389999000000003</v>
      </c>
      <c r="H25" s="6">
        <v>87.610000999999997</v>
      </c>
      <c r="I25" s="6">
        <v>165.38999899999999</v>
      </c>
      <c r="J25" s="6">
        <v>22.67</v>
      </c>
      <c r="K25" s="6">
        <v>28.559999000000001</v>
      </c>
      <c r="N25" s="19">
        <v>21</v>
      </c>
      <c r="O25" s="1">
        <v>43497</v>
      </c>
      <c r="P25" s="5">
        <f t="shared" si="22"/>
        <v>-1.7770682759708784E-3</v>
      </c>
      <c r="Q25" s="5">
        <f t="shared" si="2"/>
        <v>1.5308080451600488E-2</v>
      </c>
      <c r="R25" s="5">
        <f t="shared" si="3"/>
        <v>1.2327580156910316E-2</v>
      </c>
      <c r="S25" s="5">
        <f t="shared" si="4"/>
        <v>-4.2692940413463481E-3</v>
      </c>
      <c r="T25" s="5">
        <f t="shared" si="5"/>
        <v>-2.6853455647565336E-3</v>
      </c>
      <c r="U25" s="5">
        <f t="shared" si="6"/>
        <v>-8.2626360401492627E-3</v>
      </c>
      <c r="V25" s="5">
        <f t="shared" si="7"/>
        <v>-2.5079926077938345E-3</v>
      </c>
      <c r="W25" s="5">
        <f t="shared" si="8"/>
        <v>-3.6212604770370711E-3</v>
      </c>
      <c r="X25" s="5">
        <f t="shared" si="9"/>
        <v>-3.5226808775217612E-3</v>
      </c>
      <c r="Y25" s="5">
        <f t="shared" si="10"/>
        <v>6.3224659615631557E-3</v>
      </c>
      <c r="Z25" s="33">
        <v>21</v>
      </c>
      <c r="AE25" s="20" t="str">
        <f t="shared" si="23"/>
        <v/>
      </c>
      <c r="AF25" s="22" t="str">
        <f t="shared" si="11"/>
        <v/>
      </c>
      <c r="AG25" s="9" t="str">
        <f t="shared" ca="1" si="12"/>
        <v/>
      </c>
      <c r="AH25" s="9" t="str">
        <f t="shared" ca="1" si="13"/>
        <v/>
      </c>
      <c r="AI25" s="9" t="str">
        <f t="shared" ca="1" si="14"/>
        <v/>
      </c>
      <c r="AJ25" s="9" t="str">
        <f t="shared" ca="1" si="15"/>
        <v/>
      </c>
      <c r="AK25" s="9" t="str">
        <f t="shared" ca="1" si="16"/>
        <v/>
      </c>
      <c r="AL25" s="9" t="str">
        <f t="shared" ca="1" si="17"/>
        <v/>
      </c>
      <c r="AM25" s="9" t="str">
        <f t="shared" ca="1" si="18"/>
        <v/>
      </c>
      <c r="AN25" s="9" t="str">
        <f t="shared" ca="1" si="19"/>
        <v/>
      </c>
      <c r="AO25" s="9" t="str">
        <f t="shared" ca="1" si="20"/>
        <v/>
      </c>
      <c r="AP25" s="9" t="str">
        <f t="shared" ca="1" si="21"/>
        <v/>
      </c>
      <c r="AQ25" s="9"/>
      <c r="AR25" s="2" t="s">
        <v>4</v>
      </c>
      <c r="AS25" s="4">
        <f t="shared" ref="AS25:BB25" ca="1" si="27">AS11/(OFFSET($AS$8,AS$20,AS$20)*OFFSET($AS$8,$BC25,$BC25))^0.5</f>
        <v>1</v>
      </c>
      <c r="AT25" s="4">
        <f t="shared" ca="1" si="27"/>
        <v>-1.0000000000000002</v>
      </c>
      <c r="AU25" s="4">
        <f t="shared" ca="1" si="27"/>
        <v>1.0000000000000007</v>
      </c>
      <c r="AV25" s="4">
        <f t="shared" ca="1" si="27"/>
        <v>1</v>
      </c>
      <c r="AW25" s="4">
        <f t="shared" ca="1" si="27"/>
        <v>-0.99999999999999978</v>
      </c>
      <c r="AX25" s="4">
        <f t="shared" ca="1" si="27"/>
        <v>-1</v>
      </c>
      <c r="AY25" s="4">
        <f t="shared" ca="1" si="27"/>
        <v>-1</v>
      </c>
      <c r="AZ25" s="4">
        <f t="shared" ca="1" si="27"/>
        <v>-0.99999999999999978</v>
      </c>
      <c r="BA25" s="4">
        <f t="shared" ca="1" si="27"/>
        <v>-1.0000000000000002</v>
      </c>
      <c r="BB25" s="4">
        <f t="shared" ca="1" si="27"/>
        <v>-0.99999999999999978</v>
      </c>
      <c r="BC25" s="32">
        <v>3</v>
      </c>
    </row>
    <row r="26" spans="1:55" x14ac:dyDescent="0.3">
      <c r="A26" s="1">
        <v>43500</v>
      </c>
      <c r="B26" s="6">
        <v>254.740005</v>
      </c>
      <c r="C26" s="6">
        <v>97.559997999999993</v>
      </c>
      <c r="D26" s="6">
        <v>29.09</v>
      </c>
      <c r="E26" s="6">
        <v>113.089996</v>
      </c>
      <c r="F26" s="6">
        <v>97.150002000000001</v>
      </c>
      <c r="G26" s="6">
        <v>43.91</v>
      </c>
      <c r="H26" s="6">
        <v>87.290001000000004</v>
      </c>
      <c r="I26" s="6">
        <v>166.179993</v>
      </c>
      <c r="J26" s="6">
        <v>22.700001</v>
      </c>
      <c r="K26" s="6">
        <v>28.290001</v>
      </c>
      <c r="N26" s="18">
        <v>22</v>
      </c>
      <c r="O26" s="1">
        <v>43500</v>
      </c>
      <c r="P26" s="5">
        <f t="shared" si="22"/>
        <v>2.9317800630785703E-2</v>
      </c>
      <c r="Q26" s="5">
        <f t="shared" si="2"/>
        <v>2.8803623832928043E-2</v>
      </c>
      <c r="R26" s="5">
        <f t="shared" si="3"/>
        <v>3.9610832812947512E-3</v>
      </c>
      <c r="S26" s="5">
        <f t="shared" si="4"/>
        <v>7.9900461294017729E-3</v>
      </c>
      <c r="T26" s="5">
        <f t="shared" si="5"/>
        <v>4.7461912300521573E-3</v>
      </c>
      <c r="U26" s="5">
        <f t="shared" si="6"/>
        <v>1.1913107810151733E-2</v>
      </c>
      <c r="V26" s="5">
        <f t="shared" si="7"/>
        <v>-3.6592378891700701E-3</v>
      </c>
      <c r="W26" s="5">
        <f t="shared" si="8"/>
        <v>4.7651808904482307E-3</v>
      </c>
      <c r="X26" s="5">
        <f t="shared" si="9"/>
        <v>1.322504020781817E-3</v>
      </c>
      <c r="Y26" s="5">
        <f t="shared" si="10"/>
        <v>-9.4986817957226737E-3</v>
      </c>
      <c r="Z26" s="33">
        <v>22</v>
      </c>
      <c r="AE26" s="20" t="str">
        <f t="shared" si="23"/>
        <v/>
      </c>
      <c r="AF26" s="22" t="str">
        <f t="shared" si="11"/>
        <v/>
      </c>
      <c r="AG26" s="9" t="str">
        <f t="shared" ca="1" si="12"/>
        <v/>
      </c>
      <c r="AH26" s="9" t="str">
        <f t="shared" ca="1" si="13"/>
        <v/>
      </c>
      <c r="AI26" s="9" t="str">
        <f t="shared" ca="1" si="14"/>
        <v/>
      </c>
      <c r="AJ26" s="9" t="str">
        <f t="shared" ca="1" si="15"/>
        <v/>
      </c>
      <c r="AK26" s="9" t="str">
        <f t="shared" ca="1" si="16"/>
        <v/>
      </c>
      <c r="AL26" s="9" t="str">
        <f t="shared" ca="1" si="17"/>
        <v/>
      </c>
      <c r="AM26" s="9" t="str">
        <f t="shared" ca="1" si="18"/>
        <v/>
      </c>
      <c r="AN26" s="9" t="str">
        <f t="shared" ca="1" si="19"/>
        <v/>
      </c>
      <c r="AO26" s="9" t="str">
        <f t="shared" ca="1" si="20"/>
        <v/>
      </c>
      <c r="AP26" s="9" t="str">
        <f t="shared" ca="1" si="21"/>
        <v/>
      </c>
      <c r="AQ26" s="9"/>
      <c r="AR26" s="2" t="s">
        <v>1</v>
      </c>
      <c r="AS26" s="4">
        <f t="shared" ref="AS26:BB26" ca="1" si="28">AS12/(OFFSET($AS$8,AS$20,AS$20)*OFFSET($AS$8,$BC26,$BC26))^0.5</f>
        <v>-1</v>
      </c>
      <c r="AT26" s="4">
        <f t="shared" ca="1" si="28"/>
        <v>1.0000000000000002</v>
      </c>
      <c r="AU26" s="4">
        <f t="shared" ca="1" si="28"/>
        <v>-1.0000000000000004</v>
      </c>
      <c r="AV26" s="4">
        <f t="shared" ca="1" si="28"/>
        <v>-0.99999999999999978</v>
      </c>
      <c r="AW26" s="4">
        <f t="shared" ca="1" si="28"/>
        <v>1</v>
      </c>
      <c r="AX26" s="4">
        <f t="shared" ca="1" si="28"/>
        <v>1</v>
      </c>
      <c r="AY26" s="4">
        <f t="shared" ca="1" si="28"/>
        <v>1</v>
      </c>
      <c r="AZ26" s="4">
        <f t="shared" ca="1" si="28"/>
        <v>1</v>
      </c>
      <c r="BA26" s="4">
        <f t="shared" ca="1" si="28"/>
        <v>1.0000000000000002</v>
      </c>
      <c r="BB26" s="4">
        <f t="shared" ca="1" si="28"/>
        <v>1</v>
      </c>
      <c r="BC26" s="32">
        <v>4</v>
      </c>
    </row>
    <row r="27" spans="1:55" x14ac:dyDescent="0.3">
      <c r="A27" s="1">
        <v>43501</v>
      </c>
      <c r="B27" s="6">
        <v>254.820007</v>
      </c>
      <c r="C27" s="6">
        <v>98.709998999999996</v>
      </c>
      <c r="D27" s="6">
        <v>28.805</v>
      </c>
      <c r="E27" s="6">
        <v>112.900002</v>
      </c>
      <c r="F27" s="6">
        <v>97.989998</v>
      </c>
      <c r="G27" s="6">
        <v>44.09</v>
      </c>
      <c r="H27" s="6">
        <v>88.190002000000007</v>
      </c>
      <c r="I27" s="6">
        <v>165.96000699999999</v>
      </c>
      <c r="J27" s="6">
        <v>22.9</v>
      </c>
      <c r="K27" s="6">
        <v>29.040001</v>
      </c>
      <c r="N27" s="19">
        <v>23</v>
      </c>
      <c r="O27" s="1">
        <v>43501</v>
      </c>
      <c r="P27" s="5">
        <f t="shared" si="22"/>
        <v>3.1400423413656956E-4</v>
      </c>
      <c r="Q27" s="5">
        <f t="shared" si="2"/>
        <v>1.1718695451596449E-2</v>
      </c>
      <c r="R27" s="5">
        <f t="shared" si="3"/>
        <v>-9.8454893227638215E-3</v>
      </c>
      <c r="S27" s="5">
        <f t="shared" si="4"/>
        <v>-1.6814376427677364E-3</v>
      </c>
      <c r="T27" s="5">
        <f t="shared" si="5"/>
        <v>8.6092158273104596E-3</v>
      </c>
      <c r="U27" s="5">
        <f t="shared" si="6"/>
        <v>4.0909147962202488E-3</v>
      </c>
      <c r="V27" s="5">
        <f t="shared" si="7"/>
        <v>1.0257680375073151E-2</v>
      </c>
      <c r="W27" s="5">
        <f t="shared" si="8"/>
        <v>-1.3246584703306998E-3</v>
      </c>
      <c r="X27" s="5">
        <f t="shared" si="9"/>
        <v>8.7719420199743482E-3</v>
      </c>
      <c r="Y27" s="5">
        <f t="shared" si="10"/>
        <v>2.6165803730201765E-2</v>
      </c>
      <c r="Z27" s="33">
        <v>23</v>
      </c>
      <c r="AE27" s="20" t="str">
        <f t="shared" si="23"/>
        <v/>
      </c>
      <c r="AF27" s="22" t="str">
        <f t="shared" si="11"/>
        <v/>
      </c>
      <c r="AG27" s="9" t="str">
        <f t="shared" ca="1" si="12"/>
        <v/>
      </c>
      <c r="AH27" s="9" t="str">
        <f t="shared" ca="1" si="13"/>
        <v/>
      </c>
      <c r="AI27" s="9" t="str">
        <f t="shared" ca="1" si="14"/>
        <v/>
      </c>
      <c r="AJ27" s="9" t="str">
        <f t="shared" ca="1" si="15"/>
        <v/>
      </c>
      <c r="AK27" s="9" t="str">
        <f t="shared" ca="1" si="16"/>
        <v/>
      </c>
      <c r="AL27" s="9" t="str">
        <f t="shared" ca="1" si="17"/>
        <v/>
      </c>
      <c r="AM27" s="9" t="str">
        <f t="shared" ca="1" si="18"/>
        <v/>
      </c>
      <c r="AN27" s="9" t="str">
        <f t="shared" ca="1" si="19"/>
        <v/>
      </c>
      <c r="AO27" s="9" t="str">
        <f t="shared" ca="1" si="20"/>
        <v/>
      </c>
      <c r="AP27" s="9" t="str">
        <f t="shared" ca="1" si="21"/>
        <v/>
      </c>
      <c r="AQ27" s="9"/>
      <c r="AR27" s="2" t="s">
        <v>7</v>
      </c>
      <c r="AS27" s="4">
        <f t="shared" ref="AS27:BB27" ca="1" si="29">AS13/(OFFSET($AS$8,AS$20,AS$20)*OFFSET($AS$8,$BC27,$BC27))^0.5</f>
        <v>-1</v>
      </c>
      <c r="AT27" s="4">
        <f t="shared" ca="1" si="29"/>
        <v>1.0000000000000002</v>
      </c>
      <c r="AU27" s="4">
        <f t="shared" ca="1" si="29"/>
        <v>-1.0000000000000002</v>
      </c>
      <c r="AV27" s="4">
        <f t="shared" ca="1" si="29"/>
        <v>-1</v>
      </c>
      <c r="AW27" s="4">
        <f t="shared" ca="1" si="29"/>
        <v>1</v>
      </c>
      <c r="AX27" s="4">
        <f t="shared" ca="1" si="29"/>
        <v>1</v>
      </c>
      <c r="AY27" s="4">
        <f t="shared" ca="1" si="29"/>
        <v>1.0000000000000002</v>
      </c>
      <c r="AZ27" s="4">
        <f t="shared" ca="1" si="29"/>
        <v>1</v>
      </c>
      <c r="BA27" s="4">
        <f t="shared" ca="1" si="29"/>
        <v>1.0000000000000002</v>
      </c>
      <c r="BB27" s="4">
        <f t="shared" ca="1" si="29"/>
        <v>1</v>
      </c>
      <c r="BC27" s="32">
        <v>5</v>
      </c>
    </row>
    <row r="28" spans="1:55" x14ac:dyDescent="0.3">
      <c r="A28" s="1">
        <v>43502</v>
      </c>
      <c r="B28" s="6">
        <v>254.35000600000001</v>
      </c>
      <c r="C28" s="6">
        <v>99.739998</v>
      </c>
      <c r="D28" s="6">
        <v>28.68</v>
      </c>
      <c r="E28" s="6">
        <v>113.050003</v>
      </c>
      <c r="F28" s="6">
        <v>98.160004000000001</v>
      </c>
      <c r="G28" s="6">
        <v>44.02</v>
      </c>
      <c r="H28" s="6">
        <v>87.93</v>
      </c>
      <c r="I28" s="6">
        <v>165.58999600000001</v>
      </c>
      <c r="J28" s="6">
        <v>21.610001</v>
      </c>
      <c r="K28" s="6">
        <v>29.120000999999998</v>
      </c>
      <c r="N28" s="18">
        <v>24</v>
      </c>
      <c r="O28" s="1">
        <v>43502</v>
      </c>
      <c r="P28" s="5">
        <f t="shared" si="22"/>
        <v>-1.846146165289955E-3</v>
      </c>
      <c r="Q28" s="5">
        <f t="shared" si="2"/>
        <v>1.038053176673012E-2</v>
      </c>
      <c r="R28" s="5">
        <f t="shared" si="3"/>
        <v>-4.3489674529267833E-3</v>
      </c>
      <c r="S28" s="5">
        <f t="shared" si="4"/>
        <v>1.327736390501096E-3</v>
      </c>
      <c r="T28" s="5">
        <f t="shared" si="5"/>
        <v>1.7334289149705212E-3</v>
      </c>
      <c r="U28" s="5">
        <f t="shared" si="6"/>
        <v>-1.588923271530629E-3</v>
      </c>
      <c r="V28" s="5">
        <f t="shared" si="7"/>
        <v>-2.9525571874866349E-3</v>
      </c>
      <c r="W28" s="5">
        <f t="shared" si="8"/>
        <v>-2.2320081451599064E-3</v>
      </c>
      <c r="X28" s="5">
        <f t="shared" si="9"/>
        <v>-5.7980693766527598E-2</v>
      </c>
      <c r="Y28" s="5">
        <f t="shared" si="10"/>
        <v>2.7510332772874039E-3</v>
      </c>
      <c r="Z28" s="33">
        <v>24</v>
      </c>
      <c r="AE28" s="20" t="str">
        <f t="shared" si="23"/>
        <v/>
      </c>
      <c r="AF28" s="22" t="str">
        <f t="shared" si="11"/>
        <v/>
      </c>
      <c r="AG28" s="9" t="str">
        <f t="shared" ca="1" si="12"/>
        <v/>
      </c>
      <c r="AH28" s="9" t="str">
        <f t="shared" ca="1" si="13"/>
        <v/>
      </c>
      <c r="AI28" s="9" t="str">
        <f t="shared" ca="1" si="14"/>
        <v/>
      </c>
      <c r="AJ28" s="9" t="str">
        <f t="shared" ca="1" si="15"/>
        <v/>
      </c>
      <c r="AK28" s="9" t="str">
        <f t="shared" ca="1" si="16"/>
        <v/>
      </c>
      <c r="AL28" s="9" t="str">
        <f t="shared" ca="1" si="17"/>
        <v/>
      </c>
      <c r="AM28" s="9" t="str">
        <f t="shared" ca="1" si="18"/>
        <v/>
      </c>
      <c r="AN28" s="9" t="str">
        <f t="shared" ca="1" si="19"/>
        <v/>
      </c>
      <c r="AO28" s="9" t="str">
        <f t="shared" ca="1" si="20"/>
        <v/>
      </c>
      <c r="AP28" s="9" t="str">
        <f t="shared" ca="1" si="21"/>
        <v/>
      </c>
      <c r="AQ28" s="9"/>
      <c r="AR28" s="2" t="s">
        <v>2</v>
      </c>
      <c r="AS28" s="4">
        <f t="shared" ref="AS28:BB28" ca="1" si="30">AS14/(OFFSET($AS$8,AS$20,AS$20)*OFFSET($AS$8,$BC28,$BC28))^0.5</f>
        <v>-1</v>
      </c>
      <c r="AT28" s="4">
        <f t="shared" ca="1" si="30"/>
        <v>1</v>
      </c>
      <c r="AU28" s="4">
        <f t="shared" ca="1" si="30"/>
        <v>-1.0000000000000004</v>
      </c>
      <c r="AV28" s="4">
        <f t="shared" ca="1" si="30"/>
        <v>-1</v>
      </c>
      <c r="AW28" s="4">
        <f t="shared" ca="1" si="30"/>
        <v>1</v>
      </c>
      <c r="AX28" s="4">
        <f t="shared" ca="1" si="30"/>
        <v>1.0000000000000002</v>
      </c>
      <c r="AY28" s="4">
        <f t="shared" ca="1" si="30"/>
        <v>1</v>
      </c>
      <c r="AZ28" s="4">
        <f t="shared" ca="1" si="30"/>
        <v>1</v>
      </c>
      <c r="BA28" s="4">
        <f t="shared" ca="1" si="30"/>
        <v>1</v>
      </c>
      <c r="BB28" s="4">
        <f t="shared" ca="1" si="30"/>
        <v>1</v>
      </c>
      <c r="BC28" s="32">
        <v>6</v>
      </c>
    </row>
    <row r="29" spans="1:55" x14ac:dyDescent="0.3">
      <c r="A29" s="1">
        <v>43503</v>
      </c>
      <c r="B29" s="6">
        <v>253.740005</v>
      </c>
      <c r="C29" s="6">
        <v>98.449996999999996</v>
      </c>
      <c r="D29" s="6">
        <v>28.715</v>
      </c>
      <c r="E29" s="6">
        <v>113.089996</v>
      </c>
      <c r="F29" s="6">
        <v>99.150002000000001</v>
      </c>
      <c r="G29" s="6">
        <v>44.470001000000003</v>
      </c>
      <c r="H29" s="6">
        <v>86.919998000000007</v>
      </c>
      <c r="I29" s="6">
        <v>151.720001</v>
      </c>
      <c r="J29" s="6">
        <v>21.889999</v>
      </c>
      <c r="K29" s="6">
        <v>28.639999</v>
      </c>
      <c r="N29" s="19">
        <v>25</v>
      </c>
      <c r="O29" s="1">
        <v>43503</v>
      </c>
      <c r="P29" s="5">
        <f t="shared" si="22"/>
        <v>-2.4011544406536468E-3</v>
      </c>
      <c r="Q29" s="5">
        <f t="shared" si="2"/>
        <v>-1.3018005453027637E-2</v>
      </c>
      <c r="R29" s="5">
        <f t="shared" si="3"/>
        <v>1.2196185848401457E-3</v>
      </c>
      <c r="S29" s="5">
        <f t="shared" si="4"/>
        <v>3.5370125226667613E-4</v>
      </c>
      <c r="T29" s="5">
        <f t="shared" si="5"/>
        <v>1.0035033984810759E-2</v>
      </c>
      <c r="U29" s="5">
        <f t="shared" si="6"/>
        <v>1.0170750911359102E-2</v>
      </c>
      <c r="V29" s="5">
        <f t="shared" si="7"/>
        <v>-1.1552911012346144E-2</v>
      </c>
      <c r="W29" s="5">
        <f t="shared" si="8"/>
        <v>-8.7478106086557608E-2</v>
      </c>
      <c r="X29" s="5">
        <f t="shared" si="9"/>
        <v>1.2873649058143951E-2</v>
      </c>
      <c r="Y29" s="5">
        <f t="shared" si="10"/>
        <v>-1.6620950492900799E-2</v>
      </c>
      <c r="Z29" s="33">
        <v>25</v>
      </c>
      <c r="AE29" s="20" t="str">
        <f t="shared" si="23"/>
        <v/>
      </c>
      <c r="AF29" s="22" t="str">
        <f t="shared" si="11"/>
        <v/>
      </c>
      <c r="AG29" s="9" t="str">
        <f t="shared" ca="1" si="12"/>
        <v/>
      </c>
      <c r="AH29" s="9" t="str">
        <f t="shared" ca="1" si="13"/>
        <v/>
      </c>
      <c r="AI29" s="9" t="str">
        <f t="shared" ca="1" si="14"/>
        <v/>
      </c>
      <c r="AJ29" s="9" t="str">
        <f t="shared" ca="1" si="15"/>
        <v/>
      </c>
      <c r="AK29" s="9" t="str">
        <f t="shared" ca="1" si="16"/>
        <v/>
      </c>
      <c r="AL29" s="9" t="str">
        <f t="shared" ca="1" si="17"/>
        <v/>
      </c>
      <c r="AM29" s="9" t="str">
        <f t="shared" ca="1" si="18"/>
        <v/>
      </c>
      <c r="AN29" s="9" t="str">
        <f t="shared" ca="1" si="19"/>
        <v/>
      </c>
      <c r="AO29" s="9" t="str">
        <f t="shared" ca="1" si="20"/>
        <v/>
      </c>
      <c r="AP29" s="9" t="str">
        <f t="shared" ca="1" si="21"/>
        <v/>
      </c>
      <c r="AQ29" s="9"/>
      <c r="AR29" s="2" t="s">
        <v>5</v>
      </c>
      <c r="AS29" s="4">
        <f t="shared" ref="AS29:BB29" ca="1" si="31">AS15/(OFFSET($AS$8,AS$20,AS$20)*OFFSET($AS$8,$BC29,$BC29))^0.5</f>
        <v>-1</v>
      </c>
      <c r="AT29" s="4">
        <f t="shared" ca="1" si="31"/>
        <v>0.99999999999999989</v>
      </c>
      <c r="AU29" s="4">
        <f t="shared" ca="1" si="31"/>
        <v>-1.0000000000000004</v>
      </c>
      <c r="AV29" s="4">
        <f t="shared" ca="1" si="31"/>
        <v>-0.99999999999999978</v>
      </c>
      <c r="AW29" s="4">
        <f t="shared" ca="1" si="31"/>
        <v>1</v>
      </c>
      <c r="AX29" s="4">
        <f t="shared" ca="1" si="31"/>
        <v>1</v>
      </c>
      <c r="AY29" s="4">
        <f t="shared" ca="1" si="31"/>
        <v>1</v>
      </c>
      <c r="AZ29" s="4">
        <f t="shared" ca="1" si="31"/>
        <v>1</v>
      </c>
      <c r="BA29" s="4">
        <f t="shared" ca="1" si="31"/>
        <v>1</v>
      </c>
      <c r="BB29" s="4">
        <f t="shared" ca="1" si="31"/>
        <v>0.99999999999999978</v>
      </c>
      <c r="BC29" s="32">
        <v>7</v>
      </c>
    </row>
    <row r="30" spans="1:55" x14ac:dyDescent="0.3">
      <c r="A30" s="1">
        <v>43504</v>
      </c>
      <c r="B30" s="6">
        <v>257</v>
      </c>
      <c r="C30" s="6">
        <v>99.419998000000007</v>
      </c>
      <c r="D30" s="6">
        <v>28.945</v>
      </c>
      <c r="E30" s="6">
        <v>113.019997</v>
      </c>
      <c r="F30" s="6">
        <v>98.919998000000007</v>
      </c>
      <c r="G30" s="6">
        <v>44.59</v>
      </c>
      <c r="H30" s="6">
        <v>86.82</v>
      </c>
      <c r="I30" s="6">
        <v>153.08000200000001</v>
      </c>
      <c r="J30" s="6">
        <v>22.110001</v>
      </c>
      <c r="K30" s="6">
        <v>29.190000999999999</v>
      </c>
      <c r="N30" s="18">
        <v>26</v>
      </c>
      <c r="O30" s="1">
        <v>43504</v>
      </c>
      <c r="P30" s="5">
        <f t="shared" si="22"/>
        <v>1.2765944477557663E-2</v>
      </c>
      <c r="Q30" s="5">
        <f t="shared" si="2"/>
        <v>9.8045059370367189E-3</v>
      </c>
      <c r="R30" s="5">
        <f t="shared" si="3"/>
        <v>7.9778432147081472E-3</v>
      </c>
      <c r="S30" s="5">
        <f t="shared" si="4"/>
        <v>-6.1915885545332794E-4</v>
      </c>
      <c r="T30" s="5">
        <f t="shared" si="5"/>
        <v>-2.3224527024051033E-3</v>
      </c>
      <c r="U30" s="5">
        <f t="shared" si="6"/>
        <v>2.6947916297105703E-3</v>
      </c>
      <c r="V30" s="5">
        <f t="shared" si="7"/>
        <v>-1.1511225071172591E-3</v>
      </c>
      <c r="W30" s="5">
        <f t="shared" si="8"/>
        <v>8.9239502107785022E-3</v>
      </c>
      <c r="X30" s="5">
        <f t="shared" si="9"/>
        <v>1.0000174245947185E-2</v>
      </c>
      <c r="Y30" s="5">
        <f t="shared" si="10"/>
        <v>1.9021911948087219E-2</v>
      </c>
      <c r="Z30" s="33">
        <v>26</v>
      </c>
      <c r="AE30" s="20" t="str">
        <f t="shared" si="23"/>
        <v/>
      </c>
      <c r="AF30" s="22" t="str">
        <f t="shared" si="11"/>
        <v/>
      </c>
      <c r="AG30" s="9" t="str">
        <f t="shared" ca="1" si="12"/>
        <v/>
      </c>
      <c r="AH30" s="9" t="str">
        <f t="shared" ca="1" si="13"/>
        <v/>
      </c>
      <c r="AI30" s="9" t="str">
        <f t="shared" ca="1" si="14"/>
        <v/>
      </c>
      <c r="AJ30" s="9" t="str">
        <f t="shared" ca="1" si="15"/>
        <v/>
      </c>
      <c r="AK30" s="9" t="str">
        <f t="shared" ca="1" si="16"/>
        <v/>
      </c>
      <c r="AL30" s="9" t="str">
        <f t="shared" ca="1" si="17"/>
        <v/>
      </c>
      <c r="AM30" s="9" t="str">
        <f t="shared" ca="1" si="18"/>
        <v/>
      </c>
      <c r="AN30" s="9" t="str">
        <f t="shared" ca="1" si="19"/>
        <v/>
      </c>
      <c r="AO30" s="9" t="str">
        <f t="shared" ca="1" si="20"/>
        <v/>
      </c>
      <c r="AP30" s="9" t="str">
        <f t="shared" ca="1" si="21"/>
        <v/>
      </c>
      <c r="AQ30" s="9"/>
      <c r="AR30" s="2" t="s">
        <v>10</v>
      </c>
      <c r="AS30" s="4">
        <f t="shared" ref="AS30:BB30" ca="1" si="32">AS16/(OFFSET($AS$8,AS$20,AS$20)*OFFSET($AS$8,$BC30,$BC30))^0.5</f>
        <v>-1.0000000000000002</v>
      </c>
      <c r="AT30" s="4">
        <f t="shared" ca="1" si="32"/>
        <v>1.0000000000000004</v>
      </c>
      <c r="AU30" s="4">
        <f t="shared" ca="1" si="32"/>
        <v>-1.0000000000000004</v>
      </c>
      <c r="AV30" s="4">
        <f t="shared" ca="1" si="32"/>
        <v>-1.0000000000000002</v>
      </c>
      <c r="AW30" s="4">
        <f t="shared" ca="1" si="32"/>
        <v>1.0000000000000002</v>
      </c>
      <c r="AX30" s="4">
        <f t="shared" ca="1" si="32"/>
        <v>1.0000000000000002</v>
      </c>
      <c r="AY30" s="4">
        <f t="shared" ca="1" si="32"/>
        <v>1</v>
      </c>
      <c r="AZ30" s="4">
        <f t="shared" ca="1" si="32"/>
        <v>1</v>
      </c>
      <c r="BA30" s="4">
        <f t="shared" ca="1" si="32"/>
        <v>1</v>
      </c>
      <c r="BB30" s="4">
        <f t="shared" ca="1" si="32"/>
        <v>1.0000000000000002</v>
      </c>
      <c r="BC30" s="32">
        <v>8</v>
      </c>
    </row>
    <row r="31" spans="1:55" x14ac:dyDescent="0.3">
      <c r="A31" s="1">
        <v>43507</v>
      </c>
      <c r="B31" s="6">
        <v>258.39001500000001</v>
      </c>
      <c r="C31" s="6">
        <v>98.870002999999997</v>
      </c>
      <c r="D31" s="6">
        <v>29</v>
      </c>
      <c r="E31" s="6">
        <v>112.970001</v>
      </c>
      <c r="F31" s="6">
        <v>99.25</v>
      </c>
      <c r="G31" s="6">
        <v>44.529998999999997</v>
      </c>
      <c r="H31" s="6">
        <v>87.389999000000003</v>
      </c>
      <c r="I31" s="6">
        <v>155.240005</v>
      </c>
      <c r="J31" s="6">
        <v>21.809999000000001</v>
      </c>
      <c r="K31" s="6">
        <v>28.639999</v>
      </c>
      <c r="N31" s="19">
        <v>27</v>
      </c>
      <c r="O31" s="1">
        <v>43507</v>
      </c>
      <c r="P31" s="5">
        <f t="shared" si="22"/>
        <v>5.3940446257526604E-3</v>
      </c>
      <c r="Q31" s="5">
        <f t="shared" si="2"/>
        <v>-5.5473942979341519E-3</v>
      </c>
      <c r="R31" s="5">
        <f t="shared" si="3"/>
        <v>1.8983524555060999E-3</v>
      </c>
      <c r="S31" s="5">
        <f t="shared" si="4"/>
        <v>-4.4246206697755395E-4</v>
      </c>
      <c r="T31" s="5">
        <f t="shared" si="5"/>
        <v>3.3304971324426506E-3</v>
      </c>
      <c r="U31" s="5">
        <f t="shared" si="6"/>
        <v>-1.3465217625453505E-3</v>
      </c>
      <c r="V31" s="5">
        <f t="shared" si="7"/>
        <v>6.5438383250486743E-3</v>
      </c>
      <c r="W31" s="5">
        <f t="shared" si="8"/>
        <v>1.4011665086333254E-2</v>
      </c>
      <c r="X31" s="5">
        <f t="shared" si="9"/>
        <v>-1.366150573474793E-2</v>
      </c>
      <c r="Y31" s="5">
        <f t="shared" si="10"/>
        <v>-1.9021911948087264E-2</v>
      </c>
      <c r="Z31" s="33">
        <v>27</v>
      </c>
      <c r="AE31" s="20" t="str">
        <f t="shared" si="23"/>
        <v/>
      </c>
      <c r="AF31" s="22" t="str">
        <f t="shared" si="11"/>
        <v/>
      </c>
      <c r="AG31" s="9" t="str">
        <f t="shared" ca="1" si="12"/>
        <v/>
      </c>
      <c r="AH31" s="9" t="str">
        <f t="shared" ca="1" si="13"/>
        <v/>
      </c>
      <c r="AI31" s="9" t="str">
        <f t="shared" ca="1" si="14"/>
        <v/>
      </c>
      <c r="AJ31" s="9" t="str">
        <f t="shared" ca="1" si="15"/>
        <v/>
      </c>
      <c r="AK31" s="9" t="str">
        <f t="shared" ca="1" si="16"/>
        <v/>
      </c>
      <c r="AL31" s="9" t="str">
        <f t="shared" ca="1" si="17"/>
        <v/>
      </c>
      <c r="AM31" s="9" t="str">
        <f t="shared" ca="1" si="18"/>
        <v/>
      </c>
      <c r="AN31" s="9" t="str">
        <f t="shared" ca="1" si="19"/>
        <v/>
      </c>
      <c r="AO31" s="9" t="str">
        <f t="shared" ca="1" si="20"/>
        <v/>
      </c>
      <c r="AP31" s="9" t="str">
        <f t="shared" ca="1" si="21"/>
        <v/>
      </c>
      <c r="AQ31" s="9"/>
      <c r="AR31" s="2" t="s">
        <v>8</v>
      </c>
      <c r="AS31" s="4">
        <f t="shared" ref="AS31:BB31" ca="1" si="33">AS17/(OFFSET($AS$8,AS$20,AS$20)*OFFSET($AS$8,$BC31,$BC31))^0.5</f>
        <v>-1</v>
      </c>
      <c r="AT31" s="4">
        <f t="shared" ca="1" si="33"/>
        <v>1</v>
      </c>
      <c r="AU31" s="4">
        <f t="shared" ca="1" si="33"/>
        <v>-1.0000000000000002</v>
      </c>
      <c r="AV31" s="4">
        <f t="shared" ca="1" si="33"/>
        <v>-0.99999999999999978</v>
      </c>
      <c r="AW31" s="4">
        <f t="shared" ca="1" si="33"/>
        <v>1</v>
      </c>
      <c r="AX31" s="4">
        <f t="shared" ca="1" si="33"/>
        <v>1</v>
      </c>
      <c r="AY31" s="4">
        <f t="shared" ca="1" si="33"/>
        <v>1</v>
      </c>
      <c r="AZ31" s="4">
        <f t="shared" ca="1" si="33"/>
        <v>0.99999999999999978</v>
      </c>
      <c r="BA31" s="4">
        <f t="shared" ca="1" si="33"/>
        <v>1.0000000000000002</v>
      </c>
      <c r="BB31" s="4">
        <f t="shared" ca="1" si="33"/>
        <v>1</v>
      </c>
      <c r="BC31" s="32">
        <v>9</v>
      </c>
    </row>
    <row r="32" spans="1:55" x14ac:dyDescent="0.3">
      <c r="A32" s="1">
        <v>43508</v>
      </c>
      <c r="B32" s="6">
        <v>261.36999500000002</v>
      </c>
      <c r="C32" s="6">
        <v>101.589996</v>
      </c>
      <c r="D32" s="6">
        <v>29.445</v>
      </c>
      <c r="E32" s="6">
        <v>113.790001</v>
      </c>
      <c r="F32" s="6">
        <v>97.940002000000007</v>
      </c>
      <c r="G32" s="6">
        <v>44.23</v>
      </c>
      <c r="H32" s="6">
        <v>90.010002</v>
      </c>
      <c r="I32" s="6">
        <v>155.66000399999999</v>
      </c>
      <c r="J32" s="6">
        <v>21.67</v>
      </c>
      <c r="K32" s="6">
        <v>28.129999000000002</v>
      </c>
      <c r="N32" s="18">
        <v>28</v>
      </c>
      <c r="O32" s="1">
        <v>43508</v>
      </c>
      <c r="P32" s="5">
        <f t="shared" si="22"/>
        <v>1.1466879311822073E-2</v>
      </c>
      <c r="Q32" s="5">
        <f t="shared" si="2"/>
        <v>2.7139179477583146E-2</v>
      </c>
      <c r="R32" s="5">
        <f t="shared" si="3"/>
        <v>1.5228286410060077E-2</v>
      </c>
      <c r="S32" s="5">
        <f t="shared" si="4"/>
        <v>7.2323475662907453E-3</v>
      </c>
      <c r="T32" s="5">
        <f t="shared" si="5"/>
        <v>-1.3286852872462894E-2</v>
      </c>
      <c r="U32" s="5">
        <f t="shared" si="6"/>
        <v>-6.7598049966046811E-3</v>
      </c>
      <c r="V32" s="5">
        <f t="shared" si="7"/>
        <v>2.9539949292250952E-2</v>
      </c>
      <c r="W32" s="5">
        <f t="shared" si="8"/>
        <v>2.7018285193748334E-3</v>
      </c>
      <c r="X32" s="5">
        <f t="shared" si="9"/>
        <v>-6.4397188147416514E-3</v>
      </c>
      <c r="Y32" s="5">
        <f t="shared" si="10"/>
        <v>-1.7967720223713908E-2</v>
      </c>
      <c r="Z32" s="33">
        <v>28</v>
      </c>
      <c r="AE32" s="20" t="str">
        <f t="shared" si="23"/>
        <v/>
      </c>
      <c r="AF32" s="22" t="str">
        <f t="shared" si="11"/>
        <v/>
      </c>
      <c r="AG32" s="9" t="str">
        <f t="shared" ca="1" si="12"/>
        <v/>
      </c>
      <c r="AH32" s="9" t="str">
        <f t="shared" ca="1" si="13"/>
        <v/>
      </c>
      <c r="AI32" s="9" t="str">
        <f t="shared" ca="1" si="14"/>
        <v/>
      </c>
      <c r="AJ32" s="9" t="str">
        <f t="shared" ca="1" si="15"/>
        <v/>
      </c>
      <c r="AK32" s="9" t="str">
        <f t="shared" ca="1" si="16"/>
        <v/>
      </c>
      <c r="AL32" s="9" t="str">
        <f t="shared" ca="1" si="17"/>
        <v/>
      </c>
      <c r="AM32" s="9" t="str">
        <f t="shared" ca="1" si="18"/>
        <v/>
      </c>
      <c r="AN32" s="9" t="str">
        <f t="shared" ca="1" si="19"/>
        <v/>
      </c>
      <c r="AO32" s="9" t="str">
        <f t="shared" ca="1" si="20"/>
        <v/>
      </c>
      <c r="AP32" s="9" t="str">
        <f t="shared" ca="1" si="21"/>
        <v/>
      </c>
      <c r="AQ32" s="9"/>
    </row>
    <row r="33" spans="1:47" x14ac:dyDescent="0.3">
      <c r="A33" s="1">
        <v>43509</v>
      </c>
      <c r="B33" s="6">
        <v>260.23001099999999</v>
      </c>
      <c r="C33" s="6">
        <v>100.660004</v>
      </c>
      <c r="D33" s="6">
        <v>29.655000999999999</v>
      </c>
      <c r="E33" s="6">
        <v>114.120003</v>
      </c>
      <c r="F33" s="6">
        <v>98.769997000000004</v>
      </c>
      <c r="G33" s="6">
        <v>44.650002000000001</v>
      </c>
      <c r="H33" s="6">
        <v>90.099997999999999</v>
      </c>
      <c r="I33" s="6">
        <v>155.279999</v>
      </c>
      <c r="J33" s="6">
        <v>22.700001</v>
      </c>
      <c r="K33" s="6">
        <v>28.32</v>
      </c>
      <c r="N33" s="19">
        <v>29</v>
      </c>
      <c r="O33" s="1">
        <v>43509</v>
      </c>
      <c r="P33" s="5">
        <f t="shared" si="22"/>
        <v>-4.3711112039450878E-3</v>
      </c>
      <c r="Q33" s="5">
        <f t="shared" si="2"/>
        <v>-9.1965246435545354E-3</v>
      </c>
      <c r="R33" s="5">
        <f t="shared" si="3"/>
        <v>7.1066626152815251E-3</v>
      </c>
      <c r="S33" s="5">
        <f t="shared" si="4"/>
        <v>2.8958994763809078E-3</v>
      </c>
      <c r="T33" s="5">
        <f t="shared" si="5"/>
        <v>8.4388178516033446E-3</v>
      </c>
      <c r="U33" s="5">
        <f t="shared" si="6"/>
        <v>9.4510602351048772E-3</v>
      </c>
      <c r="V33" s="5">
        <f t="shared" si="7"/>
        <v>9.9934492798660953E-4</v>
      </c>
      <c r="W33" s="5">
        <f t="shared" si="8"/>
        <v>-2.4442348074982401E-3</v>
      </c>
      <c r="X33" s="5">
        <f t="shared" si="9"/>
        <v>4.6436152991951661E-2</v>
      </c>
      <c r="Y33" s="5">
        <f t="shared" si="10"/>
        <v>6.731681872989787E-3</v>
      </c>
      <c r="Z33" s="33">
        <v>29</v>
      </c>
      <c r="AE33" s="20" t="str">
        <f t="shared" si="23"/>
        <v/>
      </c>
      <c r="AF33" s="22" t="str">
        <f t="shared" si="11"/>
        <v/>
      </c>
      <c r="AG33" s="9" t="str">
        <f t="shared" ca="1" si="12"/>
        <v/>
      </c>
      <c r="AH33" s="9" t="str">
        <f t="shared" ca="1" si="13"/>
        <v/>
      </c>
      <c r="AI33" s="9" t="str">
        <f t="shared" ca="1" si="14"/>
        <v/>
      </c>
      <c r="AJ33" s="9" t="str">
        <f t="shared" ca="1" si="15"/>
        <v/>
      </c>
      <c r="AK33" s="9" t="str">
        <f t="shared" ca="1" si="16"/>
        <v/>
      </c>
      <c r="AL33" s="9" t="str">
        <f t="shared" ca="1" si="17"/>
        <v/>
      </c>
      <c r="AM33" s="9" t="str">
        <f t="shared" ca="1" si="18"/>
        <v/>
      </c>
      <c r="AN33" s="9" t="str">
        <f t="shared" ca="1" si="19"/>
        <v/>
      </c>
      <c r="AO33" s="9" t="str">
        <f t="shared" ca="1" si="20"/>
        <v/>
      </c>
      <c r="AP33" s="9" t="str">
        <f t="shared" ca="1" si="21"/>
        <v/>
      </c>
      <c r="AQ33" s="9"/>
      <c r="AR33" s="9"/>
      <c r="AS33" s="9"/>
      <c r="AT33" s="9"/>
      <c r="AU33" s="9"/>
    </row>
    <row r="34" spans="1:47" x14ac:dyDescent="0.3">
      <c r="A34" s="1">
        <v>43510</v>
      </c>
      <c r="B34" s="6">
        <v>260.14001500000001</v>
      </c>
      <c r="C34" s="6">
        <v>100.610001</v>
      </c>
      <c r="D34" s="6">
        <v>29.315000999999999</v>
      </c>
      <c r="E34" s="6">
        <v>112.589996</v>
      </c>
      <c r="F34" s="6">
        <v>98.610000999999997</v>
      </c>
      <c r="G34" s="6">
        <v>44.639999000000003</v>
      </c>
      <c r="H34" s="6">
        <v>90.07</v>
      </c>
      <c r="I34" s="6">
        <v>155.91999799999999</v>
      </c>
      <c r="J34" s="6">
        <v>23.030000999999999</v>
      </c>
      <c r="K34" s="6">
        <v>28.77</v>
      </c>
      <c r="N34" s="18">
        <v>30</v>
      </c>
      <c r="O34" s="1">
        <v>43510</v>
      </c>
      <c r="P34" s="5">
        <f t="shared" si="22"/>
        <v>-3.4589233199710417E-4</v>
      </c>
      <c r="Q34" s="5">
        <f t="shared" si="2"/>
        <v>-4.9687484261503158E-4</v>
      </c>
      <c r="R34" s="5">
        <f t="shared" si="3"/>
        <v>-1.1531414483408579E-2</v>
      </c>
      <c r="S34" s="5">
        <f t="shared" si="4"/>
        <v>-1.3497686345512013E-2</v>
      </c>
      <c r="T34" s="5">
        <f t="shared" si="5"/>
        <v>-1.6211980612433571E-3</v>
      </c>
      <c r="U34" s="5">
        <f t="shared" si="6"/>
        <v>-2.2405644371863173E-4</v>
      </c>
      <c r="V34" s="5">
        <f t="shared" si="7"/>
        <v>-3.3299662108236583E-4</v>
      </c>
      <c r="W34" s="5">
        <f t="shared" si="8"/>
        <v>4.1131099514390328E-3</v>
      </c>
      <c r="X34" s="5">
        <f t="shared" si="9"/>
        <v>1.4432788713997417E-2</v>
      </c>
      <c r="Y34" s="5">
        <f t="shared" si="10"/>
        <v>1.5764908737937434E-2</v>
      </c>
      <c r="Z34" s="33">
        <v>30</v>
      </c>
      <c r="AE34" s="20" t="str">
        <f t="shared" si="23"/>
        <v/>
      </c>
      <c r="AF34" s="22" t="str">
        <f t="shared" si="11"/>
        <v/>
      </c>
      <c r="AG34" s="9" t="str">
        <f t="shared" ca="1" si="12"/>
        <v/>
      </c>
      <c r="AH34" s="9" t="str">
        <f t="shared" ca="1" si="13"/>
        <v/>
      </c>
      <c r="AI34" s="9" t="str">
        <f t="shared" ca="1" si="14"/>
        <v/>
      </c>
      <c r="AJ34" s="9" t="str">
        <f t="shared" ca="1" si="15"/>
        <v/>
      </c>
      <c r="AK34" s="9" t="str">
        <f t="shared" ca="1" si="16"/>
        <v/>
      </c>
      <c r="AL34" s="9" t="str">
        <f t="shared" ca="1" si="17"/>
        <v/>
      </c>
      <c r="AM34" s="9" t="str">
        <f t="shared" ca="1" si="18"/>
        <v/>
      </c>
      <c r="AN34" s="9" t="str">
        <f t="shared" ca="1" si="19"/>
        <v/>
      </c>
      <c r="AO34" s="9" t="str">
        <f t="shared" ca="1" si="20"/>
        <v/>
      </c>
      <c r="AP34" s="9" t="str">
        <f t="shared" ca="1" si="21"/>
        <v/>
      </c>
      <c r="AQ34" s="9"/>
      <c r="AR34" s="9"/>
      <c r="AS34" s="9"/>
      <c r="AT34" s="9"/>
      <c r="AU34" s="9"/>
    </row>
    <row r="35" spans="1:47" x14ac:dyDescent="0.3">
      <c r="A35" s="1">
        <v>43511</v>
      </c>
      <c r="B35" s="6">
        <v>259.45001200000002</v>
      </c>
      <c r="C35" s="6">
        <v>101.650002</v>
      </c>
      <c r="D35" s="6">
        <v>29.360001</v>
      </c>
      <c r="E35" s="6">
        <v>115.910004</v>
      </c>
      <c r="F35" s="6">
        <v>98.699996999999996</v>
      </c>
      <c r="G35" s="6">
        <v>44.59</v>
      </c>
      <c r="H35" s="6">
        <v>91.199996999999996</v>
      </c>
      <c r="I35" s="6">
        <v>157.779999</v>
      </c>
      <c r="J35" s="6">
        <v>23.379999000000002</v>
      </c>
      <c r="K35" s="6">
        <v>29.299999</v>
      </c>
      <c r="N35" s="19">
        <v>31</v>
      </c>
      <c r="O35" s="1">
        <v>43511</v>
      </c>
      <c r="P35" s="5">
        <f t="shared" si="22"/>
        <v>-2.6559532314184677E-3</v>
      </c>
      <c r="Q35" s="5">
        <f t="shared" si="2"/>
        <v>1.0283893506382964E-2</v>
      </c>
      <c r="R35" s="5">
        <f t="shared" si="3"/>
        <v>1.5338732778526945E-3</v>
      </c>
      <c r="S35" s="5">
        <f t="shared" si="4"/>
        <v>2.9061196122281696E-2</v>
      </c>
      <c r="T35" s="5">
        <f t="shared" si="5"/>
        <v>9.1222955910173699E-4</v>
      </c>
      <c r="U35" s="5">
        <f t="shared" si="6"/>
        <v>-1.1206770322362706E-3</v>
      </c>
      <c r="V35" s="5">
        <f t="shared" si="7"/>
        <v>1.2467718389896954E-2</v>
      </c>
      <c r="W35" s="5">
        <f t="shared" si="8"/>
        <v>1.1858608956790214E-2</v>
      </c>
      <c r="X35" s="5">
        <f t="shared" si="9"/>
        <v>1.5083156018104966E-2</v>
      </c>
      <c r="Y35" s="5">
        <f t="shared" si="10"/>
        <v>1.8254304329871646E-2</v>
      </c>
      <c r="Z35" s="33">
        <v>31</v>
      </c>
      <c r="AE35" s="20" t="str">
        <f t="shared" si="23"/>
        <v/>
      </c>
      <c r="AF35" s="22" t="str">
        <f t="shared" si="11"/>
        <v/>
      </c>
      <c r="AG35" s="9" t="str">
        <f t="shared" ca="1" si="12"/>
        <v/>
      </c>
      <c r="AH35" s="9" t="str">
        <f t="shared" ca="1" si="13"/>
        <v/>
      </c>
      <c r="AI35" s="9" t="str">
        <f t="shared" ca="1" si="14"/>
        <v/>
      </c>
      <c r="AJ35" s="9" t="str">
        <f t="shared" ca="1" si="15"/>
        <v/>
      </c>
      <c r="AK35" s="9" t="str">
        <f t="shared" ca="1" si="16"/>
        <v/>
      </c>
      <c r="AL35" s="9" t="str">
        <f t="shared" ca="1" si="17"/>
        <v/>
      </c>
      <c r="AM35" s="9" t="str">
        <f t="shared" ca="1" si="18"/>
        <v/>
      </c>
      <c r="AN35" s="9" t="str">
        <f t="shared" ca="1" si="19"/>
        <v/>
      </c>
      <c r="AO35" s="9" t="str">
        <f t="shared" ca="1" si="20"/>
        <v/>
      </c>
      <c r="AP35" s="9" t="str">
        <f t="shared" ca="1" si="21"/>
        <v/>
      </c>
      <c r="AQ35" s="9"/>
      <c r="AR35" s="9"/>
      <c r="AS35" s="9"/>
      <c r="AT35" s="9"/>
      <c r="AU35" s="9"/>
    </row>
    <row r="36" spans="1:47" x14ac:dyDescent="0.3">
      <c r="A36" s="1">
        <v>43515</v>
      </c>
      <c r="B36" s="6">
        <v>257.80999800000001</v>
      </c>
      <c r="C36" s="6">
        <v>101.860001</v>
      </c>
      <c r="D36" s="6">
        <v>29.114999999999998</v>
      </c>
      <c r="E36" s="6">
        <v>115.93</v>
      </c>
      <c r="F36" s="6">
        <v>98.800003000000004</v>
      </c>
      <c r="G36" s="6">
        <v>44.720001000000003</v>
      </c>
      <c r="H36" s="6">
        <v>91.419998000000007</v>
      </c>
      <c r="I36" s="6">
        <v>159.13000500000001</v>
      </c>
      <c r="J36" s="6">
        <v>23.290001</v>
      </c>
      <c r="K36" s="6">
        <v>29.059999000000001</v>
      </c>
      <c r="N36" s="18">
        <v>32</v>
      </c>
      <c r="O36" s="1">
        <v>43515</v>
      </c>
      <c r="P36" s="5">
        <f t="shared" si="22"/>
        <v>-6.3411803107976039E-3</v>
      </c>
      <c r="Q36" s="5">
        <f t="shared" si="2"/>
        <v>2.0637715241429233E-3</v>
      </c>
      <c r="R36" s="5">
        <f t="shared" si="3"/>
        <v>-8.3797325171765247E-3</v>
      </c>
      <c r="S36" s="5">
        <f t="shared" si="4"/>
        <v>1.724982721239064E-4</v>
      </c>
      <c r="T36" s="5">
        <f t="shared" si="5"/>
        <v>1.0127190738956195E-3</v>
      </c>
      <c r="U36" s="5">
        <f t="shared" si="6"/>
        <v>2.9112325688176541E-3</v>
      </c>
      <c r="V36" s="5">
        <f t="shared" si="7"/>
        <v>2.4093868409989397E-3</v>
      </c>
      <c r="W36" s="5">
        <f t="shared" si="8"/>
        <v>8.5198583139383787E-3</v>
      </c>
      <c r="X36" s="5">
        <f t="shared" si="9"/>
        <v>-3.8567864391903248E-3</v>
      </c>
      <c r="Y36" s="5">
        <f t="shared" si="10"/>
        <v>-8.2248581627542353E-3</v>
      </c>
      <c r="Z36" s="33">
        <v>32</v>
      </c>
      <c r="AE36" s="20" t="str">
        <f t="shared" si="23"/>
        <v/>
      </c>
      <c r="AF36" s="22" t="str">
        <f t="shared" si="11"/>
        <v/>
      </c>
      <c r="AG36" s="9" t="str">
        <f t="shared" ca="1" si="12"/>
        <v/>
      </c>
      <c r="AH36" s="9" t="str">
        <f t="shared" ca="1" si="13"/>
        <v/>
      </c>
      <c r="AI36" s="9" t="str">
        <f t="shared" ca="1" si="14"/>
        <v/>
      </c>
      <c r="AJ36" s="9" t="str">
        <f t="shared" ca="1" si="15"/>
        <v/>
      </c>
      <c r="AK36" s="9" t="str">
        <f t="shared" ca="1" si="16"/>
        <v/>
      </c>
      <c r="AL36" s="9" t="str">
        <f t="shared" ca="1" si="17"/>
        <v/>
      </c>
      <c r="AM36" s="9" t="str">
        <f t="shared" ca="1" si="18"/>
        <v/>
      </c>
      <c r="AN36" s="9" t="str">
        <f t="shared" ca="1" si="19"/>
        <v/>
      </c>
      <c r="AO36" s="9" t="str">
        <f t="shared" ca="1" si="20"/>
        <v/>
      </c>
      <c r="AP36" s="9" t="str">
        <f t="shared" ca="1" si="21"/>
        <v/>
      </c>
      <c r="AQ36" s="9"/>
      <c r="AR36" s="9"/>
      <c r="AS36" s="9"/>
      <c r="AT36" s="9"/>
      <c r="AU36" s="9"/>
    </row>
    <row r="37" spans="1:47" x14ac:dyDescent="0.3">
      <c r="A37" s="1">
        <v>43516</v>
      </c>
      <c r="B37" s="6">
        <v>258.10000600000001</v>
      </c>
      <c r="C37" s="6">
        <v>102.980003</v>
      </c>
      <c r="D37" s="6">
        <v>29.35</v>
      </c>
      <c r="E37" s="6">
        <v>115.83000199999999</v>
      </c>
      <c r="F37" s="6">
        <v>96.5</v>
      </c>
      <c r="G37" s="6">
        <v>44.330002</v>
      </c>
      <c r="H37" s="6">
        <v>92.080001999999993</v>
      </c>
      <c r="I37" s="6">
        <v>159.83000200000001</v>
      </c>
      <c r="J37" s="6">
        <v>23.66</v>
      </c>
      <c r="K37" s="6">
        <v>29.09</v>
      </c>
      <c r="N37" s="19">
        <v>33</v>
      </c>
      <c r="O37" s="1">
        <v>43516</v>
      </c>
      <c r="P37" s="5">
        <f t="shared" ref="P37:P69" si="34">LN(B37/B36)</f>
        <v>1.124258216735217E-3</v>
      </c>
      <c r="Q37" s="5">
        <f t="shared" ref="Q37:Q69" si="35">LN(C37/C36)</f>
        <v>1.0935492476010269E-2</v>
      </c>
      <c r="R37" s="5">
        <f t="shared" ref="R37:R69" si="36">LN(D37/D36)</f>
        <v>8.0390409850221983E-3</v>
      </c>
      <c r="S37" s="5">
        <f t="shared" ref="S37:S69" si="37">LN(E37/E36)</f>
        <v>-8.6294447137175807E-4</v>
      </c>
      <c r="T37" s="5">
        <f t="shared" ref="T37:T69" si="38">LN(F37/F36)</f>
        <v>-2.355462677325389E-2</v>
      </c>
      <c r="U37" s="5">
        <f t="shared" ref="U37:U69" si="39">LN(G37/G36)</f>
        <v>-8.7591573350678086E-3</v>
      </c>
      <c r="V37" s="5">
        <f t="shared" ref="V37:V69" si="40">LN(H37/H36)</f>
        <v>7.1935351073230576E-3</v>
      </c>
      <c r="W37" s="5">
        <f t="shared" ref="W37:W69" si="41">LN(I37/I36)</f>
        <v>4.3892532509145236E-3</v>
      </c>
      <c r="X37" s="5">
        <f t="shared" ref="X37:X69" si="42">LN(J37/J36)</f>
        <v>1.5761731717109272E-2</v>
      </c>
      <c r="Y37" s="5">
        <f t="shared" ref="Y37:Y69" si="43">LN(K37/K36)</f>
        <v>1.0318487765362027E-3</v>
      </c>
      <c r="Z37" s="33">
        <v>33</v>
      </c>
      <c r="AE37" s="20" t="str">
        <f t="shared" si="23"/>
        <v/>
      </c>
      <c r="AF37" s="22" t="str">
        <f t="shared" ref="AF37:AF68" si="44">IF(AE37="","",VLOOKUP(AE37,N36:O1293,2))</f>
        <v/>
      </c>
      <c r="AG37" s="9" t="str">
        <f t="shared" ca="1" si="12"/>
        <v/>
      </c>
      <c r="AH37" s="9" t="str">
        <f t="shared" ca="1" si="13"/>
        <v/>
      </c>
      <c r="AI37" s="9" t="str">
        <f t="shared" ca="1" si="14"/>
        <v/>
      </c>
      <c r="AJ37" s="9" t="str">
        <f t="shared" ca="1" si="15"/>
        <v/>
      </c>
      <c r="AK37" s="9" t="str">
        <f t="shared" ca="1" si="16"/>
        <v/>
      </c>
      <c r="AL37" s="9" t="str">
        <f t="shared" ca="1" si="17"/>
        <v/>
      </c>
      <c r="AM37" s="9" t="str">
        <f t="shared" ca="1" si="18"/>
        <v/>
      </c>
      <c r="AN37" s="9" t="str">
        <f t="shared" ca="1" si="19"/>
        <v/>
      </c>
      <c r="AO37" s="9" t="str">
        <f t="shared" ca="1" si="20"/>
        <v/>
      </c>
      <c r="AP37" s="9" t="str">
        <f t="shared" ca="1" si="21"/>
        <v/>
      </c>
      <c r="AQ37" s="9"/>
      <c r="AR37" s="9"/>
      <c r="AS37" s="9"/>
      <c r="AT37" s="9"/>
      <c r="AU37" s="9"/>
    </row>
    <row r="38" spans="1:47" x14ac:dyDescent="0.3">
      <c r="A38" s="1">
        <v>43517</v>
      </c>
      <c r="B38" s="6">
        <v>257.76001000000002</v>
      </c>
      <c r="C38" s="6">
        <v>101.470001</v>
      </c>
      <c r="D38" s="6">
        <v>29.440000999999999</v>
      </c>
      <c r="E38" s="6">
        <v>116.099998</v>
      </c>
      <c r="F38" s="6">
        <v>97.309997999999993</v>
      </c>
      <c r="G38" s="6">
        <v>44.740001999999997</v>
      </c>
      <c r="H38" s="6">
        <v>91.57</v>
      </c>
      <c r="I38" s="6">
        <v>160.86000100000001</v>
      </c>
      <c r="J38" s="6">
        <v>23.41</v>
      </c>
      <c r="K38" s="6">
        <v>29</v>
      </c>
      <c r="N38" s="18">
        <v>34</v>
      </c>
      <c r="O38" s="1">
        <v>43517</v>
      </c>
      <c r="P38" s="5">
        <f t="shared" si="34"/>
        <v>-1.3181717469288694E-3</v>
      </c>
      <c r="Q38" s="5">
        <f t="shared" si="35"/>
        <v>-1.477162560374407E-2</v>
      </c>
      <c r="R38" s="5">
        <f t="shared" si="36"/>
        <v>3.0617815539606894E-3</v>
      </c>
      <c r="S38" s="5">
        <f t="shared" si="37"/>
        <v>2.3282552663783612E-3</v>
      </c>
      <c r="T38" s="5">
        <f t="shared" si="38"/>
        <v>8.3587299360847848E-3</v>
      </c>
      <c r="U38" s="5">
        <f t="shared" si="39"/>
        <v>9.2063068915740377E-3</v>
      </c>
      <c r="V38" s="5">
        <f t="shared" si="40"/>
        <v>-5.5540790142294908E-3</v>
      </c>
      <c r="W38" s="5">
        <f t="shared" si="41"/>
        <v>6.4236647986514947E-3</v>
      </c>
      <c r="X38" s="5">
        <f t="shared" si="42"/>
        <v>-1.0622577047421344E-2</v>
      </c>
      <c r="Y38" s="5">
        <f t="shared" si="43"/>
        <v>-3.0986425206362476E-3</v>
      </c>
      <c r="Z38" s="33">
        <v>34</v>
      </c>
      <c r="AE38" s="20" t="str">
        <f t="shared" si="23"/>
        <v/>
      </c>
      <c r="AF38" s="22" t="str">
        <f t="shared" si="44"/>
        <v/>
      </c>
      <c r="AG38" s="9" t="str">
        <f t="shared" ca="1" si="12"/>
        <v/>
      </c>
      <c r="AH38" s="9" t="str">
        <f t="shared" ca="1" si="13"/>
        <v/>
      </c>
      <c r="AI38" s="9" t="str">
        <f t="shared" ca="1" si="14"/>
        <v/>
      </c>
      <c r="AJ38" s="9" t="str">
        <f t="shared" ca="1" si="15"/>
        <v/>
      </c>
      <c r="AK38" s="9" t="str">
        <f t="shared" ca="1" si="16"/>
        <v/>
      </c>
      <c r="AL38" s="9" t="str">
        <f t="shared" ca="1" si="17"/>
        <v/>
      </c>
      <c r="AM38" s="9" t="str">
        <f t="shared" ca="1" si="18"/>
        <v/>
      </c>
      <c r="AN38" s="9" t="str">
        <f t="shared" ca="1" si="19"/>
        <v/>
      </c>
      <c r="AO38" s="9" t="str">
        <f t="shared" ca="1" si="20"/>
        <v/>
      </c>
      <c r="AP38" s="9" t="str">
        <f t="shared" ca="1" si="21"/>
        <v/>
      </c>
      <c r="AQ38" s="9"/>
      <c r="AR38" s="9"/>
      <c r="AS38" s="9"/>
      <c r="AT38" s="9"/>
      <c r="AU38" s="9"/>
    </row>
    <row r="39" spans="1:47" x14ac:dyDescent="0.3">
      <c r="A39" s="1">
        <v>43518</v>
      </c>
      <c r="B39" s="6">
        <v>258.89999399999999</v>
      </c>
      <c r="C39" s="6">
        <v>102.300003</v>
      </c>
      <c r="D39" s="6">
        <v>29.219999000000001</v>
      </c>
      <c r="E39" s="6">
        <v>116.760002</v>
      </c>
      <c r="F39" s="6">
        <v>97.620002999999997</v>
      </c>
      <c r="G39" s="6">
        <v>44.880001</v>
      </c>
      <c r="H39" s="6">
        <v>92.330001999999993</v>
      </c>
      <c r="I39" s="6">
        <v>161.33999600000001</v>
      </c>
      <c r="J39" s="6">
        <v>23.75</v>
      </c>
      <c r="K39" s="6">
        <v>29.209999</v>
      </c>
      <c r="N39" s="19">
        <v>35</v>
      </c>
      <c r="O39" s="1">
        <v>43518</v>
      </c>
      <c r="P39" s="5">
        <f t="shared" si="34"/>
        <v>4.4129053580780186E-3</v>
      </c>
      <c r="Q39" s="5">
        <f t="shared" si="35"/>
        <v>8.1465041369725242E-3</v>
      </c>
      <c r="R39" s="5">
        <f t="shared" si="36"/>
        <v>-7.500955728648181E-3</v>
      </c>
      <c r="S39" s="5">
        <f t="shared" si="37"/>
        <v>5.6686916377509302E-3</v>
      </c>
      <c r="T39" s="5">
        <f t="shared" si="38"/>
        <v>3.1806829093832694E-3</v>
      </c>
      <c r="U39" s="5">
        <f t="shared" si="39"/>
        <v>3.124282731371132E-3</v>
      </c>
      <c r="V39" s="5">
        <f t="shared" si="40"/>
        <v>8.2654303263273495E-3</v>
      </c>
      <c r="W39" s="5">
        <f t="shared" si="41"/>
        <v>2.9794870239552413E-3</v>
      </c>
      <c r="X39" s="5">
        <f t="shared" si="42"/>
        <v>1.441924897783072E-2</v>
      </c>
      <c r="Y39" s="5">
        <f t="shared" si="43"/>
        <v>7.2152521783237916E-3</v>
      </c>
      <c r="Z39" s="33">
        <v>35</v>
      </c>
      <c r="AE39" s="20" t="str">
        <f t="shared" si="23"/>
        <v/>
      </c>
      <c r="AF39" s="22" t="str">
        <f t="shared" si="44"/>
        <v/>
      </c>
      <c r="AG39" s="9" t="str">
        <f t="shared" ca="1" si="12"/>
        <v/>
      </c>
      <c r="AH39" s="9" t="str">
        <f t="shared" ca="1" si="13"/>
        <v/>
      </c>
      <c r="AI39" s="9" t="str">
        <f t="shared" ca="1" si="14"/>
        <v/>
      </c>
      <c r="AJ39" s="9" t="str">
        <f t="shared" ca="1" si="15"/>
        <v/>
      </c>
      <c r="AK39" s="9" t="str">
        <f t="shared" ca="1" si="16"/>
        <v/>
      </c>
      <c r="AL39" s="9" t="str">
        <f t="shared" ca="1" si="17"/>
        <v/>
      </c>
      <c r="AM39" s="9" t="str">
        <f t="shared" ca="1" si="18"/>
        <v/>
      </c>
      <c r="AN39" s="9" t="str">
        <f t="shared" ca="1" si="19"/>
        <v/>
      </c>
      <c r="AO39" s="9" t="str">
        <f t="shared" ca="1" si="20"/>
        <v/>
      </c>
      <c r="AP39" s="9" t="str">
        <f t="shared" ca="1" si="21"/>
        <v/>
      </c>
      <c r="AQ39" s="9"/>
      <c r="AR39" s="9"/>
      <c r="AS39" s="9"/>
      <c r="AT39" s="9"/>
      <c r="AU39" s="9"/>
    </row>
    <row r="40" spans="1:47" x14ac:dyDescent="0.3">
      <c r="A40" s="1">
        <v>43521</v>
      </c>
      <c r="B40" s="6">
        <v>258.61999500000002</v>
      </c>
      <c r="C40" s="6">
        <v>102.889999</v>
      </c>
      <c r="D40" s="6">
        <v>29.27</v>
      </c>
      <c r="E40" s="6">
        <v>116.05999799999999</v>
      </c>
      <c r="F40" s="6">
        <v>97.400002000000001</v>
      </c>
      <c r="G40" s="6">
        <v>44.529998999999997</v>
      </c>
      <c r="H40" s="6">
        <v>92.459998999999996</v>
      </c>
      <c r="I40" s="6">
        <v>160.80999800000001</v>
      </c>
      <c r="J40" s="6">
        <v>23.65</v>
      </c>
      <c r="K40" s="6">
        <v>29.209999</v>
      </c>
      <c r="N40" s="18">
        <v>36</v>
      </c>
      <c r="O40" s="1">
        <v>43521</v>
      </c>
      <c r="P40" s="5">
        <f t="shared" si="34"/>
        <v>-1.0820800482001299E-3</v>
      </c>
      <c r="Q40" s="5">
        <f t="shared" si="35"/>
        <v>5.7507443855078456E-3</v>
      </c>
      <c r="R40" s="5">
        <f t="shared" si="36"/>
        <v>1.7097286043764488E-3</v>
      </c>
      <c r="S40" s="5">
        <f t="shared" si="37"/>
        <v>-6.0132815850715846E-3</v>
      </c>
      <c r="T40" s="5">
        <f t="shared" si="38"/>
        <v>-2.2561900080383347E-3</v>
      </c>
      <c r="U40" s="5">
        <f t="shared" si="39"/>
        <v>-7.8291866192406311E-3</v>
      </c>
      <c r="V40" s="5">
        <f t="shared" si="40"/>
        <v>1.4069702986233654E-3</v>
      </c>
      <c r="W40" s="5">
        <f t="shared" si="41"/>
        <v>-3.2903832875684296E-3</v>
      </c>
      <c r="X40" s="5">
        <f t="shared" si="42"/>
        <v>-4.2194155427083217E-3</v>
      </c>
      <c r="Y40" s="5">
        <f t="shared" si="43"/>
        <v>0</v>
      </c>
      <c r="Z40" s="33">
        <v>36</v>
      </c>
      <c r="AE40" s="20" t="str">
        <f t="shared" si="23"/>
        <v/>
      </c>
      <c r="AF40" s="22" t="str">
        <f t="shared" si="44"/>
        <v/>
      </c>
      <c r="AG40" s="9" t="str">
        <f t="shared" ca="1" si="12"/>
        <v/>
      </c>
      <c r="AH40" s="9" t="str">
        <f t="shared" ca="1" si="13"/>
        <v/>
      </c>
      <c r="AI40" s="9" t="str">
        <f t="shared" ca="1" si="14"/>
        <v/>
      </c>
      <c r="AJ40" s="9" t="str">
        <f t="shared" ca="1" si="15"/>
        <v/>
      </c>
      <c r="AK40" s="9" t="str">
        <f t="shared" ca="1" si="16"/>
        <v/>
      </c>
      <c r="AL40" s="9" t="str">
        <f t="shared" ca="1" si="17"/>
        <v/>
      </c>
      <c r="AM40" s="9" t="str">
        <f t="shared" ca="1" si="18"/>
        <v/>
      </c>
      <c r="AN40" s="9" t="str">
        <f t="shared" ca="1" si="19"/>
        <v/>
      </c>
      <c r="AO40" s="9" t="str">
        <f t="shared" ca="1" si="20"/>
        <v/>
      </c>
      <c r="AP40" s="9" t="str">
        <f t="shared" ca="1" si="21"/>
        <v/>
      </c>
      <c r="AQ40" s="9"/>
      <c r="AR40" s="9"/>
      <c r="AS40" s="9"/>
      <c r="AT40" s="9"/>
      <c r="AU40" s="9"/>
    </row>
    <row r="41" spans="1:47" x14ac:dyDescent="0.3">
      <c r="A41" s="1">
        <v>43522</v>
      </c>
      <c r="B41" s="6">
        <v>261.22000100000002</v>
      </c>
      <c r="C41" s="6">
        <v>102.57</v>
      </c>
      <c r="D41" s="6">
        <v>29.370000999999998</v>
      </c>
      <c r="E41" s="6">
        <v>115.970001</v>
      </c>
      <c r="F41" s="6">
        <v>97.459998999999996</v>
      </c>
      <c r="G41" s="6">
        <v>44.610000999999997</v>
      </c>
      <c r="H41" s="6">
        <v>91.220000999999996</v>
      </c>
      <c r="I41" s="6">
        <v>159.979996</v>
      </c>
      <c r="J41" s="6">
        <v>23.629999000000002</v>
      </c>
      <c r="K41" s="6">
        <v>28.389999</v>
      </c>
      <c r="N41" s="19">
        <v>37</v>
      </c>
      <c r="O41" s="1">
        <v>43522</v>
      </c>
      <c r="P41" s="5">
        <f t="shared" si="34"/>
        <v>1.0003184443245536E-2</v>
      </c>
      <c r="Q41" s="5">
        <f t="shared" si="35"/>
        <v>-3.1149543492818401E-3</v>
      </c>
      <c r="R41" s="5">
        <f t="shared" si="36"/>
        <v>3.4106785550823368E-3</v>
      </c>
      <c r="S41" s="5">
        <f t="shared" si="37"/>
        <v>-7.7573593846452533E-4</v>
      </c>
      <c r="T41" s="5">
        <f t="shared" si="38"/>
        <v>6.1579597237016804E-4</v>
      </c>
      <c r="U41" s="5">
        <f t="shared" si="39"/>
        <v>1.7949746798316397E-3</v>
      </c>
      <c r="V41" s="5">
        <f t="shared" si="40"/>
        <v>-1.3501925498529048E-2</v>
      </c>
      <c r="W41" s="5">
        <f t="shared" si="41"/>
        <v>-5.1747490113456703E-3</v>
      </c>
      <c r="X41" s="5">
        <f t="shared" si="42"/>
        <v>-8.4606605821217198E-4</v>
      </c>
      <c r="Y41" s="5">
        <f t="shared" si="43"/>
        <v>-2.8474146903589032E-2</v>
      </c>
      <c r="Z41" s="33">
        <v>37</v>
      </c>
      <c r="AE41" s="20" t="str">
        <f t="shared" si="23"/>
        <v/>
      </c>
      <c r="AF41" s="22" t="str">
        <f t="shared" si="44"/>
        <v/>
      </c>
      <c r="AG41" s="9" t="str">
        <f t="shared" ca="1" si="12"/>
        <v/>
      </c>
      <c r="AH41" s="9" t="str">
        <f t="shared" ca="1" si="13"/>
        <v/>
      </c>
      <c r="AI41" s="9" t="str">
        <f t="shared" ca="1" si="14"/>
        <v/>
      </c>
      <c r="AJ41" s="9" t="str">
        <f t="shared" ca="1" si="15"/>
        <v/>
      </c>
      <c r="AK41" s="9" t="str">
        <f t="shared" ca="1" si="16"/>
        <v/>
      </c>
      <c r="AL41" s="9" t="str">
        <f t="shared" ca="1" si="17"/>
        <v/>
      </c>
      <c r="AM41" s="9" t="str">
        <f t="shared" ca="1" si="18"/>
        <v/>
      </c>
      <c r="AN41" s="9" t="str">
        <f t="shared" ca="1" si="19"/>
        <v/>
      </c>
      <c r="AO41" s="9" t="str">
        <f t="shared" ca="1" si="20"/>
        <v/>
      </c>
      <c r="AP41" s="9" t="str">
        <f t="shared" ca="1" si="21"/>
        <v/>
      </c>
      <c r="AQ41" s="9"/>
      <c r="AR41" s="9"/>
      <c r="AS41" s="9"/>
      <c r="AT41" s="9"/>
      <c r="AU41" s="9"/>
    </row>
    <row r="42" spans="1:47" x14ac:dyDescent="0.3">
      <c r="A42" s="1">
        <v>43523</v>
      </c>
      <c r="B42" s="6">
        <v>262.89999399999999</v>
      </c>
      <c r="C42" s="6">
        <v>102.629997</v>
      </c>
      <c r="D42" s="6">
        <v>29.370000999999998</v>
      </c>
      <c r="E42" s="6">
        <v>115.370003</v>
      </c>
      <c r="F42" s="6">
        <v>97.620002999999997</v>
      </c>
      <c r="G42" s="6">
        <v>44.369999</v>
      </c>
      <c r="H42" s="6">
        <v>90.720000999999996</v>
      </c>
      <c r="I42" s="6">
        <v>162.94000199999999</v>
      </c>
      <c r="J42" s="6">
        <v>23.01</v>
      </c>
      <c r="K42" s="6">
        <v>28.639999</v>
      </c>
      <c r="N42" s="18">
        <v>38</v>
      </c>
      <c r="O42" s="1">
        <v>43523</v>
      </c>
      <c r="P42" s="5">
        <f t="shared" si="34"/>
        <v>6.4107409359032714E-3</v>
      </c>
      <c r="Q42" s="5">
        <f t="shared" si="35"/>
        <v>5.8476610708415645E-4</v>
      </c>
      <c r="R42" s="5">
        <f t="shared" si="36"/>
        <v>0</v>
      </c>
      <c r="S42" s="5">
        <f t="shared" si="37"/>
        <v>-5.1871646490398073E-3</v>
      </c>
      <c r="T42" s="5">
        <f t="shared" si="38"/>
        <v>1.6403940356680895E-3</v>
      </c>
      <c r="U42" s="5">
        <f t="shared" si="39"/>
        <v>-5.3945287036045132E-3</v>
      </c>
      <c r="V42" s="5">
        <f t="shared" si="40"/>
        <v>-5.4963312436929895E-3</v>
      </c>
      <c r="W42" s="5">
        <f t="shared" si="41"/>
        <v>1.8333264739402336E-2</v>
      </c>
      <c r="X42" s="5">
        <f t="shared" si="42"/>
        <v>-2.6588144832455113E-2</v>
      </c>
      <c r="Y42" s="5">
        <f t="shared" si="43"/>
        <v>8.7673719150343204E-3</v>
      </c>
      <c r="Z42" s="33">
        <v>38</v>
      </c>
      <c r="AE42" s="20" t="str">
        <f t="shared" si="23"/>
        <v/>
      </c>
      <c r="AF42" s="22" t="str">
        <f t="shared" si="44"/>
        <v/>
      </c>
      <c r="AG42" s="9" t="str">
        <f t="shared" ca="1" si="12"/>
        <v/>
      </c>
      <c r="AH42" s="9" t="str">
        <f t="shared" ca="1" si="13"/>
        <v/>
      </c>
      <c r="AI42" s="9" t="str">
        <f t="shared" ca="1" si="14"/>
        <v/>
      </c>
      <c r="AJ42" s="9" t="str">
        <f t="shared" ca="1" si="15"/>
        <v/>
      </c>
      <c r="AK42" s="9" t="str">
        <f t="shared" ca="1" si="16"/>
        <v/>
      </c>
      <c r="AL42" s="9" t="str">
        <f t="shared" ca="1" si="17"/>
        <v/>
      </c>
      <c r="AM42" s="9" t="str">
        <f t="shared" ca="1" si="18"/>
        <v/>
      </c>
      <c r="AN42" s="9" t="str">
        <f t="shared" ca="1" si="19"/>
        <v/>
      </c>
      <c r="AO42" s="9" t="str">
        <f t="shared" ca="1" si="20"/>
        <v/>
      </c>
      <c r="AP42" s="9" t="str">
        <f t="shared" ca="1" si="21"/>
        <v/>
      </c>
      <c r="AQ42" s="9"/>
      <c r="AR42" s="9"/>
      <c r="AS42" s="9"/>
      <c r="AT42" s="9"/>
      <c r="AU42" s="9"/>
    </row>
    <row r="43" spans="1:47" x14ac:dyDescent="0.3">
      <c r="A43" s="1">
        <v>43524</v>
      </c>
      <c r="B43" s="6">
        <v>262.5</v>
      </c>
      <c r="C43" s="6">
        <v>101.68</v>
      </c>
      <c r="D43" s="6">
        <v>31.915001</v>
      </c>
      <c r="E43" s="6">
        <v>115.639999</v>
      </c>
      <c r="F43" s="6">
        <v>98.089995999999999</v>
      </c>
      <c r="G43" s="6">
        <v>44.419998</v>
      </c>
      <c r="H43" s="6">
        <v>90.529999000000004</v>
      </c>
      <c r="I43" s="6">
        <v>160</v>
      </c>
      <c r="J43" s="6">
        <v>23.030000999999999</v>
      </c>
      <c r="K43" s="6">
        <v>28.9</v>
      </c>
      <c r="N43" s="19">
        <v>39</v>
      </c>
      <c r="O43" s="1">
        <v>43524</v>
      </c>
      <c r="P43" s="5">
        <f t="shared" si="34"/>
        <v>-1.5226268817908686E-3</v>
      </c>
      <c r="Q43" s="5">
        <f t="shared" si="35"/>
        <v>-9.2996315452050227E-3</v>
      </c>
      <c r="R43" s="5">
        <f t="shared" si="36"/>
        <v>8.3102370782372328E-2</v>
      </c>
      <c r="S43" s="5">
        <f t="shared" si="37"/>
        <v>2.3375275581268918E-3</v>
      </c>
      <c r="T43" s="5">
        <f t="shared" si="38"/>
        <v>4.8029626069385645E-3</v>
      </c>
      <c r="U43" s="5">
        <f t="shared" si="39"/>
        <v>1.1262305884496731E-3</v>
      </c>
      <c r="V43" s="5">
        <f t="shared" si="40"/>
        <v>-2.0965745610825922E-3</v>
      </c>
      <c r="W43" s="5">
        <f t="shared" si="41"/>
        <v>-1.8208231923125505E-2</v>
      </c>
      <c r="X43" s="5">
        <f t="shared" si="42"/>
        <v>8.6885320694219813E-4</v>
      </c>
      <c r="Y43" s="5">
        <f t="shared" si="43"/>
        <v>9.0372879421432052E-3</v>
      </c>
      <c r="Z43" s="33">
        <v>39</v>
      </c>
      <c r="AE43" s="20" t="str">
        <f t="shared" si="23"/>
        <v/>
      </c>
      <c r="AF43" s="22" t="str">
        <f t="shared" si="44"/>
        <v/>
      </c>
      <c r="AG43" s="9" t="str">
        <f t="shared" ca="1" si="12"/>
        <v/>
      </c>
      <c r="AH43" s="9" t="str">
        <f t="shared" ca="1" si="13"/>
        <v/>
      </c>
      <c r="AI43" s="9" t="str">
        <f t="shared" ca="1" si="14"/>
        <v/>
      </c>
      <c r="AJ43" s="9" t="str">
        <f t="shared" ca="1" si="15"/>
        <v/>
      </c>
      <c r="AK43" s="9" t="str">
        <f t="shared" ca="1" si="16"/>
        <v/>
      </c>
      <c r="AL43" s="9" t="str">
        <f t="shared" ca="1" si="17"/>
        <v/>
      </c>
      <c r="AM43" s="9" t="str">
        <f t="shared" ca="1" si="18"/>
        <v/>
      </c>
      <c r="AN43" s="9" t="str">
        <f t="shared" ca="1" si="19"/>
        <v/>
      </c>
      <c r="AO43" s="9" t="str">
        <f t="shared" ca="1" si="20"/>
        <v/>
      </c>
      <c r="AP43" s="9" t="str">
        <f t="shared" ca="1" si="21"/>
        <v/>
      </c>
      <c r="AQ43" s="9"/>
      <c r="AR43" s="9"/>
      <c r="AS43" s="9"/>
      <c r="AT43" s="9"/>
      <c r="AU43" s="9"/>
    </row>
    <row r="44" spans="1:47" x14ac:dyDescent="0.3">
      <c r="A44" s="1">
        <v>43525</v>
      </c>
      <c r="B44" s="6">
        <v>264.01001000000002</v>
      </c>
      <c r="C44" s="6">
        <v>103.19000200000001</v>
      </c>
      <c r="D44" s="6">
        <v>32.369999</v>
      </c>
      <c r="E44" s="6">
        <v>116.18</v>
      </c>
      <c r="F44" s="6">
        <v>97.660004000000001</v>
      </c>
      <c r="G44" s="6">
        <v>44.310001</v>
      </c>
      <c r="H44" s="6">
        <v>90.980002999999996</v>
      </c>
      <c r="I44" s="6">
        <v>158.91000399999999</v>
      </c>
      <c r="J44" s="6">
        <v>23.129999000000002</v>
      </c>
      <c r="K44" s="6">
        <v>29.08</v>
      </c>
      <c r="N44" s="18">
        <v>40</v>
      </c>
      <c r="O44" s="1">
        <v>43525</v>
      </c>
      <c r="P44" s="5">
        <f t="shared" si="34"/>
        <v>5.7359370624857397E-3</v>
      </c>
      <c r="Q44" s="5">
        <f t="shared" si="35"/>
        <v>1.4741341628147258E-2</v>
      </c>
      <c r="R44" s="5">
        <f t="shared" si="36"/>
        <v>1.4155887004101511E-2</v>
      </c>
      <c r="S44" s="5">
        <f t="shared" si="37"/>
        <v>4.658804063767963E-3</v>
      </c>
      <c r="T44" s="5">
        <f t="shared" si="38"/>
        <v>-4.3932842054063559E-3</v>
      </c>
      <c r="U44" s="5">
        <f t="shared" si="39"/>
        <v>-2.4793656618498821E-3</v>
      </c>
      <c r="V44" s="5">
        <f t="shared" si="40"/>
        <v>4.9584586748505147E-3</v>
      </c>
      <c r="W44" s="5">
        <f t="shared" si="41"/>
        <v>-6.8357858378015638E-3</v>
      </c>
      <c r="X44" s="5">
        <f t="shared" si="42"/>
        <v>4.3326757552347031E-3</v>
      </c>
      <c r="Y44" s="5">
        <f t="shared" si="43"/>
        <v>6.2090575469322352E-3</v>
      </c>
      <c r="Z44" s="33">
        <v>40</v>
      </c>
      <c r="AE44" s="20" t="str">
        <f t="shared" si="23"/>
        <v/>
      </c>
      <c r="AF44" s="22" t="str">
        <f t="shared" si="44"/>
        <v/>
      </c>
      <c r="AG44" s="9" t="str">
        <f t="shared" ca="1" si="12"/>
        <v/>
      </c>
      <c r="AH44" s="9" t="str">
        <f t="shared" ca="1" si="13"/>
        <v/>
      </c>
      <c r="AI44" s="9" t="str">
        <f t="shared" ca="1" si="14"/>
        <v/>
      </c>
      <c r="AJ44" s="9" t="str">
        <f t="shared" ca="1" si="15"/>
        <v/>
      </c>
      <c r="AK44" s="9" t="str">
        <f t="shared" ca="1" si="16"/>
        <v/>
      </c>
      <c r="AL44" s="9" t="str">
        <f t="shared" ca="1" si="17"/>
        <v/>
      </c>
      <c r="AM44" s="9" t="str">
        <f t="shared" ca="1" si="18"/>
        <v/>
      </c>
      <c r="AN44" s="9" t="str">
        <f t="shared" ca="1" si="19"/>
        <v/>
      </c>
      <c r="AO44" s="9" t="str">
        <f t="shared" ca="1" si="20"/>
        <v/>
      </c>
      <c r="AP44" s="9" t="str">
        <f t="shared" ca="1" si="21"/>
        <v/>
      </c>
      <c r="AQ44" s="9"/>
      <c r="AR44" s="9"/>
      <c r="AS44" s="9"/>
      <c r="AT44" s="9"/>
      <c r="AU44" s="9"/>
    </row>
    <row r="45" spans="1:47" x14ac:dyDescent="0.3">
      <c r="A45" s="1">
        <v>43528</v>
      </c>
      <c r="B45" s="6">
        <v>258.16000400000001</v>
      </c>
      <c r="C45" s="6">
        <v>103</v>
      </c>
      <c r="D45" s="6">
        <v>32.509998000000003</v>
      </c>
      <c r="E45" s="6">
        <v>116.16999800000001</v>
      </c>
      <c r="F45" s="6">
        <v>98.769997000000004</v>
      </c>
      <c r="G45" s="6">
        <v>44.75</v>
      </c>
      <c r="H45" s="6">
        <v>91.199996999999996</v>
      </c>
      <c r="I45" s="6">
        <v>159.679993</v>
      </c>
      <c r="J45" s="6">
        <v>22.959999</v>
      </c>
      <c r="K45" s="6">
        <v>28.780000999999999</v>
      </c>
      <c r="N45" s="19">
        <v>41</v>
      </c>
      <c r="O45" s="1">
        <v>43528</v>
      </c>
      <c r="P45" s="5">
        <f t="shared" si="34"/>
        <v>-2.2407455856190826E-2</v>
      </c>
      <c r="Q45" s="5">
        <f t="shared" si="35"/>
        <v>-1.8429802797101655E-3</v>
      </c>
      <c r="R45" s="5">
        <f t="shared" si="36"/>
        <v>4.3156357509291426E-3</v>
      </c>
      <c r="S45" s="5">
        <f t="shared" si="37"/>
        <v>-8.6094255151906052E-5</v>
      </c>
      <c r="T45" s="5">
        <f t="shared" si="38"/>
        <v>1.1301784954499707E-2</v>
      </c>
      <c r="U45" s="5">
        <f t="shared" si="39"/>
        <v>9.8810369411974509E-3</v>
      </c>
      <c r="V45" s="5">
        <f t="shared" si="40"/>
        <v>2.4151290694108232E-3</v>
      </c>
      <c r="W45" s="5">
        <f t="shared" si="41"/>
        <v>4.8337393294522408E-3</v>
      </c>
      <c r="X45" s="5">
        <f t="shared" si="42"/>
        <v>-7.376905112093793E-3</v>
      </c>
      <c r="Y45" s="5">
        <f t="shared" si="43"/>
        <v>-1.0369916459745788E-2</v>
      </c>
      <c r="Z45" s="33">
        <v>41</v>
      </c>
      <c r="AE45" s="20" t="str">
        <f t="shared" si="23"/>
        <v/>
      </c>
      <c r="AF45" s="22" t="str">
        <f t="shared" si="44"/>
        <v/>
      </c>
      <c r="AG45" s="9" t="str">
        <f t="shared" ca="1" si="12"/>
        <v/>
      </c>
      <c r="AH45" s="9" t="str">
        <f t="shared" ca="1" si="13"/>
        <v/>
      </c>
      <c r="AI45" s="9" t="str">
        <f t="shared" ca="1" si="14"/>
        <v/>
      </c>
      <c r="AJ45" s="9" t="str">
        <f t="shared" ca="1" si="15"/>
        <v/>
      </c>
      <c r="AK45" s="9" t="str">
        <f t="shared" ca="1" si="16"/>
        <v/>
      </c>
      <c r="AL45" s="9" t="str">
        <f t="shared" ca="1" si="17"/>
        <v/>
      </c>
      <c r="AM45" s="9" t="str">
        <f t="shared" ca="1" si="18"/>
        <v/>
      </c>
      <c r="AN45" s="9" t="str">
        <f t="shared" ca="1" si="19"/>
        <v/>
      </c>
      <c r="AO45" s="9" t="str">
        <f t="shared" ca="1" si="20"/>
        <v/>
      </c>
      <c r="AP45" s="9" t="str">
        <f t="shared" ca="1" si="21"/>
        <v/>
      </c>
      <c r="AQ45" s="9"/>
      <c r="AR45" s="9"/>
      <c r="AS45" s="9"/>
      <c r="AT45" s="9"/>
      <c r="AU45" s="9"/>
    </row>
    <row r="46" spans="1:47" x14ac:dyDescent="0.3">
      <c r="A46" s="1">
        <v>43529</v>
      </c>
      <c r="B46" s="6">
        <v>257.38000499999998</v>
      </c>
      <c r="C46" s="6">
        <v>103.379997</v>
      </c>
      <c r="D46" s="6">
        <v>31.309999000000001</v>
      </c>
      <c r="E46" s="6">
        <v>116.029999</v>
      </c>
      <c r="F46" s="6">
        <v>99.110000999999997</v>
      </c>
      <c r="G46" s="6">
        <v>44.900002000000001</v>
      </c>
      <c r="H46" s="6">
        <v>90.720000999999996</v>
      </c>
      <c r="I46" s="6">
        <v>160.570007</v>
      </c>
      <c r="J46" s="6">
        <v>22.940000999999999</v>
      </c>
      <c r="K46" s="6">
        <v>28.99</v>
      </c>
      <c r="N46" s="18">
        <v>42</v>
      </c>
      <c r="O46" s="1">
        <v>43529</v>
      </c>
      <c r="P46" s="5">
        <f t="shared" si="34"/>
        <v>-3.0259517459260677E-3</v>
      </c>
      <c r="Q46" s="5">
        <f t="shared" si="35"/>
        <v>3.6825025191045179E-3</v>
      </c>
      <c r="R46" s="5">
        <f t="shared" si="36"/>
        <v>-3.7610169396643578E-2</v>
      </c>
      <c r="S46" s="5">
        <f t="shared" si="37"/>
        <v>-1.2058485682413028E-3</v>
      </c>
      <c r="T46" s="5">
        <f t="shared" si="38"/>
        <v>3.4364699619760289E-3</v>
      </c>
      <c r="U46" s="5">
        <f t="shared" si="39"/>
        <v>3.3463945707731054E-3</v>
      </c>
      <c r="V46" s="5">
        <f t="shared" si="40"/>
        <v>-5.277013183178734E-3</v>
      </c>
      <c r="W46" s="5">
        <f t="shared" si="41"/>
        <v>5.5582594308087718E-3</v>
      </c>
      <c r="X46" s="5">
        <f t="shared" si="42"/>
        <v>-8.7137260415503961E-4</v>
      </c>
      <c r="Y46" s="5">
        <f t="shared" si="43"/>
        <v>7.2702067279913117E-3</v>
      </c>
      <c r="Z46" s="33">
        <v>42</v>
      </c>
      <c r="AE46" s="20" t="str">
        <f t="shared" si="23"/>
        <v/>
      </c>
      <c r="AF46" s="22" t="str">
        <f t="shared" si="44"/>
        <v/>
      </c>
      <c r="AG46" s="9" t="str">
        <f t="shared" ca="1" si="12"/>
        <v/>
      </c>
      <c r="AH46" s="9" t="str">
        <f t="shared" ca="1" si="13"/>
        <v/>
      </c>
      <c r="AI46" s="9" t="str">
        <f t="shared" ca="1" si="14"/>
        <v/>
      </c>
      <c r="AJ46" s="9" t="str">
        <f t="shared" ca="1" si="15"/>
        <v/>
      </c>
      <c r="AK46" s="9" t="str">
        <f t="shared" ca="1" si="16"/>
        <v/>
      </c>
      <c r="AL46" s="9" t="str">
        <f t="shared" ca="1" si="17"/>
        <v/>
      </c>
      <c r="AM46" s="9" t="str">
        <f t="shared" ca="1" si="18"/>
        <v/>
      </c>
      <c r="AN46" s="9" t="str">
        <f t="shared" ca="1" si="19"/>
        <v/>
      </c>
      <c r="AO46" s="9" t="str">
        <f t="shared" ca="1" si="20"/>
        <v/>
      </c>
      <c r="AP46" s="9" t="str">
        <f t="shared" ca="1" si="21"/>
        <v/>
      </c>
      <c r="AQ46" s="9"/>
      <c r="AR46" s="9"/>
      <c r="AS46" s="9"/>
      <c r="AT46" s="9"/>
      <c r="AU46" s="9"/>
    </row>
    <row r="47" spans="1:47" x14ac:dyDescent="0.3">
      <c r="A47" s="1">
        <v>43530</v>
      </c>
      <c r="B47" s="6">
        <v>256.39999399999999</v>
      </c>
      <c r="C47" s="6">
        <v>103.68</v>
      </c>
      <c r="D47" s="6">
        <v>30.870000999999998</v>
      </c>
      <c r="E47" s="6">
        <v>116.660004</v>
      </c>
      <c r="F47" s="6">
        <v>98.57</v>
      </c>
      <c r="G47" s="6">
        <v>44.669998</v>
      </c>
      <c r="H47" s="6">
        <v>90.959998999999996</v>
      </c>
      <c r="I47" s="6">
        <v>160.88000500000001</v>
      </c>
      <c r="J47" s="6">
        <v>22.85</v>
      </c>
      <c r="K47" s="6">
        <v>28.809999000000001</v>
      </c>
      <c r="N47" s="19">
        <v>43</v>
      </c>
      <c r="O47" s="1">
        <v>43530</v>
      </c>
      <c r="P47" s="5">
        <f t="shared" si="34"/>
        <v>-3.8149098464688004E-3</v>
      </c>
      <c r="Q47" s="5">
        <f t="shared" si="35"/>
        <v>2.8977418552244322E-3</v>
      </c>
      <c r="R47" s="5">
        <f t="shared" si="36"/>
        <v>-1.4152632491658788E-2</v>
      </c>
      <c r="S47" s="5">
        <f t="shared" si="37"/>
        <v>5.4149858721712924E-3</v>
      </c>
      <c r="T47" s="5">
        <f t="shared" si="38"/>
        <v>-5.4633988310687368E-3</v>
      </c>
      <c r="U47" s="5">
        <f t="shared" si="39"/>
        <v>-5.1357487003893245E-3</v>
      </c>
      <c r="V47" s="5">
        <f t="shared" si="40"/>
        <v>2.6419874460674995E-3</v>
      </c>
      <c r="W47" s="5">
        <f t="shared" si="41"/>
        <v>1.9287483871750369E-3</v>
      </c>
      <c r="X47" s="5">
        <f t="shared" si="42"/>
        <v>-3.9310379529888997E-3</v>
      </c>
      <c r="Y47" s="5">
        <f t="shared" si="43"/>
        <v>-6.2284285472976103E-3</v>
      </c>
      <c r="Z47" s="33">
        <v>43</v>
      </c>
      <c r="AE47" s="20" t="str">
        <f t="shared" si="23"/>
        <v/>
      </c>
      <c r="AF47" s="22" t="str">
        <f t="shared" si="44"/>
        <v/>
      </c>
      <c r="AG47" s="9" t="str">
        <f t="shared" ca="1" si="12"/>
        <v/>
      </c>
      <c r="AH47" s="9" t="str">
        <f t="shared" ca="1" si="13"/>
        <v/>
      </c>
      <c r="AI47" s="9" t="str">
        <f t="shared" ca="1" si="14"/>
        <v/>
      </c>
      <c r="AJ47" s="9" t="str">
        <f t="shared" ca="1" si="15"/>
        <v/>
      </c>
      <c r="AK47" s="9" t="str">
        <f t="shared" ca="1" si="16"/>
        <v/>
      </c>
      <c r="AL47" s="9" t="str">
        <f t="shared" ca="1" si="17"/>
        <v/>
      </c>
      <c r="AM47" s="9" t="str">
        <f t="shared" ca="1" si="18"/>
        <v/>
      </c>
      <c r="AN47" s="9" t="str">
        <f t="shared" ca="1" si="19"/>
        <v/>
      </c>
      <c r="AO47" s="9" t="str">
        <f t="shared" ca="1" si="20"/>
        <v/>
      </c>
      <c r="AP47" s="9" t="str">
        <f t="shared" ca="1" si="21"/>
        <v/>
      </c>
      <c r="AQ47" s="9"/>
      <c r="AR47" s="9"/>
      <c r="AS47" s="9"/>
      <c r="AT47" s="9"/>
      <c r="AU47" s="9"/>
    </row>
    <row r="48" spans="1:47" x14ac:dyDescent="0.3">
      <c r="A48" s="1">
        <v>43531</v>
      </c>
      <c r="B48" s="6">
        <v>255.46000699999999</v>
      </c>
      <c r="C48" s="6">
        <v>103.260002</v>
      </c>
      <c r="D48" s="6">
        <v>30.795000000000002</v>
      </c>
      <c r="E48" s="6">
        <v>116.099998</v>
      </c>
      <c r="F48" s="6">
        <v>98.529999000000004</v>
      </c>
      <c r="G48" s="6">
        <v>44.66</v>
      </c>
      <c r="H48" s="6">
        <v>90.18</v>
      </c>
      <c r="I48" s="6">
        <v>160.509995</v>
      </c>
      <c r="J48" s="6">
        <v>22.35</v>
      </c>
      <c r="K48" s="6">
        <v>28.42</v>
      </c>
      <c r="N48" s="18">
        <v>44</v>
      </c>
      <c r="O48" s="1">
        <v>43531</v>
      </c>
      <c r="P48" s="5">
        <f t="shared" si="34"/>
        <v>-3.6728326293981543E-3</v>
      </c>
      <c r="Q48" s="5">
        <f t="shared" si="35"/>
        <v>-4.0591337838776168E-3</v>
      </c>
      <c r="R48" s="5">
        <f t="shared" si="36"/>
        <v>-2.4325317689706423E-3</v>
      </c>
      <c r="S48" s="5">
        <f t="shared" si="37"/>
        <v>-4.8118841358477174E-3</v>
      </c>
      <c r="T48" s="5">
        <f t="shared" si="38"/>
        <v>-4.0589549215747832E-4</v>
      </c>
      <c r="U48" s="5">
        <f t="shared" si="39"/>
        <v>-2.2384417923635621E-4</v>
      </c>
      <c r="V48" s="5">
        <f t="shared" si="40"/>
        <v>-8.6121654554988866E-3</v>
      </c>
      <c r="W48" s="5">
        <f t="shared" si="41"/>
        <v>-2.3025617690425248E-3</v>
      </c>
      <c r="X48" s="5">
        <f t="shared" si="42"/>
        <v>-2.2124796280635871E-2</v>
      </c>
      <c r="Y48" s="5">
        <f t="shared" si="43"/>
        <v>-1.3629391717311871E-2</v>
      </c>
      <c r="Z48" s="33">
        <v>44</v>
      </c>
      <c r="AE48" s="20" t="str">
        <f t="shared" si="23"/>
        <v/>
      </c>
      <c r="AF48" s="22" t="str">
        <f t="shared" si="44"/>
        <v/>
      </c>
      <c r="AG48" s="9" t="str">
        <f t="shared" ca="1" si="12"/>
        <v/>
      </c>
      <c r="AH48" s="9" t="str">
        <f t="shared" ca="1" si="13"/>
        <v/>
      </c>
      <c r="AI48" s="9" t="str">
        <f t="shared" ca="1" si="14"/>
        <v/>
      </c>
      <c r="AJ48" s="9" t="str">
        <f t="shared" ca="1" si="15"/>
        <v/>
      </c>
      <c r="AK48" s="9" t="str">
        <f t="shared" ca="1" si="16"/>
        <v/>
      </c>
      <c r="AL48" s="9" t="str">
        <f t="shared" ca="1" si="17"/>
        <v/>
      </c>
      <c r="AM48" s="9" t="str">
        <f t="shared" ca="1" si="18"/>
        <v/>
      </c>
      <c r="AN48" s="9" t="str">
        <f t="shared" ca="1" si="19"/>
        <v/>
      </c>
      <c r="AO48" s="9" t="str">
        <f t="shared" ca="1" si="20"/>
        <v/>
      </c>
      <c r="AP48" s="9" t="str">
        <f t="shared" ca="1" si="21"/>
        <v/>
      </c>
      <c r="AQ48" s="9"/>
      <c r="AR48" s="9"/>
      <c r="AS48" s="9"/>
      <c r="AT48" s="9"/>
      <c r="AU48" s="9"/>
    </row>
    <row r="49" spans="1:47" x14ac:dyDescent="0.3">
      <c r="A49" s="1">
        <v>43532</v>
      </c>
      <c r="B49" s="6">
        <v>254.740005</v>
      </c>
      <c r="C49" s="6">
        <v>103.199997</v>
      </c>
      <c r="D49" s="6">
        <v>30.305</v>
      </c>
      <c r="E49" s="6">
        <v>115.230003</v>
      </c>
      <c r="F49" s="6">
        <v>99.120002999999997</v>
      </c>
      <c r="G49" s="6">
        <v>44.889999000000003</v>
      </c>
      <c r="H49" s="6">
        <v>89.269997000000004</v>
      </c>
      <c r="I49" s="6">
        <v>157.61000100000001</v>
      </c>
      <c r="J49" s="6">
        <v>22.25</v>
      </c>
      <c r="K49" s="6">
        <v>28.92</v>
      </c>
      <c r="N49" s="19">
        <v>45</v>
      </c>
      <c r="O49" s="1">
        <v>43532</v>
      </c>
      <c r="P49" s="5">
        <f t="shared" si="34"/>
        <v>-2.8224322267114358E-3</v>
      </c>
      <c r="Q49" s="5">
        <f t="shared" si="35"/>
        <v>-5.8127484239251664E-4</v>
      </c>
      <c r="R49" s="5">
        <f t="shared" si="36"/>
        <v>-1.6039623735758263E-2</v>
      </c>
      <c r="S49" s="5">
        <f t="shared" si="37"/>
        <v>-7.5217144165073552E-3</v>
      </c>
      <c r="T49" s="5">
        <f t="shared" si="38"/>
        <v>5.970207402040394E-3</v>
      </c>
      <c r="U49" s="5">
        <f t="shared" si="39"/>
        <v>5.1367841051525743E-3</v>
      </c>
      <c r="V49" s="5">
        <f t="shared" si="40"/>
        <v>-1.0142221407582667E-2</v>
      </c>
      <c r="W49" s="5">
        <f t="shared" si="41"/>
        <v>-1.8232581242193964E-2</v>
      </c>
      <c r="X49" s="5">
        <f t="shared" si="42"/>
        <v>-4.484312447328687E-3</v>
      </c>
      <c r="Y49" s="5">
        <f t="shared" si="43"/>
        <v>1.7440274621609415E-2</v>
      </c>
      <c r="Z49" s="33">
        <v>45</v>
      </c>
      <c r="AE49" s="20" t="str">
        <f t="shared" si="23"/>
        <v/>
      </c>
      <c r="AF49" s="22" t="str">
        <f t="shared" si="44"/>
        <v/>
      </c>
      <c r="AG49" s="9" t="str">
        <f t="shared" ca="1" si="12"/>
        <v/>
      </c>
      <c r="AH49" s="9" t="str">
        <f t="shared" ca="1" si="13"/>
        <v/>
      </c>
      <c r="AI49" s="9" t="str">
        <f t="shared" ca="1" si="14"/>
        <v/>
      </c>
      <c r="AJ49" s="9" t="str">
        <f t="shared" ca="1" si="15"/>
        <v/>
      </c>
      <c r="AK49" s="9" t="str">
        <f t="shared" ca="1" si="16"/>
        <v/>
      </c>
      <c r="AL49" s="9" t="str">
        <f t="shared" ca="1" si="17"/>
        <v/>
      </c>
      <c r="AM49" s="9" t="str">
        <f t="shared" ca="1" si="18"/>
        <v/>
      </c>
      <c r="AN49" s="9" t="str">
        <f t="shared" ca="1" si="19"/>
        <v/>
      </c>
      <c r="AO49" s="9" t="str">
        <f t="shared" ca="1" si="20"/>
        <v/>
      </c>
      <c r="AP49" s="9" t="str">
        <f t="shared" ca="1" si="21"/>
        <v/>
      </c>
      <c r="AQ49" s="9"/>
      <c r="AR49" s="9"/>
      <c r="AS49" s="9"/>
      <c r="AT49" s="9"/>
      <c r="AU49" s="9"/>
    </row>
    <row r="50" spans="1:47" x14ac:dyDescent="0.3">
      <c r="A50" s="1">
        <v>43535</v>
      </c>
      <c r="B50" s="6">
        <v>260.959991</v>
      </c>
      <c r="C50" s="6">
        <v>105.410004</v>
      </c>
      <c r="D50" s="6">
        <v>30.594999000000001</v>
      </c>
      <c r="E50" s="6">
        <v>116.589996</v>
      </c>
      <c r="F50" s="6">
        <v>100.230003</v>
      </c>
      <c r="G50" s="6">
        <v>44.889999000000003</v>
      </c>
      <c r="H50" s="6">
        <v>90.540001000000004</v>
      </c>
      <c r="I50" s="6">
        <v>159.86999499999999</v>
      </c>
      <c r="J50" s="6">
        <v>22.549999</v>
      </c>
      <c r="K50" s="6">
        <v>28.42</v>
      </c>
      <c r="N50" s="18">
        <v>46</v>
      </c>
      <c r="O50" s="1">
        <v>43535</v>
      </c>
      <c r="P50" s="5">
        <f t="shared" si="34"/>
        <v>2.4123667595189933E-2</v>
      </c>
      <c r="Q50" s="5">
        <f t="shared" si="35"/>
        <v>2.1188722236466555E-2</v>
      </c>
      <c r="R50" s="5">
        <f t="shared" si="36"/>
        <v>9.5238488261757698E-3</v>
      </c>
      <c r="S50" s="5">
        <f t="shared" si="37"/>
        <v>1.1733315576130257E-2</v>
      </c>
      <c r="T50" s="5">
        <f t="shared" si="38"/>
        <v>1.1136307380702266E-2</v>
      </c>
      <c r="U50" s="5">
        <f t="shared" si="39"/>
        <v>0</v>
      </c>
      <c r="V50" s="5">
        <f t="shared" si="40"/>
        <v>1.4126301467299042E-2</v>
      </c>
      <c r="W50" s="5">
        <f t="shared" si="41"/>
        <v>1.4237320169163941E-2</v>
      </c>
      <c r="X50" s="5">
        <f t="shared" si="42"/>
        <v>1.3393012990539053E-2</v>
      </c>
      <c r="Y50" s="5">
        <f t="shared" si="43"/>
        <v>-1.7440274621609408E-2</v>
      </c>
      <c r="Z50" s="33">
        <v>46</v>
      </c>
      <c r="AE50" s="20" t="str">
        <f t="shared" si="23"/>
        <v/>
      </c>
      <c r="AF50" s="22" t="str">
        <f t="shared" si="44"/>
        <v/>
      </c>
      <c r="AG50" s="9" t="str">
        <f t="shared" ca="1" si="12"/>
        <v/>
      </c>
      <c r="AH50" s="9" t="str">
        <f t="shared" ca="1" si="13"/>
        <v/>
      </c>
      <c r="AI50" s="9" t="str">
        <f t="shared" ca="1" si="14"/>
        <v/>
      </c>
      <c r="AJ50" s="9" t="str">
        <f t="shared" ca="1" si="15"/>
        <v/>
      </c>
      <c r="AK50" s="9" t="str">
        <f t="shared" ca="1" si="16"/>
        <v/>
      </c>
      <c r="AL50" s="9" t="str">
        <f t="shared" ca="1" si="17"/>
        <v/>
      </c>
      <c r="AM50" s="9" t="str">
        <f t="shared" ca="1" si="18"/>
        <v/>
      </c>
      <c r="AN50" s="9" t="str">
        <f t="shared" ca="1" si="19"/>
        <v/>
      </c>
      <c r="AO50" s="9" t="str">
        <f t="shared" ca="1" si="20"/>
        <v/>
      </c>
      <c r="AP50" s="9" t="str">
        <f t="shared" ca="1" si="21"/>
        <v/>
      </c>
      <c r="AQ50" s="9"/>
      <c r="AR50" s="9"/>
      <c r="AS50" s="9"/>
      <c r="AT50" s="9"/>
      <c r="AU50" s="9"/>
    </row>
    <row r="51" spans="1:47" x14ac:dyDescent="0.3">
      <c r="A51" s="1">
        <v>43536</v>
      </c>
      <c r="B51" s="6">
        <v>263.51001000000002</v>
      </c>
      <c r="C51" s="6">
        <v>106.900002</v>
      </c>
      <c r="D51" s="6">
        <v>30.114999999999998</v>
      </c>
      <c r="E51" s="6">
        <v>116.57</v>
      </c>
      <c r="F51" s="6">
        <v>100.790001</v>
      </c>
      <c r="G51" s="6">
        <v>44.98</v>
      </c>
      <c r="H51" s="6">
        <v>90.440002000000007</v>
      </c>
      <c r="I51" s="6">
        <v>160.270004</v>
      </c>
      <c r="J51" s="6">
        <v>22.459999</v>
      </c>
      <c r="K51" s="6">
        <v>28.370000999999998</v>
      </c>
      <c r="N51" s="19">
        <v>47</v>
      </c>
      <c r="O51" s="1">
        <v>43536</v>
      </c>
      <c r="P51" s="5">
        <f t="shared" si="34"/>
        <v>9.7242514900097408E-3</v>
      </c>
      <c r="Q51" s="5">
        <f t="shared" si="35"/>
        <v>1.4036290525912251E-2</v>
      </c>
      <c r="R51" s="5">
        <f t="shared" si="36"/>
        <v>-1.5813177733739713E-2</v>
      </c>
      <c r="S51" s="5">
        <f t="shared" si="37"/>
        <v>-1.7152170519875505E-4</v>
      </c>
      <c r="T51" s="5">
        <f t="shared" si="38"/>
        <v>5.571579320472933E-3</v>
      </c>
      <c r="U51" s="5">
        <f t="shared" si="39"/>
        <v>2.0029160140052904E-3</v>
      </c>
      <c r="V51" s="5">
        <f t="shared" si="40"/>
        <v>-1.105083528776804E-3</v>
      </c>
      <c r="W51" s="5">
        <f t="shared" si="41"/>
        <v>2.4989642619784457E-3</v>
      </c>
      <c r="X51" s="5">
        <f t="shared" si="42"/>
        <v>-3.9991168160896885E-3</v>
      </c>
      <c r="Y51" s="5">
        <f t="shared" si="43"/>
        <v>-1.7608385996933968E-3</v>
      </c>
      <c r="Z51" s="33">
        <v>47</v>
      </c>
      <c r="AE51" s="20" t="str">
        <f t="shared" si="23"/>
        <v/>
      </c>
      <c r="AF51" s="22" t="str">
        <f t="shared" si="44"/>
        <v/>
      </c>
      <c r="AG51" s="9" t="str">
        <f t="shared" ca="1" si="12"/>
        <v/>
      </c>
      <c r="AH51" s="9" t="str">
        <f t="shared" ca="1" si="13"/>
        <v/>
      </c>
      <c r="AI51" s="9" t="str">
        <f t="shared" ca="1" si="14"/>
        <v/>
      </c>
      <c r="AJ51" s="9" t="str">
        <f t="shared" ca="1" si="15"/>
        <v/>
      </c>
      <c r="AK51" s="9" t="str">
        <f t="shared" ca="1" si="16"/>
        <v/>
      </c>
      <c r="AL51" s="9" t="str">
        <f t="shared" ca="1" si="17"/>
        <v/>
      </c>
      <c r="AM51" s="9" t="str">
        <f t="shared" ca="1" si="18"/>
        <v/>
      </c>
      <c r="AN51" s="9" t="str">
        <f t="shared" ca="1" si="19"/>
        <v/>
      </c>
      <c r="AO51" s="9" t="str">
        <f t="shared" ca="1" si="20"/>
        <v/>
      </c>
      <c r="AP51" s="9" t="str">
        <f t="shared" ca="1" si="21"/>
        <v/>
      </c>
      <c r="AQ51" s="9"/>
      <c r="AR51" s="9"/>
      <c r="AS51" s="9"/>
      <c r="AT51" s="9"/>
      <c r="AU51" s="9"/>
    </row>
    <row r="52" spans="1:47" x14ac:dyDescent="0.3">
      <c r="A52" s="1">
        <v>43537</v>
      </c>
      <c r="B52" s="6">
        <v>264.38000499999998</v>
      </c>
      <c r="C52" s="6">
        <v>107.629997</v>
      </c>
      <c r="D52" s="6">
        <v>29.885000000000002</v>
      </c>
      <c r="E52" s="6">
        <v>116.58000199999999</v>
      </c>
      <c r="F52" s="6">
        <v>101.110001</v>
      </c>
      <c r="G52" s="6">
        <v>45.139999000000003</v>
      </c>
      <c r="H52" s="6">
        <v>91.400002000000001</v>
      </c>
      <c r="I52" s="6">
        <v>158.91999799999999</v>
      </c>
      <c r="J52" s="6">
        <v>22.23</v>
      </c>
      <c r="K52" s="6">
        <v>26.93</v>
      </c>
      <c r="N52" s="18">
        <v>48</v>
      </c>
      <c r="O52" s="1">
        <v>43537</v>
      </c>
      <c r="P52" s="5">
        <f t="shared" si="34"/>
        <v>3.2961251887564328E-3</v>
      </c>
      <c r="Q52" s="5">
        <f t="shared" si="35"/>
        <v>6.8055546628637215E-3</v>
      </c>
      <c r="R52" s="5">
        <f t="shared" si="36"/>
        <v>-7.6667042194667459E-3</v>
      </c>
      <c r="S52" s="5">
        <f t="shared" si="37"/>
        <v>8.5798841263933442E-5</v>
      </c>
      <c r="T52" s="5">
        <f t="shared" si="38"/>
        <v>3.1698887051203584E-3</v>
      </c>
      <c r="U52" s="5">
        <f t="shared" si="39"/>
        <v>3.5508027049191153E-3</v>
      </c>
      <c r="V52" s="5">
        <f t="shared" si="40"/>
        <v>1.055883081806437E-2</v>
      </c>
      <c r="W52" s="5">
        <f t="shared" si="41"/>
        <v>-8.4589996019175627E-3</v>
      </c>
      <c r="X52" s="5">
        <f t="shared" si="42"/>
        <v>-1.0293176810593373E-2</v>
      </c>
      <c r="Y52" s="5">
        <f t="shared" si="43"/>
        <v>-5.2091377245753669E-2</v>
      </c>
      <c r="Z52" s="33">
        <v>48</v>
      </c>
      <c r="AE52" s="20" t="str">
        <f t="shared" si="23"/>
        <v/>
      </c>
      <c r="AF52" s="22" t="str">
        <f t="shared" si="44"/>
        <v/>
      </c>
      <c r="AG52" s="9" t="str">
        <f t="shared" ca="1" si="12"/>
        <v/>
      </c>
      <c r="AH52" s="9" t="str">
        <f t="shared" ca="1" si="13"/>
        <v/>
      </c>
      <c r="AI52" s="9" t="str">
        <f t="shared" ca="1" si="14"/>
        <v/>
      </c>
      <c r="AJ52" s="9" t="str">
        <f t="shared" ca="1" si="15"/>
        <v/>
      </c>
      <c r="AK52" s="9" t="str">
        <f t="shared" ca="1" si="16"/>
        <v/>
      </c>
      <c r="AL52" s="9" t="str">
        <f t="shared" ca="1" si="17"/>
        <v/>
      </c>
      <c r="AM52" s="9" t="str">
        <f t="shared" ca="1" si="18"/>
        <v/>
      </c>
      <c r="AN52" s="9" t="str">
        <f t="shared" ca="1" si="19"/>
        <v/>
      </c>
      <c r="AO52" s="9" t="str">
        <f t="shared" ca="1" si="20"/>
        <v/>
      </c>
      <c r="AP52" s="9" t="str">
        <f t="shared" ca="1" si="21"/>
        <v/>
      </c>
      <c r="AQ52" s="9"/>
      <c r="AR52" s="9"/>
      <c r="AS52" s="9"/>
      <c r="AT52" s="9"/>
      <c r="AU52" s="9"/>
    </row>
    <row r="53" spans="1:47" x14ac:dyDescent="0.3">
      <c r="A53" s="1">
        <v>43538</v>
      </c>
      <c r="B53" s="6">
        <v>267.69000199999999</v>
      </c>
      <c r="C53" s="6">
        <v>108</v>
      </c>
      <c r="D53" s="6">
        <v>29.834999</v>
      </c>
      <c r="E53" s="6">
        <v>115.5</v>
      </c>
      <c r="F53" s="6">
        <v>101.379997</v>
      </c>
      <c r="G53" s="6">
        <v>45.330002</v>
      </c>
      <c r="H53" s="6">
        <v>90.720000999999996</v>
      </c>
      <c r="I53" s="6">
        <v>156.61000100000001</v>
      </c>
      <c r="J53" s="6">
        <v>22.42</v>
      </c>
      <c r="K53" s="6">
        <v>27.43</v>
      </c>
      <c r="N53" s="19">
        <v>49</v>
      </c>
      <c r="O53" s="1">
        <v>43538</v>
      </c>
      <c r="P53" s="5">
        <f t="shared" si="34"/>
        <v>1.2442120988073202E-2</v>
      </c>
      <c r="Q53" s="5">
        <f t="shared" si="35"/>
        <v>3.4318357212827222E-3</v>
      </c>
      <c r="R53" s="5">
        <f t="shared" si="36"/>
        <v>-1.6745148198535041E-3</v>
      </c>
      <c r="S53" s="5">
        <f t="shared" si="37"/>
        <v>-9.3072198111565831E-3</v>
      </c>
      <c r="T53" s="5">
        <f t="shared" si="38"/>
        <v>2.6667604590413655E-3</v>
      </c>
      <c r="U53" s="5">
        <f t="shared" si="39"/>
        <v>4.2003598375595259E-3</v>
      </c>
      <c r="V53" s="5">
        <f t="shared" si="40"/>
        <v>-7.4676493395726502E-3</v>
      </c>
      <c r="W53" s="5">
        <f t="shared" si="41"/>
        <v>-1.4642273497818853E-2</v>
      </c>
      <c r="X53" s="5">
        <f t="shared" si="42"/>
        <v>8.5106896679086105E-3</v>
      </c>
      <c r="Y53" s="5">
        <f t="shared" si="43"/>
        <v>1.8396398126004326E-2</v>
      </c>
      <c r="Z53" s="33">
        <v>49</v>
      </c>
      <c r="AE53" s="20" t="str">
        <f t="shared" si="23"/>
        <v/>
      </c>
      <c r="AF53" s="22" t="str">
        <f t="shared" si="44"/>
        <v/>
      </c>
      <c r="AG53" s="9" t="str">
        <f t="shared" ca="1" si="12"/>
        <v/>
      </c>
      <c r="AH53" s="9" t="str">
        <f t="shared" ca="1" si="13"/>
        <v/>
      </c>
      <c r="AI53" s="9" t="str">
        <f t="shared" ca="1" si="14"/>
        <v/>
      </c>
      <c r="AJ53" s="9" t="str">
        <f t="shared" ca="1" si="15"/>
        <v/>
      </c>
      <c r="AK53" s="9" t="str">
        <f t="shared" ca="1" si="16"/>
        <v/>
      </c>
      <c r="AL53" s="9" t="str">
        <f t="shared" ca="1" si="17"/>
        <v/>
      </c>
      <c r="AM53" s="9" t="str">
        <f t="shared" ca="1" si="18"/>
        <v/>
      </c>
      <c r="AN53" s="9" t="str">
        <f t="shared" ca="1" si="19"/>
        <v/>
      </c>
      <c r="AO53" s="9" t="str">
        <f t="shared" ca="1" si="20"/>
        <v/>
      </c>
      <c r="AP53" s="9" t="str">
        <f t="shared" ca="1" si="21"/>
        <v/>
      </c>
      <c r="AQ53" s="9"/>
      <c r="AR53" s="9"/>
      <c r="AS53" s="9"/>
      <c r="AT53" s="9"/>
      <c r="AU53" s="9"/>
    </row>
    <row r="54" spans="1:47" x14ac:dyDescent="0.3">
      <c r="A54" s="1">
        <v>43539</v>
      </c>
      <c r="B54" s="6">
        <v>257.08999599999999</v>
      </c>
      <c r="C54" s="6">
        <v>109.16999800000001</v>
      </c>
      <c r="D54" s="6">
        <v>30.135000000000002</v>
      </c>
      <c r="E54" s="6">
        <v>115.660004</v>
      </c>
      <c r="F54" s="6">
        <v>100.769997</v>
      </c>
      <c r="G54" s="6">
        <v>45.130001</v>
      </c>
      <c r="H54" s="6">
        <v>90.690002000000007</v>
      </c>
      <c r="I54" s="6">
        <v>155.679993</v>
      </c>
      <c r="J54" s="6">
        <v>22.34</v>
      </c>
      <c r="K54" s="6">
        <v>27.43</v>
      </c>
      <c r="N54" s="18">
        <v>50</v>
      </c>
      <c r="O54" s="1">
        <v>43539</v>
      </c>
      <c r="P54" s="5">
        <f t="shared" si="34"/>
        <v>-4.0403399466303974E-2</v>
      </c>
      <c r="Q54" s="5">
        <f t="shared" si="35"/>
        <v>1.0775054847907148E-2</v>
      </c>
      <c r="R54" s="5">
        <f t="shared" si="36"/>
        <v>1.0005119478643498E-2</v>
      </c>
      <c r="S54" s="5">
        <f t="shared" si="37"/>
        <v>1.3843573523493016E-3</v>
      </c>
      <c r="T54" s="5">
        <f t="shared" si="38"/>
        <v>-6.0351409310219267E-3</v>
      </c>
      <c r="U54" s="5">
        <f t="shared" si="39"/>
        <v>-4.4218730765289331E-3</v>
      </c>
      <c r="V54" s="5">
        <f t="shared" si="40"/>
        <v>-3.3073148974526161E-4</v>
      </c>
      <c r="W54" s="5">
        <f t="shared" si="41"/>
        <v>-5.9560713899656946E-3</v>
      </c>
      <c r="X54" s="5">
        <f t="shared" si="42"/>
        <v>-3.5746240029592455E-3</v>
      </c>
      <c r="Y54" s="5">
        <f t="shared" si="43"/>
        <v>0</v>
      </c>
      <c r="Z54" s="33">
        <v>50</v>
      </c>
      <c r="AE54" s="20" t="str">
        <f t="shared" si="23"/>
        <v/>
      </c>
      <c r="AF54" s="22" t="str">
        <f t="shared" si="44"/>
        <v/>
      </c>
      <c r="AG54" s="9" t="str">
        <f t="shared" ca="1" si="12"/>
        <v/>
      </c>
      <c r="AH54" s="9" t="str">
        <f t="shared" ca="1" si="13"/>
        <v/>
      </c>
      <c r="AI54" s="9" t="str">
        <f t="shared" ca="1" si="14"/>
        <v/>
      </c>
      <c r="AJ54" s="9" t="str">
        <f t="shared" ca="1" si="15"/>
        <v/>
      </c>
      <c r="AK54" s="9" t="str">
        <f t="shared" ca="1" si="16"/>
        <v/>
      </c>
      <c r="AL54" s="9" t="str">
        <f t="shared" ca="1" si="17"/>
        <v/>
      </c>
      <c r="AM54" s="9" t="str">
        <f t="shared" ca="1" si="18"/>
        <v/>
      </c>
      <c r="AN54" s="9" t="str">
        <f t="shared" ca="1" si="19"/>
        <v/>
      </c>
      <c r="AO54" s="9" t="str">
        <f t="shared" ca="1" si="20"/>
        <v/>
      </c>
      <c r="AP54" s="9" t="str">
        <f t="shared" ca="1" si="21"/>
        <v/>
      </c>
      <c r="AQ54" s="9"/>
      <c r="AR54" s="9"/>
      <c r="AS54" s="9"/>
      <c r="AT54" s="9"/>
      <c r="AU54" s="9"/>
    </row>
    <row r="55" spans="1:47" x14ac:dyDescent="0.3">
      <c r="A55" s="1">
        <v>43542</v>
      </c>
      <c r="B55" s="6">
        <v>257.76001000000002</v>
      </c>
      <c r="C55" s="6">
        <v>109.30999799999999</v>
      </c>
      <c r="D55" s="6">
        <v>30.299999</v>
      </c>
      <c r="E55" s="6">
        <v>117.269997</v>
      </c>
      <c r="F55" s="6">
        <v>99.919998000000007</v>
      </c>
      <c r="G55" s="6">
        <v>44.610000999999997</v>
      </c>
      <c r="H55" s="6">
        <v>92.529999000000004</v>
      </c>
      <c r="I55" s="6">
        <v>158.949997</v>
      </c>
      <c r="J55" s="6">
        <v>22.209999</v>
      </c>
      <c r="K55" s="6">
        <v>27.23</v>
      </c>
      <c r="N55" s="19">
        <v>51</v>
      </c>
      <c r="O55" s="1">
        <v>43542</v>
      </c>
      <c r="P55" s="5">
        <f t="shared" si="34"/>
        <v>2.6027556392480976E-3</v>
      </c>
      <c r="Q55" s="5">
        <f t="shared" si="35"/>
        <v>1.2815820370294143E-3</v>
      </c>
      <c r="R55" s="5">
        <f t="shared" si="36"/>
        <v>5.460392577015004E-3</v>
      </c>
      <c r="S55" s="5">
        <f t="shared" si="37"/>
        <v>1.3824055576785066E-2</v>
      </c>
      <c r="T55" s="5">
        <f t="shared" si="38"/>
        <v>-8.4708167202362291E-3</v>
      </c>
      <c r="U55" s="5">
        <f t="shared" si="39"/>
        <v>-1.1589164440447608E-2</v>
      </c>
      <c r="V55" s="5">
        <f t="shared" si="40"/>
        <v>2.0085785941008891E-2</v>
      </c>
      <c r="W55" s="5">
        <f t="shared" si="41"/>
        <v>2.0787095009286612E-2</v>
      </c>
      <c r="X55" s="5">
        <f t="shared" si="42"/>
        <v>-5.8362007594831887E-3</v>
      </c>
      <c r="Y55" s="5">
        <f t="shared" si="43"/>
        <v>-7.3179982638436241E-3</v>
      </c>
      <c r="Z55" s="33">
        <v>51</v>
      </c>
      <c r="AE55" s="20" t="str">
        <f t="shared" si="23"/>
        <v/>
      </c>
      <c r="AF55" s="22" t="str">
        <f t="shared" si="44"/>
        <v/>
      </c>
      <c r="AG55" s="9" t="str">
        <f t="shared" ca="1" si="12"/>
        <v/>
      </c>
      <c r="AH55" s="9" t="str">
        <f t="shared" ca="1" si="13"/>
        <v/>
      </c>
      <c r="AI55" s="9" t="str">
        <f t="shared" ca="1" si="14"/>
        <v/>
      </c>
      <c r="AJ55" s="9" t="str">
        <f t="shared" ca="1" si="15"/>
        <v/>
      </c>
      <c r="AK55" s="9" t="str">
        <f t="shared" ca="1" si="16"/>
        <v/>
      </c>
      <c r="AL55" s="9" t="str">
        <f t="shared" ca="1" si="17"/>
        <v/>
      </c>
      <c r="AM55" s="9" t="str">
        <f t="shared" ca="1" si="18"/>
        <v/>
      </c>
      <c r="AN55" s="9" t="str">
        <f t="shared" ca="1" si="19"/>
        <v/>
      </c>
      <c r="AO55" s="9" t="str">
        <f t="shared" ca="1" si="20"/>
        <v/>
      </c>
      <c r="AP55" s="9" t="str">
        <f t="shared" ca="1" si="21"/>
        <v/>
      </c>
      <c r="AQ55" s="9"/>
      <c r="AR55" s="9"/>
      <c r="AS55" s="9"/>
      <c r="AT55" s="9"/>
      <c r="AU55" s="9"/>
    </row>
    <row r="56" spans="1:47" x14ac:dyDescent="0.3">
      <c r="A56" s="1">
        <v>43543</v>
      </c>
      <c r="B56" s="6">
        <v>260.42001299999998</v>
      </c>
      <c r="C56" s="6">
        <v>109.19000200000001</v>
      </c>
      <c r="D56" s="6">
        <v>28.959999</v>
      </c>
      <c r="E56" s="6">
        <v>118.089996</v>
      </c>
      <c r="F56" s="6">
        <v>99.739998</v>
      </c>
      <c r="G56" s="6">
        <v>44.52</v>
      </c>
      <c r="H56" s="6">
        <v>92.449996999999996</v>
      </c>
      <c r="I56" s="6">
        <v>158.759995</v>
      </c>
      <c r="J56" s="6">
        <v>22.280000999999999</v>
      </c>
      <c r="K56" s="6">
        <v>27.26</v>
      </c>
      <c r="N56" s="18">
        <v>52</v>
      </c>
      <c r="O56" s="1">
        <v>43543</v>
      </c>
      <c r="P56" s="5">
        <f t="shared" si="34"/>
        <v>1.0266803995499271E-2</v>
      </c>
      <c r="Q56" s="5">
        <f t="shared" si="35"/>
        <v>-1.0983616664856891E-3</v>
      </c>
      <c r="R56" s="5">
        <f t="shared" si="36"/>
        <v>-4.5232146524894282E-2</v>
      </c>
      <c r="S56" s="5">
        <f t="shared" si="37"/>
        <v>6.9680688497370021E-3</v>
      </c>
      <c r="T56" s="5">
        <f t="shared" si="38"/>
        <v>-1.8030657354685526E-3</v>
      </c>
      <c r="U56" s="5">
        <f t="shared" si="39"/>
        <v>-2.019545149327413E-3</v>
      </c>
      <c r="V56" s="5">
        <f t="shared" si="40"/>
        <v>-8.649800704727754E-4</v>
      </c>
      <c r="W56" s="5">
        <f t="shared" si="41"/>
        <v>-1.19607206216679E-3</v>
      </c>
      <c r="X56" s="5">
        <f t="shared" si="42"/>
        <v>3.1468670608141933E-3</v>
      </c>
      <c r="Y56" s="5">
        <f t="shared" si="43"/>
        <v>1.1011195827182571E-3</v>
      </c>
      <c r="Z56" s="33">
        <v>52</v>
      </c>
      <c r="AE56" s="20" t="str">
        <f t="shared" si="23"/>
        <v/>
      </c>
      <c r="AF56" s="22" t="str">
        <f t="shared" si="44"/>
        <v/>
      </c>
      <c r="AG56" s="9" t="str">
        <f t="shared" ca="1" si="12"/>
        <v/>
      </c>
      <c r="AH56" s="9" t="str">
        <f t="shared" ca="1" si="13"/>
        <v/>
      </c>
      <c r="AI56" s="9" t="str">
        <f t="shared" ca="1" si="14"/>
        <v/>
      </c>
      <c r="AJ56" s="9" t="str">
        <f t="shared" ca="1" si="15"/>
        <v/>
      </c>
      <c r="AK56" s="9" t="str">
        <f t="shared" ca="1" si="16"/>
        <v/>
      </c>
      <c r="AL56" s="9" t="str">
        <f t="shared" ca="1" si="17"/>
        <v/>
      </c>
      <c r="AM56" s="9" t="str">
        <f t="shared" ca="1" si="18"/>
        <v/>
      </c>
      <c r="AN56" s="9" t="str">
        <f t="shared" ca="1" si="19"/>
        <v/>
      </c>
      <c r="AO56" s="9" t="str">
        <f t="shared" ca="1" si="20"/>
        <v/>
      </c>
      <c r="AP56" s="9" t="str">
        <f t="shared" ca="1" si="21"/>
        <v/>
      </c>
      <c r="AQ56" s="9"/>
      <c r="AR56" s="9"/>
      <c r="AS56" s="9"/>
      <c r="AT56" s="9"/>
      <c r="AU56" s="9"/>
    </row>
    <row r="57" spans="1:47" x14ac:dyDescent="0.3">
      <c r="A57" s="1">
        <v>43544</v>
      </c>
      <c r="B57" s="6">
        <v>259.73998999999998</v>
      </c>
      <c r="C57" s="6">
        <v>109.269997</v>
      </c>
      <c r="D57" s="6">
        <v>28.25</v>
      </c>
      <c r="E57" s="6">
        <v>118.32</v>
      </c>
      <c r="F57" s="6">
        <v>99.080001999999993</v>
      </c>
      <c r="G57" s="6">
        <v>44.5</v>
      </c>
      <c r="H57" s="6">
        <v>91.339995999999999</v>
      </c>
      <c r="I57" s="6">
        <v>155.19000199999999</v>
      </c>
      <c r="J57" s="6">
        <v>21.940000999999999</v>
      </c>
      <c r="K57" s="6">
        <v>26.690000999999999</v>
      </c>
      <c r="N57" s="19">
        <v>53</v>
      </c>
      <c r="O57" s="1">
        <v>43544</v>
      </c>
      <c r="P57" s="5">
        <f t="shared" si="34"/>
        <v>-2.6146700380371445E-3</v>
      </c>
      <c r="Q57" s="5">
        <f t="shared" si="35"/>
        <v>7.323537850549563E-4</v>
      </c>
      <c r="R57" s="5">
        <f t="shared" si="36"/>
        <v>-2.4822075394678282E-2</v>
      </c>
      <c r="S57" s="5">
        <f t="shared" si="37"/>
        <v>1.9458066618246977E-3</v>
      </c>
      <c r="T57" s="5">
        <f t="shared" si="38"/>
        <v>-6.639155258973713E-3</v>
      </c>
      <c r="U57" s="5">
        <f t="shared" si="39"/>
        <v>-4.4933723514961594E-4</v>
      </c>
      <c r="V57" s="5">
        <f t="shared" si="40"/>
        <v>-1.2079161418732253E-2</v>
      </c>
      <c r="W57" s="5">
        <f t="shared" si="41"/>
        <v>-2.2743410849823495E-2</v>
      </c>
      <c r="X57" s="5">
        <f t="shared" si="42"/>
        <v>-1.5377959516451113E-2</v>
      </c>
      <c r="Y57" s="5">
        <f t="shared" si="43"/>
        <v>-2.1131425384738448E-2</v>
      </c>
      <c r="Z57" s="33">
        <v>53</v>
      </c>
      <c r="AE57" s="20" t="str">
        <f t="shared" si="23"/>
        <v/>
      </c>
      <c r="AF57" s="22" t="str">
        <f t="shared" si="44"/>
        <v/>
      </c>
      <c r="AG57" s="9" t="str">
        <f t="shared" ca="1" si="12"/>
        <v/>
      </c>
      <c r="AH57" s="9" t="str">
        <f t="shared" ca="1" si="13"/>
        <v/>
      </c>
      <c r="AI57" s="9" t="str">
        <f t="shared" ca="1" si="14"/>
        <v/>
      </c>
      <c r="AJ57" s="9" t="str">
        <f t="shared" ca="1" si="15"/>
        <v/>
      </c>
      <c r="AK57" s="9" t="str">
        <f t="shared" ca="1" si="16"/>
        <v/>
      </c>
      <c r="AL57" s="9" t="str">
        <f t="shared" ca="1" si="17"/>
        <v/>
      </c>
      <c r="AM57" s="9" t="str">
        <f t="shared" ca="1" si="18"/>
        <v/>
      </c>
      <c r="AN57" s="9" t="str">
        <f t="shared" ca="1" si="19"/>
        <v/>
      </c>
      <c r="AO57" s="9" t="str">
        <f t="shared" ca="1" si="20"/>
        <v/>
      </c>
      <c r="AP57" s="9" t="str">
        <f t="shared" ca="1" si="21"/>
        <v/>
      </c>
      <c r="AQ57" s="9"/>
      <c r="AR57" s="9"/>
      <c r="AS57" s="9"/>
      <c r="AT57" s="9"/>
      <c r="AU57" s="9"/>
    </row>
    <row r="58" spans="1:47" x14ac:dyDescent="0.3">
      <c r="A58" s="1">
        <v>43545</v>
      </c>
      <c r="B58" s="6">
        <v>264.17999300000002</v>
      </c>
      <c r="C58" s="6">
        <v>112.910004</v>
      </c>
      <c r="D58" s="6">
        <v>27.1</v>
      </c>
      <c r="E58" s="6">
        <v>119.44000200000001</v>
      </c>
      <c r="F58" s="6">
        <v>99.870002999999997</v>
      </c>
      <c r="G58" s="6">
        <v>45.130001</v>
      </c>
      <c r="H58" s="6">
        <v>92.459998999999996</v>
      </c>
      <c r="I58" s="6">
        <v>156.550003</v>
      </c>
      <c r="J58" s="6">
        <v>21.93</v>
      </c>
      <c r="K58" s="6">
        <v>26.68</v>
      </c>
      <c r="N58" s="18">
        <v>54</v>
      </c>
      <c r="O58" s="1">
        <v>43545</v>
      </c>
      <c r="P58" s="5">
        <f t="shared" si="34"/>
        <v>1.694957031672694E-2</v>
      </c>
      <c r="Q58" s="5">
        <f t="shared" si="35"/>
        <v>3.2769220491150435E-2</v>
      </c>
      <c r="R58" s="5">
        <f t="shared" si="36"/>
        <v>-4.1559729706794661E-2</v>
      </c>
      <c r="S58" s="5">
        <f t="shared" si="37"/>
        <v>9.4213515731997252E-3</v>
      </c>
      <c r="T58" s="5">
        <f t="shared" si="38"/>
        <v>7.9417454872264606E-3</v>
      </c>
      <c r="U58" s="5">
        <f t="shared" si="39"/>
        <v>1.4058046824924611E-2</v>
      </c>
      <c r="V58" s="5">
        <f t="shared" si="40"/>
        <v>1.2187343780163534E-2</v>
      </c>
      <c r="W58" s="5">
        <f t="shared" si="41"/>
        <v>8.7252813646596598E-3</v>
      </c>
      <c r="X58" s="5">
        <f t="shared" si="42"/>
        <v>-4.559379961376684E-4</v>
      </c>
      <c r="Y58" s="5">
        <f t="shared" si="43"/>
        <v>-3.7477983622521369E-4</v>
      </c>
      <c r="Z58" s="33">
        <v>54</v>
      </c>
      <c r="AE58" s="20" t="str">
        <f t="shared" si="23"/>
        <v/>
      </c>
      <c r="AF58" s="22" t="str">
        <f t="shared" si="44"/>
        <v/>
      </c>
      <c r="AG58" s="9" t="str">
        <f t="shared" ca="1" si="12"/>
        <v/>
      </c>
      <c r="AH58" s="9" t="str">
        <f t="shared" ca="1" si="13"/>
        <v/>
      </c>
      <c r="AI58" s="9" t="str">
        <f t="shared" ca="1" si="14"/>
        <v/>
      </c>
      <c r="AJ58" s="9" t="str">
        <f t="shared" ca="1" si="15"/>
        <v/>
      </c>
      <c r="AK58" s="9" t="str">
        <f t="shared" ca="1" si="16"/>
        <v/>
      </c>
      <c r="AL58" s="9" t="str">
        <f t="shared" ca="1" si="17"/>
        <v/>
      </c>
      <c r="AM58" s="9" t="str">
        <f t="shared" ca="1" si="18"/>
        <v/>
      </c>
      <c r="AN58" s="9" t="str">
        <f t="shared" ca="1" si="19"/>
        <v/>
      </c>
      <c r="AO58" s="9" t="str">
        <f t="shared" ca="1" si="20"/>
        <v/>
      </c>
      <c r="AP58" s="9" t="str">
        <f t="shared" ca="1" si="21"/>
        <v/>
      </c>
      <c r="AQ58" s="9"/>
      <c r="AR58" s="9"/>
      <c r="AS58" s="9"/>
      <c r="AT58" s="9"/>
      <c r="AU58" s="9"/>
    </row>
    <row r="59" spans="1:47" x14ac:dyDescent="0.3">
      <c r="A59" s="1">
        <v>43546</v>
      </c>
      <c r="B59" s="6">
        <v>259.69000199999999</v>
      </c>
      <c r="C59" s="6">
        <v>110.30999799999999</v>
      </c>
      <c r="D59" s="6">
        <v>26.754999000000002</v>
      </c>
      <c r="E59" s="6">
        <v>120.720001</v>
      </c>
      <c r="F59" s="6">
        <v>99.809997999999993</v>
      </c>
      <c r="G59" s="6">
        <v>44.98</v>
      </c>
      <c r="H59" s="6">
        <v>90.300003000000004</v>
      </c>
      <c r="I59" s="6">
        <v>149.96000699999999</v>
      </c>
      <c r="J59" s="6">
        <v>21.129999000000002</v>
      </c>
      <c r="K59" s="6">
        <v>26.67</v>
      </c>
      <c r="N59" s="19">
        <v>55</v>
      </c>
      <c r="O59" s="1">
        <v>43546</v>
      </c>
      <c r="P59" s="5">
        <f t="shared" si="34"/>
        <v>-1.7142042838237906E-2</v>
      </c>
      <c r="Q59" s="5">
        <f t="shared" si="35"/>
        <v>-2.3296510768308437E-2</v>
      </c>
      <c r="R59" s="5">
        <f t="shared" si="36"/>
        <v>-1.2812393498579308E-2</v>
      </c>
      <c r="S59" s="5">
        <f t="shared" si="37"/>
        <v>1.0659652767481069E-2</v>
      </c>
      <c r="T59" s="5">
        <f t="shared" si="38"/>
        <v>-6.0101163367113828E-4</v>
      </c>
      <c r="U59" s="5">
        <f t="shared" si="39"/>
        <v>-3.3292894659496444E-3</v>
      </c>
      <c r="V59" s="5">
        <f t="shared" si="40"/>
        <v>-2.363861409906089E-2</v>
      </c>
      <c r="W59" s="5">
        <f t="shared" si="41"/>
        <v>-4.3006828388796665E-2</v>
      </c>
      <c r="X59" s="5">
        <f t="shared" si="42"/>
        <v>-3.7161778127909141E-2</v>
      </c>
      <c r="Y59" s="5">
        <f t="shared" si="43"/>
        <v>-3.7488285350000764E-4</v>
      </c>
      <c r="Z59" s="33">
        <v>55</v>
      </c>
      <c r="AE59" s="20" t="str">
        <f t="shared" si="23"/>
        <v/>
      </c>
      <c r="AF59" s="22" t="str">
        <f t="shared" si="44"/>
        <v/>
      </c>
      <c r="AG59" s="9" t="str">
        <f t="shared" ca="1" si="12"/>
        <v/>
      </c>
      <c r="AH59" s="9" t="str">
        <f t="shared" ca="1" si="13"/>
        <v/>
      </c>
      <c r="AI59" s="9" t="str">
        <f t="shared" ca="1" si="14"/>
        <v/>
      </c>
      <c r="AJ59" s="9" t="str">
        <f t="shared" ca="1" si="15"/>
        <v/>
      </c>
      <c r="AK59" s="9" t="str">
        <f t="shared" ca="1" si="16"/>
        <v/>
      </c>
      <c r="AL59" s="9" t="str">
        <f t="shared" ca="1" si="17"/>
        <v/>
      </c>
      <c r="AM59" s="9" t="str">
        <f t="shared" ca="1" si="18"/>
        <v/>
      </c>
      <c r="AN59" s="9" t="str">
        <f t="shared" ca="1" si="19"/>
        <v/>
      </c>
      <c r="AO59" s="9" t="str">
        <f t="shared" ca="1" si="20"/>
        <v/>
      </c>
      <c r="AP59" s="9" t="str">
        <f t="shared" ca="1" si="21"/>
        <v/>
      </c>
      <c r="AQ59" s="9"/>
      <c r="AR59" s="9"/>
      <c r="AS59" s="9"/>
      <c r="AT59" s="9"/>
      <c r="AU59" s="9"/>
    </row>
    <row r="60" spans="1:47" x14ac:dyDescent="0.3">
      <c r="A60" s="1">
        <v>43549</v>
      </c>
      <c r="B60" s="6">
        <v>262.26998900000001</v>
      </c>
      <c r="C60" s="6">
        <v>111.360001</v>
      </c>
      <c r="D60" s="6">
        <v>27.274999999999999</v>
      </c>
      <c r="E60" s="6">
        <v>120.849998</v>
      </c>
      <c r="F60" s="6">
        <v>100.07</v>
      </c>
      <c r="G60" s="6">
        <v>45.07</v>
      </c>
      <c r="H60" s="6">
        <v>91.139999000000003</v>
      </c>
      <c r="I60" s="6">
        <v>151.08000200000001</v>
      </c>
      <c r="J60" s="6">
        <v>20.959999</v>
      </c>
      <c r="K60" s="6">
        <v>27.110001</v>
      </c>
      <c r="N60" s="18">
        <v>56</v>
      </c>
      <c r="O60" s="1">
        <v>43549</v>
      </c>
      <c r="P60" s="5">
        <f t="shared" si="34"/>
        <v>9.8858458743396726E-3</v>
      </c>
      <c r="Q60" s="5">
        <f t="shared" si="35"/>
        <v>9.4736397154268192E-3</v>
      </c>
      <c r="R60" s="5">
        <f t="shared" si="36"/>
        <v>1.9249197332058449E-2</v>
      </c>
      <c r="S60" s="5">
        <f t="shared" si="37"/>
        <v>1.076267856825505E-3</v>
      </c>
      <c r="T60" s="5">
        <f t="shared" si="38"/>
        <v>2.6015824419422994E-3</v>
      </c>
      <c r="U60" s="5">
        <f t="shared" si="39"/>
        <v>1.9988901713873432E-3</v>
      </c>
      <c r="V60" s="5">
        <f t="shared" si="40"/>
        <v>9.2592812180750696E-3</v>
      </c>
      <c r="W60" s="5">
        <f t="shared" si="41"/>
        <v>7.4408725354511108E-3</v>
      </c>
      <c r="X60" s="5">
        <f t="shared" si="42"/>
        <v>-8.0779725589709885E-3</v>
      </c>
      <c r="Y60" s="5">
        <f t="shared" si="43"/>
        <v>1.6363362203408244E-2</v>
      </c>
      <c r="Z60" s="33">
        <v>56</v>
      </c>
      <c r="AE60" s="20" t="str">
        <f t="shared" si="23"/>
        <v/>
      </c>
      <c r="AF60" s="22" t="str">
        <f t="shared" si="44"/>
        <v/>
      </c>
      <c r="AG60" s="9" t="str">
        <f t="shared" ca="1" si="12"/>
        <v/>
      </c>
      <c r="AH60" s="9" t="str">
        <f t="shared" ca="1" si="13"/>
        <v/>
      </c>
      <c r="AI60" s="9" t="str">
        <f t="shared" ca="1" si="14"/>
        <v/>
      </c>
      <c r="AJ60" s="9" t="str">
        <f t="shared" ca="1" si="15"/>
        <v/>
      </c>
      <c r="AK60" s="9" t="str">
        <f t="shared" ca="1" si="16"/>
        <v/>
      </c>
      <c r="AL60" s="9" t="str">
        <f t="shared" ca="1" si="17"/>
        <v/>
      </c>
      <c r="AM60" s="9" t="str">
        <f t="shared" ca="1" si="18"/>
        <v/>
      </c>
      <c r="AN60" s="9" t="str">
        <f t="shared" ca="1" si="19"/>
        <v/>
      </c>
      <c r="AO60" s="9" t="str">
        <f t="shared" ca="1" si="20"/>
        <v/>
      </c>
      <c r="AP60" s="9" t="str">
        <f t="shared" ca="1" si="21"/>
        <v/>
      </c>
      <c r="AQ60" s="9"/>
      <c r="AR60" s="9"/>
      <c r="AS60" s="9"/>
      <c r="AT60" s="9"/>
      <c r="AU60" s="9"/>
    </row>
    <row r="61" spans="1:47" x14ac:dyDescent="0.3">
      <c r="A61" s="1">
        <v>43550</v>
      </c>
      <c r="B61" s="6">
        <v>265.58999599999999</v>
      </c>
      <c r="C61" s="6">
        <v>112.400002</v>
      </c>
      <c r="D61" s="6">
        <v>27.809999000000001</v>
      </c>
      <c r="E61" s="6">
        <v>122.019997</v>
      </c>
      <c r="F61" s="6">
        <v>101.480003</v>
      </c>
      <c r="G61" s="6">
        <v>45.419998</v>
      </c>
      <c r="H61" s="6">
        <v>92.089995999999999</v>
      </c>
      <c r="I61" s="6">
        <v>152.53999300000001</v>
      </c>
      <c r="J61" s="6">
        <v>20.790001</v>
      </c>
      <c r="K61" s="6">
        <v>27.639999</v>
      </c>
      <c r="N61" s="19">
        <v>57</v>
      </c>
      <c r="O61" s="1">
        <v>43550</v>
      </c>
      <c r="P61" s="5">
        <f t="shared" si="34"/>
        <v>1.2579285695525485E-2</v>
      </c>
      <c r="Q61" s="5">
        <f t="shared" si="35"/>
        <v>9.295749687190288E-3</v>
      </c>
      <c r="R61" s="5">
        <f t="shared" si="36"/>
        <v>1.9425100568449937E-2</v>
      </c>
      <c r="S61" s="5">
        <f t="shared" si="37"/>
        <v>9.6348505375223811E-3</v>
      </c>
      <c r="T61" s="5">
        <f t="shared" si="38"/>
        <v>1.3991823191191445E-2</v>
      </c>
      <c r="U61" s="5">
        <f t="shared" si="39"/>
        <v>7.7356559413890528E-3</v>
      </c>
      <c r="V61" s="5">
        <f t="shared" si="40"/>
        <v>1.0369541433899673E-2</v>
      </c>
      <c r="W61" s="5">
        <f t="shared" si="41"/>
        <v>9.6172997642130376E-3</v>
      </c>
      <c r="X61" s="5">
        <f t="shared" si="42"/>
        <v>-8.1436617729481395E-3</v>
      </c>
      <c r="Y61" s="5">
        <f t="shared" si="43"/>
        <v>1.9361262322687235E-2</v>
      </c>
      <c r="Z61" s="33">
        <v>57</v>
      </c>
      <c r="AE61" s="20" t="str">
        <f t="shared" si="23"/>
        <v/>
      </c>
      <c r="AF61" s="22" t="str">
        <f t="shared" si="44"/>
        <v/>
      </c>
      <c r="AG61" s="9" t="str">
        <f t="shared" ca="1" si="12"/>
        <v/>
      </c>
      <c r="AH61" s="9" t="str">
        <f t="shared" ca="1" si="13"/>
        <v/>
      </c>
      <c r="AI61" s="9" t="str">
        <f t="shared" ca="1" si="14"/>
        <v/>
      </c>
      <c r="AJ61" s="9" t="str">
        <f t="shared" ca="1" si="15"/>
        <v/>
      </c>
      <c r="AK61" s="9" t="str">
        <f t="shared" ca="1" si="16"/>
        <v/>
      </c>
      <c r="AL61" s="9" t="str">
        <f t="shared" ca="1" si="17"/>
        <v/>
      </c>
      <c r="AM61" s="9" t="str">
        <f t="shared" ca="1" si="18"/>
        <v/>
      </c>
      <c r="AN61" s="9" t="str">
        <f t="shared" ca="1" si="19"/>
        <v/>
      </c>
      <c r="AO61" s="9" t="str">
        <f t="shared" ca="1" si="20"/>
        <v/>
      </c>
      <c r="AP61" s="9" t="str">
        <f t="shared" ca="1" si="21"/>
        <v/>
      </c>
      <c r="AQ61" s="9"/>
      <c r="AR61" s="9"/>
      <c r="AS61" s="9"/>
      <c r="AT61" s="9"/>
      <c r="AU61" s="9"/>
    </row>
    <row r="62" spans="1:47" x14ac:dyDescent="0.3">
      <c r="A62" s="1">
        <v>43551</v>
      </c>
      <c r="B62" s="6">
        <v>262.33999599999999</v>
      </c>
      <c r="C62" s="6">
        <v>112.489998</v>
      </c>
      <c r="D62" s="6">
        <v>27.440000999999999</v>
      </c>
      <c r="E62" s="6">
        <v>121.889999</v>
      </c>
      <c r="F62" s="6">
        <v>101.480003</v>
      </c>
      <c r="G62" s="6">
        <v>45.32</v>
      </c>
      <c r="H62" s="6">
        <v>92.25</v>
      </c>
      <c r="I62" s="6">
        <v>153.61999499999999</v>
      </c>
      <c r="J62" s="6">
        <v>21.02</v>
      </c>
      <c r="K62" s="6">
        <v>27.58</v>
      </c>
      <c r="N62" s="18">
        <v>58</v>
      </c>
      <c r="O62" s="1">
        <v>43551</v>
      </c>
      <c r="P62" s="5">
        <f t="shared" si="34"/>
        <v>-1.2312394090648673E-2</v>
      </c>
      <c r="Q62" s="5">
        <f t="shared" si="35"/>
        <v>8.0035577219132726E-4</v>
      </c>
      <c r="R62" s="5">
        <f t="shared" si="36"/>
        <v>-1.339379298675198E-2</v>
      </c>
      <c r="S62" s="5">
        <f t="shared" si="37"/>
        <v>-1.0659506739460528E-3</v>
      </c>
      <c r="T62" s="5">
        <f t="shared" si="38"/>
        <v>0</v>
      </c>
      <c r="U62" s="5">
        <f t="shared" si="39"/>
        <v>-2.2040564841404558E-3</v>
      </c>
      <c r="V62" s="5">
        <f t="shared" si="40"/>
        <v>1.7359666231312812E-3</v>
      </c>
      <c r="W62" s="5">
        <f t="shared" si="41"/>
        <v>7.0551771762012491E-3</v>
      </c>
      <c r="X62" s="5">
        <f t="shared" si="42"/>
        <v>1.1002215478836454E-2</v>
      </c>
      <c r="Y62" s="5">
        <f t="shared" si="43"/>
        <v>-2.1730903548626977E-3</v>
      </c>
      <c r="Z62" s="33">
        <v>58</v>
      </c>
      <c r="AE62" s="20" t="str">
        <f t="shared" si="23"/>
        <v/>
      </c>
      <c r="AF62" s="22" t="str">
        <f t="shared" si="44"/>
        <v/>
      </c>
      <c r="AG62" s="9" t="str">
        <f t="shared" ca="1" si="12"/>
        <v/>
      </c>
      <c r="AH62" s="9" t="str">
        <f t="shared" ca="1" si="13"/>
        <v/>
      </c>
      <c r="AI62" s="9" t="str">
        <f t="shared" ca="1" si="14"/>
        <v/>
      </c>
      <c r="AJ62" s="9" t="str">
        <f t="shared" ca="1" si="15"/>
        <v/>
      </c>
      <c r="AK62" s="9" t="str">
        <f t="shared" ca="1" si="16"/>
        <v/>
      </c>
      <c r="AL62" s="9" t="str">
        <f t="shared" ca="1" si="17"/>
        <v/>
      </c>
      <c r="AM62" s="9" t="str">
        <f t="shared" ca="1" si="18"/>
        <v/>
      </c>
      <c r="AN62" s="9" t="str">
        <f t="shared" ca="1" si="19"/>
        <v/>
      </c>
      <c r="AO62" s="9" t="str">
        <f t="shared" ca="1" si="20"/>
        <v/>
      </c>
      <c r="AP62" s="9" t="str">
        <f t="shared" ca="1" si="21"/>
        <v/>
      </c>
      <c r="AQ62" s="9"/>
      <c r="AR62" s="9"/>
      <c r="AS62" s="9"/>
      <c r="AT62" s="9"/>
      <c r="AU62" s="9"/>
    </row>
    <row r="63" spans="1:47" x14ac:dyDescent="0.3">
      <c r="A63" s="1">
        <v>43552</v>
      </c>
      <c r="B63" s="6">
        <v>263.52999899999998</v>
      </c>
      <c r="C63" s="6">
        <v>113.93</v>
      </c>
      <c r="D63" s="6">
        <v>27.23</v>
      </c>
      <c r="E63" s="6">
        <v>121.839996</v>
      </c>
      <c r="F63" s="6">
        <v>101.68</v>
      </c>
      <c r="G63" s="6">
        <v>45.5</v>
      </c>
      <c r="H63" s="6">
        <v>93.510002</v>
      </c>
      <c r="I63" s="6">
        <v>154.63999899999999</v>
      </c>
      <c r="J63" s="6">
        <v>20.93</v>
      </c>
      <c r="K63" s="6">
        <v>26.91</v>
      </c>
      <c r="N63" s="19">
        <v>59</v>
      </c>
      <c r="O63" s="1">
        <v>43552</v>
      </c>
      <c r="P63" s="5">
        <f t="shared" si="34"/>
        <v>4.5258525589357227E-3</v>
      </c>
      <c r="Q63" s="5">
        <f t="shared" si="35"/>
        <v>1.2719913684648271E-2</v>
      </c>
      <c r="R63" s="5">
        <f t="shared" si="36"/>
        <v>-7.6825326151641815E-3</v>
      </c>
      <c r="S63" s="5">
        <f t="shared" si="37"/>
        <v>-4.1031470666163031E-4</v>
      </c>
      <c r="T63" s="5">
        <f t="shared" si="38"/>
        <v>1.9688625876425957E-3</v>
      </c>
      <c r="U63" s="5">
        <f t="shared" si="39"/>
        <v>3.9638897970990638E-3</v>
      </c>
      <c r="V63" s="5">
        <f t="shared" si="40"/>
        <v>1.356612091480539E-2</v>
      </c>
      <c r="W63" s="5">
        <f t="shared" si="41"/>
        <v>6.6178404107532828E-3</v>
      </c>
      <c r="X63" s="5">
        <f t="shared" si="42"/>
        <v>-4.2908289908967518E-3</v>
      </c>
      <c r="Y63" s="5">
        <f t="shared" si="43"/>
        <v>-2.4592907626341233E-2</v>
      </c>
      <c r="Z63" s="33">
        <v>59</v>
      </c>
      <c r="AE63" s="20" t="str">
        <f t="shared" si="23"/>
        <v/>
      </c>
      <c r="AF63" s="22" t="str">
        <f t="shared" si="44"/>
        <v/>
      </c>
      <c r="AG63" s="9" t="str">
        <f t="shared" ca="1" si="12"/>
        <v/>
      </c>
      <c r="AH63" s="9" t="str">
        <f t="shared" ca="1" si="13"/>
        <v/>
      </c>
      <c r="AI63" s="9" t="str">
        <f t="shared" ca="1" si="14"/>
        <v/>
      </c>
      <c r="AJ63" s="9" t="str">
        <f t="shared" ca="1" si="15"/>
        <v/>
      </c>
      <c r="AK63" s="9" t="str">
        <f t="shared" ca="1" si="16"/>
        <v/>
      </c>
      <c r="AL63" s="9" t="str">
        <f t="shared" ca="1" si="17"/>
        <v/>
      </c>
      <c r="AM63" s="9" t="str">
        <f t="shared" ca="1" si="18"/>
        <v/>
      </c>
      <c r="AN63" s="9" t="str">
        <f t="shared" ca="1" si="19"/>
        <v/>
      </c>
      <c r="AO63" s="9" t="str">
        <f t="shared" ca="1" si="20"/>
        <v/>
      </c>
      <c r="AP63" s="9" t="str">
        <f t="shared" ca="1" si="21"/>
        <v/>
      </c>
      <c r="AQ63" s="9"/>
      <c r="AR63" s="9"/>
      <c r="AS63" s="9"/>
      <c r="AT63" s="9"/>
      <c r="AU63" s="9"/>
    </row>
    <row r="64" spans="1:47" x14ac:dyDescent="0.3">
      <c r="A64" s="1">
        <v>43553</v>
      </c>
      <c r="B64" s="6">
        <v>266.48998999999998</v>
      </c>
      <c r="C64" s="6">
        <v>115.150002</v>
      </c>
      <c r="D64" s="6">
        <v>27.290001</v>
      </c>
      <c r="E64" s="6">
        <v>122.550003</v>
      </c>
      <c r="F64" s="6">
        <v>101.5</v>
      </c>
      <c r="G64" s="6">
        <v>45.459999000000003</v>
      </c>
      <c r="H64" s="6">
        <v>93.800003000000004</v>
      </c>
      <c r="I64" s="6">
        <v>156.520004</v>
      </c>
      <c r="J64" s="6">
        <v>21.01</v>
      </c>
      <c r="K64" s="6">
        <v>27.02</v>
      </c>
      <c r="N64" s="18">
        <v>60</v>
      </c>
      <c r="O64" s="1">
        <v>43553</v>
      </c>
      <c r="P64" s="5">
        <f t="shared" si="34"/>
        <v>1.1169472226312063E-2</v>
      </c>
      <c r="Q64" s="5">
        <f t="shared" si="35"/>
        <v>1.0651418925319171E-2</v>
      </c>
      <c r="R64" s="5">
        <f t="shared" si="36"/>
        <v>2.2010646780374165E-3</v>
      </c>
      <c r="S64" s="5">
        <f t="shared" si="37"/>
        <v>5.8104586969605328E-3</v>
      </c>
      <c r="T64" s="5">
        <f t="shared" si="38"/>
        <v>-1.7718283993566426E-3</v>
      </c>
      <c r="U64" s="5">
        <f t="shared" si="39"/>
        <v>-8.795295298680316E-4</v>
      </c>
      <c r="V64" s="5">
        <f t="shared" si="40"/>
        <v>3.0964841596789741E-3</v>
      </c>
      <c r="W64" s="5">
        <f t="shared" si="41"/>
        <v>1.208399446460774E-2</v>
      </c>
      <c r="X64" s="5">
        <f t="shared" si="42"/>
        <v>3.8149783990007774E-3</v>
      </c>
      <c r="Y64" s="5">
        <f t="shared" si="43"/>
        <v>4.0793677932382559E-3</v>
      </c>
      <c r="Z64" s="33">
        <v>60</v>
      </c>
      <c r="AE64" s="20" t="str">
        <f t="shared" si="23"/>
        <v/>
      </c>
      <c r="AF64" s="22" t="str">
        <f t="shared" si="44"/>
        <v/>
      </c>
      <c r="AG64" s="9" t="str">
        <f t="shared" ca="1" si="12"/>
        <v/>
      </c>
      <c r="AH64" s="9" t="str">
        <f t="shared" ca="1" si="13"/>
        <v/>
      </c>
      <c r="AI64" s="9" t="str">
        <f t="shared" ca="1" si="14"/>
        <v/>
      </c>
      <c r="AJ64" s="9" t="str">
        <f t="shared" ca="1" si="15"/>
        <v/>
      </c>
      <c r="AK64" s="9" t="str">
        <f t="shared" ca="1" si="16"/>
        <v/>
      </c>
      <c r="AL64" s="9" t="str">
        <f t="shared" ca="1" si="17"/>
        <v/>
      </c>
      <c r="AM64" s="9" t="str">
        <f t="shared" ca="1" si="18"/>
        <v/>
      </c>
      <c r="AN64" s="9" t="str">
        <f t="shared" ca="1" si="19"/>
        <v/>
      </c>
      <c r="AO64" s="9" t="str">
        <f t="shared" ca="1" si="20"/>
        <v/>
      </c>
      <c r="AP64" s="9" t="str">
        <f t="shared" ca="1" si="21"/>
        <v/>
      </c>
      <c r="AQ64" s="9"/>
      <c r="AR64" s="9"/>
      <c r="AS64" s="9"/>
      <c r="AT64" s="9"/>
      <c r="AU64" s="9"/>
    </row>
    <row r="65" spans="1:47" x14ac:dyDescent="0.3">
      <c r="A65" s="1">
        <v>43556</v>
      </c>
      <c r="B65" s="6">
        <v>272.17001299999998</v>
      </c>
      <c r="C65" s="6">
        <v>117.57</v>
      </c>
      <c r="D65" s="6">
        <v>26.639999</v>
      </c>
      <c r="E65" s="6">
        <v>122</v>
      </c>
      <c r="F65" s="6">
        <v>101.150002</v>
      </c>
      <c r="G65" s="6">
        <v>45.259998000000003</v>
      </c>
      <c r="H65" s="6">
        <v>95.959998999999996</v>
      </c>
      <c r="I65" s="6">
        <v>159.259995</v>
      </c>
      <c r="J65" s="6">
        <v>21.17</v>
      </c>
      <c r="K65" s="6">
        <v>27.75</v>
      </c>
      <c r="N65" s="19">
        <v>61</v>
      </c>
      <c r="O65" s="1">
        <v>43556</v>
      </c>
      <c r="P65" s="5">
        <f t="shared" si="34"/>
        <v>2.109023690424492E-2</v>
      </c>
      <c r="Q65" s="5">
        <f t="shared" si="35"/>
        <v>2.0798257244306062E-2</v>
      </c>
      <c r="R65" s="5">
        <f t="shared" si="36"/>
        <v>-2.4106563229055415E-2</v>
      </c>
      <c r="S65" s="5">
        <f t="shared" si="37"/>
        <v>-4.4980897206689067E-3</v>
      </c>
      <c r="T65" s="5">
        <f t="shared" si="38"/>
        <v>-3.4542150954727929E-3</v>
      </c>
      <c r="U65" s="5">
        <f t="shared" si="39"/>
        <v>-4.4092004107757184E-3</v>
      </c>
      <c r="V65" s="5">
        <f t="shared" si="40"/>
        <v>2.2766539555364059E-2</v>
      </c>
      <c r="W65" s="5">
        <f t="shared" si="41"/>
        <v>1.7354232536044588E-2</v>
      </c>
      <c r="X65" s="5">
        <f t="shared" si="42"/>
        <v>7.5865702898647068E-3</v>
      </c>
      <c r="Y65" s="5">
        <f t="shared" si="43"/>
        <v>2.6658507660390657E-2</v>
      </c>
      <c r="Z65" s="33">
        <v>61</v>
      </c>
      <c r="AE65" s="20" t="str">
        <f t="shared" si="23"/>
        <v/>
      </c>
      <c r="AF65" s="22" t="str">
        <f t="shared" si="44"/>
        <v/>
      </c>
      <c r="AG65" s="9" t="str">
        <f t="shared" ca="1" si="12"/>
        <v/>
      </c>
      <c r="AH65" s="9" t="str">
        <f t="shared" ca="1" si="13"/>
        <v/>
      </c>
      <c r="AI65" s="9" t="str">
        <f t="shared" ca="1" si="14"/>
        <v/>
      </c>
      <c r="AJ65" s="9" t="str">
        <f t="shared" ca="1" si="15"/>
        <v/>
      </c>
      <c r="AK65" s="9" t="str">
        <f t="shared" ca="1" si="16"/>
        <v/>
      </c>
      <c r="AL65" s="9" t="str">
        <f t="shared" ca="1" si="17"/>
        <v/>
      </c>
      <c r="AM65" s="9" t="str">
        <f t="shared" ca="1" si="18"/>
        <v/>
      </c>
      <c r="AN65" s="9" t="str">
        <f t="shared" ca="1" si="19"/>
        <v/>
      </c>
      <c r="AO65" s="9" t="str">
        <f t="shared" ca="1" si="20"/>
        <v/>
      </c>
      <c r="AP65" s="9" t="str">
        <f t="shared" ca="1" si="21"/>
        <v/>
      </c>
      <c r="AQ65" s="9"/>
      <c r="AR65" s="9"/>
      <c r="AS65" s="9"/>
      <c r="AT65" s="9"/>
      <c r="AU65" s="9"/>
    </row>
    <row r="66" spans="1:47" x14ac:dyDescent="0.3">
      <c r="A66" s="1">
        <v>43557</v>
      </c>
      <c r="B66" s="6">
        <v>271.35000600000001</v>
      </c>
      <c r="C66" s="6">
        <v>117.510002</v>
      </c>
      <c r="D66" s="6">
        <v>26.665001</v>
      </c>
      <c r="E66" s="6">
        <v>121.68</v>
      </c>
      <c r="F66" s="6">
        <v>102.139999</v>
      </c>
      <c r="G66" s="6">
        <v>45.700001</v>
      </c>
      <c r="H66" s="6">
        <v>95.870002999999997</v>
      </c>
      <c r="I66" s="6">
        <v>159.020004</v>
      </c>
      <c r="J66" s="6">
        <v>21</v>
      </c>
      <c r="K66" s="6">
        <v>27.389999</v>
      </c>
      <c r="N66" s="18">
        <v>62</v>
      </c>
      <c r="O66" s="1">
        <v>43557</v>
      </c>
      <c r="P66" s="5">
        <f t="shared" si="34"/>
        <v>-3.0173962080256929E-3</v>
      </c>
      <c r="Q66" s="5">
        <f t="shared" si="35"/>
        <v>-5.1044751397215458E-4</v>
      </c>
      <c r="R66" s="5">
        <f t="shared" si="36"/>
        <v>9.3807342025855342E-4</v>
      </c>
      <c r="S66" s="5">
        <f t="shared" si="37"/>
        <v>-2.6263967822191328E-3</v>
      </c>
      <c r="T66" s="5">
        <f t="shared" si="38"/>
        <v>9.73982804264493E-3</v>
      </c>
      <c r="U66" s="5">
        <f t="shared" si="39"/>
        <v>9.6747237657360263E-3</v>
      </c>
      <c r="V66" s="5">
        <f t="shared" si="40"/>
        <v>-9.3828916920515198E-4</v>
      </c>
      <c r="W66" s="5">
        <f t="shared" si="41"/>
        <v>-1.5080498066897478E-3</v>
      </c>
      <c r="X66" s="5">
        <f t="shared" si="42"/>
        <v>-8.0626474233509247E-3</v>
      </c>
      <c r="Y66" s="5">
        <f t="shared" si="43"/>
        <v>-1.3057893427132443E-2</v>
      </c>
      <c r="Z66" s="33">
        <v>62</v>
      </c>
      <c r="AE66" s="20" t="str">
        <f t="shared" si="23"/>
        <v/>
      </c>
      <c r="AF66" s="22" t="str">
        <f t="shared" si="44"/>
        <v/>
      </c>
      <c r="AG66" s="9" t="str">
        <f t="shared" ca="1" si="12"/>
        <v/>
      </c>
      <c r="AH66" s="9" t="str">
        <f t="shared" ca="1" si="13"/>
        <v/>
      </c>
      <c r="AI66" s="9" t="str">
        <f t="shared" ca="1" si="14"/>
        <v/>
      </c>
      <c r="AJ66" s="9" t="str">
        <f t="shared" ca="1" si="15"/>
        <v/>
      </c>
      <c r="AK66" s="9" t="str">
        <f t="shared" ca="1" si="16"/>
        <v/>
      </c>
      <c r="AL66" s="9" t="str">
        <f t="shared" ca="1" si="17"/>
        <v/>
      </c>
      <c r="AM66" s="9" t="str">
        <f t="shared" ca="1" si="18"/>
        <v/>
      </c>
      <c r="AN66" s="9" t="str">
        <f t="shared" ca="1" si="19"/>
        <v/>
      </c>
      <c r="AO66" s="9" t="str">
        <f t="shared" ca="1" si="20"/>
        <v/>
      </c>
      <c r="AP66" s="9" t="str">
        <f t="shared" ca="1" si="21"/>
        <v/>
      </c>
      <c r="AQ66" s="9"/>
      <c r="AR66" s="9"/>
      <c r="AS66" s="9"/>
      <c r="AT66" s="9"/>
      <c r="AU66" s="9"/>
    </row>
    <row r="67" spans="1:47" x14ac:dyDescent="0.3">
      <c r="A67" s="1">
        <v>43558</v>
      </c>
      <c r="B67" s="6">
        <v>271.5</v>
      </c>
      <c r="C67" s="6">
        <v>117.41999800000001</v>
      </c>
      <c r="D67" s="6">
        <v>26.295000000000002</v>
      </c>
      <c r="E67" s="6">
        <v>121.55999799999999</v>
      </c>
      <c r="F67" s="6">
        <v>101.949997</v>
      </c>
      <c r="G67" s="6">
        <v>45.77</v>
      </c>
      <c r="H67" s="6">
        <v>96.010002</v>
      </c>
      <c r="I67" s="6">
        <v>159.08999600000001</v>
      </c>
      <c r="J67" s="6">
        <v>21.07</v>
      </c>
      <c r="K67" s="6">
        <v>27.870000999999998</v>
      </c>
      <c r="N67" s="19">
        <v>63</v>
      </c>
      <c r="O67" s="1">
        <v>43558</v>
      </c>
      <c r="P67" s="5">
        <f t="shared" si="34"/>
        <v>5.5261675291258018E-4</v>
      </c>
      <c r="Q67" s="5">
        <f t="shared" si="35"/>
        <v>-7.6621976251130361E-4</v>
      </c>
      <c r="R67" s="5">
        <f t="shared" si="36"/>
        <v>-1.3973074513601113E-2</v>
      </c>
      <c r="S67" s="5">
        <f t="shared" si="37"/>
        <v>-9.8669635522586068E-4</v>
      </c>
      <c r="T67" s="5">
        <f t="shared" si="38"/>
        <v>-1.8619438347397522E-3</v>
      </c>
      <c r="U67" s="5">
        <f t="shared" si="39"/>
        <v>1.5305348835538807E-3</v>
      </c>
      <c r="V67" s="5">
        <f t="shared" si="40"/>
        <v>1.4592351594158604E-3</v>
      </c>
      <c r="W67" s="5">
        <f t="shared" si="41"/>
        <v>4.4004904674153011E-4</v>
      </c>
      <c r="X67" s="5">
        <f t="shared" si="42"/>
        <v>3.3277900926747457E-3</v>
      </c>
      <c r="Y67" s="5">
        <f t="shared" si="43"/>
        <v>1.7372930609420502E-2</v>
      </c>
      <c r="Z67" s="33">
        <v>63</v>
      </c>
      <c r="AE67" s="20" t="str">
        <f t="shared" si="23"/>
        <v/>
      </c>
      <c r="AF67" s="22" t="str">
        <f t="shared" si="44"/>
        <v/>
      </c>
      <c r="AG67" s="9" t="str">
        <f t="shared" ca="1" si="12"/>
        <v/>
      </c>
      <c r="AH67" s="9" t="str">
        <f t="shared" ca="1" si="13"/>
        <v/>
      </c>
      <c r="AI67" s="9" t="str">
        <f t="shared" ca="1" si="14"/>
        <v/>
      </c>
      <c r="AJ67" s="9" t="str">
        <f t="shared" ca="1" si="15"/>
        <v/>
      </c>
      <c r="AK67" s="9" t="str">
        <f t="shared" ca="1" si="16"/>
        <v/>
      </c>
      <c r="AL67" s="9" t="str">
        <f t="shared" ca="1" si="17"/>
        <v/>
      </c>
      <c r="AM67" s="9" t="str">
        <f t="shared" ca="1" si="18"/>
        <v/>
      </c>
      <c r="AN67" s="9" t="str">
        <f t="shared" ca="1" si="19"/>
        <v/>
      </c>
      <c r="AO67" s="9" t="str">
        <f t="shared" ca="1" si="20"/>
        <v/>
      </c>
      <c r="AP67" s="9" t="str">
        <f t="shared" ca="1" si="21"/>
        <v/>
      </c>
      <c r="AQ67" s="9"/>
      <c r="AR67" s="9"/>
      <c r="AS67" s="9"/>
      <c r="AT67" s="9"/>
      <c r="AU67" s="9"/>
    </row>
    <row r="68" spans="1:47" x14ac:dyDescent="0.3">
      <c r="A68" s="1">
        <v>43559</v>
      </c>
      <c r="B68" s="6">
        <v>267.89001500000001</v>
      </c>
      <c r="C68" s="6">
        <v>115.260002</v>
      </c>
      <c r="D68" s="6">
        <v>26.434999000000001</v>
      </c>
      <c r="E68" s="6">
        <v>121.470001</v>
      </c>
      <c r="F68" s="6">
        <v>101.779999</v>
      </c>
      <c r="G68" s="6">
        <v>45.43</v>
      </c>
      <c r="H68" s="6">
        <v>96.879997000000003</v>
      </c>
      <c r="I68" s="6">
        <v>161.199997</v>
      </c>
      <c r="J68" s="6">
        <v>21.24</v>
      </c>
      <c r="K68" s="6">
        <v>28.879999000000002</v>
      </c>
      <c r="N68" s="18">
        <v>64</v>
      </c>
      <c r="O68" s="1">
        <v>43559</v>
      </c>
      <c r="P68" s="5">
        <f t="shared" si="34"/>
        <v>-1.3385634887935918E-2</v>
      </c>
      <c r="Q68" s="5">
        <f t="shared" si="35"/>
        <v>-1.8566770242572618E-2</v>
      </c>
      <c r="R68" s="5">
        <f t="shared" si="36"/>
        <v>5.3100448174690706E-3</v>
      </c>
      <c r="S68" s="5">
        <f t="shared" si="37"/>
        <v>-7.40624651146829E-4</v>
      </c>
      <c r="T68" s="5">
        <f t="shared" si="38"/>
        <v>-1.668856258700765E-3</v>
      </c>
      <c r="U68" s="5">
        <f t="shared" si="39"/>
        <v>-7.456174894238882E-3</v>
      </c>
      <c r="V68" s="5">
        <f t="shared" si="40"/>
        <v>9.0206947379971227E-3</v>
      </c>
      <c r="W68" s="5">
        <f t="shared" si="41"/>
        <v>1.3175756787958575E-2</v>
      </c>
      <c r="X68" s="5">
        <f t="shared" si="42"/>
        <v>8.0359685576403602E-3</v>
      </c>
      <c r="Y68" s="5">
        <f t="shared" si="43"/>
        <v>3.5598402023854468E-2</v>
      </c>
      <c r="Z68" s="33">
        <v>64</v>
      </c>
      <c r="AE68" s="20" t="str">
        <f t="shared" si="23"/>
        <v/>
      </c>
      <c r="AF68" s="22" t="str">
        <f t="shared" si="44"/>
        <v/>
      </c>
      <c r="AG68" s="9" t="str">
        <f t="shared" ca="1" si="12"/>
        <v/>
      </c>
      <c r="AH68" s="9" t="str">
        <f t="shared" ca="1" si="13"/>
        <v/>
      </c>
      <c r="AI68" s="9" t="str">
        <f t="shared" ca="1" si="14"/>
        <v/>
      </c>
      <c r="AJ68" s="9" t="str">
        <f t="shared" ca="1" si="15"/>
        <v/>
      </c>
      <c r="AK68" s="9" t="str">
        <f t="shared" ca="1" si="16"/>
        <v/>
      </c>
      <c r="AL68" s="9" t="str">
        <f t="shared" ca="1" si="17"/>
        <v/>
      </c>
      <c r="AM68" s="9" t="str">
        <f t="shared" ca="1" si="18"/>
        <v/>
      </c>
      <c r="AN68" s="9" t="str">
        <f t="shared" ca="1" si="19"/>
        <v/>
      </c>
      <c r="AO68" s="9" t="str">
        <f t="shared" ca="1" si="20"/>
        <v/>
      </c>
      <c r="AP68" s="9" t="str">
        <f t="shared" ca="1" si="21"/>
        <v/>
      </c>
      <c r="AQ68" s="9"/>
      <c r="AR68" s="9"/>
      <c r="AS68" s="9"/>
      <c r="AT68" s="9"/>
      <c r="AU68" s="9"/>
    </row>
    <row r="69" spans="1:47" x14ac:dyDescent="0.3">
      <c r="A69" s="1">
        <v>43560</v>
      </c>
      <c r="B69" s="6">
        <v>267.45001200000002</v>
      </c>
      <c r="C69" s="6">
        <v>116.589996</v>
      </c>
      <c r="D69" s="6">
        <v>26.440000999999999</v>
      </c>
      <c r="E69" s="6">
        <v>121.620003</v>
      </c>
      <c r="F69" s="6">
        <v>101.709999</v>
      </c>
      <c r="G69" s="6">
        <v>45.619999</v>
      </c>
      <c r="H69" s="6">
        <v>96.540001000000004</v>
      </c>
      <c r="I69" s="6">
        <v>161.21000699999999</v>
      </c>
      <c r="J69" s="6">
        <v>21.530000999999999</v>
      </c>
      <c r="K69" s="6">
        <v>29.48</v>
      </c>
      <c r="N69" s="19">
        <v>65</v>
      </c>
      <c r="O69" s="1">
        <v>43560</v>
      </c>
      <c r="P69" s="5">
        <f t="shared" si="34"/>
        <v>-1.6438266405963959E-3</v>
      </c>
      <c r="Q69" s="5">
        <f t="shared" si="35"/>
        <v>1.1473009276345959E-2</v>
      </c>
      <c r="R69" s="5">
        <f t="shared" si="36"/>
        <v>1.8920094619069542E-4</v>
      </c>
      <c r="S69" s="5">
        <f t="shared" si="37"/>
        <v>1.2341274142940628E-3</v>
      </c>
      <c r="T69" s="5">
        <f t="shared" si="38"/>
        <v>-6.8799452994377445E-4</v>
      </c>
      <c r="U69" s="5">
        <f t="shared" si="39"/>
        <v>4.1735151647194742E-3</v>
      </c>
      <c r="V69" s="5">
        <f t="shared" si="40"/>
        <v>-3.5156276879452046E-3</v>
      </c>
      <c r="W69" s="5">
        <f t="shared" si="41"/>
        <v>6.2094847424131361E-5</v>
      </c>
      <c r="X69" s="5">
        <f t="shared" si="42"/>
        <v>1.3561161449350812E-2</v>
      </c>
      <c r="Y69" s="5">
        <f t="shared" si="43"/>
        <v>2.0562787922549609E-2</v>
      </c>
      <c r="Z69" s="33">
        <v>65</v>
      </c>
      <c r="AE69" s="20" t="str">
        <f t="shared" si="23"/>
        <v/>
      </c>
      <c r="AF69" s="22" t="str">
        <f t="shared" ref="AF69" si="45">IF(AE69="","",VLOOKUP(AE69,N68:O1325,2))</f>
        <v/>
      </c>
      <c r="AG69" s="9" t="str">
        <f t="shared" ref="AG69:AG132" ca="1" si="46">IF($AE69="","",OFFSET(P$4,$AE69,0))</f>
        <v/>
      </c>
      <c r="AH69" s="9" t="str">
        <f t="shared" ref="AH69:AH132" ca="1" si="47">IF($AE69="","",OFFSET(Q$4,$AE69,0))</f>
        <v/>
      </c>
      <c r="AI69" s="9" t="str">
        <f t="shared" ref="AI69:AI132" ca="1" si="48">IF($AE69="","",OFFSET(R$4,$AE69,0))</f>
        <v/>
      </c>
      <c r="AJ69" s="9" t="str">
        <f t="shared" ref="AJ69:AJ132" ca="1" si="49">IF($AE69="","",OFFSET(S$4,$AE69,0))</f>
        <v/>
      </c>
      <c r="AK69" s="9" t="str">
        <f t="shared" ref="AK69:AK132" ca="1" si="50">IF($AE69="","",OFFSET(T$4,$AE69,0))</f>
        <v/>
      </c>
      <c r="AL69" s="9" t="str">
        <f t="shared" ref="AL69:AL132" ca="1" si="51">IF($AE69="","",OFFSET(U$4,$AE69,0))</f>
        <v/>
      </c>
      <c r="AM69" s="9" t="str">
        <f t="shared" ref="AM69:AM132" ca="1" si="52">IF($AE69="","",OFFSET(V$4,$AE69,0))</f>
        <v/>
      </c>
      <c r="AN69" s="9" t="str">
        <f t="shared" ref="AN69:AN132" ca="1" si="53">IF($AE69="","",OFFSET(W$4,$AE69,0))</f>
        <v/>
      </c>
      <c r="AO69" s="9" t="str">
        <f t="shared" ref="AO69:AO132" ca="1" si="54">IF($AE69="","",OFFSET(X$4,$AE69,0))</f>
        <v/>
      </c>
      <c r="AP69" s="9" t="str">
        <f t="shared" ref="AP69:AP132" ca="1" si="55">IF($AE69="","",OFFSET(Y$4,$AE69,0))</f>
        <v/>
      </c>
      <c r="AQ69" s="9"/>
      <c r="AR69" s="9"/>
      <c r="AS69" s="9"/>
      <c r="AT69" s="9"/>
      <c r="AU69" s="9"/>
    </row>
    <row r="70" spans="1:47" x14ac:dyDescent="0.3">
      <c r="A70" s="1">
        <v>43563</v>
      </c>
      <c r="B70" s="6">
        <v>268.80999800000001</v>
      </c>
      <c r="C70" s="6">
        <v>116.43</v>
      </c>
      <c r="D70" s="6">
        <v>26.535</v>
      </c>
      <c r="E70" s="6">
        <v>122</v>
      </c>
      <c r="F70" s="6">
        <v>101.709999</v>
      </c>
      <c r="G70" s="6">
        <v>45.09</v>
      </c>
      <c r="H70" s="6">
        <v>96.68</v>
      </c>
      <c r="I70" s="6">
        <v>160.03999300000001</v>
      </c>
      <c r="J70" s="6">
        <v>21.52</v>
      </c>
      <c r="K70" s="6">
        <v>28.870000999999998</v>
      </c>
      <c r="N70" s="18">
        <v>66</v>
      </c>
      <c r="O70" s="1">
        <v>43563</v>
      </c>
      <c r="P70" s="5">
        <f t="shared" ref="P70:P133" si="56">LN(B70/B69)</f>
        <v>5.0721250522981652E-3</v>
      </c>
      <c r="Q70" s="5">
        <f t="shared" ref="Q70:Q133" si="57">LN(C70/C69)</f>
        <v>-1.3732385880150019E-3</v>
      </c>
      <c r="R70" s="5">
        <f t="shared" ref="R70:R133" si="58">LN(D70/D69)</f>
        <v>3.5865634748908459E-3</v>
      </c>
      <c r="S70" s="5">
        <f t="shared" ref="S70:S133" si="59">LN(E70/E69)</f>
        <v>3.1195903742977206E-3</v>
      </c>
      <c r="T70" s="5">
        <f t="shared" ref="T70:T133" si="60">LN(F70/F69)</f>
        <v>0</v>
      </c>
      <c r="U70" s="5">
        <f t="shared" ref="U70:U133" si="61">LN(G70/G69)</f>
        <v>-1.168570250303844E-2</v>
      </c>
      <c r="V70" s="5">
        <f t="shared" ref="V70:V133" si="62">LN(H70/H69)</f>
        <v>1.4491152445348752E-3</v>
      </c>
      <c r="W70" s="5">
        <f t="shared" ref="W70:W133" si="63">LN(I70/I69)</f>
        <v>-7.2841660595619967E-3</v>
      </c>
      <c r="X70" s="5">
        <f t="shared" ref="X70:X133" si="64">LN(J70/J69)</f>
        <v>-4.6462252950525934E-4</v>
      </c>
      <c r="Y70" s="5">
        <f t="shared" ref="Y70:Y133" si="65">LN(K70/K69)</f>
        <v>-2.0909039008260247E-2</v>
      </c>
      <c r="Z70" s="33">
        <v>66</v>
      </c>
      <c r="AE70" s="20" t="str">
        <f t="shared" ref="AE70:AE133" si="66">IF(AE69="","",IF(AE69+1&lt;=$AC$5,AE69+1,""))</f>
        <v/>
      </c>
      <c r="AF70" s="22" t="str">
        <f t="shared" ref="AF70:AF133" si="67">IF(AE70="","",VLOOKUP(AE70,N69:O1326,2))</f>
        <v/>
      </c>
      <c r="AG70" s="9" t="str">
        <f t="shared" ca="1" si="46"/>
        <v/>
      </c>
      <c r="AH70" s="9" t="str">
        <f t="shared" ca="1" si="47"/>
        <v/>
      </c>
      <c r="AI70" s="9" t="str">
        <f t="shared" ca="1" si="48"/>
        <v/>
      </c>
      <c r="AJ70" s="9" t="str">
        <f t="shared" ca="1" si="49"/>
        <v/>
      </c>
      <c r="AK70" s="9" t="str">
        <f t="shared" ca="1" si="50"/>
        <v/>
      </c>
      <c r="AL70" s="9" t="str">
        <f t="shared" ca="1" si="51"/>
        <v/>
      </c>
      <c r="AM70" s="9" t="str">
        <f t="shared" ca="1" si="52"/>
        <v/>
      </c>
      <c r="AN70" s="9" t="str">
        <f t="shared" ca="1" si="53"/>
        <v/>
      </c>
      <c r="AO70" s="9" t="str">
        <f t="shared" ca="1" si="54"/>
        <v/>
      </c>
      <c r="AP70" s="9" t="str">
        <f t="shared" ca="1" si="55"/>
        <v/>
      </c>
      <c r="AQ70" s="9"/>
      <c r="AR70" s="9"/>
      <c r="AS70" s="9"/>
      <c r="AT70" s="9"/>
      <c r="AU70" s="9"/>
    </row>
    <row r="71" spans="1:47" x14ac:dyDescent="0.3">
      <c r="A71" s="1">
        <v>43564</v>
      </c>
      <c r="B71" s="6">
        <v>268.98998999999998</v>
      </c>
      <c r="C71" s="6">
        <v>116.69000200000001</v>
      </c>
      <c r="D71" s="6">
        <v>27.344999000000001</v>
      </c>
      <c r="E71" s="6">
        <v>122.16999800000001</v>
      </c>
      <c r="F71" s="6">
        <v>101.489998</v>
      </c>
      <c r="G71" s="6">
        <v>45.130001</v>
      </c>
      <c r="H71" s="6">
        <v>94.879997000000003</v>
      </c>
      <c r="I71" s="6">
        <v>157.240005</v>
      </c>
      <c r="J71" s="6">
        <v>21.559999000000001</v>
      </c>
      <c r="K71" s="6">
        <v>28.84</v>
      </c>
      <c r="N71" s="19">
        <v>67</v>
      </c>
      <c r="O71" s="1">
        <v>43564</v>
      </c>
      <c r="P71" s="5">
        <f t="shared" si="56"/>
        <v>6.6936411579252616E-4</v>
      </c>
      <c r="Q71" s="5">
        <f t="shared" si="57"/>
        <v>2.2306289085205237E-3</v>
      </c>
      <c r="R71" s="5">
        <f t="shared" si="58"/>
        <v>3.0069043949120269E-2</v>
      </c>
      <c r="S71" s="5">
        <f t="shared" si="59"/>
        <v>1.3924563120808345E-3</v>
      </c>
      <c r="T71" s="5">
        <f t="shared" si="60"/>
        <v>-2.1653650512782081E-3</v>
      </c>
      <c r="U71" s="5">
        <f t="shared" si="61"/>
        <v>8.8674356412626963E-4</v>
      </c>
      <c r="V71" s="5">
        <f t="shared" si="62"/>
        <v>-1.8793652204754475E-2</v>
      </c>
      <c r="W71" s="5">
        <f t="shared" si="63"/>
        <v>-1.7650407897784545E-2</v>
      </c>
      <c r="X71" s="5">
        <f t="shared" si="64"/>
        <v>1.856964365022512E-3</v>
      </c>
      <c r="Y71" s="5">
        <f t="shared" si="65"/>
        <v>-1.0397158961273215E-3</v>
      </c>
      <c r="Z71" s="33">
        <v>67</v>
      </c>
      <c r="AE71" s="20" t="str">
        <f t="shared" si="66"/>
        <v/>
      </c>
      <c r="AF71" s="22" t="str">
        <f t="shared" si="67"/>
        <v/>
      </c>
      <c r="AG71" s="9" t="str">
        <f t="shared" ca="1" si="46"/>
        <v/>
      </c>
      <c r="AH71" s="9" t="str">
        <f t="shared" ca="1" si="47"/>
        <v/>
      </c>
      <c r="AI71" s="9" t="str">
        <f t="shared" ca="1" si="48"/>
        <v/>
      </c>
      <c r="AJ71" s="9" t="str">
        <f t="shared" ca="1" si="49"/>
        <v/>
      </c>
      <c r="AK71" s="9" t="str">
        <f t="shared" ca="1" si="50"/>
        <v/>
      </c>
      <c r="AL71" s="9" t="str">
        <f t="shared" ca="1" si="51"/>
        <v/>
      </c>
      <c r="AM71" s="9" t="str">
        <f t="shared" ca="1" si="52"/>
        <v/>
      </c>
      <c r="AN71" s="9" t="str">
        <f t="shared" ca="1" si="53"/>
        <v/>
      </c>
      <c r="AO71" s="9" t="str">
        <f t="shared" ca="1" si="54"/>
        <v/>
      </c>
      <c r="AP71" s="9" t="str">
        <f t="shared" ca="1" si="55"/>
        <v/>
      </c>
      <c r="AQ71" s="9"/>
      <c r="AR71" s="9"/>
      <c r="AS71" s="9"/>
      <c r="AT71" s="9"/>
      <c r="AU71" s="9"/>
    </row>
    <row r="72" spans="1:47" x14ac:dyDescent="0.3">
      <c r="A72" s="1">
        <v>43565</v>
      </c>
      <c r="B72" s="6">
        <v>271.57998700000002</v>
      </c>
      <c r="C72" s="6">
        <v>117.279999</v>
      </c>
      <c r="D72" s="6">
        <v>27.485001</v>
      </c>
      <c r="E72" s="6">
        <v>122.040001</v>
      </c>
      <c r="F72" s="6">
        <v>102.5</v>
      </c>
      <c r="G72" s="6">
        <v>45.360000999999997</v>
      </c>
      <c r="H72" s="6">
        <v>95.18</v>
      </c>
      <c r="I72" s="6">
        <v>153.800003</v>
      </c>
      <c r="J72" s="6">
        <v>21.610001</v>
      </c>
      <c r="K72" s="6">
        <v>30.59</v>
      </c>
      <c r="N72" s="18">
        <v>68</v>
      </c>
      <c r="O72" s="1">
        <v>43565</v>
      </c>
      <c r="P72" s="5">
        <f t="shared" si="56"/>
        <v>9.5825403890675235E-3</v>
      </c>
      <c r="Q72" s="5">
        <f t="shared" si="57"/>
        <v>5.0433666542932703E-3</v>
      </c>
      <c r="R72" s="5">
        <f t="shared" si="58"/>
        <v>5.1067774671263895E-3</v>
      </c>
      <c r="S72" s="5">
        <f t="shared" si="59"/>
        <v>-1.0646330028337119E-3</v>
      </c>
      <c r="T72" s="5">
        <f t="shared" si="60"/>
        <v>9.9025468241113607E-3</v>
      </c>
      <c r="U72" s="5">
        <f t="shared" si="61"/>
        <v>5.0834454682325966E-3</v>
      </c>
      <c r="V72" s="5">
        <f t="shared" si="62"/>
        <v>3.1569320624366811E-3</v>
      </c>
      <c r="W72" s="5">
        <f t="shared" si="63"/>
        <v>-2.2120255774788433E-2</v>
      </c>
      <c r="X72" s="5">
        <f t="shared" si="64"/>
        <v>2.3165171350601186E-3</v>
      </c>
      <c r="Y72" s="5">
        <f t="shared" si="65"/>
        <v>5.8909845746063838E-2</v>
      </c>
      <c r="Z72" s="33">
        <v>68</v>
      </c>
      <c r="AE72" s="20" t="str">
        <f t="shared" si="66"/>
        <v/>
      </c>
      <c r="AF72" s="22" t="str">
        <f t="shared" si="67"/>
        <v/>
      </c>
      <c r="AG72" s="9" t="str">
        <f t="shared" ca="1" si="46"/>
        <v/>
      </c>
      <c r="AH72" s="9" t="str">
        <f t="shared" ca="1" si="47"/>
        <v/>
      </c>
      <c r="AI72" s="9" t="str">
        <f t="shared" ca="1" si="48"/>
        <v/>
      </c>
      <c r="AJ72" s="9" t="str">
        <f t="shared" ca="1" si="49"/>
        <v/>
      </c>
      <c r="AK72" s="9" t="str">
        <f t="shared" ca="1" si="50"/>
        <v/>
      </c>
      <c r="AL72" s="9" t="str">
        <f t="shared" ca="1" si="51"/>
        <v/>
      </c>
      <c r="AM72" s="9" t="str">
        <f t="shared" ca="1" si="52"/>
        <v/>
      </c>
      <c r="AN72" s="9" t="str">
        <f t="shared" ca="1" si="53"/>
        <v/>
      </c>
      <c r="AO72" s="9" t="str">
        <f t="shared" ca="1" si="54"/>
        <v/>
      </c>
      <c r="AP72" s="9" t="str">
        <f t="shared" ca="1" si="55"/>
        <v/>
      </c>
      <c r="AQ72" s="9"/>
      <c r="AR72" s="9"/>
      <c r="AS72" s="9"/>
      <c r="AT72" s="9"/>
      <c r="AU72" s="9"/>
    </row>
    <row r="73" spans="1:47" x14ac:dyDescent="0.3">
      <c r="A73" s="1">
        <v>43566</v>
      </c>
      <c r="B73" s="6">
        <v>271.89999399999999</v>
      </c>
      <c r="C73" s="6">
        <v>117.760002</v>
      </c>
      <c r="D73" s="6">
        <v>27.375</v>
      </c>
      <c r="E73" s="6">
        <v>121.66999800000001</v>
      </c>
      <c r="F73" s="6">
        <v>102.389999</v>
      </c>
      <c r="G73" s="6">
        <v>45.48</v>
      </c>
      <c r="H73" s="6">
        <v>95.809997999999993</v>
      </c>
      <c r="I73" s="6">
        <v>155.259995</v>
      </c>
      <c r="J73" s="6">
        <v>21.870000999999998</v>
      </c>
      <c r="K73" s="6">
        <v>30.190000999999999</v>
      </c>
      <c r="N73" s="19">
        <v>69</v>
      </c>
      <c r="O73" s="1">
        <v>43566</v>
      </c>
      <c r="P73" s="5">
        <f t="shared" si="56"/>
        <v>1.177622168872316E-3</v>
      </c>
      <c r="Q73" s="5">
        <f t="shared" si="57"/>
        <v>4.0844423525233367E-3</v>
      </c>
      <c r="R73" s="5">
        <f t="shared" si="58"/>
        <v>-4.0102495594400807E-3</v>
      </c>
      <c r="S73" s="5">
        <f t="shared" si="59"/>
        <v>-3.0364226810517714E-3</v>
      </c>
      <c r="T73" s="5">
        <f t="shared" si="60"/>
        <v>-1.073756758316245E-3</v>
      </c>
      <c r="U73" s="5">
        <f t="shared" si="61"/>
        <v>2.6419874169835446E-3</v>
      </c>
      <c r="V73" s="5">
        <f t="shared" si="62"/>
        <v>6.5972070951694087E-3</v>
      </c>
      <c r="W73" s="5">
        <f t="shared" si="63"/>
        <v>9.448022196093836E-3</v>
      </c>
      <c r="X73" s="5">
        <f t="shared" si="64"/>
        <v>1.1959663619746189E-2</v>
      </c>
      <c r="Y73" s="5">
        <f t="shared" si="65"/>
        <v>-1.316238132051435E-2</v>
      </c>
      <c r="Z73" s="33">
        <v>69</v>
      </c>
      <c r="AE73" s="20" t="str">
        <f t="shared" si="66"/>
        <v/>
      </c>
      <c r="AF73" s="22" t="str">
        <f t="shared" si="67"/>
        <v/>
      </c>
      <c r="AG73" s="9" t="str">
        <f t="shared" ca="1" si="46"/>
        <v/>
      </c>
      <c r="AH73" s="9" t="str">
        <f t="shared" ca="1" si="47"/>
        <v/>
      </c>
      <c r="AI73" s="9" t="str">
        <f t="shared" ca="1" si="48"/>
        <v/>
      </c>
      <c r="AJ73" s="9" t="str">
        <f t="shared" ca="1" si="49"/>
        <v/>
      </c>
      <c r="AK73" s="9" t="str">
        <f t="shared" ca="1" si="50"/>
        <v/>
      </c>
      <c r="AL73" s="9" t="str">
        <f t="shared" ca="1" si="51"/>
        <v/>
      </c>
      <c r="AM73" s="9" t="str">
        <f t="shared" ca="1" si="52"/>
        <v/>
      </c>
      <c r="AN73" s="9" t="str">
        <f t="shared" ca="1" si="53"/>
        <v/>
      </c>
      <c r="AO73" s="9" t="str">
        <f t="shared" ca="1" si="54"/>
        <v/>
      </c>
      <c r="AP73" s="9" t="str">
        <f t="shared" ca="1" si="55"/>
        <v/>
      </c>
      <c r="AQ73" s="9"/>
      <c r="AR73" s="9"/>
      <c r="AS73" s="9"/>
      <c r="AT73" s="9"/>
      <c r="AU73" s="9"/>
    </row>
    <row r="74" spans="1:47" x14ac:dyDescent="0.3">
      <c r="A74" s="1">
        <v>43567</v>
      </c>
      <c r="B74" s="6">
        <v>271.85998499999999</v>
      </c>
      <c r="C74" s="6">
        <v>118.19000200000001</v>
      </c>
      <c r="D74" s="6">
        <v>26.51</v>
      </c>
      <c r="E74" s="6">
        <v>122.230003</v>
      </c>
      <c r="F74" s="6">
        <v>102.620003</v>
      </c>
      <c r="G74" s="6">
        <v>45.799999</v>
      </c>
      <c r="H74" s="6">
        <v>97.129997000000003</v>
      </c>
      <c r="I74" s="6">
        <v>155.970001</v>
      </c>
      <c r="J74" s="6">
        <v>21.790001</v>
      </c>
      <c r="K74" s="6">
        <v>30.02</v>
      </c>
      <c r="N74" s="18">
        <v>70</v>
      </c>
      <c r="O74" s="1">
        <v>43567</v>
      </c>
      <c r="P74" s="5">
        <f t="shared" si="56"/>
        <v>-1.4715683984606648E-4</v>
      </c>
      <c r="Q74" s="5">
        <f t="shared" si="57"/>
        <v>3.6448439817929213E-3</v>
      </c>
      <c r="R74" s="5">
        <f t="shared" si="58"/>
        <v>-3.2108167835730693E-2</v>
      </c>
      <c r="S74" s="5">
        <f t="shared" si="59"/>
        <v>4.5920949716118124E-3</v>
      </c>
      <c r="T74" s="5">
        <f t="shared" si="60"/>
        <v>2.2438329277392065E-3</v>
      </c>
      <c r="U74" s="5">
        <f t="shared" si="61"/>
        <v>7.0114004037426002E-3</v>
      </c>
      <c r="V74" s="5">
        <f t="shared" si="62"/>
        <v>1.3683213739663885E-2</v>
      </c>
      <c r="W74" s="5">
        <f t="shared" si="63"/>
        <v>4.5625887017344295E-3</v>
      </c>
      <c r="X74" s="5">
        <f t="shared" si="64"/>
        <v>-3.6646855642736365E-3</v>
      </c>
      <c r="Y74" s="5">
        <f t="shared" si="65"/>
        <v>-5.6469506369817967E-3</v>
      </c>
      <c r="Z74" s="33">
        <v>70</v>
      </c>
      <c r="AE74" s="20" t="str">
        <f t="shared" si="66"/>
        <v/>
      </c>
      <c r="AF74" s="22" t="str">
        <f t="shared" si="67"/>
        <v/>
      </c>
      <c r="AG74" s="9" t="str">
        <f t="shared" ca="1" si="46"/>
        <v/>
      </c>
      <c r="AH74" s="9" t="str">
        <f t="shared" ca="1" si="47"/>
        <v/>
      </c>
      <c r="AI74" s="9" t="str">
        <f t="shared" ca="1" si="48"/>
        <v/>
      </c>
      <c r="AJ74" s="9" t="str">
        <f t="shared" ca="1" si="49"/>
        <v/>
      </c>
      <c r="AK74" s="9" t="str">
        <f t="shared" ca="1" si="50"/>
        <v/>
      </c>
      <c r="AL74" s="9" t="str">
        <f t="shared" ca="1" si="51"/>
        <v/>
      </c>
      <c r="AM74" s="9" t="str">
        <f t="shared" ca="1" si="52"/>
        <v/>
      </c>
      <c r="AN74" s="9" t="str">
        <f t="shared" ca="1" si="53"/>
        <v/>
      </c>
      <c r="AO74" s="9" t="str">
        <f t="shared" ca="1" si="54"/>
        <v/>
      </c>
      <c r="AP74" s="9" t="str">
        <f t="shared" ca="1" si="55"/>
        <v/>
      </c>
      <c r="AQ74" s="9"/>
      <c r="AR74" s="9"/>
      <c r="AS74" s="9"/>
      <c r="AT74" s="9"/>
      <c r="AU74" s="9"/>
    </row>
    <row r="75" spans="1:47" x14ac:dyDescent="0.3">
      <c r="A75" s="1">
        <v>43570</v>
      </c>
      <c r="B75" s="6">
        <v>272.22000100000002</v>
      </c>
      <c r="C75" s="6">
        <v>117.57</v>
      </c>
      <c r="D75" s="6">
        <v>27.035</v>
      </c>
      <c r="E75" s="6">
        <v>123.660004</v>
      </c>
      <c r="F75" s="6">
        <v>102.550003</v>
      </c>
      <c r="G75" s="6">
        <v>45.73</v>
      </c>
      <c r="H75" s="6">
        <v>96.790001000000004</v>
      </c>
      <c r="I75" s="6">
        <v>156.39999399999999</v>
      </c>
      <c r="J75" s="6">
        <v>21.940000999999999</v>
      </c>
      <c r="K75" s="6">
        <v>30.049999</v>
      </c>
      <c r="N75" s="19">
        <v>71</v>
      </c>
      <c r="O75" s="1">
        <v>43570</v>
      </c>
      <c r="P75" s="5">
        <f t="shared" si="56"/>
        <v>1.3233938457847083E-3</v>
      </c>
      <c r="Q75" s="5">
        <f t="shared" si="57"/>
        <v>-5.2596150664048257E-3</v>
      </c>
      <c r="R75" s="5">
        <f t="shared" si="58"/>
        <v>1.9610302533033874E-2</v>
      </c>
      <c r="S75" s="5">
        <f t="shared" si="59"/>
        <v>1.1631356144115557E-2</v>
      </c>
      <c r="T75" s="5">
        <f t="shared" si="60"/>
        <v>-6.8236097547403468E-4</v>
      </c>
      <c r="U75" s="5">
        <f t="shared" si="61"/>
        <v>-1.5295316161141694E-3</v>
      </c>
      <c r="V75" s="5">
        <f t="shared" si="62"/>
        <v>-3.5065630351548472E-3</v>
      </c>
      <c r="W75" s="5">
        <f t="shared" si="63"/>
        <v>2.7531022728150235E-3</v>
      </c>
      <c r="X75" s="5">
        <f t="shared" si="64"/>
        <v>6.860305576795761E-3</v>
      </c>
      <c r="Y75" s="5">
        <f t="shared" si="65"/>
        <v>9.9880149802992558E-4</v>
      </c>
      <c r="Z75" s="33">
        <v>71</v>
      </c>
      <c r="AE75" s="20" t="str">
        <f t="shared" si="66"/>
        <v/>
      </c>
      <c r="AF75" s="22" t="str">
        <f t="shared" si="67"/>
        <v/>
      </c>
      <c r="AG75" s="9" t="str">
        <f t="shared" ca="1" si="46"/>
        <v/>
      </c>
      <c r="AH75" s="9" t="str">
        <f t="shared" ca="1" si="47"/>
        <v/>
      </c>
      <c r="AI75" s="9" t="str">
        <f t="shared" ca="1" si="48"/>
        <v/>
      </c>
      <c r="AJ75" s="9" t="str">
        <f t="shared" ca="1" si="49"/>
        <v/>
      </c>
      <c r="AK75" s="9" t="str">
        <f t="shared" ca="1" si="50"/>
        <v/>
      </c>
      <c r="AL75" s="9" t="str">
        <f t="shared" ca="1" si="51"/>
        <v/>
      </c>
      <c r="AM75" s="9" t="str">
        <f t="shared" ca="1" si="52"/>
        <v/>
      </c>
      <c r="AN75" s="9" t="str">
        <f t="shared" ca="1" si="53"/>
        <v/>
      </c>
      <c r="AO75" s="9" t="str">
        <f t="shared" ca="1" si="54"/>
        <v/>
      </c>
      <c r="AP75" s="9" t="str">
        <f t="shared" ca="1" si="55"/>
        <v/>
      </c>
      <c r="AQ75" s="9"/>
      <c r="AR75" s="9"/>
      <c r="AS75" s="9"/>
      <c r="AT75" s="9"/>
      <c r="AU75" s="9"/>
    </row>
    <row r="76" spans="1:47" x14ac:dyDescent="0.3">
      <c r="A76" s="1">
        <v>43571</v>
      </c>
      <c r="B76" s="6">
        <v>271.42999300000002</v>
      </c>
      <c r="C76" s="6">
        <v>116.730003</v>
      </c>
      <c r="D76" s="6">
        <v>27.1</v>
      </c>
      <c r="E76" s="6">
        <v>122.410004</v>
      </c>
      <c r="F76" s="6">
        <v>99.919998000000007</v>
      </c>
      <c r="G76" s="6">
        <v>44.48</v>
      </c>
      <c r="H76" s="6">
        <v>97.489998</v>
      </c>
      <c r="I76" s="6">
        <v>156.80999800000001</v>
      </c>
      <c r="J76" s="6">
        <v>22.299999</v>
      </c>
      <c r="K76" s="6">
        <v>29.98</v>
      </c>
      <c r="N76" s="18">
        <v>72</v>
      </c>
      <c r="O76" s="1">
        <v>43571</v>
      </c>
      <c r="P76" s="5">
        <f t="shared" si="56"/>
        <v>-2.906313123502308E-3</v>
      </c>
      <c r="Q76" s="5">
        <f t="shared" si="57"/>
        <v>-7.1702995147440449E-3</v>
      </c>
      <c r="R76" s="5">
        <f t="shared" si="58"/>
        <v>2.4014050516870692E-3</v>
      </c>
      <c r="S76" s="5">
        <f t="shared" si="59"/>
        <v>-1.0159797712689957E-2</v>
      </c>
      <c r="T76" s="5">
        <f t="shared" si="60"/>
        <v>-2.5980667971102371E-2</v>
      </c>
      <c r="U76" s="5">
        <f t="shared" si="61"/>
        <v>-2.7714887727636878E-2</v>
      </c>
      <c r="V76" s="5">
        <f t="shared" si="62"/>
        <v>7.2060946336122145E-3</v>
      </c>
      <c r="W76" s="5">
        <f t="shared" si="63"/>
        <v>2.6180788906129005E-3</v>
      </c>
      <c r="X76" s="5">
        <f t="shared" si="64"/>
        <v>1.6275133197088152E-2</v>
      </c>
      <c r="Y76" s="5">
        <f t="shared" si="65"/>
        <v>-2.3321350288941236E-3</v>
      </c>
      <c r="Z76" s="33">
        <v>72</v>
      </c>
      <c r="AE76" s="20" t="str">
        <f t="shared" si="66"/>
        <v/>
      </c>
      <c r="AF76" s="22" t="str">
        <f t="shared" si="67"/>
        <v/>
      </c>
      <c r="AG76" s="9" t="str">
        <f t="shared" ca="1" si="46"/>
        <v/>
      </c>
      <c r="AH76" s="9" t="str">
        <f t="shared" ca="1" si="47"/>
        <v/>
      </c>
      <c r="AI76" s="9" t="str">
        <f t="shared" ca="1" si="48"/>
        <v/>
      </c>
      <c r="AJ76" s="9" t="str">
        <f t="shared" ca="1" si="49"/>
        <v/>
      </c>
      <c r="AK76" s="9" t="str">
        <f t="shared" ca="1" si="50"/>
        <v/>
      </c>
      <c r="AL76" s="9" t="str">
        <f t="shared" ca="1" si="51"/>
        <v/>
      </c>
      <c r="AM76" s="9" t="str">
        <f t="shared" ca="1" si="52"/>
        <v/>
      </c>
      <c r="AN76" s="9" t="str">
        <f t="shared" ca="1" si="53"/>
        <v/>
      </c>
      <c r="AO76" s="9" t="str">
        <f t="shared" ca="1" si="54"/>
        <v/>
      </c>
      <c r="AP76" s="9" t="str">
        <f t="shared" ca="1" si="55"/>
        <v/>
      </c>
      <c r="AQ76" s="9"/>
      <c r="AR76" s="9"/>
      <c r="AS76" s="9"/>
      <c r="AT76" s="9"/>
      <c r="AU76" s="9"/>
    </row>
    <row r="77" spans="1:47" x14ac:dyDescent="0.3">
      <c r="A77" s="1">
        <v>43572</v>
      </c>
      <c r="B77" s="6">
        <v>269.45001200000002</v>
      </c>
      <c r="C77" s="6">
        <v>116.040001</v>
      </c>
      <c r="D77" s="6">
        <v>27.445</v>
      </c>
      <c r="E77" s="6">
        <v>127.010002</v>
      </c>
      <c r="F77" s="6">
        <v>97.919998000000007</v>
      </c>
      <c r="G77" s="6">
        <v>43.700001</v>
      </c>
      <c r="H77" s="6">
        <v>96.800003000000004</v>
      </c>
      <c r="I77" s="6">
        <v>157.83999600000001</v>
      </c>
      <c r="J77" s="6">
        <v>22.51</v>
      </c>
      <c r="K77" s="6">
        <v>30.41</v>
      </c>
      <c r="N77" s="19">
        <v>73</v>
      </c>
      <c r="O77" s="1">
        <v>43572</v>
      </c>
      <c r="P77" s="5">
        <f t="shared" si="56"/>
        <v>-7.3213645392557584E-3</v>
      </c>
      <c r="Q77" s="5">
        <f t="shared" si="57"/>
        <v>-5.9286334939843812E-3</v>
      </c>
      <c r="R77" s="5">
        <f t="shared" si="58"/>
        <v>1.265027411619731E-2</v>
      </c>
      <c r="S77" s="5">
        <f t="shared" si="59"/>
        <v>3.6889740498530145E-2</v>
      </c>
      <c r="T77" s="5">
        <f t="shared" si="60"/>
        <v>-2.0219047462130081E-2</v>
      </c>
      <c r="U77" s="5">
        <f t="shared" si="61"/>
        <v>-1.769152495748751E-2</v>
      </c>
      <c r="V77" s="5">
        <f t="shared" si="62"/>
        <v>-7.1027628519889389E-3</v>
      </c>
      <c r="W77" s="5">
        <f t="shared" si="63"/>
        <v>6.5469677335895015E-3</v>
      </c>
      <c r="X77" s="5">
        <f t="shared" si="64"/>
        <v>9.3730212956182942E-3</v>
      </c>
      <c r="Y77" s="5">
        <f t="shared" si="65"/>
        <v>1.4241009014821586E-2</v>
      </c>
      <c r="Z77" s="33">
        <v>73</v>
      </c>
      <c r="AE77" s="20" t="str">
        <f t="shared" si="66"/>
        <v/>
      </c>
      <c r="AF77" s="22" t="str">
        <f t="shared" si="67"/>
        <v/>
      </c>
      <c r="AG77" s="9" t="str">
        <f t="shared" ca="1" si="46"/>
        <v/>
      </c>
      <c r="AH77" s="9" t="str">
        <f t="shared" ca="1" si="47"/>
        <v/>
      </c>
      <c r="AI77" s="9" t="str">
        <f t="shared" ca="1" si="48"/>
        <v/>
      </c>
      <c r="AJ77" s="9" t="str">
        <f t="shared" ca="1" si="49"/>
        <v/>
      </c>
      <c r="AK77" s="9" t="str">
        <f t="shared" ca="1" si="50"/>
        <v/>
      </c>
      <c r="AL77" s="9" t="str">
        <f t="shared" ca="1" si="51"/>
        <v/>
      </c>
      <c r="AM77" s="9" t="str">
        <f t="shared" ca="1" si="52"/>
        <v/>
      </c>
      <c r="AN77" s="9" t="str">
        <f t="shared" ca="1" si="53"/>
        <v/>
      </c>
      <c r="AO77" s="9" t="str">
        <f t="shared" ca="1" si="54"/>
        <v/>
      </c>
      <c r="AP77" s="9" t="str">
        <f t="shared" ca="1" si="55"/>
        <v/>
      </c>
      <c r="AQ77" s="9"/>
      <c r="AR77" s="9"/>
      <c r="AS77" s="9"/>
      <c r="AT77" s="9"/>
      <c r="AU77" s="9"/>
    </row>
    <row r="78" spans="1:47" x14ac:dyDescent="0.3">
      <c r="A78" s="1">
        <v>43573</v>
      </c>
      <c r="B78" s="6">
        <v>270.57000699999998</v>
      </c>
      <c r="C78" s="6">
        <v>115.980003</v>
      </c>
      <c r="D78" s="6">
        <v>27.6</v>
      </c>
      <c r="E78" s="6">
        <v>127.089996</v>
      </c>
      <c r="F78" s="6">
        <v>98.629997000000003</v>
      </c>
      <c r="G78" s="6">
        <v>44.23</v>
      </c>
      <c r="H78" s="6">
        <v>97.779999000000004</v>
      </c>
      <c r="I78" s="6">
        <v>168.070007</v>
      </c>
      <c r="J78" s="6">
        <v>22.65</v>
      </c>
      <c r="K78" s="6">
        <v>30.129999000000002</v>
      </c>
      <c r="N78" s="18">
        <v>74</v>
      </c>
      <c r="O78" s="1">
        <v>43573</v>
      </c>
      <c r="P78" s="5">
        <f t="shared" si="56"/>
        <v>4.147981802365747E-3</v>
      </c>
      <c r="Q78" s="5">
        <f t="shared" si="57"/>
        <v>-5.1717955609842771E-4</v>
      </c>
      <c r="R78" s="5">
        <f t="shared" si="58"/>
        <v>5.6317707212518208E-3</v>
      </c>
      <c r="S78" s="5">
        <f t="shared" si="59"/>
        <v>6.2962615720019784E-4</v>
      </c>
      <c r="T78" s="5">
        <f t="shared" si="60"/>
        <v>7.2246462100134913E-3</v>
      </c>
      <c r="U78" s="5">
        <f t="shared" si="61"/>
        <v>1.2055166895395906E-2</v>
      </c>
      <c r="V78" s="5">
        <f t="shared" si="62"/>
        <v>1.0073021649192817E-2</v>
      </c>
      <c r="W78" s="5">
        <f t="shared" si="63"/>
        <v>6.2798764565546047E-2</v>
      </c>
      <c r="X78" s="5">
        <f t="shared" si="64"/>
        <v>6.2001970104020874E-3</v>
      </c>
      <c r="Y78" s="5">
        <f t="shared" si="65"/>
        <v>-9.2501817365760811E-3</v>
      </c>
      <c r="Z78" s="33">
        <v>74</v>
      </c>
      <c r="AE78" s="20" t="str">
        <f t="shared" si="66"/>
        <v/>
      </c>
      <c r="AF78" s="22" t="str">
        <f t="shared" si="67"/>
        <v/>
      </c>
      <c r="AG78" s="9" t="str">
        <f t="shared" ca="1" si="46"/>
        <v/>
      </c>
      <c r="AH78" s="9" t="str">
        <f t="shared" ca="1" si="47"/>
        <v/>
      </c>
      <c r="AI78" s="9" t="str">
        <f t="shared" ca="1" si="48"/>
        <v/>
      </c>
      <c r="AJ78" s="9" t="str">
        <f t="shared" ca="1" si="49"/>
        <v/>
      </c>
      <c r="AK78" s="9" t="str">
        <f t="shared" ca="1" si="50"/>
        <v/>
      </c>
      <c r="AL78" s="9" t="str">
        <f t="shared" ca="1" si="51"/>
        <v/>
      </c>
      <c r="AM78" s="9" t="str">
        <f t="shared" ca="1" si="52"/>
        <v/>
      </c>
      <c r="AN78" s="9" t="str">
        <f t="shared" ca="1" si="53"/>
        <v/>
      </c>
      <c r="AO78" s="9" t="str">
        <f t="shared" ca="1" si="54"/>
        <v/>
      </c>
      <c r="AP78" s="9" t="str">
        <f t="shared" ca="1" si="55"/>
        <v/>
      </c>
      <c r="AQ78" s="9"/>
      <c r="AR78" s="9"/>
      <c r="AS78" s="9"/>
      <c r="AT78" s="9"/>
      <c r="AU78" s="9"/>
    </row>
    <row r="79" spans="1:47" x14ac:dyDescent="0.3">
      <c r="A79" s="1">
        <v>43577</v>
      </c>
      <c r="B79" s="6">
        <v>272.209991</v>
      </c>
      <c r="C79" s="6">
        <v>116.989998</v>
      </c>
      <c r="D79" s="6">
        <v>27.485001</v>
      </c>
      <c r="E79" s="6">
        <v>126.44000200000001</v>
      </c>
      <c r="F79" s="6">
        <v>97.790001000000004</v>
      </c>
      <c r="G79" s="6">
        <v>43.509998000000003</v>
      </c>
      <c r="H79" s="6">
        <v>96.349997999999999</v>
      </c>
      <c r="I79" s="6">
        <v>168.41000399999999</v>
      </c>
      <c r="J79" s="6">
        <v>22.459999</v>
      </c>
      <c r="K79" s="6">
        <v>29.120000999999998</v>
      </c>
      <c r="N79" s="19">
        <v>75</v>
      </c>
      <c r="O79" s="1">
        <v>43577</v>
      </c>
      <c r="P79" s="5">
        <f t="shared" si="56"/>
        <v>6.0429234556819032E-3</v>
      </c>
      <c r="Q79" s="5">
        <f t="shared" si="57"/>
        <v>8.6706556492089776E-3</v>
      </c>
      <c r="R79" s="5">
        <f t="shared" si="58"/>
        <v>-4.1753350269993937E-3</v>
      </c>
      <c r="S79" s="5">
        <f t="shared" si="59"/>
        <v>-5.1275622550237421E-3</v>
      </c>
      <c r="T79" s="5">
        <f t="shared" si="60"/>
        <v>-8.5531119990145572E-3</v>
      </c>
      <c r="U79" s="5">
        <f t="shared" si="61"/>
        <v>-1.6412541114092082E-2</v>
      </c>
      <c r="V79" s="5">
        <f t="shared" si="62"/>
        <v>-1.4732672820738446E-2</v>
      </c>
      <c r="W79" s="5">
        <f t="shared" si="63"/>
        <v>2.0209052817342704E-3</v>
      </c>
      <c r="X79" s="5">
        <f t="shared" si="64"/>
        <v>-8.4239471423443266E-3</v>
      </c>
      <c r="Y79" s="5">
        <f t="shared" si="65"/>
        <v>-3.4096062283553323E-2</v>
      </c>
      <c r="Z79" s="33">
        <v>75</v>
      </c>
      <c r="AE79" s="20" t="str">
        <f t="shared" si="66"/>
        <v/>
      </c>
      <c r="AF79" s="22" t="str">
        <f t="shared" si="67"/>
        <v/>
      </c>
      <c r="AG79" s="9" t="str">
        <f t="shared" ca="1" si="46"/>
        <v/>
      </c>
      <c r="AH79" s="9" t="str">
        <f t="shared" ca="1" si="47"/>
        <v/>
      </c>
      <c r="AI79" s="9" t="str">
        <f t="shared" ca="1" si="48"/>
        <v/>
      </c>
      <c r="AJ79" s="9" t="str">
        <f t="shared" ca="1" si="49"/>
        <v/>
      </c>
      <c r="AK79" s="9" t="str">
        <f t="shared" ca="1" si="50"/>
        <v/>
      </c>
      <c r="AL79" s="9" t="str">
        <f t="shared" ca="1" si="51"/>
        <v/>
      </c>
      <c r="AM79" s="9" t="str">
        <f t="shared" ca="1" si="52"/>
        <v/>
      </c>
      <c r="AN79" s="9" t="str">
        <f t="shared" ca="1" si="53"/>
        <v/>
      </c>
      <c r="AO79" s="9" t="str">
        <f t="shared" ca="1" si="54"/>
        <v/>
      </c>
      <c r="AP79" s="9" t="str">
        <f t="shared" ca="1" si="55"/>
        <v/>
      </c>
      <c r="AQ79" s="9"/>
      <c r="AR79" s="9"/>
      <c r="AS79" s="9"/>
      <c r="AT79" s="9"/>
      <c r="AU79" s="9"/>
    </row>
    <row r="80" spans="1:47" x14ac:dyDescent="0.3">
      <c r="A80" s="1">
        <v>43578</v>
      </c>
      <c r="B80" s="6">
        <v>278.48998999999998</v>
      </c>
      <c r="C80" s="6">
        <v>119.889999</v>
      </c>
      <c r="D80" s="6">
        <v>28.114999999999998</v>
      </c>
      <c r="E80" s="6">
        <v>127.089996</v>
      </c>
      <c r="F80" s="6">
        <v>99.07</v>
      </c>
      <c r="G80" s="6">
        <v>44.099997999999999</v>
      </c>
      <c r="H80" s="6">
        <v>97.589995999999999</v>
      </c>
      <c r="I80" s="6">
        <v>171.21000699999999</v>
      </c>
      <c r="J80" s="6">
        <v>22.48</v>
      </c>
      <c r="K80" s="6">
        <v>29.469999000000001</v>
      </c>
      <c r="N80" s="18">
        <v>76</v>
      </c>
      <c r="O80" s="1">
        <v>43578</v>
      </c>
      <c r="P80" s="5">
        <f t="shared" si="56"/>
        <v>2.2808321999301554E-2</v>
      </c>
      <c r="Q80" s="5">
        <f t="shared" si="57"/>
        <v>2.4486203414551325E-2</v>
      </c>
      <c r="R80" s="5">
        <f t="shared" si="58"/>
        <v>2.2662804048060092E-2</v>
      </c>
      <c r="S80" s="5">
        <f t="shared" si="59"/>
        <v>5.1275622550236667E-3</v>
      </c>
      <c r="T80" s="5">
        <f t="shared" si="60"/>
        <v>1.300433843476049E-2</v>
      </c>
      <c r="U80" s="5">
        <f t="shared" si="61"/>
        <v>1.3468986335182134E-2</v>
      </c>
      <c r="V80" s="5">
        <f t="shared" si="62"/>
        <v>1.2787614062841913E-2</v>
      </c>
      <c r="W80" s="5">
        <f t="shared" si="63"/>
        <v>1.6489407882666555E-2</v>
      </c>
      <c r="X80" s="5">
        <f t="shared" si="64"/>
        <v>8.9012023879174896E-4</v>
      </c>
      <c r="Y80" s="5">
        <f t="shared" si="65"/>
        <v>1.1947505147645771E-2</v>
      </c>
      <c r="Z80" s="33">
        <v>76</v>
      </c>
      <c r="AE80" s="20" t="str">
        <f t="shared" si="66"/>
        <v/>
      </c>
      <c r="AF80" s="22" t="str">
        <f t="shared" si="67"/>
        <v/>
      </c>
      <c r="AG80" s="9" t="str">
        <f t="shared" ca="1" si="46"/>
        <v/>
      </c>
      <c r="AH80" s="9" t="str">
        <f t="shared" ca="1" si="47"/>
        <v/>
      </c>
      <c r="AI80" s="9" t="str">
        <f t="shared" ca="1" si="48"/>
        <v/>
      </c>
      <c r="AJ80" s="9" t="str">
        <f t="shared" ca="1" si="49"/>
        <v/>
      </c>
      <c r="AK80" s="9" t="str">
        <f t="shared" ca="1" si="50"/>
        <v/>
      </c>
      <c r="AL80" s="9" t="str">
        <f t="shared" ca="1" si="51"/>
        <v/>
      </c>
      <c r="AM80" s="9" t="str">
        <f t="shared" ca="1" si="52"/>
        <v/>
      </c>
      <c r="AN80" s="9" t="str">
        <f t="shared" ca="1" si="53"/>
        <v/>
      </c>
      <c r="AO80" s="9" t="str">
        <f t="shared" ca="1" si="54"/>
        <v/>
      </c>
      <c r="AP80" s="9" t="str">
        <f t="shared" ca="1" si="55"/>
        <v/>
      </c>
      <c r="AQ80" s="9"/>
      <c r="AR80" s="9"/>
      <c r="AS80" s="9"/>
      <c r="AT80" s="9"/>
      <c r="AU80" s="9"/>
    </row>
    <row r="81" spans="1:47" x14ac:dyDescent="0.3">
      <c r="A81" s="1">
        <v>43579</v>
      </c>
      <c r="B81" s="6">
        <v>275.45001200000002</v>
      </c>
      <c r="C81" s="6">
        <v>119.870003</v>
      </c>
      <c r="D81" s="6">
        <v>28.41</v>
      </c>
      <c r="E81" s="6">
        <v>126.91999800000001</v>
      </c>
      <c r="F81" s="6">
        <v>100</v>
      </c>
      <c r="G81" s="6">
        <v>44.459999000000003</v>
      </c>
      <c r="H81" s="6">
        <v>97.260002</v>
      </c>
      <c r="I81" s="6">
        <v>169.929993</v>
      </c>
      <c r="J81" s="6">
        <v>22.540001</v>
      </c>
      <c r="K81" s="6">
        <v>30.379999000000002</v>
      </c>
      <c r="N81" s="19">
        <v>77</v>
      </c>
      <c r="O81" s="1">
        <v>43579</v>
      </c>
      <c r="P81" s="5">
        <f t="shared" si="56"/>
        <v>-1.0975948688218124E-2</v>
      </c>
      <c r="Q81" s="5">
        <f t="shared" si="57"/>
        <v>-1.6680013246220694E-4</v>
      </c>
      <c r="R81" s="5">
        <f t="shared" si="58"/>
        <v>1.0437954121931678E-2</v>
      </c>
      <c r="S81" s="5">
        <f t="shared" si="59"/>
        <v>-1.3385144631828496E-3</v>
      </c>
      <c r="T81" s="5">
        <f t="shared" si="60"/>
        <v>9.3435150031526623E-3</v>
      </c>
      <c r="U81" s="5">
        <f t="shared" si="61"/>
        <v>8.1301489425971655E-3</v>
      </c>
      <c r="V81" s="5">
        <f t="shared" si="62"/>
        <v>-3.3871626264850466E-3</v>
      </c>
      <c r="W81" s="5">
        <f t="shared" si="63"/>
        <v>-7.5043677496071954E-3</v>
      </c>
      <c r="X81" s="5">
        <f t="shared" si="64"/>
        <v>2.6655279517112753E-3</v>
      </c>
      <c r="Y81" s="5">
        <f t="shared" si="65"/>
        <v>3.041170143444414E-2</v>
      </c>
      <c r="Z81" s="33">
        <v>77</v>
      </c>
      <c r="AE81" s="20" t="str">
        <f t="shared" si="66"/>
        <v/>
      </c>
      <c r="AF81" s="22" t="str">
        <f t="shared" si="67"/>
        <v/>
      </c>
      <c r="AG81" s="9" t="str">
        <f t="shared" ca="1" si="46"/>
        <v/>
      </c>
      <c r="AH81" s="9" t="str">
        <f t="shared" ca="1" si="47"/>
        <v/>
      </c>
      <c r="AI81" s="9" t="str">
        <f t="shared" ca="1" si="48"/>
        <v/>
      </c>
      <c r="AJ81" s="9" t="str">
        <f t="shared" ca="1" si="49"/>
        <v/>
      </c>
      <c r="AK81" s="9" t="str">
        <f t="shared" ca="1" si="50"/>
        <v/>
      </c>
      <c r="AL81" s="9" t="str">
        <f t="shared" ca="1" si="51"/>
        <v/>
      </c>
      <c r="AM81" s="9" t="str">
        <f t="shared" ca="1" si="52"/>
        <v/>
      </c>
      <c r="AN81" s="9" t="str">
        <f t="shared" ca="1" si="53"/>
        <v/>
      </c>
      <c r="AO81" s="9" t="str">
        <f t="shared" ca="1" si="54"/>
        <v/>
      </c>
      <c r="AP81" s="9" t="str">
        <f t="shared" ca="1" si="55"/>
        <v/>
      </c>
      <c r="AQ81" s="9"/>
      <c r="AR81" s="9"/>
      <c r="AS81" s="9"/>
      <c r="AT81" s="9"/>
      <c r="AU81" s="9"/>
    </row>
    <row r="82" spans="1:47" x14ac:dyDescent="0.3">
      <c r="A82" s="1">
        <v>43580</v>
      </c>
      <c r="B82" s="6">
        <v>277.66000400000001</v>
      </c>
      <c r="C82" s="6">
        <v>119.699997</v>
      </c>
      <c r="D82" s="6">
        <v>28.950001</v>
      </c>
      <c r="E82" s="6">
        <v>126.129997</v>
      </c>
      <c r="F82" s="6">
        <v>99.690002000000007</v>
      </c>
      <c r="G82" s="6">
        <v>44.689999</v>
      </c>
      <c r="H82" s="6">
        <v>96.220000999999996</v>
      </c>
      <c r="I82" s="6">
        <v>168.16000399999999</v>
      </c>
      <c r="J82" s="6">
        <v>22.280000999999999</v>
      </c>
      <c r="K82" s="6">
        <v>30.370000999999998</v>
      </c>
      <c r="N82" s="18">
        <v>78</v>
      </c>
      <c r="O82" s="1">
        <v>43580</v>
      </c>
      <c r="P82" s="5">
        <f t="shared" si="56"/>
        <v>7.9911905289644213E-3</v>
      </c>
      <c r="Q82" s="5">
        <f t="shared" si="57"/>
        <v>-1.4192597448503118E-3</v>
      </c>
      <c r="R82" s="5">
        <f t="shared" si="58"/>
        <v>1.8829042695221475E-2</v>
      </c>
      <c r="S82" s="5">
        <f t="shared" si="59"/>
        <v>-6.2438536429191976E-3</v>
      </c>
      <c r="T82" s="5">
        <f t="shared" si="60"/>
        <v>-3.1047948912860594E-3</v>
      </c>
      <c r="U82" s="5">
        <f t="shared" si="61"/>
        <v>5.1598545250668114E-3</v>
      </c>
      <c r="V82" s="5">
        <f t="shared" si="62"/>
        <v>-1.0750578874920473E-2</v>
      </c>
      <c r="W82" s="5">
        <f t="shared" si="63"/>
        <v>-1.0470615437070334E-2</v>
      </c>
      <c r="X82" s="5">
        <f t="shared" si="64"/>
        <v>-1.1602093034815922E-2</v>
      </c>
      <c r="Y82" s="5">
        <f t="shared" si="65"/>
        <v>-3.291522663462739E-4</v>
      </c>
      <c r="Z82" s="33">
        <v>78</v>
      </c>
      <c r="AE82" s="20" t="str">
        <f t="shared" si="66"/>
        <v/>
      </c>
      <c r="AF82" s="22" t="str">
        <f t="shared" si="67"/>
        <v/>
      </c>
      <c r="AG82" s="9" t="str">
        <f t="shared" ca="1" si="46"/>
        <v/>
      </c>
      <c r="AH82" s="9" t="str">
        <f t="shared" ca="1" si="47"/>
        <v/>
      </c>
      <c r="AI82" s="9" t="str">
        <f t="shared" ca="1" si="48"/>
        <v/>
      </c>
      <c r="AJ82" s="9" t="str">
        <f t="shared" ca="1" si="49"/>
        <v/>
      </c>
      <c r="AK82" s="9" t="str">
        <f t="shared" ca="1" si="50"/>
        <v/>
      </c>
      <c r="AL82" s="9" t="str">
        <f t="shared" ca="1" si="51"/>
        <v/>
      </c>
      <c r="AM82" s="9" t="str">
        <f t="shared" ca="1" si="52"/>
        <v/>
      </c>
      <c r="AN82" s="9" t="str">
        <f t="shared" ca="1" si="53"/>
        <v/>
      </c>
      <c r="AO82" s="9" t="str">
        <f t="shared" ca="1" si="54"/>
        <v/>
      </c>
      <c r="AP82" s="9" t="str">
        <f t="shared" ca="1" si="55"/>
        <v/>
      </c>
      <c r="AQ82" s="9"/>
      <c r="AR82" s="9"/>
      <c r="AS82" s="9"/>
      <c r="AT82" s="9"/>
      <c r="AU82" s="9"/>
    </row>
    <row r="83" spans="1:47" x14ac:dyDescent="0.3">
      <c r="A83" s="1">
        <v>43581</v>
      </c>
      <c r="B83" s="6">
        <v>281.959991</v>
      </c>
      <c r="C83" s="6">
        <v>120.120003</v>
      </c>
      <c r="D83" s="6">
        <v>29.825001</v>
      </c>
      <c r="E83" s="6">
        <v>126.400002</v>
      </c>
      <c r="F83" s="6">
        <v>100.66999800000001</v>
      </c>
      <c r="G83" s="6">
        <v>45.029998999999997</v>
      </c>
      <c r="H83" s="6">
        <v>97.029999000000004</v>
      </c>
      <c r="I83" s="6">
        <v>169.770004</v>
      </c>
      <c r="J83" s="6">
        <v>23.450001</v>
      </c>
      <c r="K83" s="6">
        <v>31.51</v>
      </c>
      <c r="N83" s="19">
        <v>79</v>
      </c>
      <c r="O83" s="1">
        <v>43581</v>
      </c>
      <c r="P83" s="5">
        <f t="shared" si="56"/>
        <v>1.5367826973488742E-2</v>
      </c>
      <c r="Q83" s="5">
        <f t="shared" si="57"/>
        <v>3.5026805888837822E-3</v>
      </c>
      <c r="R83" s="5">
        <f t="shared" si="58"/>
        <v>2.9776762951580049E-2</v>
      </c>
      <c r="S83" s="5">
        <f t="shared" si="59"/>
        <v>2.1384002214238466E-3</v>
      </c>
      <c r="T83" s="5">
        <f t="shared" si="60"/>
        <v>9.7824297776348181E-3</v>
      </c>
      <c r="U83" s="5">
        <f t="shared" si="61"/>
        <v>7.5791715370733901E-3</v>
      </c>
      <c r="V83" s="5">
        <f t="shared" si="62"/>
        <v>8.3829520669600078E-3</v>
      </c>
      <c r="W83" s="5">
        <f t="shared" si="63"/>
        <v>9.5286724683203896E-3</v>
      </c>
      <c r="X83" s="5">
        <f t="shared" si="64"/>
        <v>5.1181077593825126E-2</v>
      </c>
      <c r="Y83" s="5">
        <f t="shared" si="65"/>
        <v>3.684964378429572E-2</v>
      </c>
      <c r="Z83" s="33">
        <v>79</v>
      </c>
      <c r="AE83" s="20" t="str">
        <f t="shared" si="66"/>
        <v/>
      </c>
      <c r="AF83" s="22" t="str">
        <f t="shared" si="67"/>
        <v/>
      </c>
      <c r="AG83" s="9" t="str">
        <f t="shared" ca="1" si="46"/>
        <v/>
      </c>
      <c r="AH83" s="9" t="str">
        <f t="shared" ca="1" si="47"/>
        <v/>
      </c>
      <c r="AI83" s="9" t="str">
        <f t="shared" ca="1" si="48"/>
        <v/>
      </c>
      <c r="AJ83" s="9" t="str">
        <f t="shared" ca="1" si="49"/>
        <v/>
      </c>
      <c r="AK83" s="9" t="str">
        <f t="shared" ca="1" si="50"/>
        <v/>
      </c>
      <c r="AL83" s="9" t="str">
        <f t="shared" ca="1" si="51"/>
        <v/>
      </c>
      <c r="AM83" s="9" t="str">
        <f t="shared" ca="1" si="52"/>
        <v/>
      </c>
      <c r="AN83" s="9" t="str">
        <f t="shared" ca="1" si="53"/>
        <v/>
      </c>
      <c r="AO83" s="9" t="str">
        <f t="shared" ca="1" si="54"/>
        <v/>
      </c>
      <c r="AP83" s="9" t="str">
        <f t="shared" ca="1" si="55"/>
        <v/>
      </c>
      <c r="AQ83" s="9"/>
      <c r="AR83" s="9"/>
      <c r="AS83" s="9"/>
      <c r="AT83" s="9"/>
      <c r="AU83" s="9"/>
    </row>
    <row r="84" spans="1:47" x14ac:dyDescent="0.3">
      <c r="A84" s="1">
        <v>43584</v>
      </c>
      <c r="B84" s="6">
        <v>286.14001500000001</v>
      </c>
      <c r="C84" s="6">
        <v>119.860001</v>
      </c>
      <c r="D84" s="6">
        <v>29.344999000000001</v>
      </c>
      <c r="E84" s="6">
        <v>126.69000200000001</v>
      </c>
      <c r="F84" s="6">
        <v>99.220000999999996</v>
      </c>
      <c r="G84" s="6">
        <v>44.389999000000003</v>
      </c>
      <c r="H84" s="6">
        <v>97.75</v>
      </c>
      <c r="I84" s="6">
        <v>169.029999</v>
      </c>
      <c r="J84" s="6">
        <v>23.5</v>
      </c>
      <c r="K84" s="6">
        <v>31.629999000000002</v>
      </c>
      <c r="N84" s="18">
        <v>80</v>
      </c>
      <c r="O84" s="1">
        <v>43584</v>
      </c>
      <c r="P84" s="5">
        <f t="shared" si="56"/>
        <v>1.471606897382481E-2</v>
      </c>
      <c r="Q84" s="5">
        <f t="shared" si="57"/>
        <v>-2.1668647170480794E-3</v>
      </c>
      <c r="R84" s="5">
        <f t="shared" si="58"/>
        <v>-1.6224861579956291E-2</v>
      </c>
      <c r="S84" s="5">
        <f t="shared" si="59"/>
        <v>2.2916758649858321E-3</v>
      </c>
      <c r="T84" s="5">
        <f t="shared" si="60"/>
        <v>-1.4508203922924004E-2</v>
      </c>
      <c r="U84" s="5">
        <f t="shared" si="61"/>
        <v>-1.4314715787715298E-2</v>
      </c>
      <c r="V84" s="5">
        <f t="shared" si="62"/>
        <v>7.3930001343579877E-3</v>
      </c>
      <c r="W84" s="5">
        <f t="shared" si="63"/>
        <v>-4.368395337853887E-3</v>
      </c>
      <c r="X84" s="5">
        <f t="shared" si="64"/>
        <v>2.1298836139025945E-3</v>
      </c>
      <c r="Y84" s="5">
        <f t="shared" si="65"/>
        <v>3.8010499328188971E-3</v>
      </c>
      <c r="Z84" s="33">
        <v>80</v>
      </c>
      <c r="AE84" s="20" t="str">
        <f t="shared" si="66"/>
        <v/>
      </c>
      <c r="AF84" s="22" t="str">
        <f t="shared" si="67"/>
        <v/>
      </c>
      <c r="AG84" s="9" t="str">
        <f t="shared" ca="1" si="46"/>
        <v/>
      </c>
      <c r="AH84" s="9" t="str">
        <f t="shared" ca="1" si="47"/>
        <v/>
      </c>
      <c r="AI84" s="9" t="str">
        <f t="shared" ca="1" si="48"/>
        <v/>
      </c>
      <c r="AJ84" s="9" t="str">
        <f t="shared" ca="1" si="49"/>
        <v/>
      </c>
      <c r="AK84" s="9" t="str">
        <f t="shared" ca="1" si="50"/>
        <v/>
      </c>
      <c r="AL84" s="9" t="str">
        <f t="shared" ca="1" si="51"/>
        <v/>
      </c>
      <c r="AM84" s="9" t="str">
        <f t="shared" ca="1" si="52"/>
        <v/>
      </c>
      <c r="AN84" s="9" t="str">
        <f t="shared" ca="1" si="53"/>
        <v/>
      </c>
      <c r="AO84" s="9" t="str">
        <f t="shared" ca="1" si="54"/>
        <v/>
      </c>
      <c r="AP84" s="9" t="str">
        <f t="shared" ca="1" si="55"/>
        <v/>
      </c>
      <c r="AQ84" s="9"/>
      <c r="AR84" s="9"/>
      <c r="AS84" s="9"/>
      <c r="AT84" s="9"/>
      <c r="AU84" s="9"/>
    </row>
    <row r="85" spans="1:47" x14ac:dyDescent="0.3">
      <c r="A85" s="1">
        <v>43585</v>
      </c>
      <c r="B85" s="6">
        <v>289.25</v>
      </c>
      <c r="C85" s="6">
        <v>121.08000199999999</v>
      </c>
      <c r="D85" s="6">
        <v>29.799999</v>
      </c>
      <c r="E85" s="6">
        <v>128.050003</v>
      </c>
      <c r="F85" s="6">
        <v>100.650002</v>
      </c>
      <c r="G85" s="6">
        <v>44.950001</v>
      </c>
      <c r="H85" s="6">
        <v>98.040001000000004</v>
      </c>
      <c r="I85" s="6">
        <v>168.279999</v>
      </c>
      <c r="J85" s="6">
        <v>23</v>
      </c>
      <c r="K85" s="6">
        <v>30.9</v>
      </c>
      <c r="N85" s="19">
        <v>81</v>
      </c>
      <c r="O85" s="1">
        <v>43585</v>
      </c>
      <c r="P85" s="5">
        <f t="shared" si="56"/>
        <v>1.0810112113707844E-2</v>
      </c>
      <c r="Q85" s="5">
        <f t="shared" si="57"/>
        <v>1.0127097298416243E-2</v>
      </c>
      <c r="R85" s="5">
        <f t="shared" si="58"/>
        <v>1.5386220021369463E-2</v>
      </c>
      <c r="S85" s="5">
        <f t="shared" si="59"/>
        <v>1.0677662673354833E-2</v>
      </c>
      <c r="T85" s="5">
        <f t="shared" si="60"/>
        <v>1.4309555005123872E-2</v>
      </c>
      <c r="U85" s="5">
        <f t="shared" si="61"/>
        <v>1.2536586846222744E-2</v>
      </c>
      <c r="V85" s="5">
        <f t="shared" si="62"/>
        <v>2.9623699943550023E-3</v>
      </c>
      <c r="W85" s="5">
        <f t="shared" si="63"/>
        <v>-4.4469552661334831E-3</v>
      </c>
      <c r="X85" s="5">
        <f t="shared" si="64"/>
        <v>-2.1506205220963619E-2</v>
      </c>
      <c r="Y85" s="5">
        <f t="shared" si="65"/>
        <v>-2.3349821798302486E-2</v>
      </c>
      <c r="Z85" s="33">
        <v>81</v>
      </c>
      <c r="AE85" s="20" t="str">
        <f t="shared" si="66"/>
        <v/>
      </c>
      <c r="AF85" s="22" t="str">
        <f t="shared" si="67"/>
        <v/>
      </c>
      <c r="AG85" s="9" t="str">
        <f t="shared" ca="1" si="46"/>
        <v/>
      </c>
      <c r="AH85" s="9" t="str">
        <f t="shared" ca="1" si="47"/>
        <v/>
      </c>
      <c r="AI85" s="9" t="str">
        <f t="shared" ca="1" si="48"/>
        <v/>
      </c>
      <c r="AJ85" s="9" t="str">
        <f t="shared" ca="1" si="49"/>
        <v/>
      </c>
      <c r="AK85" s="9" t="str">
        <f t="shared" ca="1" si="50"/>
        <v/>
      </c>
      <c r="AL85" s="9" t="str">
        <f t="shared" ca="1" si="51"/>
        <v/>
      </c>
      <c r="AM85" s="9" t="str">
        <f t="shared" ca="1" si="52"/>
        <v/>
      </c>
      <c r="AN85" s="9" t="str">
        <f t="shared" ca="1" si="53"/>
        <v/>
      </c>
      <c r="AO85" s="9" t="str">
        <f t="shared" ca="1" si="54"/>
        <v/>
      </c>
      <c r="AP85" s="9" t="str">
        <f t="shared" ca="1" si="55"/>
        <v/>
      </c>
      <c r="AQ85" s="9"/>
      <c r="AR85" s="9"/>
      <c r="AS85" s="9"/>
      <c r="AT85" s="9"/>
      <c r="AU85" s="9"/>
    </row>
    <row r="86" spans="1:47" x14ac:dyDescent="0.3">
      <c r="A86" s="1">
        <v>43586</v>
      </c>
      <c r="B86" s="6">
        <v>283.35000600000001</v>
      </c>
      <c r="C86" s="6">
        <v>120.089996</v>
      </c>
      <c r="D86" s="6">
        <v>28.969999000000001</v>
      </c>
      <c r="E86" s="6">
        <v>127.239998</v>
      </c>
      <c r="F86" s="6">
        <v>100.389999</v>
      </c>
      <c r="G86" s="6">
        <v>44.5</v>
      </c>
      <c r="H86" s="6">
        <v>97.330001999999993</v>
      </c>
      <c r="I86" s="6">
        <v>166.740005</v>
      </c>
      <c r="J86" s="6">
        <v>23.08</v>
      </c>
      <c r="K86" s="6">
        <v>30.889999</v>
      </c>
      <c r="N86" s="18">
        <v>82</v>
      </c>
      <c r="O86" s="1">
        <v>43586</v>
      </c>
      <c r="P86" s="5">
        <f t="shared" si="56"/>
        <v>-2.0608462282932938E-2</v>
      </c>
      <c r="Q86" s="5">
        <f t="shared" si="57"/>
        <v>-8.2100723072829895E-3</v>
      </c>
      <c r="R86" s="5">
        <f t="shared" si="58"/>
        <v>-2.8247582691520137E-2</v>
      </c>
      <c r="S86" s="5">
        <f t="shared" si="59"/>
        <v>-6.3457849112666187E-3</v>
      </c>
      <c r="T86" s="5">
        <f t="shared" si="60"/>
        <v>-2.5865812143561822E-3</v>
      </c>
      <c r="U86" s="5">
        <f t="shared" si="61"/>
        <v>-1.0061593992375528E-2</v>
      </c>
      <c r="V86" s="5">
        <f t="shared" si="62"/>
        <v>-7.2682818727793624E-3</v>
      </c>
      <c r="W86" s="5">
        <f t="shared" si="63"/>
        <v>-9.19350981057066E-3</v>
      </c>
      <c r="X86" s="5">
        <f t="shared" si="64"/>
        <v>3.4722257107490571E-3</v>
      </c>
      <c r="Y86" s="5">
        <f t="shared" si="65"/>
        <v>-3.2370934614618419E-4</v>
      </c>
      <c r="Z86" s="33">
        <v>82</v>
      </c>
      <c r="AE86" s="20" t="str">
        <f t="shared" si="66"/>
        <v/>
      </c>
      <c r="AF86" s="22" t="str">
        <f t="shared" si="67"/>
        <v/>
      </c>
      <c r="AG86" s="9" t="str">
        <f t="shared" ca="1" si="46"/>
        <v/>
      </c>
      <c r="AH86" s="9" t="str">
        <f t="shared" ca="1" si="47"/>
        <v/>
      </c>
      <c r="AI86" s="9" t="str">
        <f t="shared" ca="1" si="48"/>
        <v/>
      </c>
      <c r="AJ86" s="9" t="str">
        <f t="shared" ca="1" si="49"/>
        <v/>
      </c>
      <c r="AK86" s="9" t="str">
        <f t="shared" ca="1" si="50"/>
        <v/>
      </c>
      <c r="AL86" s="9" t="str">
        <f t="shared" ca="1" si="51"/>
        <v/>
      </c>
      <c r="AM86" s="9" t="str">
        <f t="shared" ca="1" si="52"/>
        <v/>
      </c>
      <c r="AN86" s="9" t="str">
        <f t="shared" ca="1" si="53"/>
        <v/>
      </c>
      <c r="AO86" s="9" t="str">
        <f t="shared" ca="1" si="54"/>
        <v/>
      </c>
      <c r="AP86" s="9" t="str">
        <f t="shared" ca="1" si="55"/>
        <v/>
      </c>
      <c r="AQ86" s="9"/>
      <c r="AR86" s="9"/>
      <c r="AS86" s="9"/>
      <c r="AT86" s="9"/>
      <c r="AU86" s="9"/>
    </row>
    <row r="87" spans="1:47" x14ac:dyDescent="0.3">
      <c r="A87" s="1">
        <v>43587</v>
      </c>
      <c r="B87" s="6">
        <v>279.64001500000001</v>
      </c>
      <c r="C87" s="6">
        <v>120.699997</v>
      </c>
      <c r="D87" s="6">
        <v>28.995000999999998</v>
      </c>
      <c r="E87" s="6">
        <v>126.83000199999999</v>
      </c>
      <c r="F87" s="6">
        <v>99.980002999999996</v>
      </c>
      <c r="G87" s="6">
        <v>44.259998000000003</v>
      </c>
      <c r="H87" s="6">
        <v>97.879997000000003</v>
      </c>
      <c r="I87" s="6">
        <v>169.39999399999999</v>
      </c>
      <c r="J87" s="6">
        <v>22.870000999999998</v>
      </c>
      <c r="K87" s="6">
        <v>29.26</v>
      </c>
      <c r="N87" s="19">
        <v>83</v>
      </c>
      <c r="O87" s="1">
        <v>43587</v>
      </c>
      <c r="P87" s="5">
        <f t="shared" si="56"/>
        <v>-1.3179788506675285E-2</v>
      </c>
      <c r="Q87" s="5">
        <f t="shared" si="57"/>
        <v>5.0666748842336969E-3</v>
      </c>
      <c r="R87" s="5">
        <f t="shared" si="58"/>
        <v>8.6265855431703388E-4</v>
      </c>
      <c r="S87" s="5">
        <f t="shared" si="59"/>
        <v>-3.2274283141378673E-3</v>
      </c>
      <c r="T87" s="5">
        <f t="shared" si="60"/>
        <v>-4.0923947508586227E-3</v>
      </c>
      <c r="U87" s="5">
        <f t="shared" si="61"/>
        <v>-5.4078997368201482E-3</v>
      </c>
      <c r="V87" s="5">
        <f t="shared" si="62"/>
        <v>5.6349209376444134E-3</v>
      </c>
      <c r="W87" s="5">
        <f t="shared" si="63"/>
        <v>1.5827003829554251E-2</v>
      </c>
      <c r="X87" s="5">
        <f t="shared" si="64"/>
        <v>-9.1403898798055761E-3</v>
      </c>
      <c r="Y87" s="5">
        <f t="shared" si="65"/>
        <v>-5.4211078965575324E-2</v>
      </c>
      <c r="Z87" s="33">
        <v>83</v>
      </c>
      <c r="AE87" s="20" t="str">
        <f t="shared" si="66"/>
        <v/>
      </c>
      <c r="AF87" s="22" t="str">
        <f t="shared" si="67"/>
        <v/>
      </c>
      <c r="AG87" s="9" t="str">
        <f t="shared" ca="1" si="46"/>
        <v/>
      </c>
      <c r="AH87" s="9" t="str">
        <f t="shared" ca="1" si="47"/>
        <v/>
      </c>
      <c r="AI87" s="9" t="str">
        <f t="shared" ca="1" si="48"/>
        <v/>
      </c>
      <c r="AJ87" s="9" t="str">
        <f t="shared" ca="1" si="49"/>
        <v/>
      </c>
      <c r="AK87" s="9" t="str">
        <f t="shared" ca="1" si="50"/>
        <v/>
      </c>
      <c r="AL87" s="9" t="str">
        <f t="shared" ca="1" si="51"/>
        <v/>
      </c>
      <c r="AM87" s="9" t="str">
        <f t="shared" ca="1" si="52"/>
        <v/>
      </c>
      <c r="AN87" s="9" t="str">
        <f t="shared" ca="1" si="53"/>
        <v/>
      </c>
      <c r="AO87" s="9" t="str">
        <f t="shared" ca="1" si="54"/>
        <v/>
      </c>
      <c r="AP87" s="9" t="str">
        <f t="shared" ca="1" si="55"/>
        <v/>
      </c>
      <c r="AQ87" s="9"/>
      <c r="AR87" s="9"/>
      <c r="AS87" s="9"/>
      <c r="AT87" s="9"/>
      <c r="AU87" s="9"/>
    </row>
    <row r="88" spans="1:47" x14ac:dyDescent="0.3">
      <c r="A88" s="1">
        <v>43588</v>
      </c>
      <c r="B88" s="6">
        <v>285.57998700000002</v>
      </c>
      <c r="C88" s="6">
        <v>121.650002</v>
      </c>
      <c r="D88" s="6">
        <v>31.555</v>
      </c>
      <c r="E88" s="6">
        <v>127.66999800000001</v>
      </c>
      <c r="F88" s="6">
        <v>100.83000199999999</v>
      </c>
      <c r="G88" s="6">
        <v>44.470001000000003</v>
      </c>
      <c r="H88" s="6">
        <v>99.370002999999997</v>
      </c>
      <c r="I88" s="6">
        <v>171.46000699999999</v>
      </c>
      <c r="J88" s="6">
        <v>23.09</v>
      </c>
      <c r="K88" s="6">
        <v>29.34</v>
      </c>
      <c r="N88" s="18">
        <v>84</v>
      </c>
      <c r="O88" s="1">
        <v>43588</v>
      </c>
      <c r="P88" s="5">
        <f t="shared" si="56"/>
        <v>2.101903919657535E-2</v>
      </c>
      <c r="Q88" s="5">
        <f t="shared" si="57"/>
        <v>7.8399824216667368E-3</v>
      </c>
      <c r="R88" s="5">
        <f t="shared" si="58"/>
        <v>8.4608619219094627E-2</v>
      </c>
      <c r="S88" s="5">
        <f t="shared" si="59"/>
        <v>6.6011713183942028E-3</v>
      </c>
      <c r="T88" s="5">
        <f t="shared" si="60"/>
        <v>8.4657542490650575E-3</v>
      </c>
      <c r="U88" s="5">
        <f t="shared" si="61"/>
        <v>4.7335375743003776E-3</v>
      </c>
      <c r="V88" s="5">
        <f t="shared" si="62"/>
        <v>1.5108079508774583E-2</v>
      </c>
      <c r="W88" s="5">
        <f t="shared" si="63"/>
        <v>1.2087297277630513E-2</v>
      </c>
      <c r="X88" s="5">
        <f t="shared" si="64"/>
        <v>9.5735716063108274E-3</v>
      </c>
      <c r="Y88" s="5">
        <f t="shared" si="65"/>
        <v>2.7303771228573272E-3</v>
      </c>
      <c r="Z88" s="33">
        <v>84</v>
      </c>
      <c r="AE88" s="20" t="str">
        <f t="shared" si="66"/>
        <v/>
      </c>
      <c r="AF88" s="22" t="str">
        <f t="shared" si="67"/>
        <v/>
      </c>
      <c r="AG88" s="9" t="str">
        <f t="shared" ca="1" si="46"/>
        <v/>
      </c>
      <c r="AH88" s="9" t="str">
        <f t="shared" ca="1" si="47"/>
        <v/>
      </c>
      <c r="AI88" s="9" t="str">
        <f t="shared" ca="1" si="48"/>
        <v/>
      </c>
      <c r="AJ88" s="9" t="str">
        <f t="shared" ca="1" si="49"/>
        <v/>
      </c>
      <c r="AK88" s="9" t="str">
        <f t="shared" ca="1" si="50"/>
        <v/>
      </c>
      <c r="AL88" s="9" t="str">
        <f t="shared" ca="1" si="51"/>
        <v/>
      </c>
      <c r="AM88" s="9" t="str">
        <f t="shared" ca="1" si="52"/>
        <v/>
      </c>
      <c r="AN88" s="9" t="str">
        <f t="shared" ca="1" si="53"/>
        <v/>
      </c>
      <c r="AO88" s="9" t="str">
        <f t="shared" ca="1" si="54"/>
        <v/>
      </c>
      <c r="AP88" s="9" t="str">
        <f t="shared" ca="1" si="55"/>
        <v/>
      </c>
      <c r="AQ88" s="9"/>
      <c r="AR88" s="9"/>
      <c r="AS88" s="9"/>
      <c r="AT88" s="9"/>
      <c r="AU88" s="9"/>
    </row>
    <row r="89" spans="1:47" x14ac:dyDescent="0.3">
      <c r="A89" s="1">
        <v>43591</v>
      </c>
      <c r="B89" s="6">
        <v>283.66000400000001</v>
      </c>
      <c r="C89" s="6">
        <v>121.529999</v>
      </c>
      <c r="D89" s="6">
        <v>31.309999000000001</v>
      </c>
      <c r="E89" s="6">
        <v>127.269997</v>
      </c>
      <c r="F89" s="6">
        <v>100.889999</v>
      </c>
      <c r="G89" s="6">
        <v>44.369999</v>
      </c>
      <c r="H89" s="6">
        <v>97.919998000000007</v>
      </c>
      <c r="I89" s="6">
        <v>170.520004</v>
      </c>
      <c r="J89" s="6">
        <v>23.290001</v>
      </c>
      <c r="K89" s="6">
        <v>29.139999</v>
      </c>
      <c r="N89" s="19">
        <v>85</v>
      </c>
      <c r="O89" s="1">
        <v>43591</v>
      </c>
      <c r="P89" s="5">
        <f t="shared" si="56"/>
        <v>-6.7458025129027207E-3</v>
      </c>
      <c r="Q89" s="5">
        <f t="shared" si="57"/>
        <v>-9.869480158518826E-4</v>
      </c>
      <c r="R89" s="5">
        <f t="shared" si="58"/>
        <v>-7.7945516365666859E-3</v>
      </c>
      <c r="S89" s="5">
        <f t="shared" si="59"/>
        <v>-3.1380037348502127E-3</v>
      </c>
      <c r="T89" s="5">
        <f t="shared" si="60"/>
        <v>5.9485426801259629E-4</v>
      </c>
      <c r="U89" s="5">
        <f t="shared" si="61"/>
        <v>-2.2512841566077217E-3</v>
      </c>
      <c r="V89" s="5">
        <f t="shared" si="62"/>
        <v>-1.4699489094290511E-2</v>
      </c>
      <c r="W89" s="5">
        <f t="shared" si="63"/>
        <v>-5.4974287217893396E-3</v>
      </c>
      <c r="X89" s="5">
        <f t="shared" si="64"/>
        <v>8.6245034667274609E-3</v>
      </c>
      <c r="Y89" s="5">
        <f t="shared" si="65"/>
        <v>-6.8400062648674102E-3</v>
      </c>
      <c r="Z89" s="33">
        <v>85</v>
      </c>
      <c r="AE89" s="20" t="str">
        <f t="shared" si="66"/>
        <v/>
      </c>
      <c r="AF89" s="22" t="str">
        <f t="shared" si="67"/>
        <v/>
      </c>
      <c r="AG89" s="9" t="str">
        <f t="shared" ca="1" si="46"/>
        <v/>
      </c>
      <c r="AH89" s="9" t="str">
        <f t="shared" ca="1" si="47"/>
        <v/>
      </c>
      <c r="AI89" s="9" t="str">
        <f t="shared" ca="1" si="48"/>
        <v/>
      </c>
      <c r="AJ89" s="9" t="str">
        <f t="shared" ca="1" si="49"/>
        <v/>
      </c>
      <c r="AK89" s="9" t="str">
        <f t="shared" ca="1" si="50"/>
        <v/>
      </c>
      <c r="AL89" s="9" t="str">
        <f t="shared" ca="1" si="51"/>
        <v/>
      </c>
      <c r="AM89" s="9" t="str">
        <f t="shared" ca="1" si="52"/>
        <v/>
      </c>
      <c r="AN89" s="9" t="str">
        <f t="shared" ca="1" si="53"/>
        <v/>
      </c>
      <c r="AO89" s="9" t="str">
        <f t="shared" ca="1" si="54"/>
        <v/>
      </c>
      <c r="AP89" s="9" t="str">
        <f t="shared" ca="1" si="55"/>
        <v/>
      </c>
      <c r="AQ89" s="9"/>
      <c r="AR89" s="9"/>
      <c r="AS89" s="9"/>
      <c r="AT89" s="9"/>
      <c r="AU89" s="9"/>
    </row>
    <row r="90" spans="1:47" x14ac:dyDescent="0.3">
      <c r="A90" s="1">
        <v>43592</v>
      </c>
      <c r="B90" s="6">
        <v>277.07000699999998</v>
      </c>
      <c r="C90" s="6">
        <v>119.57</v>
      </c>
      <c r="D90" s="6">
        <v>30.799999</v>
      </c>
      <c r="E90" s="6">
        <v>125.980003</v>
      </c>
      <c r="F90" s="6">
        <v>99.07</v>
      </c>
      <c r="G90" s="6">
        <v>43.549999</v>
      </c>
      <c r="H90" s="6">
        <v>97.239998</v>
      </c>
      <c r="I90" s="6">
        <v>168.570007</v>
      </c>
      <c r="J90" s="6">
        <v>22.780000999999999</v>
      </c>
      <c r="K90" s="6">
        <v>28.690000999999999</v>
      </c>
      <c r="N90" s="18">
        <v>86</v>
      </c>
      <c r="O90" s="1">
        <v>43592</v>
      </c>
      <c r="P90" s="5">
        <f t="shared" si="56"/>
        <v>-2.3506144860093722E-2</v>
      </c>
      <c r="Q90" s="5">
        <f t="shared" si="57"/>
        <v>-1.6259163722799303E-2</v>
      </c>
      <c r="R90" s="5">
        <f t="shared" si="58"/>
        <v>-1.6422845887640303E-2</v>
      </c>
      <c r="S90" s="5">
        <f t="shared" si="59"/>
        <v>-1.0187602424935447E-2</v>
      </c>
      <c r="T90" s="5">
        <f t="shared" si="60"/>
        <v>-1.8204133523563971E-2</v>
      </c>
      <c r="U90" s="5">
        <f t="shared" si="61"/>
        <v>-1.8653862516668149E-2</v>
      </c>
      <c r="V90" s="5">
        <f t="shared" si="62"/>
        <v>-6.9686694589244048E-3</v>
      </c>
      <c r="W90" s="5">
        <f t="shared" si="63"/>
        <v>-1.1501480036676951E-2</v>
      </c>
      <c r="X90" s="5">
        <f t="shared" si="64"/>
        <v>-2.2141124915940173E-2</v>
      </c>
      <c r="Y90" s="5">
        <f t="shared" si="65"/>
        <v>-1.5563101601345233E-2</v>
      </c>
      <c r="Z90" s="33">
        <v>86</v>
      </c>
      <c r="AE90" s="20" t="str">
        <f t="shared" si="66"/>
        <v/>
      </c>
      <c r="AF90" s="22" t="str">
        <f t="shared" si="67"/>
        <v/>
      </c>
      <c r="AG90" s="9" t="str">
        <f t="shared" ca="1" si="46"/>
        <v/>
      </c>
      <c r="AH90" s="9" t="str">
        <f t="shared" ca="1" si="47"/>
        <v/>
      </c>
      <c r="AI90" s="9" t="str">
        <f t="shared" ca="1" si="48"/>
        <v/>
      </c>
      <c r="AJ90" s="9" t="str">
        <f t="shared" ca="1" si="49"/>
        <v/>
      </c>
      <c r="AK90" s="9" t="str">
        <f t="shared" ca="1" si="50"/>
        <v/>
      </c>
      <c r="AL90" s="9" t="str">
        <f t="shared" ca="1" si="51"/>
        <v/>
      </c>
      <c r="AM90" s="9" t="str">
        <f t="shared" ca="1" si="52"/>
        <v/>
      </c>
      <c r="AN90" s="9" t="str">
        <f t="shared" ca="1" si="53"/>
        <v/>
      </c>
      <c r="AO90" s="9" t="str">
        <f t="shared" ca="1" si="54"/>
        <v/>
      </c>
      <c r="AP90" s="9" t="str">
        <f t="shared" ca="1" si="55"/>
        <v/>
      </c>
      <c r="AQ90" s="9"/>
      <c r="AR90" s="9"/>
      <c r="AS90" s="9"/>
      <c r="AT90" s="9"/>
      <c r="AU90" s="9"/>
    </row>
    <row r="91" spans="1:47" x14ac:dyDescent="0.3">
      <c r="A91" s="1">
        <v>43593</v>
      </c>
      <c r="B91" s="6">
        <v>276.76998900000001</v>
      </c>
      <c r="C91" s="6">
        <v>119.360001</v>
      </c>
      <c r="D91" s="6">
        <v>30.84</v>
      </c>
      <c r="E91" s="6">
        <v>126.019997</v>
      </c>
      <c r="F91" s="6">
        <v>98.75</v>
      </c>
      <c r="G91" s="6">
        <v>43.599997999999999</v>
      </c>
      <c r="H91" s="6">
        <v>96.839995999999999</v>
      </c>
      <c r="I91" s="6">
        <v>167.88000500000001</v>
      </c>
      <c r="J91" s="6">
        <v>23.299999</v>
      </c>
      <c r="K91" s="6">
        <v>28.92</v>
      </c>
      <c r="N91" s="19">
        <v>87</v>
      </c>
      <c r="O91" s="1">
        <v>43593</v>
      </c>
      <c r="P91" s="5">
        <f t="shared" si="56"/>
        <v>-1.0834104850245552E-3</v>
      </c>
      <c r="Q91" s="5">
        <f t="shared" si="57"/>
        <v>-1.7578290980218376E-3</v>
      </c>
      <c r="R91" s="5">
        <f t="shared" si="58"/>
        <v>1.2978911831330122E-3</v>
      </c>
      <c r="S91" s="5">
        <f t="shared" si="59"/>
        <v>3.1741270107770044E-4</v>
      </c>
      <c r="T91" s="5">
        <f t="shared" si="60"/>
        <v>-3.235267203707517E-3</v>
      </c>
      <c r="U91" s="5">
        <f t="shared" si="61"/>
        <v>1.147424147028937E-3</v>
      </c>
      <c r="V91" s="5">
        <f t="shared" si="62"/>
        <v>-4.1220381156436671E-3</v>
      </c>
      <c r="W91" s="5">
        <f t="shared" si="63"/>
        <v>-4.1016670694231268E-3</v>
      </c>
      <c r="X91" s="5">
        <f t="shared" si="64"/>
        <v>2.2570315736007689E-2</v>
      </c>
      <c r="Y91" s="5">
        <f t="shared" si="65"/>
        <v>7.9847324419410007E-3</v>
      </c>
      <c r="Z91" s="33">
        <v>87</v>
      </c>
      <c r="AE91" s="20" t="str">
        <f t="shared" si="66"/>
        <v/>
      </c>
      <c r="AF91" s="22" t="str">
        <f t="shared" si="67"/>
        <v/>
      </c>
      <c r="AG91" s="9" t="str">
        <f t="shared" ca="1" si="46"/>
        <v/>
      </c>
      <c r="AH91" s="9" t="str">
        <f t="shared" ca="1" si="47"/>
        <v/>
      </c>
      <c r="AI91" s="9" t="str">
        <f t="shared" ca="1" si="48"/>
        <v/>
      </c>
      <c r="AJ91" s="9" t="str">
        <f t="shared" ca="1" si="49"/>
        <v/>
      </c>
      <c r="AK91" s="9" t="str">
        <f t="shared" ca="1" si="50"/>
        <v/>
      </c>
      <c r="AL91" s="9" t="str">
        <f t="shared" ca="1" si="51"/>
        <v/>
      </c>
      <c r="AM91" s="9" t="str">
        <f t="shared" ca="1" si="52"/>
        <v/>
      </c>
      <c r="AN91" s="9" t="str">
        <f t="shared" ca="1" si="53"/>
        <v/>
      </c>
      <c r="AO91" s="9" t="str">
        <f t="shared" ca="1" si="54"/>
        <v/>
      </c>
      <c r="AP91" s="9" t="str">
        <f t="shared" ca="1" si="55"/>
        <v/>
      </c>
      <c r="AQ91" s="9"/>
      <c r="AR91" s="9"/>
      <c r="AS91" s="9"/>
      <c r="AT91" s="9"/>
      <c r="AU91" s="9"/>
    </row>
    <row r="92" spans="1:47" x14ac:dyDescent="0.3">
      <c r="A92" s="1">
        <v>43594</v>
      </c>
      <c r="B92" s="6">
        <v>275.790009</v>
      </c>
      <c r="C92" s="6">
        <v>118.900002</v>
      </c>
      <c r="D92" s="6">
        <v>30.959999</v>
      </c>
      <c r="E92" s="6">
        <v>126.050003</v>
      </c>
      <c r="F92" s="6">
        <v>99.849997999999999</v>
      </c>
      <c r="G92" s="6">
        <v>43.709999000000003</v>
      </c>
      <c r="H92" s="6">
        <v>96.239998</v>
      </c>
      <c r="I92" s="6">
        <v>167.699997</v>
      </c>
      <c r="J92" s="6">
        <v>22.940000999999999</v>
      </c>
      <c r="K92" s="6">
        <v>28.450001</v>
      </c>
      <c r="N92" s="18">
        <v>88</v>
      </c>
      <c r="O92" s="1">
        <v>43594</v>
      </c>
      <c r="P92" s="5">
        <f t="shared" si="56"/>
        <v>-3.5470574454342491E-3</v>
      </c>
      <c r="Q92" s="5">
        <f t="shared" si="57"/>
        <v>-3.8613243158728272E-3</v>
      </c>
      <c r="R92" s="5">
        <f t="shared" si="58"/>
        <v>3.8834677266555598E-3</v>
      </c>
      <c r="S92" s="5">
        <f t="shared" si="59"/>
        <v>2.3807672584376163E-4</v>
      </c>
      <c r="T92" s="5">
        <f t="shared" si="60"/>
        <v>1.1077636050547752E-2</v>
      </c>
      <c r="U92" s="5">
        <f t="shared" si="61"/>
        <v>2.519781513735087E-3</v>
      </c>
      <c r="V92" s="5">
        <f t="shared" si="62"/>
        <v>-6.2150398795677783E-3</v>
      </c>
      <c r="W92" s="5">
        <f t="shared" si="63"/>
        <v>-1.0728173084928888E-3</v>
      </c>
      <c r="X92" s="5">
        <f t="shared" si="64"/>
        <v>-1.5571162359996355E-2</v>
      </c>
      <c r="Y92" s="5">
        <f t="shared" si="65"/>
        <v>-1.6385201568839838E-2</v>
      </c>
      <c r="Z92" s="33">
        <v>88</v>
      </c>
      <c r="AE92" s="20" t="str">
        <f t="shared" si="66"/>
        <v/>
      </c>
      <c r="AF92" s="22" t="str">
        <f t="shared" si="67"/>
        <v/>
      </c>
      <c r="AG92" s="9" t="str">
        <f t="shared" ca="1" si="46"/>
        <v/>
      </c>
      <c r="AH92" s="9" t="str">
        <f t="shared" ca="1" si="47"/>
        <v/>
      </c>
      <c r="AI92" s="9" t="str">
        <f t="shared" ca="1" si="48"/>
        <v/>
      </c>
      <c r="AJ92" s="9" t="str">
        <f t="shared" ca="1" si="49"/>
        <v/>
      </c>
      <c r="AK92" s="9" t="str">
        <f t="shared" ca="1" si="50"/>
        <v/>
      </c>
      <c r="AL92" s="9" t="str">
        <f t="shared" ca="1" si="51"/>
        <v/>
      </c>
      <c r="AM92" s="9" t="str">
        <f t="shared" ca="1" si="52"/>
        <v/>
      </c>
      <c r="AN92" s="9" t="str">
        <f t="shared" ca="1" si="53"/>
        <v/>
      </c>
      <c r="AO92" s="9" t="str">
        <f t="shared" ca="1" si="54"/>
        <v/>
      </c>
      <c r="AP92" s="9" t="str">
        <f t="shared" ca="1" si="55"/>
        <v/>
      </c>
      <c r="AQ92" s="9"/>
      <c r="AR92" s="9"/>
      <c r="AS92" s="9"/>
      <c r="AT92" s="9"/>
      <c r="AU92" s="9"/>
    </row>
    <row r="93" spans="1:47" x14ac:dyDescent="0.3">
      <c r="A93" s="1">
        <v>43595</v>
      </c>
      <c r="B93" s="6">
        <v>278.48001099999999</v>
      </c>
      <c r="C93" s="6">
        <v>119.82</v>
      </c>
      <c r="D93" s="6">
        <v>31.5</v>
      </c>
      <c r="E93" s="6">
        <v>128.009995</v>
      </c>
      <c r="F93" s="6">
        <v>100.980003</v>
      </c>
      <c r="G93" s="6">
        <v>44.400002000000001</v>
      </c>
      <c r="H93" s="6">
        <v>96.809997999999993</v>
      </c>
      <c r="I93" s="6">
        <v>168.279999</v>
      </c>
      <c r="J93" s="6">
        <v>23.08</v>
      </c>
      <c r="K93" s="6">
        <v>28.459999</v>
      </c>
      <c r="N93" s="19">
        <v>89</v>
      </c>
      <c r="O93" s="1">
        <v>43595</v>
      </c>
      <c r="P93" s="5">
        <f t="shared" si="56"/>
        <v>9.7065438260282785E-3</v>
      </c>
      <c r="Q93" s="5">
        <f t="shared" si="57"/>
        <v>7.7077961381849412E-3</v>
      </c>
      <c r="R93" s="5">
        <f t="shared" si="58"/>
        <v>1.729152940980315E-2</v>
      </c>
      <c r="S93" s="5">
        <f t="shared" si="59"/>
        <v>1.5429669374561099E-2</v>
      </c>
      <c r="T93" s="5">
        <f t="shared" si="60"/>
        <v>1.1253467307843429E-2</v>
      </c>
      <c r="U93" s="5">
        <f t="shared" si="61"/>
        <v>1.5662628486060096E-2</v>
      </c>
      <c r="V93" s="5">
        <f t="shared" si="62"/>
        <v>5.9052231879136883E-3</v>
      </c>
      <c r="W93" s="5">
        <f t="shared" si="63"/>
        <v>3.4526018397678976E-3</v>
      </c>
      <c r="X93" s="5">
        <f t="shared" si="64"/>
        <v>6.0842863466961097E-3</v>
      </c>
      <c r="Y93" s="5">
        <f t="shared" si="65"/>
        <v>3.513618029470512E-4</v>
      </c>
      <c r="Z93" s="33">
        <v>89</v>
      </c>
      <c r="AE93" s="20" t="str">
        <f t="shared" si="66"/>
        <v/>
      </c>
      <c r="AF93" s="22" t="str">
        <f t="shared" si="67"/>
        <v/>
      </c>
      <c r="AG93" s="9" t="str">
        <f t="shared" ca="1" si="46"/>
        <v/>
      </c>
      <c r="AH93" s="9" t="str">
        <f t="shared" ca="1" si="47"/>
        <v/>
      </c>
      <c r="AI93" s="9" t="str">
        <f t="shared" ca="1" si="48"/>
        <v/>
      </c>
      <c r="AJ93" s="9" t="str">
        <f t="shared" ca="1" si="49"/>
        <v/>
      </c>
      <c r="AK93" s="9" t="str">
        <f t="shared" ca="1" si="50"/>
        <v/>
      </c>
      <c r="AL93" s="9" t="str">
        <f t="shared" ca="1" si="51"/>
        <v/>
      </c>
      <c r="AM93" s="9" t="str">
        <f t="shared" ca="1" si="52"/>
        <v/>
      </c>
      <c r="AN93" s="9" t="str">
        <f t="shared" ca="1" si="53"/>
        <v/>
      </c>
      <c r="AO93" s="9" t="str">
        <f t="shared" ca="1" si="54"/>
        <v/>
      </c>
      <c r="AP93" s="9" t="str">
        <f t="shared" ca="1" si="55"/>
        <v/>
      </c>
      <c r="AQ93" s="9"/>
      <c r="AR93" s="9"/>
      <c r="AS93" s="9"/>
      <c r="AT93" s="9"/>
      <c r="AU93" s="9"/>
    </row>
    <row r="94" spans="1:47" x14ac:dyDescent="0.3">
      <c r="A94" s="1">
        <v>43598</v>
      </c>
      <c r="B94" s="6">
        <v>267.70001200000002</v>
      </c>
      <c r="C94" s="6">
        <v>115.900002</v>
      </c>
      <c r="D94" s="6">
        <v>31.17</v>
      </c>
      <c r="E94" s="6">
        <v>127.160004</v>
      </c>
      <c r="F94" s="6">
        <v>100.80999799999999</v>
      </c>
      <c r="G94" s="6">
        <v>44.380001</v>
      </c>
      <c r="H94" s="6">
        <v>94.480002999999996</v>
      </c>
      <c r="I94" s="6">
        <v>160.39999399999999</v>
      </c>
      <c r="J94" s="6">
        <v>22.35</v>
      </c>
      <c r="K94" s="6">
        <v>27.34</v>
      </c>
      <c r="N94" s="18">
        <v>90</v>
      </c>
      <c r="O94" s="1">
        <v>43598</v>
      </c>
      <c r="P94" s="5">
        <f t="shared" si="56"/>
        <v>-3.9479287650722263E-2</v>
      </c>
      <c r="Q94" s="5">
        <f t="shared" si="57"/>
        <v>-3.326284905381751E-2</v>
      </c>
      <c r="R94" s="5">
        <f t="shared" si="58"/>
        <v>-1.0531452052341602E-2</v>
      </c>
      <c r="S94" s="5">
        <f t="shared" si="59"/>
        <v>-6.6621793095347284E-3</v>
      </c>
      <c r="T94" s="5">
        <f t="shared" si="60"/>
        <v>-1.6849699130741217E-3</v>
      </c>
      <c r="U94" s="5">
        <f t="shared" si="61"/>
        <v>-4.5057444610313411E-4</v>
      </c>
      <c r="V94" s="5">
        <f t="shared" si="62"/>
        <v>-2.4362070431098785E-2</v>
      </c>
      <c r="W94" s="5">
        <f t="shared" si="63"/>
        <v>-4.7958594753913765E-2</v>
      </c>
      <c r="X94" s="5">
        <f t="shared" si="64"/>
        <v>-3.2140120580320813E-2</v>
      </c>
      <c r="Y94" s="5">
        <f t="shared" si="65"/>
        <v>-4.0148726228867719E-2</v>
      </c>
      <c r="Z94" s="33">
        <v>90</v>
      </c>
      <c r="AE94" s="20" t="str">
        <f t="shared" si="66"/>
        <v/>
      </c>
      <c r="AF94" s="22" t="str">
        <f t="shared" si="67"/>
        <v/>
      </c>
      <c r="AG94" s="9" t="str">
        <f t="shared" ca="1" si="46"/>
        <v/>
      </c>
      <c r="AH94" s="9" t="str">
        <f t="shared" ca="1" si="47"/>
        <v/>
      </c>
      <c r="AI94" s="9" t="str">
        <f t="shared" ca="1" si="48"/>
        <v/>
      </c>
      <c r="AJ94" s="9" t="str">
        <f t="shared" ca="1" si="49"/>
        <v/>
      </c>
      <c r="AK94" s="9" t="str">
        <f t="shared" ca="1" si="50"/>
        <v/>
      </c>
      <c r="AL94" s="9" t="str">
        <f t="shared" ca="1" si="51"/>
        <v/>
      </c>
      <c r="AM94" s="9" t="str">
        <f t="shared" ca="1" si="52"/>
        <v/>
      </c>
      <c r="AN94" s="9" t="str">
        <f t="shared" ca="1" si="53"/>
        <v/>
      </c>
      <c r="AO94" s="9" t="str">
        <f t="shared" ca="1" si="54"/>
        <v/>
      </c>
      <c r="AP94" s="9" t="str">
        <f t="shared" ca="1" si="55"/>
        <v/>
      </c>
      <c r="AQ94" s="9"/>
      <c r="AR94" s="9"/>
      <c r="AS94" s="9"/>
      <c r="AT94" s="9"/>
      <c r="AU94" s="9"/>
    </row>
    <row r="95" spans="1:47" x14ac:dyDescent="0.3">
      <c r="A95" s="1">
        <v>43599</v>
      </c>
      <c r="B95" s="6">
        <v>271.85998499999999</v>
      </c>
      <c r="C95" s="6">
        <v>117.739998</v>
      </c>
      <c r="D95" s="6">
        <v>31.174999</v>
      </c>
      <c r="E95" s="6">
        <v>127.410004</v>
      </c>
      <c r="F95" s="6">
        <v>101.199997</v>
      </c>
      <c r="G95" s="6">
        <v>44.360000999999997</v>
      </c>
      <c r="H95" s="6">
        <v>96.089995999999999</v>
      </c>
      <c r="I95" s="6">
        <v>162.240005</v>
      </c>
      <c r="J95" s="6">
        <v>22.389999</v>
      </c>
      <c r="K95" s="6">
        <v>27.74</v>
      </c>
      <c r="N95" s="19">
        <v>91</v>
      </c>
      <c r="O95" s="1">
        <v>43599</v>
      </c>
      <c r="P95" s="5">
        <f t="shared" si="56"/>
        <v>1.5420177379038402E-2</v>
      </c>
      <c r="Q95" s="5">
        <f t="shared" si="57"/>
        <v>1.5751019011573195E-2</v>
      </c>
      <c r="R95" s="5">
        <f t="shared" si="58"/>
        <v>1.603657098690284E-4</v>
      </c>
      <c r="S95" s="5">
        <f t="shared" si="59"/>
        <v>1.9640968889646764E-3</v>
      </c>
      <c r="T95" s="5">
        <f t="shared" si="60"/>
        <v>3.8611899825476792E-3</v>
      </c>
      <c r="U95" s="5">
        <f t="shared" si="61"/>
        <v>-4.5075501212264046E-4</v>
      </c>
      <c r="V95" s="5">
        <f t="shared" si="62"/>
        <v>1.6897007019676696E-2</v>
      </c>
      <c r="W95" s="5">
        <f t="shared" si="63"/>
        <v>1.1406093195428802E-2</v>
      </c>
      <c r="X95" s="5">
        <f t="shared" si="64"/>
        <v>1.7880648882886328E-3</v>
      </c>
      <c r="Y95" s="5">
        <f t="shared" si="65"/>
        <v>1.4524583590881962E-2</v>
      </c>
      <c r="Z95" s="33">
        <v>91</v>
      </c>
      <c r="AE95" s="20" t="str">
        <f t="shared" si="66"/>
        <v/>
      </c>
      <c r="AF95" s="22" t="str">
        <f t="shared" si="67"/>
        <v/>
      </c>
      <c r="AG95" s="9" t="str">
        <f t="shared" ca="1" si="46"/>
        <v/>
      </c>
      <c r="AH95" s="9" t="str">
        <f t="shared" ca="1" si="47"/>
        <v/>
      </c>
      <c r="AI95" s="9" t="str">
        <f t="shared" ca="1" si="48"/>
        <v/>
      </c>
      <c r="AJ95" s="9" t="str">
        <f t="shared" ca="1" si="49"/>
        <v/>
      </c>
      <c r="AK95" s="9" t="str">
        <f t="shared" ca="1" si="50"/>
        <v/>
      </c>
      <c r="AL95" s="9" t="str">
        <f t="shared" ca="1" si="51"/>
        <v/>
      </c>
      <c r="AM95" s="9" t="str">
        <f t="shared" ca="1" si="52"/>
        <v/>
      </c>
      <c r="AN95" s="9" t="str">
        <f t="shared" ca="1" si="53"/>
        <v/>
      </c>
      <c r="AO95" s="9" t="str">
        <f t="shared" ca="1" si="54"/>
        <v/>
      </c>
      <c r="AP95" s="9" t="str">
        <f t="shared" ca="1" si="55"/>
        <v/>
      </c>
      <c r="AQ95" s="9"/>
      <c r="AR95" s="9"/>
      <c r="AS95" s="9"/>
      <c r="AT95" s="9"/>
      <c r="AU95" s="9"/>
    </row>
    <row r="96" spans="1:47" x14ac:dyDescent="0.3">
      <c r="A96" s="1">
        <v>43600</v>
      </c>
      <c r="B96" s="6">
        <v>276.82000699999998</v>
      </c>
      <c r="C96" s="6">
        <v>120.230003</v>
      </c>
      <c r="D96" s="6">
        <v>31.535</v>
      </c>
      <c r="E96" s="6">
        <v>129.35000600000001</v>
      </c>
      <c r="F96" s="6">
        <v>101.55999799999999</v>
      </c>
      <c r="G96" s="6">
        <v>44.619999</v>
      </c>
      <c r="H96" s="6">
        <v>96.220000999999996</v>
      </c>
      <c r="I96" s="6">
        <v>163.449997</v>
      </c>
      <c r="J96" s="6">
        <v>22.58</v>
      </c>
      <c r="K96" s="6">
        <v>27.75</v>
      </c>
      <c r="N96" s="18">
        <v>92</v>
      </c>
      <c r="O96" s="1">
        <v>43600</v>
      </c>
      <c r="P96" s="5">
        <f t="shared" si="56"/>
        <v>1.8080328024103254E-2</v>
      </c>
      <c r="Q96" s="5">
        <f t="shared" si="57"/>
        <v>2.0927813325457827E-2</v>
      </c>
      <c r="R96" s="5">
        <f t="shared" si="58"/>
        <v>1.148158062649977E-2</v>
      </c>
      <c r="S96" s="5">
        <f t="shared" si="59"/>
        <v>1.5111690629813096E-2</v>
      </c>
      <c r="T96" s="5">
        <f t="shared" si="60"/>
        <v>3.5510099345890398E-3</v>
      </c>
      <c r="U96" s="5">
        <f t="shared" si="61"/>
        <v>5.8439815679142875E-3</v>
      </c>
      <c r="V96" s="5">
        <f t="shared" si="62"/>
        <v>1.3520360026223629E-3</v>
      </c>
      <c r="W96" s="5">
        <f t="shared" si="63"/>
        <v>7.4303635946243547E-3</v>
      </c>
      <c r="X96" s="5">
        <f t="shared" si="64"/>
        <v>8.4501727736493379E-3</v>
      </c>
      <c r="Y96" s="5">
        <f t="shared" si="65"/>
        <v>3.6042530575806968E-4</v>
      </c>
      <c r="Z96" s="33">
        <v>92</v>
      </c>
      <c r="AE96" s="20" t="str">
        <f t="shared" si="66"/>
        <v/>
      </c>
      <c r="AF96" s="22" t="str">
        <f t="shared" si="67"/>
        <v/>
      </c>
      <c r="AG96" s="9" t="str">
        <f t="shared" ca="1" si="46"/>
        <v/>
      </c>
      <c r="AH96" s="9" t="str">
        <f t="shared" ca="1" si="47"/>
        <v/>
      </c>
      <c r="AI96" s="9" t="str">
        <f t="shared" ca="1" si="48"/>
        <v/>
      </c>
      <c r="AJ96" s="9" t="str">
        <f t="shared" ca="1" si="49"/>
        <v/>
      </c>
      <c r="AK96" s="9" t="str">
        <f t="shared" ca="1" si="50"/>
        <v/>
      </c>
      <c r="AL96" s="9" t="str">
        <f t="shared" ca="1" si="51"/>
        <v/>
      </c>
      <c r="AM96" s="9" t="str">
        <f t="shared" ca="1" si="52"/>
        <v/>
      </c>
      <c r="AN96" s="9" t="str">
        <f t="shared" ca="1" si="53"/>
        <v/>
      </c>
      <c r="AO96" s="9" t="str">
        <f t="shared" ca="1" si="54"/>
        <v/>
      </c>
      <c r="AP96" s="9" t="str">
        <f t="shared" ca="1" si="55"/>
        <v/>
      </c>
      <c r="AQ96" s="9"/>
      <c r="AR96" s="9"/>
      <c r="AS96" s="9"/>
      <c r="AT96" s="9"/>
      <c r="AU96" s="9"/>
    </row>
    <row r="97" spans="1:47" x14ac:dyDescent="0.3">
      <c r="A97" s="1">
        <v>43601</v>
      </c>
      <c r="B97" s="6">
        <v>283.54998799999998</v>
      </c>
      <c r="C97" s="6">
        <v>123.16999800000001</v>
      </c>
      <c r="D97" s="6">
        <v>31.965</v>
      </c>
      <c r="E97" s="6">
        <v>130.270004</v>
      </c>
      <c r="F97" s="6">
        <v>102.010002</v>
      </c>
      <c r="G97" s="6">
        <v>44.849997999999999</v>
      </c>
      <c r="H97" s="6">
        <v>96.43</v>
      </c>
      <c r="I97" s="6">
        <v>165.41999799999999</v>
      </c>
      <c r="J97" s="6">
        <v>22.469999000000001</v>
      </c>
      <c r="K97" s="6">
        <v>27.879999000000002</v>
      </c>
      <c r="N97" s="19">
        <v>93</v>
      </c>
      <c r="O97" s="1">
        <v>43601</v>
      </c>
      <c r="P97" s="5">
        <f t="shared" si="56"/>
        <v>2.402093138371195E-2</v>
      </c>
      <c r="Q97" s="5">
        <f t="shared" si="57"/>
        <v>2.4158898776680302E-2</v>
      </c>
      <c r="R97" s="5">
        <f t="shared" si="58"/>
        <v>1.3543514103075704E-2</v>
      </c>
      <c r="S97" s="5">
        <f t="shared" si="59"/>
        <v>7.0872953971179735E-3</v>
      </c>
      <c r="T97" s="5">
        <f t="shared" si="60"/>
        <v>4.4211301566633452E-3</v>
      </c>
      <c r="U97" s="5">
        <f t="shared" si="61"/>
        <v>5.1413773188044272E-3</v>
      </c>
      <c r="V97" s="5">
        <f t="shared" si="62"/>
        <v>2.1801098581357356E-3</v>
      </c>
      <c r="W97" s="5">
        <f t="shared" si="63"/>
        <v>1.1980567357341114E-2</v>
      </c>
      <c r="X97" s="5">
        <f t="shared" si="64"/>
        <v>-4.8835170280618579E-3</v>
      </c>
      <c r="Y97" s="5">
        <f t="shared" si="65"/>
        <v>4.6737098318732906E-3</v>
      </c>
      <c r="Z97" s="33">
        <v>93</v>
      </c>
      <c r="AE97" s="20" t="str">
        <f t="shared" si="66"/>
        <v/>
      </c>
      <c r="AF97" s="22" t="str">
        <f t="shared" si="67"/>
        <v/>
      </c>
      <c r="AG97" s="9" t="str">
        <f t="shared" ca="1" si="46"/>
        <v/>
      </c>
      <c r="AH97" s="9" t="str">
        <f t="shared" ca="1" si="47"/>
        <v/>
      </c>
      <c r="AI97" s="9" t="str">
        <f t="shared" ca="1" si="48"/>
        <v/>
      </c>
      <c r="AJ97" s="9" t="str">
        <f t="shared" ca="1" si="49"/>
        <v/>
      </c>
      <c r="AK97" s="9" t="str">
        <f t="shared" ca="1" si="50"/>
        <v/>
      </c>
      <c r="AL97" s="9" t="str">
        <f t="shared" ca="1" si="51"/>
        <v/>
      </c>
      <c r="AM97" s="9" t="str">
        <f t="shared" ca="1" si="52"/>
        <v/>
      </c>
      <c r="AN97" s="9" t="str">
        <f t="shared" ca="1" si="53"/>
        <v/>
      </c>
      <c r="AO97" s="9" t="str">
        <f t="shared" ca="1" si="54"/>
        <v/>
      </c>
      <c r="AP97" s="9" t="str">
        <f t="shared" ca="1" si="55"/>
        <v/>
      </c>
      <c r="AQ97" s="9"/>
      <c r="AR97" s="9"/>
      <c r="AS97" s="9"/>
      <c r="AT97" s="9"/>
      <c r="AU97" s="9"/>
    </row>
    <row r="98" spans="1:47" x14ac:dyDescent="0.3">
      <c r="A98" s="1">
        <v>43602</v>
      </c>
      <c r="B98" s="6">
        <v>279.85000600000001</v>
      </c>
      <c r="C98" s="6">
        <v>121.389999</v>
      </c>
      <c r="D98" s="6">
        <v>31.815000999999999</v>
      </c>
      <c r="E98" s="6">
        <v>130.509995</v>
      </c>
      <c r="F98" s="6">
        <v>102.94000200000001</v>
      </c>
      <c r="G98" s="6">
        <v>44.869999</v>
      </c>
      <c r="H98" s="6">
        <v>94.449996999999996</v>
      </c>
      <c r="I98" s="6">
        <v>163.13999899999999</v>
      </c>
      <c r="J98" s="6">
        <v>22.530000999999999</v>
      </c>
      <c r="K98" s="6">
        <v>27.870000999999998</v>
      </c>
      <c r="N98" s="18">
        <v>94</v>
      </c>
      <c r="O98" s="1">
        <v>43602</v>
      </c>
      <c r="P98" s="5">
        <f t="shared" si="56"/>
        <v>-1.313466536203212E-2</v>
      </c>
      <c r="Q98" s="5">
        <f t="shared" si="57"/>
        <v>-1.4557004043871153E-2</v>
      </c>
      <c r="R98" s="5">
        <f t="shared" si="58"/>
        <v>-4.7036461022206032E-3</v>
      </c>
      <c r="S98" s="5">
        <f t="shared" si="59"/>
        <v>1.8405634532648592E-3</v>
      </c>
      <c r="T98" s="5">
        <f t="shared" si="60"/>
        <v>9.0754463530535075E-3</v>
      </c>
      <c r="U98" s="5">
        <f t="shared" si="61"/>
        <v>4.4585378956987537E-4</v>
      </c>
      <c r="V98" s="5">
        <f t="shared" si="62"/>
        <v>-2.0746794337612586E-2</v>
      </c>
      <c r="W98" s="5">
        <f t="shared" si="63"/>
        <v>-1.387896043059412E-2</v>
      </c>
      <c r="X98" s="5">
        <f t="shared" si="64"/>
        <v>2.6667571359621075E-3</v>
      </c>
      <c r="Y98" s="5">
        <f t="shared" si="65"/>
        <v>-3.586726495851168E-4</v>
      </c>
      <c r="Z98" s="33">
        <v>94</v>
      </c>
      <c r="AE98" s="20" t="str">
        <f t="shared" si="66"/>
        <v/>
      </c>
      <c r="AF98" s="22" t="str">
        <f t="shared" si="67"/>
        <v/>
      </c>
      <c r="AG98" s="9" t="str">
        <f t="shared" ca="1" si="46"/>
        <v/>
      </c>
      <c r="AH98" s="9" t="str">
        <f t="shared" ca="1" si="47"/>
        <v/>
      </c>
      <c r="AI98" s="9" t="str">
        <f t="shared" ca="1" si="48"/>
        <v/>
      </c>
      <c r="AJ98" s="9" t="str">
        <f t="shared" ca="1" si="49"/>
        <v/>
      </c>
      <c r="AK98" s="9" t="str">
        <f t="shared" ca="1" si="50"/>
        <v/>
      </c>
      <c r="AL98" s="9" t="str">
        <f t="shared" ca="1" si="51"/>
        <v/>
      </c>
      <c r="AM98" s="9" t="str">
        <f t="shared" ca="1" si="52"/>
        <v/>
      </c>
      <c r="AN98" s="9" t="str">
        <f t="shared" ca="1" si="53"/>
        <v/>
      </c>
      <c r="AO98" s="9" t="str">
        <f t="shared" ca="1" si="54"/>
        <v/>
      </c>
      <c r="AP98" s="9" t="str">
        <f t="shared" ca="1" si="55"/>
        <v/>
      </c>
      <c r="AQ98" s="9"/>
      <c r="AR98" s="9"/>
      <c r="AS98" s="9"/>
      <c r="AT98" s="9"/>
      <c r="AU98" s="9"/>
    </row>
    <row r="99" spans="1:47" x14ac:dyDescent="0.3">
      <c r="A99" s="1">
        <v>43605</v>
      </c>
      <c r="B99" s="6">
        <v>275.45001200000002</v>
      </c>
      <c r="C99" s="6">
        <v>115.010002</v>
      </c>
      <c r="D99" s="6">
        <v>31.805</v>
      </c>
      <c r="E99" s="6">
        <v>129.990005</v>
      </c>
      <c r="F99" s="6">
        <v>101.69000200000001</v>
      </c>
      <c r="G99" s="6">
        <v>44.330002</v>
      </c>
      <c r="H99" s="6">
        <v>94.349997999999999</v>
      </c>
      <c r="I99" s="6">
        <v>155.91999799999999</v>
      </c>
      <c r="J99" s="6">
        <v>22.219999000000001</v>
      </c>
      <c r="K99" s="6">
        <v>27.309999000000001</v>
      </c>
      <c r="N99" s="19">
        <v>95</v>
      </c>
      <c r="O99" s="1">
        <v>43605</v>
      </c>
      <c r="P99" s="5">
        <f t="shared" si="56"/>
        <v>-1.5847599293625555E-2</v>
      </c>
      <c r="Q99" s="5">
        <f t="shared" si="57"/>
        <v>-5.3989396177519321E-2</v>
      </c>
      <c r="R99" s="5">
        <f t="shared" si="58"/>
        <v>-3.1439798570202218E-4</v>
      </c>
      <c r="S99" s="5">
        <f t="shared" si="59"/>
        <v>-3.9922509837708375E-3</v>
      </c>
      <c r="T99" s="5">
        <f t="shared" si="60"/>
        <v>-1.2217324182738642E-2</v>
      </c>
      <c r="U99" s="5">
        <f t="shared" si="61"/>
        <v>-1.2107703828150705E-2</v>
      </c>
      <c r="V99" s="5">
        <f t="shared" si="62"/>
        <v>-1.0593115677897855E-3</v>
      </c>
      <c r="W99" s="5">
        <f t="shared" si="63"/>
        <v>-4.5265679370515316E-2</v>
      </c>
      <c r="X99" s="5">
        <f t="shared" si="64"/>
        <v>-1.3855059622433556E-2</v>
      </c>
      <c r="Y99" s="5">
        <f t="shared" si="65"/>
        <v>-2.0297978505742515E-2</v>
      </c>
      <c r="Z99" s="33">
        <v>95</v>
      </c>
      <c r="AE99" s="20" t="str">
        <f t="shared" si="66"/>
        <v/>
      </c>
      <c r="AF99" s="22" t="str">
        <f t="shared" si="67"/>
        <v/>
      </c>
      <c r="AG99" s="9" t="str">
        <f t="shared" ca="1" si="46"/>
        <v/>
      </c>
      <c r="AH99" s="9" t="str">
        <f t="shared" ca="1" si="47"/>
        <v/>
      </c>
      <c r="AI99" s="9" t="str">
        <f t="shared" ca="1" si="48"/>
        <v/>
      </c>
      <c r="AJ99" s="9" t="str">
        <f t="shared" ca="1" si="49"/>
        <v/>
      </c>
      <c r="AK99" s="9" t="str">
        <f t="shared" ca="1" si="50"/>
        <v/>
      </c>
      <c r="AL99" s="9" t="str">
        <f t="shared" ca="1" si="51"/>
        <v/>
      </c>
      <c r="AM99" s="9" t="str">
        <f t="shared" ca="1" si="52"/>
        <v/>
      </c>
      <c r="AN99" s="9" t="str">
        <f t="shared" ca="1" si="53"/>
        <v/>
      </c>
      <c r="AO99" s="9" t="str">
        <f t="shared" ca="1" si="54"/>
        <v/>
      </c>
      <c r="AP99" s="9" t="str">
        <f t="shared" ca="1" si="55"/>
        <v/>
      </c>
      <c r="AQ99" s="9"/>
      <c r="AR99" s="9"/>
      <c r="AS99" s="9"/>
      <c r="AT99" s="9"/>
      <c r="AU99" s="9"/>
    </row>
    <row r="100" spans="1:47" x14ac:dyDescent="0.3">
      <c r="A100" s="1">
        <v>43606</v>
      </c>
      <c r="B100" s="6">
        <v>278.07000699999998</v>
      </c>
      <c r="C100" s="6">
        <v>115.779999</v>
      </c>
      <c r="D100" s="6">
        <v>31.870000999999998</v>
      </c>
      <c r="E100" s="6">
        <v>129.050003</v>
      </c>
      <c r="F100" s="6">
        <v>102.699997</v>
      </c>
      <c r="G100" s="6">
        <v>44.610000999999997</v>
      </c>
      <c r="H100" s="6">
        <v>95.190002000000007</v>
      </c>
      <c r="I100" s="6">
        <v>158.929993</v>
      </c>
      <c r="J100" s="6">
        <v>22.629999000000002</v>
      </c>
      <c r="K100" s="6">
        <v>28.01</v>
      </c>
      <c r="N100" s="18">
        <v>96</v>
      </c>
      <c r="O100" s="1">
        <v>43606</v>
      </c>
      <c r="P100" s="5">
        <f t="shared" si="56"/>
        <v>9.4667382455680543E-3</v>
      </c>
      <c r="Q100" s="5">
        <f t="shared" si="57"/>
        <v>6.672731519506243E-3</v>
      </c>
      <c r="R100" s="5">
        <f t="shared" si="58"/>
        <v>2.0416496759479525E-3</v>
      </c>
      <c r="S100" s="5">
        <f t="shared" si="59"/>
        <v>-7.2576134729979867E-3</v>
      </c>
      <c r="T100" s="5">
        <f t="shared" si="60"/>
        <v>9.8830982525538128E-3</v>
      </c>
      <c r="U100" s="5">
        <f t="shared" si="61"/>
        <v>6.2963776835363132E-3</v>
      </c>
      <c r="V100" s="5">
        <f t="shared" si="62"/>
        <v>8.8636646569332893E-3</v>
      </c>
      <c r="W100" s="5">
        <f t="shared" si="63"/>
        <v>1.9120767291964987E-2</v>
      </c>
      <c r="X100" s="5">
        <f t="shared" si="64"/>
        <v>1.8283676249333067E-2</v>
      </c>
      <c r="Y100" s="5">
        <f t="shared" si="65"/>
        <v>2.5308690403028217E-2</v>
      </c>
      <c r="Z100" s="33">
        <v>96</v>
      </c>
      <c r="AE100" s="20" t="str">
        <f t="shared" si="66"/>
        <v/>
      </c>
      <c r="AF100" s="22" t="str">
        <f t="shared" si="67"/>
        <v/>
      </c>
      <c r="AG100" s="9" t="str">
        <f t="shared" ca="1" si="46"/>
        <v/>
      </c>
      <c r="AH100" s="9" t="str">
        <f t="shared" ca="1" si="47"/>
        <v/>
      </c>
      <c r="AI100" s="9" t="str">
        <f t="shared" ca="1" si="48"/>
        <v/>
      </c>
      <c r="AJ100" s="9" t="str">
        <f t="shared" ca="1" si="49"/>
        <v/>
      </c>
      <c r="AK100" s="9" t="str">
        <f t="shared" ca="1" si="50"/>
        <v/>
      </c>
      <c r="AL100" s="9" t="str">
        <f t="shared" ca="1" si="51"/>
        <v/>
      </c>
      <c r="AM100" s="9" t="str">
        <f t="shared" ca="1" si="52"/>
        <v/>
      </c>
      <c r="AN100" s="9" t="str">
        <f t="shared" ca="1" si="53"/>
        <v/>
      </c>
      <c r="AO100" s="9" t="str">
        <f t="shared" ca="1" si="54"/>
        <v/>
      </c>
      <c r="AP100" s="9" t="str">
        <f t="shared" ca="1" si="55"/>
        <v/>
      </c>
      <c r="AQ100" s="9"/>
      <c r="AR100" s="9"/>
      <c r="AS100" s="9"/>
      <c r="AT100" s="9"/>
      <c r="AU100" s="9"/>
    </row>
    <row r="101" spans="1:47" x14ac:dyDescent="0.3">
      <c r="A101" s="1">
        <v>43607</v>
      </c>
      <c r="B101" s="6">
        <v>281.82000699999998</v>
      </c>
      <c r="C101" s="6">
        <v>115.089996</v>
      </c>
      <c r="D101" s="6">
        <v>32</v>
      </c>
      <c r="E101" s="6">
        <v>130.070007</v>
      </c>
      <c r="F101" s="6">
        <v>103.209999</v>
      </c>
      <c r="G101" s="6">
        <v>44.900002000000001</v>
      </c>
      <c r="H101" s="6">
        <v>93.040001000000004</v>
      </c>
      <c r="I101" s="6">
        <v>159.41000399999999</v>
      </c>
      <c r="J101" s="6">
        <v>22.610001</v>
      </c>
      <c r="K101" s="6">
        <v>27.42</v>
      </c>
      <c r="N101" s="19">
        <v>97</v>
      </c>
      <c r="O101" s="1">
        <v>43607</v>
      </c>
      <c r="P101" s="5">
        <f t="shared" si="56"/>
        <v>1.3395688376139614E-2</v>
      </c>
      <c r="Q101" s="5">
        <f t="shared" si="57"/>
        <v>-5.9774337887979201E-3</v>
      </c>
      <c r="R101" s="5">
        <f t="shared" si="58"/>
        <v>4.0707429930111668E-3</v>
      </c>
      <c r="S101" s="5">
        <f t="shared" si="59"/>
        <v>7.8728714813970629E-3</v>
      </c>
      <c r="T101" s="5">
        <f t="shared" si="60"/>
        <v>4.953650165641265E-3</v>
      </c>
      <c r="U101" s="5">
        <f t="shared" si="61"/>
        <v>6.4797677349659605E-3</v>
      </c>
      <c r="V101" s="5">
        <f t="shared" si="62"/>
        <v>-2.2845396315349736E-2</v>
      </c>
      <c r="W101" s="5">
        <f t="shared" si="63"/>
        <v>3.0157150739043093E-3</v>
      </c>
      <c r="X101" s="5">
        <f t="shared" si="64"/>
        <v>-8.8408493822052811E-4</v>
      </c>
      <c r="Y101" s="5">
        <f t="shared" si="65"/>
        <v>-2.1288915137848804E-2</v>
      </c>
      <c r="Z101" s="33">
        <v>97</v>
      </c>
      <c r="AE101" s="20" t="str">
        <f t="shared" si="66"/>
        <v/>
      </c>
      <c r="AF101" s="22" t="str">
        <f t="shared" si="67"/>
        <v/>
      </c>
      <c r="AG101" s="9" t="str">
        <f t="shared" ca="1" si="46"/>
        <v/>
      </c>
      <c r="AH101" s="9" t="str">
        <f t="shared" ca="1" si="47"/>
        <v/>
      </c>
      <c r="AI101" s="9" t="str">
        <f t="shared" ca="1" si="48"/>
        <v/>
      </c>
      <c r="AJ101" s="9" t="str">
        <f t="shared" ca="1" si="49"/>
        <v/>
      </c>
      <c r="AK101" s="9" t="str">
        <f t="shared" ca="1" si="50"/>
        <v/>
      </c>
      <c r="AL101" s="9" t="str">
        <f t="shared" ca="1" si="51"/>
        <v/>
      </c>
      <c r="AM101" s="9" t="str">
        <f t="shared" ca="1" si="52"/>
        <v/>
      </c>
      <c r="AN101" s="9" t="str">
        <f t="shared" ca="1" si="53"/>
        <v/>
      </c>
      <c r="AO101" s="9" t="str">
        <f t="shared" ca="1" si="54"/>
        <v/>
      </c>
      <c r="AP101" s="9" t="str">
        <f t="shared" ca="1" si="55"/>
        <v/>
      </c>
      <c r="AQ101" s="9"/>
      <c r="AR101" s="9"/>
      <c r="AS101" s="9"/>
      <c r="AT101" s="9"/>
      <c r="AU101" s="9"/>
    </row>
    <row r="102" spans="1:47" x14ac:dyDescent="0.3">
      <c r="A102" s="1">
        <v>43608</v>
      </c>
      <c r="B102" s="6">
        <v>274.25</v>
      </c>
      <c r="C102" s="6">
        <v>117.010002</v>
      </c>
      <c r="D102" s="6">
        <v>31.614999999999998</v>
      </c>
      <c r="E102" s="6">
        <v>129.970001</v>
      </c>
      <c r="F102" s="6">
        <v>103.879997</v>
      </c>
      <c r="G102" s="6">
        <v>45.130001</v>
      </c>
      <c r="H102" s="6">
        <v>91.07</v>
      </c>
      <c r="I102" s="6">
        <v>157.320007</v>
      </c>
      <c r="J102" s="6">
        <v>22.25</v>
      </c>
      <c r="K102" s="6">
        <v>27.24</v>
      </c>
      <c r="N102" s="18">
        <v>98</v>
      </c>
      <c r="O102" s="1">
        <v>43608</v>
      </c>
      <c r="P102" s="5">
        <f t="shared" si="56"/>
        <v>-2.7228494950168158E-2</v>
      </c>
      <c r="Q102" s="5">
        <f t="shared" si="57"/>
        <v>1.6545022098432255E-2</v>
      </c>
      <c r="R102" s="5">
        <f t="shared" si="58"/>
        <v>-1.2104211289150069E-2</v>
      </c>
      <c r="S102" s="5">
        <f t="shared" si="59"/>
        <v>-7.6915860524315544E-4</v>
      </c>
      <c r="T102" s="5">
        <f t="shared" si="60"/>
        <v>6.4706200262128494E-3</v>
      </c>
      <c r="U102" s="5">
        <f t="shared" si="61"/>
        <v>5.1093967054816987E-3</v>
      </c>
      <c r="V102" s="5">
        <f t="shared" si="62"/>
        <v>-2.1401077378747194E-2</v>
      </c>
      <c r="W102" s="5">
        <f t="shared" si="63"/>
        <v>-1.319753267917953E-2</v>
      </c>
      <c r="X102" s="5">
        <f t="shared" si="64"/>
        <v>-1.6050321905845866E-2</v>
      </c>
      <c r="Y102" s="5">
        <f t="shared" si="65"/>
        <v>-6.5861928528568384E-3</v>
      </c>
      <c r="Z102" s="33">
        <v>98</v>
      </c>
      <c r="AE102" s="20" t="str">
        <f t="shared" si="66"/>
        <v/>
      </c>
      <c r="AF102" s="22" t="str">
        <f t="shared" si="67"/>
        <v/>
      </c>
      <c r="AG102" s="9" t="str">
        <f t="shared" ca="1" si="46"/>
        <v/>
      </c>
      <c r="AH102" s="9" t="str">
        <f t="shared" ca="1" si="47"/>
        <v/>
      </c>
      <c r="AI102" s="9" t="str">
        <f t="shared" ca="1" si="48"/>
        <v/>
      </c>
      <c r="AJ102" s="9" t="str">
        <f t="shared" ca="1" si="49"/>
        <v/>
      </c>
      <c r="AK102" s="9" t="str">
        <f t="shared" ca="1" si="50"/>
        <v/>
      </c>
      <c r="AL102" s="9" t="str">
        <f t="shared" ca="1" si="51"/>
        <v/>
      </c>
      <c r="AM102" s="9" t="str">
        <f t="shared" ca="1" si="52"/>
        <v/>
      </c>
      <c r="AN102" s="9" t="str">
        <f t="shared" ca="1" si="53"/>
        <v/>
      </c>
      <c r="AO102" s="9" t="str">
        <f t="shared" ca="1" si="54"/>
        <v/>
      </c>
      <c r="AP102" s="9" t="str">
        <f t="shared" ca="1" si="55"/>
        <v/>
      </c>
      <c r="AQ102" s="9"/>
      <c r="AR102" s="9"/>
      <c r="AS102" s="9"/>
      <c r="AT102" s="9"/>
      <c r="AU102" s="9"/>
    </row>
    <row r="103" spans="1:47" x14ac:dyDescent="0.3">
      <c r="A103" s="1">
        <v>43609</v>
      </c>
      <c r="B103" s="6">
        <v>274.76998900000001</v>
      </c>
      <c r="C103" s="6">
        <v>116.709999</v>
      </c>
      <c r="D103" s="6">
        <v>31.709999</v>
      </c>
      <c r="E103" s="6">
        <v>129.5</v>
      </c>
      <c r="F103" s="6">
        <v>104.300003</v>
      </c>
      <c r="G103" s="6">
        <v>45.310001</v>
      </c>
      <c r="H103" s="6">
        <v>90.900002000000001</v>
      </c>
      <c r="I103" s="6">
        <v>158.300003</v>
      </c>
      <c r="J103" s="6">
        <v>22.1</v>
      </c>
      <c r="K103" s="6">
        <v>27.139999</v>
      </c>
      <c r="N103" s="19">
        <v>99</v>
      </c>
      <c r="O103" s="1">
        <v>43609</v>
      </c>
      <c r="P103" s="5">
        <f t="shared" si="56"/>
        <v>1.8942448941829018E-3</v>
      </c>
      <c r="Q103" s="5">
        <f t="shared" si="57"/>
        <v>-2.5672014674064545E-3</v>
      </c>
      <c r="R103" s="5">
        <f t="shared" si="58"/>
        <v>3.0003655038858775E-3</v>
      </c>
      <c r="S103" s="5">
        <f t="shared" si="59"/>
        <v>-3.6227811479877916E-3</v>
      </c>
      <c r="T103" s="5">
        <f t="shared" si="60"/>
        <v>4.0350328548386123E-3</v>
      </c>
      <c r="U103" s="5">
        <f t="shared" si="61"/>
        <v>3.9805447521105456E-3</v>
      </c>
      <c r="V103" s="5">
        <f t="shared" si="62"/>
        <v>-1.8684183940940273E-3</v>
      </c>
      <c r="W103" s="5">
        <f t="shared" si="63"/>
        <v>6.2099937794203542E-3</v>
      </c>
      <c r="X103" s="5">
        <f t="shared" si="64"/>
        <v>-6.7644000885420368E-3</v>
      </c>
      <c r="Y103" s="5">
        <f t="shared" si="65"/>
        <v>-3.6778637205729637E-3</v>
      </c>
      <c r="Z103" s="33">
        <v>99</v>
      </c>
      <c r="AE103" s="20" t="str">
        <f t="shared" si="66"/>
        <v/>
      </c>
      <c r="AF103" s="22" t="str">
        <f t="shared" si="67"/>
        <v/>
      </c>
      <c r="AG103" s="9" t="str">
        <f t="shared" ca="1" si="46"/>
        <v/>
      </c>
      <c r="AH103" s="9" t="str">
        <f t="shared" ca="1" si="47"/>
        <v/>
      </c>
      <c r="AI103" s="9" t="str">
        <f t="shared" ca="1" si="48"/>
        <v/>
      </c>
      <c r="AJ103" s="9" t="str">
        <f t="shared" ca="1" si="49"/>
        <v/>
      </c>
      <c r="AK103" s="9" t="str">
        <f t="shared" ca="1" si="50"/>
        <v/>
      </c>
      <c r="AL103" s="9" t="str">
        <f t="shared" ca="1" si="51"/>
        <v/>
      </c>
      <c r="AM103" s="9" t="str">
        <f t="shared" ca="1" si="52"/>
        <v/>
      </c>
      <c r="AN103" s="9" t="str">
        <f t="shared" ca="1" si="53"/>
        <v/>
      </c>
      <c r="AO103" s="9" t="str">
        <f t="shared" ca="1" si="54"/>
        <v/>
      </c>
      <c r="AP103" s="9" t="str">
        <f t="shared" ca="1" si="55"/>
        <v/>
      </c>
      <c r="AQ103" s="9"/>
      <c r="AR103" s="9"/>
      <c r="AS103" s="9"/>
      <c r="AT103" s="9"/>
      <c r="AU103" s="9"/>
    </row>
    <row r="104" spans="1:47" x14ac:dyDescent="0.3">
      <c r="A104" s="1">
        <v>43613</v>
      </c>
      <c r="B104" s="6">
        <v>278.25</v>
      </c>
      <c r="C104" s="6">
        <v>117.879997</v>
      </c>
      <c r="D104" s="6">
        <v>31.135000000000002</v>
      </c>
      <c r="E104" s="6">
        <v>127.629997</v>
      </c>
      <c r="F104" s="6">
        <v>103.959999</v>
      </c>
      <c r="G104" s="6">
        <v>44.93</v>
      </c>
      <c r="H104" s="6">
        <v>89.989998</v>
      </c>
      <c r="I104" s="6">
        <v>155.13000500000001</v>
      </c>
      <c r="J104" s="6">
        <v>21.969999000000001</v>
      </c>
      <c r="K104" s="6">
        <v>27.92</v>
      </c>
      <c r="N104" s="18">
        <v>100</v>
      </c>
      <c r="O104" s="1">
        <v>43613</v>
      </c>
      <c r="P104" s="5">
        <f t="shared" si="56"/>
        <v>1.2585646106131715E-2</v>
      </c>
      <c r="Q104" s="5">
        <f t="shared" si="57"/>
        <v>9.9749155638678387E-3</v>
      </c>
      <c r="R104" s="5">
        <f t="shared" si="58"/>
        <v>-1.8299468690046946E-2</v>
      </c>
      <c r="S104" s="5">
        <f t="shared" si="59"/>
        <v>-1.4545451650438706E-2</v>
      </c>
      <c r="T104" s="5">
        <f t="shared" si="60"/>
        <v>-3.2651906157043415E-3</v>
      </c>
      <c r="U104" s="5">
        <f t="shared" si="61"/>
        <v>-8.4220576671612188E-3</v>
      </c>
      <c r="V104" s="5">
        <f t="shared" si="62"/>
        <v>-1.0061492364467829E-2</v>
      </c>
      <c r="W104" s="5">
        <f t="shared" si="63"/>
        <v>-2.0228478531053102E-2</v>
      </c>
      <c r="X104" s="5">
        <f t="shared" si="64"/>
        <v>-5.8997676438028559E-3</v>
      </c>
      <c r="Y104" s="5">
        <f t="shared" si="65"/>
        <v>2.8334660333433275E-2</v>
      </c>
      <c r="Z104" s="33">
        <v>100</v>
      </c>
      <c r="AE104" s="20" t="str">
        <f t="shared" si="66"/>
        <v/>
      </c>
      <c r="AF104" s="22" t="str">
        <f t="shared" si="67"/>
        <v/>
      </c>
      <c r="AG104" s="9" t="str">
        <f t="shared" ca="1" si="46"/>
        <v/>
      </c>
      <c r="AH104" s="9" t="str">
        <f t="shared" ca="1" si="47"/>
        <v/>
      </c>
      <c r="AI104" s="9" t="str">
        <f t="shared" ca="1" si="48"/>
        <v/>
      </c>
      <c r="AJ104" s="9" t="str">
        <f t="shared" ca="1" si="49"/>
        <v/>
      </c>
      <c r="AK104" s="9" t="str">
        <f t="shared" ca="1" si="50"/>
        <v/>
      </c>
      <c r="AL104" s="9" t="str">
        <f t="shared" ca="1" si="51"/>
        <v/>
      </c>
      <c r="AM104" s="9" t="str">
        <f t="shared" ca="1" si="52"/>
        <v/>
      </c>
      <c r="AN104" s="9" t="str">
        <f t="shared" ca="1" si="53"/>
        <v/>
      </c>
      <c r="AO104" s="9" t="str">
        <f t="shared" ca="1" si="54"/>
        <v/>
      </c>
      <c r="AP104" s="9" t="str">
        <f t="shared" ca="1" si="55"/>
        <v/>
      </c>
      <c r="AQ104" s="9"/>
      <c r="AR104" s="9"/>
      <c r="AS104" s="9"/>
      <c r="AT104" s="9"/>
      <c r="AU104" s="9"/>
    </row>
    <row r="105" spans="1:47" x14ac:dyDescent="0.3">
      <c r="A105" s="1">
        <v>43614</v>
      </c>
      <c r="B105" s="6">
        <v>273.38000499999998</v>
      </c>
      <c r="C105" s="6">
        <v>116.220001</v>
      </c>
      <c r="D105" s="6">
        <v>30.879999000000002</v>
      </c>
      <c r="E105" s="6">
        <v>128.16999799999999</v>
      </c>
      <c r="F105" s="6">
        <v>102.41999800000001</v>
      </c>
      <c r="G105" s="6">
        <v>44.119999</v>
      </c>
      <c r="H105" s="6">
        <v>90.360000999999997</v>
      </c>
      <c r="I105" s="6">
        <v>156.60000600000001</v>
      </c>
      <c r="J105" s="6">
        <v>21.700001</v>
      </c>
      <c r="K105" s="6">
        <v>27.469999000000001</v>
      </c>
      <c r="N105" s="19">
        <v>101</v>
      </c>
      <c r="O105" s="1">
        <v>43614</v>
      </c>
      <c r="P105" s="5">
        <f t="shared" si="56"/>
        <v>-1.7657203141587217E-2</v>
      </c>
      <c r="Q105" s="5">
        <f t="shared" si="57"/>
        <v>-1.4182177168553401E-2</v>
      </c>
      <c r="R105" s="5">
        <f t="shared" si="58"/>
        <v>-8.2238955512601158E-3</v>
      </c>
      <c r="S105" s="5">
        <f t="shared" si="59"/>
        <v>4.2220626483031798E-3</v>
      </c>
      <c r="T105" s="5">
        <f t="shared" si="60"/>
        <v>-1.4924213647237134E-2</v>
      </c>
      <c r="U105" s="5">
        <f t="shared" si="61"/>
        <v>-1.819255136222496E-2</v>
      </c>
      <c r="V105" s="5">
        <f t="shared" si="62"/>
        <v>4.1031718454809449E-3</v>
      </c>
      <c r="W105" s="5">
        <f t="shared" si="63"/>
        <v>9.4313145636068345E-3</v>
      </c>
      <c r="X105" s="5">
        <f t="shared" si="64"/>
        <v>-1.2365534250542199E-2</v>
      </c>
      <c r="Y105" s="5">
        <f t="shared" si="65"/>
        <v>-1.6248814190338974E-2</v>
      </c>
      <c r="Z105" s="33">
        <v>101</v>
      </c>
      <c r="AE105" s="20" t="str">
        <f t="shared" si="66"/>
        <v/>
      </c>
      <c r="AF105" s="22" t="str">
        <f t="shared" si="67"/>
        <v/>
      </c>
      <c r="AG105" s="9" t="str">
        <f t="shared" ca="1" si="46"/>
        <v/>
      </c>
      <c r="AH105" s="9" t="str">
        <f t="shared" ca="1" si="47"/>
        <v/>
      </c>
      <c r="AI105" s="9" t="str">
        <f t="shared" ca="1" si="48"/>
        <v/>
      </c>
      <c r="AJ105" s="9" t="str">
        <f t="shared" ca="1" si="49"/>
        <v/>
      </c>
      <c r="AK105" s="9" t="str">
        <f t="shared" ca="1" si="50"/>
        <v/>
      </c>
      <c r="AL105" s="9" t="str">
        <f t="shared" ca="1" si="51"/>
        <v/>
      </c>
      <c r="AM105" s="9" t="str">
        <f t="shared" ca="1" si="52"/>
        <v/>
      </c>
      <c r="AN105" s="9" t="str">
        <f t="shared" ca="1" si="53"/>
        <v/>
      </c>
      <c r="AO105" s="9" t="str">
        <f t="shared" ca="1" si="54"/>
        <v/>
      </c>
      <c r="AP105" s="9" t="str">
        <f t="shared" ca="1" si="55"/>
        <v/>
      </c>
      <c r="AQ105" s="9"/>
      <c r="AR105" s="9"/>
      <c r="AS105" s="9"/>
      <c r="AT105" s="9"/>
      <c r="AU105" s="9"/>
    </row>
    <row r="106" spans="1:47" x14ac:dyDescent="0.3">
      <c r="A106" s="1">
        <v>43615</v>
      </c>
      <c r="B106" s="6">
        <v>274.51001000000002</v>
      </c>
      <c r="C106" s="6">
        <v>117.040001</v>
      </c>
      <c r="D106" s="6">
        <v>31.139999</v>
      </c>
      <c r="E106" s="6">
        <v>128.61000100000001</v>
      </c>
      <c r="F106" s="6">
        <v>102.199997</v>
      </c>
      <c r="G106" s="6">
        <v>44.220001000000003</v>
      </c>
      <c r="H106" s="6">
        <v>90.330001999999993</v>
      </c>
      <c r="I106" s="6">
        <v>157.070007</v>
      </c>
      <c r="J106" s="6">
        <v>21.549999</v>
      </c>
      <c r="K106" s="6">
        <v>27.129999000000002</v>
      </c>
      <c r="N106" s="18">
        <v>102</v>
      </c>
      <c r="O106" s="1">
        <v>43615</v>
      </c>
      <c r="P106" s="5">
        <f t="shared" si="56"/>
        <v>4.1249395730067959E-3</v>
      </c>
      <c r="Q106" s="5">
        <f t="shared" si="57"/>
        <v>7.0308100046259439E-3</v>
      </c>
      <c r="R106" s="5">
        <f t="shared" si="58"/>
        <v>8.3844415196586888E-3</v>
      </c>
      <c r="S106" s="5">
        <f t="shared" si="59"/>
        <v>3.4270849159836621E-3</v>
      </c>
      <c r="T106" s="5">
        <f t="shared" si="60"/>
        <v>-2.1503380915718776E-3</v>
      </c>
      <c r="U106" s="5">
        <f t="shared" si="61"/>
        <v>2.2640263236580675E-3</v>
      </c>
      <c r="V106" s="5">
        <f t="shared" si="62"/>
        <v>-3.3204936385590006E-4</v>
      </c>
      <c r="W106" s="5">
        <f t="shared" si="63"/>
        <v>2.9967885501786902E-3</v>
      </c>
      <c r="X106" s="5">
        <f t="shared" si="64"/>
        <v>-6.936536483318682E-3</v>
      </c>
      <c r="Y106" s="5">
        <f t="shared" si="65"/>
        <v>-1.2454373892558074E-2</v>
      </c>
      <c r="Z106" s="33">
        <v>102</v>
      </c>
      <c r="AE106" s="20" t="str">
        <f t="shared" si="66"/>
        <v/>
      </c>
      <c r="AF106" s="22" t="str">
        <f t="shared" si="67"/>
        <v/>
      </c>
      <c r="AG106" s="9" t="str">
        <f t="shared" ca="1" si="46"/>
        <v/>
      </c>
      <c r="AH106" s="9" t="str">
        <f t="shared" ca="1" si="47"/>
        <v/>
      </c>
      <c r="AI106" s="9" t="str">
        <f t="shared" ca="1" si="48"/>
        <v/>
      </c>
      <c r="AJ106" s="9" t="str">
        <f t="shared" ca="1" si="49"/>
        <v/>
      </c>
      <c r="AK106" s="9" t="str">
        <f t="shared" ca="1" si="50"/>
        <v/>
      </c>
      <c r="AL106" s="9" t="str">
        <f t="shared" ca="1" si="51"/>
        <v/>
      </c>
      <c r="AM106" s="9" t="str">
        <f t="shared" ca="1" si="52"/>
        <v/>
      </c>
      <c r="AN106" s="9" t="str">
        <f t="shared" ca="1" si="53"/>
        <v/>
      </c>
      <c r="AO106" s="9" t="str">
        <f t="shared" ca="1" si="54"/>
        <v/>
      </c>
      <c r="AP106" s="9" t="str">
        <f t="shared" ca="1" si="55"/>
        <v/>
      </c>
      <c r="AQ106" s="9"/>
      <c r="AR106" s="9"/>
      <c r="AS106" s="9"/>
      <c r="AT106" s="9"/>
      <c r="AU106" s="9"/>
    </row>
    <row r="107" spans="1:47" x14ac:dyDescent="0.3">
      <c r="A107" s="1">
        <v>43616</v>
      </c>
      <c r="B107" s="6">
        <v>270.89999399999999</v>
      </c>
      <c r="C107" s="6">
        <v>116.44000200000001</v>
      </c>
      <c r="D107" s="6">
        <v>30.93</v>
      </c>
      <c r="E107" s="6">
        <v>128</v>
      </c>
      <c r="F107" s="6">
        <v>103.360001</v>
      </c>
      <c r="G107" s="6">
        <v>44.779998999999997</v>
      </c>
      <c r="H107" s="6">
        <v>89.410004000000001</v>
      </c>
      <c r="I107" s="6">
        <v>155.91999799999999</v>
      </c>
      <c r="J107" s="6">
        <v>21.219999000000001</v>
      </c>
      <c r="K107" s="6">
        <v>27.26</v>
      </c>
      <c r="N107" s="19">
        <v>103</v>
      </c>
      <c r="O107" s="1">
        <v>43616</v>
      </c>
      <c r="P107" s="5">
        <f t="shared" si="56"/>
        <v>-1.3237999644418942E-2</v>
      </c>
      <c r="Q107" s="5">
        <f t="shared" si="57"/>
        <v>-5.1396292023058697E-3</v>
      </c>
      <c r="R107" s="5">
        <f t="shared" si="58"/>
        <v>-6.7665475958355531E-3</v>
      </c>
      <c r="S107" s="5">
        <f t="shared" si="59"/>
        <v>-4.7543131338234667E-3</v>
      </c>
      <c r="T107" s="5">
        <f t="shared" si="60"/>
        <v>1.1286401293818181E-2</v>
      </c>
      <c r="U107" s="5">
        <f t="shared" si="61"/>
        <v>1.2584390795708698E-2</v>
      </c>
      <c r="V107" s="5">
        <f t="shared" si="62"/>
        <v>-1.0237075817839442E-2</v>
      </c>
      <c r="W107" s="5">
        <f t="shared" si="63"/>
        <v>-7.348568048842566E-3</v>
      </c>
      <c r="X107" s="5">
        <f t="shared" si="64"/>
        <v>-1.5431684085560792E-2</v>
      </c>
      <c r="Y107" s="5">
        <f t="shared" si="65"/>
        <v>4.7803364571119937E-3</v>
      </c>
      <c r="Z107" s="33">
        <v>103</v>
      </c>
      <c r="AE107" s="20" t="str">
        <f t="shared" si="66"/>
        <v/>
      </c>
      <c r="AF107" s="22" t="str">
        <f t="shared" si="67"/>
        <v/>
      </c>
      <c r="AG107" s="9" t="str">
        <f t="shared" ca="1" si="46"/>
        <v/>
      </c>
      <c r="AH107" s="9" t="str">
        <f t="shared" ca="1" si="47"/>
        <v/>
      </c>
      <c r="AI107" s="9" t="str">
        <f t="shared" ca="1" si="48"/>
        <v/>
      </c>
      <c r="AJ107" s="9" t="str">
        <f t="shared" ca="1" si="49"/>
        <v/>
      </c>
      <c r="AK107" s="9" t="str">
        <f t="shared" ca="1" si="50"/>
        <v/>
      </c>
      <c r="AL107" s="9" t="str">
        <f t="shared" ca="1" si="51"/>
        <v/>
      </c>
      <c r="AM107" s="9" t="str">
        <f t="shared" ca="1" si="52"/>
        <v/>
      </c>
      <c r="AN107" s="9" t="str">
        <f t="shared" ca="1" si="53"/>
        <v/>
      </c>
      <c r="AO107" s="9" t="str">
        <f t="shared" ca="1" si="54"/>
        <v/>
      </c>
      <c r="AP107" s="9" t="str">
        <f t="shared" ca="1" si="55"/>
        <v/>
      </c>
      <c r="AQ107" s="9"/>
      <c r="AR107" s="9"/>
      <c r="AS107" s="9"/>
      <c r="AT107" s="9"/>
      <c r="AU107" s="9"/>
    </row>
    <row r="108" spans="1:47" x14ac:dyDescent="0.3">
      <c r="A108" s="1">
        <v>43619</v>
      </c>
      <c r="B108" s="6">
        <v>259.02999899999998</v>
      </c>
      <c r="C108" s="6">
        <v>113.410004</v>
      </c>
      <c r="D108" s="6">
        <v>31.405000999999999</v>
      </c>
      <c r="E108" s="6">
        <v>128.979996</v>
      </c>
      <c r="F108" s="6">
        <v>103.540001</v>
      </c>
      <c r="G108" s="6">
        <v>45.02</v>
      </c>
      <c r="H108" s="6">
        <v>91.25</v>
      </c>
      <c r="I108" s="6">
        <v>156.21000699999999</v>
      </c>
      <c r="J108" s="6">
        <v>21.469999000000001</v>
      </c>
      <c r="K108" s="6">
        <v>27.32</v>
      </c>
      <c r="N108" s="18">
        <v>104</v>
      </c>
      <c r="O108" s="1">
        <v>43619</v>
      </c>
      <c r="P108" s="5">
        <f t="shared" si="56"/>
        <v>-4.4805845695633693E-2</v>
      </c>
      <c r="Q108" s="5">
        <f t="shared" si="57"/>
        <v>-2.6366529956153646E-2</v>
      </c>
      <c r="R108" s="5">
        <f t="shared" si="58"/>
        <v>1.5240561051428602E-2</v>
      </c>
      <c r="S108" s="5">
        <f t="shared" si="59"/>
        <v>7.6270586500535873E-3</v>
      </c>
      <c r="T108" s="5">
        <f t="shared" si="60"/>
        <v>1.7399714226441971E-3</v>
      </c>
      <c r="U108" s="5">
        <f t="shared" si="61"/>
        <v>5.3452466393757525E-3</v>
      </c>
      <c r="V108" s="5">
        <f t="shared" si="62"/>
        <v>2.0370414977650103E-2</v>
      </c>
      <c r="W108" s="5">
        <f t="shared" si="63"/>
        <v>1.8582582821735755E-3</v>
      </c>
      <c r="X108" s="5">
        <f t="shared" si="64"/>
        <v>1.1712479253587524E-2</v>
      </c>
      <c r="Y108" s="5">
        <f t="shared" si="65"/>
        <v>2.198608434202636E-3</v>
      </c>
      <c r="Z108" s="33">
        <v>104</v>
      </c>
      <c r="AE108" s="20" t="str">
        <f t="shared" si="66"/>
        <v/>
      </c>
      <c r="AF108" s="22" t="str">
        <f t="shared" si="67"/>
        <v/>
      </c>
      <c r="AG108" s="9" t="str">
        <f t="shared" ca="1" si="46"/>
        <v/>
      </c>
      <c r="AH108" s="9" t="str">
        <f t="shared" ca="1" si="47"/>
        <v/>
      </c>
      <c r="AI108" s="9" t="str">
        <f t="shared" ca="1" si="48"/>
        <v/>
      </c>
      <c r="AJ108" s="9" t="str">
        <f t="shared" ca="1" si="49"/>
        <v/>
      </c>
      <c r="AK108" s="9" t="str">
        <f t="shared" ca="1" si="50"/>
        <v/>
      </c>
      <c r="AL108" s="9" t="str">
        <f t="shared" ca="1" si="51"/>
        <v/>
      </c>
      <c r="AM108" s="9" t="str">
        <f t="shared" ca="1" si="52"/>
        <v/>
      </c>
      <c r="AN108" s="9" t="str">
        <f t="shared" ca="1" si="53"/>
        <v/>
      </c>
      <c r="AO108" s="9" t="str">
        <f t="shared" ca="1" si="54"/>
        <v/>
      </c>
      <c r="AP108" s="9" t="str">
        <f t="shared" ca="1" si="55"/>
        <v/>
      </c>
      <c r="AQ108" s="9"/>
      <c r="AR108" s="9"/>
      <c r="AS108" s="9"/>
      <c r="AT108" s="9"/>
      <c r="AU108" s="9"/>
    </row>
    <row r="109" spans="1:47" x14ac:dyDescent="0.3">
      <c r="A109" s="1">
        <v>43620</v>
      </c>
      <c r="B109" s="6">
        <v>268.709991</v>
      </c>
      <c r="C109" s="6">
        <v>118.050003</v>
      </c>
      <c r="D109" s="6">
        <v>31.434999000000001</v>
      </c>
      <c r="E109" s="6">
        <v>129.070007</v>
      </c>
      <c r="F109" s="6">
        <v>102.550003</v>
      </c>
      <c r="G109" s="6">
        <v>44.619999</v>
      </c>
      <c r="H109" s="6">
        <v>94.120002999999997</v>
      </c>
      <c r="I109" s="6">
        <v>159.800003</v>
      </c>
      <c r="J109" s="6">
        <v>21.639999</v>
      </c>
      <c r="K109" s="6">
        <v>28.620000999999998</v>
      </c>
      <c r="N109" s="19">
        <v>105</v>
      </c>
      <c r="O109" s="1">
        <v>43620</v>
      </c>
      <c r="P109" s="5">
        <f t="shared" si="56"/>
        <v>3.66888164148347E-2</v>
      </c>
      <c r="Q109" s="5">
        <f t="shared" si="57"/>
        <v>4.0098682846985492E-2</v>
      </c>
      <c r="R109" s="5">
        <f t="shared" si="58"/>
        <v>9.547422749421918E-4</v>
      </c>
      <c r="S109" s="5">
        <f t="shared" si="59"/>
        <v>6.9762451156055985E-4</v>
      </c>
      <c r="T109" s="5">
        <f t="shared" si="60"/>
        <v>-9.6075073594468225E-3</v>
      </c>
      <c r="U109" s="5">
        <f t="shared" si="61"/>
        <v>-8.9246688856746918E-3</v>
      </c>
      <c r="V109" s="5">
        <f t="shared" si="62"/>
        <v>3.0967603270763366E-2</v>
      </c>
      <c r="W109" s="5">
        <f t="shared" si="63"/>
        <v>2.2721751451252926E-2</v>
      </c>
      <c r="X109" s="5">
        <f t="shared" si="64"/>
        <v>7.8868424534886527E-3</v>
      </c>
      <c r="Y109" s="5">
        <f t="shared" si="65"/>
        <v>4.6486774366315903E-2</v>
      </c>
      <c r="Z109" s="33">
        <v>105</v>
      </c>
      <c r="AE109" s="20" t="str">
        <f t="shared" si="66"/>
        <v/>
      </c>
      <c r="AF109" s="22" t="str">
        <f t="shared" si="67"/>
        <v/>
      </c>
      <c r="AG109" s="9" t="str">
        <f t="shared" ca="1" si="46"/>
        <v/>
      </c>
      <c r="AH109" s="9" t="str">
        <f t="shared" ca="1" si="47"/>
        <v/>
      </c>
      <c r="AI109" s="9" t="str">
        <f t="shared" ca="1" si="48"/>
        <v/>
      </c>
      <c r="AJ109" s="9" t="str">
        <f t="shared" ca="1" si="49"/>
        <v/>
      </c>
      <c r="AK109" s="9" t="str">
        <f t="shared" ca="1" si="50"/>
        <v/>
      </c>
      <c r="AL109" s="9" t="str">
        <f t="shared" ca="1" si="51"/>
        <v/>
      </c>
      <c r="AM109" s="9" t="str">
        <f t="shared" ca="1" si="52"/>
        <v/>
      </c>
      <c r="AN109" s="9" t="str">
        <f t="shared" ca="1" si="53"/>
        <v/>
      </c>
      <c r="AO109" s="9" t="str">
        <f t="shared" ca="1" si="54"/>
        <v/>
      </c>
      <c r="AP109" s="9" t="str">
        <f t="shared" ca="1" si="55"/>
        <v/>
      </c>
      <c r="AQ109" s="9"/>
      <c r="AR109" s="9"/>
      <c r="AS109" s="9"/>
      <c r="AT109" s="9"/>
      <c r="AU109" s="9"/>
    </row>
    <row r="110" spans="1:47" x14ac:dyDescent="0.3">
      <c r="A110" s="1">
        <v>43621</v>
      </c>
      <c r="B110" s="6">
        <v>272.85998499999999</v>
      </c>
      <c r="C110" s="6">
        <v>120.980003</v>
      </c>
      <c r="D110" s="6">
        <v>32.014999000000003</v>
      </c>
      <c r="E110" s="6">
        <v>131.38999899999999</v>
      </c>
      <c r="F110" s="6">
        <v>105.30999799999999</v>
      </c>
      <c r="G110" s="6">
        <v>45.869999</v>
      </c>
      <c r="H110" s="6">
        <v>95.419998000000007</v>
      </c>
      <c r="I110" s="6">
        <v>161.61000100000001</v>
      </c>
      <c r="J110" s="6">
        <v>21.690000999999999</v>
      </c>
      <c r="K110" s="6">
        <v>28.049999</v>
      </c>
      <c r="N110" s="18">
        <v>106</v>
      </c>
      <c r="O110" s="1">
        <v>43621</v>
      </c>
      <c r="P110" s="5">
        <f t="shared" si="56"/>
        <v>1.5326090499624329E-2</v>
      </c>
      <c r="Q110" s="5">
        <f t="shared" si="57"/>
        <v>2.4516978531772763E-2</v>
      </c>
      <c r="R110" s="5">
        <f t="shared" si="58"/>
        <v>1.8282621712057613E-2</v>
      </c>
      <c r="S110" s="5">
        <f t="shared" si="59"/>
        <v>1.7815044961569979E-2</v>
      </c>
      <c r="T110" s="5">
        <f t="shared" si="60"/>
        <v>2.6557848628545183E-2</v>
      </c>
      <c r="U110" s="5">
        <f t="shared" si="61"/>
        <v>2.7629120215427568E-2</v>
      </c>
      <c r="V110" s="5">
        <f t="shared" si="62"/>
        <v>1.3717583394629909E-2</v>
      </c>
      <c r="W110" s="5">
        <f t="shared" si="63"/>
        <v>1.1262979442647168E-2</v>
      </c>
      <c r="X110" s="5">
        <f t="shared" si="64"/>
        <v>2.3079631754185314E-3</v>
      </c>
      <c r="Y110" s="5">
        <f t="shared" si="65"/>
        <v>-2.0117212750824412E-2</v>
      </c>
      <c r="Z110" s="33">
        <v>106</v>
      </c>
      <c r="AE110" s="20" t="str">
        <f t="shared" si="66"/>
        <v/>
      </c>
      <c r="AF110" s="22" t="str">
        <f t="shared" si="67"/>
        <v/>
      </c>
      <c r="AG110" s="9" t="str">
        <f t="shared" ca="1" si="46"/>
        <v/>
      </c>
      <c r="AH110" s="9" t="str">
        <f t="shared" ca="1" si="47"/>
        <v/>
      </c>
      <c r="AI110" s="9" t="str">
        <f t="shared" ca="1" si="48"/>
        <v/>
      </c>
      <c r="AJ110" s="9" t="str">
        <f t="shared" ca="1" si="49"/>
        <v/>
      </c>
      <c r="AK110" s="9" t="str">
        <f t="shared" ca="1" si="50"/>
        <v/>
      </c>
      <c r="AL110" s="9" t="str">
        <f t="shared" ca="1" si="51"/>
        <v/>
      </c>
      <c r="AM110" s="9" t="str">
        <f t="shared" ca="1" si="52"/>
        <v/>
      </c>
      <c r="AN110" s="9" t="str">
        <f t="shared" ca="1" si="53"/>
        <v/>
      </c>
      <c r="AO110" s="9" t="str">
        <f t="shared" ca="1" si="54"/>
        <v/>
      </c>
      <c r="AP110" s="9" t="str">
        <f t="shared" ca="1" si="55"/>
        <v/>
      </c>
      <c r="AQ110" s="9"/>
      <c r="AR110" s="9"/>
      <c r="AS110" s="9"/>
      <c r="AT110" s="9"/>
      <c r="AU110" s="9"/>
    </row>
    <row r="111" spans="1:47" x14ac:dyDescent="0.3">
      <c r="A111" s="1">
        <v>43622</v>
      </c>
      <c r="B111" s="6">
        <v>274.79998799999998</v>
      </c>
      <c r="C111" s="6">
        <v>122.120003</v>
      </c>
      <c r="D111" s="6">
        <v>31.92</v>
      </c>
      <c r="E111" s="6">
        <v>131.979996</v>
      </c>
      <c r="F111" s="6">
        <v>106</v>
      </c>
      <c r="G111" s="6">
        <v>46.099997999999999</v>
      </c>
      <c r="H111" s="6">
        <v>94.709998999999996</v>
      </c>
      <c r="I111" s="6">
        <v>162.199997</v>
      </c>
      <c r="J111" s="6">
        <v>21.860001</v>
      </c>
      <c r="K111" s="6">
        <v>28.379999000000002</v>
      </c>
      <c r="N111" s="19">
        <v>107</v>
      </c>
      <c r="O111" s="1">
        <v>43622</v>
      </c>
      <c r="P111" s="5">
        <f t="shared" si="56"/>
        <v>7.0847285185908042E-3</v>
      </c>
      <c r="Q111" s="5">
        <f t="shared" si="57"/>
        <v>9.3789249564223427E-3</v>
      </c>
      <c r="R111" s="5">
        <f t="shared" si="58"/>
        <v>-2.9717391537986697E-3</v>
      </c>
      <c r="S111" s="5">
        <f t="shared" si="59"/>
        <v>4.4803736048513402E-3</v>
      </c>
      <c r="T111" s="5">
        <f t="shared" si="60"/>
        <v>6.5307317111103344E-3</v>
      </c>
      <c r="U111" s="5">
        <f t="shared" si="61"/>
        <v>5.0016198103146892E-3</v>
      </c>
      <c r="V111" s="5">
        <f t="shared" si="62"/>
        <v>-7.4685984485316111E-3</v>
      </c>
      <c r="W111" s="5">
        <f t="shared" si="63"/>
        <v>3.6440916373399542E-3</v>
      </c>
      <c r="X111" s="5">
        <f t="shared" si="64"/>
        <v>7.807157551068214E-3</v>
      </c>
      <c r="Y111" s="5">
        <f t="shared" si="65"/>
        <v>1.1696040177733435E-2</v>
      </c>
      <c r="Z111" s="33">
        <v>107</v>
      </c>
      <c r="AE111" s="20" t="str">
        <f t="shared" si="66"/>
        <v/>
      </c>
      <c r="AF111" s="22" t="str">
        <f t="shared" si="67"/>
        <v/>
      </c>
      <c r="AG111" s="9" t="str">
        <f t="shared" ca="1" si="46"/>
        <v/>
      </c>
      <c r="AH111" s="9" t="str">
        <f t="shared" ca="1" si="47"/>
        <v/>
      </c>
      <c r="AI111" s="9" t="str">
        <f t="shared" ca="1" si="48"/>
        <v/>
      </c>
      <c r="AJ111" s="9" t="str">
        <f t="shared" ca="1" si="49"/>
        <v/>
      </c>
      <c r="AK111" s="9" t="str">
        <f t="shared" ca="1" si="50"/>
        <v/>
      </c>
      <c r="AL111" s="9" t="str">
        <f t="shared" ca="1" si="51"/>
        <v/>
      </c>
      <c r="AM111" s="9" t="str">
        <f t="shared" ca="1" si="52"/>
        <v/>
      </c>
      <c r="AN111" s="9" t="str">
        <f t="shared" ca="1" si="53"/>
        <v/>
      </c>
      <c r="AO111" s="9" t="str">
        <f t="shared" ca="1" si="54"/>
        <v/>
      </c>
      <c r="AP111" s="9" t="str">
        <f t="shared" ca="1" si="55"/>
        <v/>
      </c>
      <c r="AQ111" s="9"/>
      <c r="AR111" s="9"/>
      <c r="AS111" s="9"/>
      <c r="AT111" s="9"/>
      <c r="AU111" s="9"/>
    </row>
    <row r="112" spans="1:47" x14ac:dyDescent="0.3">
      <c r="A112" s="1">
        <v>43623</v>
      </c>
      <c r="B112" s="6">
        <v>278.16000400000001</v>
      </c>
      <c r="C112" s="6">
        <v>123.900002</v>
      </c>
      <c r="D112" s="6">
        <v>32.959999000000003</v>
      </c>
      <c r="E112" s="6">
        <v>133.470001</v>
      </c>
      <c r="F112" s="6">
        <v>106.209999</v>
      </c>
      <c r="G112" s="6">
        <v>46.139999000000003</v>
      </c>
      <c r="H112" s="6">
        <v>96.050003000000004</v>
      </c>
      <c r="I112" s="6">
        <v>162.44000199999999</v>
      </c>
      <c r="J112" s="6">
        <v>21.950001</v>
      </c>
      <c r="K112" s="6">
        <v>28.42</v>
      </c>
      <c r="N112" s="18">
        <v>108</v>
      </c>
      <c r="O112" s="1">
        <v>43623</v>
      </c>
      <c r="P112" s="5">
        <f t="shared" si="56"/>
        <v>1.2152985399747792E-2</v>
      </c>
      <c r="Q112" s="5">
        <f t="shared" si="57"/>
        <v>1.4470612344469176E-2</v>
      </c>
      <c r="R112" s="5">
        <f t="shared" si="58"/>
        <v>3.2061902119856781E-2</v>
      </c>
      <c r="S112" s="5">
        <f t="shared" si="59"/>
        <v>1.1226375330727739E-2</v>
      </c>
      <c r="T112" s="5">
        <f t="shared" si="60"/>
        <v>1.9791628060717398E-3</v>
      </c>
      <c r="U112" s="5">
        <f t="shared" si="61"/>
        <v>8.6732445378477272E-4</v>
      </c>
      <c r="V112" s="5">
        <f t="shared" si="62"/>
        <v>1.4049339768834997E-2</v>
      </c>
      <c r="W112" s="5">
        <f t="shared" si="63"/>
        <v>1.4785919447072534E-3</v>
      </c>
      <c r="X112" s="5">
        <f t="shared" si="64"/>
        <v>4.1086565852201671E-3</v>
      </c>
      <c r="Y112" s="5">
        <f t="shared" si="65"/>
        <v>1.4084861731403645E-3</v>
      </c>
      <c r="Z112" s="33">
        <v>108</v>
      </c>
      <c r="AE112" s="20" t="str">
        <f t="shared" si="66"/>
        <v/>
      </c>
      <c r="AF112" s="22" t="str">
        <f t="shared" si="67"/>
        <v/>
      </c>
      <c r="AG112" s="9" t="str">
        <f t="shared" ca="1" si="46"/>
        <v/>
      </c>
      <c r="AH112" s="9" t="str">
        <f t="shared" ca="1" si="47"/>
        <v/>
      </c>
      <c r="AI112" s="9" t="str">
        <f t="shared" ca="1" si="48"/>
        <v/>
      </c>
      <c r="AJ112" s="9" t="str">
        <f t="shared" ca="1" si="49"/>
        <v/>
      </c>
      <c r="AK112" s="9" t="str">
        <f t="shared" ca="1" si="50"/>
        <v/>
      </c>
      <c r="AL112" s="9" t="str">
        <f t="shared" ca="1" si="51"/>
        <v/>
      </c>
      <c r="AM112" s="9" t="str">
        <f t="shared" ca="1" si="52"/>
        <v/>
      </c>
      <c r="AN112" s="9" t="str">
        <f t="shared" ca="1" si="53"/>
        <v/>
      </c>
      <c r="AO112" s="9" t="str">
        <f t="shared" ca="1" si="54"/>
        <v/>
      </c>
      <c r="AP112" s="9" t="str">
        <f t="shared" ca="1" si="55"/>
        <v/>
      </c>
      <c r="AQ112" s="9"/>
      <c r="AR112" s="9"/>
      <c r="AS112" s="9"/>
      <c r="AT112" s="9"/>
      <c r="AU112" s="9"/>
    </row>
    <row r="113" spans="1:47" x14ac:dyDescent="0.3">
      <c r="A113" s="1">
        <v>43626</v>
      </c>
      <c r="B113" s="6">
        <v>280.33999599999999</v>
      </c>
      <c r="C113" s="6">
        <v>126.220001</v>
      </c>
      <c r="D113" s="6">
        <v>32.875</v>
      </c>
      <c r="E113" s="6">
        <v>133.58999600000001</v>
      </c>
      <c r="F113" s="6">
        <v>105.480003</v>
      </c>
      <c r="G113" s="6">
        <v>46.09</v>
      </c>
      <c r="H113" s="6">
        <v>96.589995999999999</v>
      </c>
      <c r="I113" s="6">
        <v>163.020004</v>
      </c>
      <c r="J113" s="6">
        <v>21.32</v>
      </c>
      <c r="K113" s="6">
        <v>28.25</v>
      </c>
      <c r="N113" s="19">
        <v>109</v>
      </c>
      <c r="O113" s="1">
        <v>43626</v>
      </c>
      <c r="P113" s="5">
        <f t="shared" si="56"/>
        <v>7.80663588670446E-3</v>
      </c>
      <c r="Q113" s="5">
        <f t="shared" si="57"/>
        <v>1.8551619301621355E-2</v>
      </c>
      <c r="R113" s="5">
        <f t="shared" si="58"/>
        <v>-2.5821842035361978E-3</v>
      </c>
      <c r="S113" s="5">
        <f t="shared" si="59"/>
        <v>8.9863708097890759E-4</v>
      </c>
      <c r="T113" s="5">
        <f t="shared" si="60"/>
        <v>-6.8968669916427017E-3</v>
      </c>
      <c r="U113" s="5">
        <f t="shared" si="61"/>
        <v>-1.0842243400218726E-3</v>
      </c>
      <c r="V113" s="5">
        <f t="shared" si="62"/>
        <v>5.606254330751544E-3</v>
      </c>
      <c r="W113" s="5">
        <f t="shared" si="63"/>
        <v>3.5642020728424862E-3</v>
      </c>
      <c r="X113" s="5">
        <f t="shared" si="64"/>
        <v>-2.9121585781622043E-2</v>
      </c>
      <c r="Y113" s="5">
        <f t="shared" si="65"/>
        <v>-5.9996650765046936E-3</v>
      </c>
      <c r="Z113" s="33">
        <v>109</v>
      </c>
      <c r="AE113" s="20" t="str">
        <f t="shared" si="66"/>
        <v/>
      </c>
      <c r="AF113" s="22" t="str">
        <f t="shared" si="67"/>
        <v/>
      </c>
      <c r="AG113" s="9" t="str">
        <f t="shared" ca="1" si="46"/>
        <v/>
      </c>
      <c r="AH113" s="9" t="str">
        <f t="shared" ca="1" si="47"/>
        <v/>
      </c>
      <c r="AI113" s="9" t="str">
        <f t="shared" ca="1" si="48"/>
        <v/>
      </c>
      <c r="AJ113" s="9" t="str">
        <f t="shared" ca="1" si="49"/>
        <v/>
      </c>
      <c r="AK113" s="9" t="str">
        <f t="shared" ca="1" si="50"/>
        <v/>
      </c>
      <c r="AL113" s="9" t="str">
        <f t="shared" ca="1" si="51"/>
        <v/>
      </c>
      <c r="AM113" s="9" t="str">
        <f t="shared" ca="1" si="52"/>
        <v/>
      </c>
      <c r="AN113" s="9" t="str">
        <f t="shared" ca="1" si="53"/>
        <v/>
      </c>
      <c r="AO113" s="9" t="str">
        <f t="shared" ca="1" si="54"/>
        <v/>
      </c>
      <c r="AP113" s="9" t="str">
        <f t="shared" ca="1" si="55"/>
        <v/>
      </c>
      <c r="AQ113" s="9"/>
      <c r="AR113" s="9"/>
      <c r="AS113" s="9"/>
      <c r="AT113" s="9"/>
      <c r="AU113" s="9"/>
    </row>
    <row r="114" spans="1:47" x14ac:dyDescent="0.3">
      <c r="A114" s="1">
        <v>43627</v>
      </c>
      <c r="B114" s="6">
        <v>275.98998999999998</v>
      </c>
      <c r="C114" s="6">
        <v>126.139999</v>
      </c>
      <c r="D114" s="6">
        <v>32.25</v>
      </c>
      <c r="E114" s="6">
        <v>133.199997</v>
      </c>
      <c r="F114" s="6">
        <v>105.290001</v>
      </c>
      <c r="G114" s="6">
        <v>46.040000999999997</v>
      </c>
      <c r="H114" s="6">
        <v>96.370002999999997</v>
      </c>
      <c r="I114" s="6">
        <v>162.490005</v>
      </c>
      <c r="J114" s="6">
        <v>21.620000999999998</v>
      </c>
      <c r="K114" s="6">
        <v>28.969999000000001</v>
      </c>
      <c r="N114" s="18">
        <v>110</v>
      </c>
      <c r="O114" s="1">
        <v>43627</v>
      </c>
      <c r="P114" s="5">
        <f t="shared" si="56"/>
        <v>-1.5638541023019193E-2</v>
      </c>
      <c r="Q114" s="5">
        <f t="shared" si="57"/>
        <v>-6.340307709623178E-4</v>
      </c>
      <c r="R114" s="5">
        <f t="shared" si="58"/>
        <v>-1.919444725614718E-2</v>
      </c>
      <c r="S114" s="5">
        <f t="shared" si="59"/>
        <v>-2.9236424755934342E-3</v>
      </c>
      <c r="T114" s="5">
        <f t="shared" si="60"/>
        <v>-1.8029325602501064E-3</v>
      </c>
      <c r="U114" s="5">
        <f t="shared" si="61"/>
        <v>-1.0854011584921113E-3</v>
      </c>
      <c r="V114" s="5">
        <f t="shared" si="62"/>
        <v>-2.2801937858339229E-3</v>
      </c>
      <c r="W114" s="5">
        <f t="shared" si="63"/>
        <v>-3.2564250173688792E-3</v>
      </c>
      <c r="X114" s="5">
        <f t="shared" si="64"/>
        <v>1.3973259166886335E-2</v>
      </c>
      <c r="Y114" s="5">
        <f t="shared" si="65"/>
        <v>2.5167319670341047E-2</v>
      </c>
      <c r="Z114" s="33">
        <v>110</v>
      </c>
      <c r="AE114" s="20" t="str">
        <f t="shared" si="66"/>
        <v/>
      </c>
      <c r="AF114" s="22" t="str">
        <f t="shared" si="67"/>
        <v/>
      </c>
      <c r="AG114" s="9" t="str">
        <f t="shared" ca="1" si="46"/>
        <v/>
      </c>
      <c r="AH114" s="9" t="str">
        <f t="shared" ca="1" si="47"/>
        <v/>
      </c>
      <c r="AI114" s="9" t="str">
        <f t="shared" ca="1" si="48"/>
        <v/>
      </c>
      <c r="AJ114" s="9" t="str">
        <f t="shared" ca="1" si="49"/>
        <v/>
      </c>
      <c r="AK114" s="9" t="str">
        <f t="shared" ca="1" si="50"/>
        <v/>
      </c>
      <c r="AL114" s="9" t="str">
        <f t="shared" ca="1" si="51"/>
        <v/>
      </c>
      <c r="AM114" s="9" t="str">
        <f t="shared" ca="1" si="52"/>
        <v/>
      </c>
      <c r="AN114" s="9" t="str">
        <f t="shared" ca="1" si="53"/>
        <v/>
      </c>
      <c r="AO114" s="9" t="str">
        <f t="shared" ca="1" si="54"/>
        <v/>
      </c>
      <c r="AP114" s="9" t="str">
        <f t="shared" ca="1" si="55"/>
        <v/>
      </c>
      <c r="AQ114" s="9"/>
      <c r="AR114" s="9"/>
      <c r="AS114" s="9"/>
      <c r="AT114" s="9"/>
      <c r="AU114" s="9"/>
    </row>
    <row r="115" spans="1:47" x14ac:dyDescent="0.3">
      <c r="A115" s="1">
        <v>43628</v>
      </c>
      <c r="B115" s="6">
        <v>276.83999599999999</v>
      </c>
      <c r="C115" s="6">
        <v>126.739998</v>
      </c>
      <c r="D115" s="6">
        <v>32.040000999999997</v>
      </c>
      <c r="E115" s="6">
        <v>133.13999899999999</v>
      </c>
      <c r="F115" s="6">
        <v>106.32</v>
      </c>
      <c r="G115" s="6">
        <v>46.110000999999997</v>
      </c>
      <c r="H115" s="6">
        <v>96.540001000000004</v>
      </c>
      <c r="I115" s="6">
        <v>161.979996</v>
      </c>
      <c r="J115" s="6">
        <v>21.870000999999998</v>
      </c>
      <c r="K115" s="6">
        <v>29.23</v>
      </c>
      <c r="N115" s="19">
        <v>111</v>
      </c>
      <c r="O115" s="1">
        <v>43628</v>
      </c>
      <c r="P115" s="5">
        <f t="shared" si="56"/>
        <v>3.0751105813794258E-3</v>
      </c>
      <c r="Q115" s="5">
        <f t="shared" si="57"/>
        <v>4.7453348072272862E-3</v>
      </c>
      <c r="R115" s="5">
        <f t="shared" si="58"/>
        <v>-6.5328898306373081E-3</v>
      </c>
      <c r="S115" s="5">
        <f t="shared" si="59"/>
        <v>-4.5053692209930839E-4</v>
      </c>
      <c r="T115" s="5">
        <f t="shared" si="60"/>
        <v>9.7349570387437571E-3</v>
      </c>
      <c r="U115" s="5">
        <f t="shared" si="61"/>
        <v>1.5192623319585697E-3</v>
      </c>
      <c r="V115" s="5">
        <f t="shared" si="62"/>
        <v>1.7624595975322191E-3</v>
      </c>
      <c r="W115" s="5">
        <f t="shared" si="63"/>
        <v>-3.1436460593719804E-3</v>
      </c>
      <c r="X115" s="5">
        <f t="shared" si="64"/>
        <v>1.1497021948882431E-2</v>
      </c>
      <c r="Y115" s="5">
        <f t="shared" si="65"/>
        <v>8.9348018603633839E-3</v>
      </c>
      <c r="Z115" s="33">
        <v>111</v>
      </c>
      <c r="AE115" s="20" t="str">
        <f t="shared" si="66"/>
        <v/>
      </c>
      <c r="AF115" s="22" t="str">
        <f t="shared" si="67"/>
        <v/>
      </c>
      <c r="AG115" s="9" t="str">
        <f t="shared" ca="1" si="46"/>
        <v/>
      </c>
      <c r="AH115" s="9" t="str">
        <f t="shared" ca="1" si="47"/>
        <v/>
      </c>
      <c r="AI115" s="9" t="str">
        <f t="shared" ca="1" si="48"/>
        <v/>
      </c>
      <c r="AJ115" s="9" t="str">
        <f t="shared" ca="1" si="49"/>
        <v/>
      </c>
      <c r="AK115" s="9" t="str">
        <f t="shared" ca="1" si="50"/>
        <v/>
      </c>
      <c r="AL115" s="9" t="str">
        <f t="shared" ca="1" si="51"/>
        <v/>
      </c>
      <c r="AM115" s="9" t="str">
        <f t="shared" ca="1" si="52"/>
        <v/>
      </c>
      <c r="AN115" s="9" t="str">
        <f t="shared" ca="1" si="53"/>
        <v/>
      </c>
      <c r="AO115" s="9" t="str">
        <f t="shared" ca="1" si="54"/>
        <v/>
      </c>
      <c r="AP115" s="9" t="str">
        <f t="shared" ca="1" si="55"/>
        <v/>
      </c>
      <c r="AQ115" s="9"/>
      <c r="AR115" s="9"/>
      <c r="AS115" s="9"/>
      <c r="AT115" s="9"/>
      <c r="AU115" s="9"/>
    </row>
    <row r="116" spans="1:47" x14ac:dyDescent="0.3">
      <c r="A116" s="1">
        <v>43629</v>
      </c>
      <c r="B116" s="6">
        <v>276.29998799999998</v>
      </c>
      <c r="C116" s="6">
        <v>125.980003</v>
      </c>
      <c r="D116" s="6">
        <v>30.299999</v>
      </c>
      <c r="E116" s="6">
        <v>132.94000199999999</v>
      </c>
      <c r="F116" s="6">
        <v>106.279999</v>
      </c>
      <c r="G116" s="6">
        <v>46.349997999999999</v>
      </c>
      <c r="H116" s="6">
        <v>96.779999000000004</v>
      </c>
      <c r="I116" s="6">
        <v>165.16999799999999</v>
      </c>
      <c r="J116" s="6">
        <v>22.27</v>
      </c>
      <c r="K116" s="6">
        <v>29.889999</v>
      </c>
      <c r="N116" s="18">
        <v>112</v>
      </c>
      <c r="O116" s="1">
        <v>43629</v>
      </c>
      <c r="P116" s="5">
        <f t="shared" si="56"/>
        <v>-1.952519026566728E-3</v>
      </c>
      <c r="Q116" s="5">
        <f t="shared" si="57"/>
        <v>-6.0145401079467441E-3</v>
      </c>
      <c r="R116" s="5">
        <f t="shared" si="58"/>
        <v>-5.5837473899121581E-2</v>
      </c>
      <c r="S116" s="5">
        <f t="shared" si="59"/>
        <v>-1.5032850038500718E-3</v>
      </c>
      <c r="T116" s="5">
        <f t="shared" si="60"/>
        <v>-3.7630292248508416E-4</v>
      </c>
      <c r="U116" s="5">
        <f t="shared" si="61"/>
        <v>5.1913809560337728E-3</v>
      </c>
      <c r="V116" s="5">
        <f t="shared" si="62"/>
        <v>2.4829104417116582E-3</v>
      </c>
      <c r="W116" s="5">
        <f t="shared" si="63"/>
        <v>1.9502388297825662E-2</v>
      </c>
      <c r="X116" s="5">
        <f t="shared" si="64"/>
        <v>1.8124600855863874E-2</v>
      </c>
      <c r="Y116" s="5">
        <f t="shared" si="65"/>
        <v>2.2328363716685951E-2</v>
      </c>
      <c r="Z116" s="33">
        <v>112</v>
      </c>
      <c r="AE116" s="20" t="str">
        <f t="shared" si="66"/>
        <v/>
      </c>
      <c r="AF116" s="22" t="str">
        <f t="shared" si="67"/>
        <v/>
      </c>
      <c r="AG116" s="9" t="str">
        <f t="shared" ca="1" si="46"/>
        <v/>
      </c>
      <c r="AH116" s="9" t="str">
        <f t="shared" ca="1" si="47"/>
        <v/>
      </c>
      <c r="AI116" s="9" t="str">
        <f t="shared" ca="1" si="48"/>
        <v/>
      </c>
      <c r="AJ116" s="9" t="str">
        <f t="shared" ca="1" si="49"/>
        <v/>
      </c>
      <c r="AK116" s="9" t="str">
        <f t="shared" ca="1" si="50"/>
        <v/>
      </c>
      <c r="AL116" s="9" t="str">
        <f t="shared" ca="1" si="51"/>
        <v/>
      </c>
      <c r="AM116" s="9" t="str">
        <f t="shared" ca="1" si="52"/>
        <v/>
      </c>
      <c r="AN116" s="9" t="str">
        <f t="shared" ca="1" si="53"/>
        <v/>
      </c>
      <c r="AO116" s="9" t="str">
        <f t="shared" ca="1" si="54"/>
        <v/>
      </c>
      <c r="AP116" s="9" t="str">
        <f t="shared" ca="1" si="55"/>
        <v/>
      </c>
      <c r="AQ116" s="9"/>
      <c r="AR116" s="9"/>
      <c r="AS116" s="9"/>
      <c r="AT116" s="9"/>
      <c r="AU116" s="9"/>
    </row>
    <row r="117" spans="1:47" x14ac:dyDescent="0.3">
      <c r="A117" s="1">
        <v>43630</v>
      </c>
      <c r="B117" s="6">
        <v>274.27999899999998</v>
      </c>
      <c r="C117" s="6">
        <v>124.800003</v>
      </c>
      <c r="D117" s="6">
        <v>30.665001</v>
      </c>
      <c r="E117" s="6">
        <v>132.729996</v>
      </c>
      <c r="F117" s="6">
        <v>106.160004</v>
      </c>
      <c r="G117" s="6">
        <v>46.439999</v>
      </c>
      <c r="H117" s="6">
        <v>96.07</v>
      </c>
      <c r="I117" s="6">
        <v>164.08999600000001</v>
      </c>
      <c r="J117" s="6">
        <v>22.07</v>
      </c>
      <c r="K117" s="6">
        <v>29.02</v>
      </c>
      <c r="N117" s="19">
        <v>113</v>
      </c>
      <c r="O117" s="1">
        <v>43630</v>
      </c>
      <c r="P117" s="5">
        <f t="shared" si="56"/>
        <v>-7.3377097280623079E-3</v>
      </c>
      <c r="Q117" s="5">
        <f t="shared" si="57"/>
        <v>-9.4107080332977676E-3</v>
      </c>
      <c r="R117" s="5">
        <f t="shared" si="58"/>
        <v>1.1974292176391895E-2</v>
      </c>
      <c r="S117" s="5">
        <f t="shared" si="59"/>
        <v>-1.5809541560731638E-3</v>
      </c>
      <c r="T117" s="5">
        <f t="shared" si="60"/>
        <v>-1.1296837795781829E-3</v>
      </c>
      <c r="U117" s="5">
        <f t="shared" si="61"/>
        <v>1.93988643461222E-3</v>
      </c>
      <c r="V117" s="5">
        <f t="shared" si="62"/>
        <v>-7.3632586108120686E-3</v>
      </c>
      <c r="W117" s="5">
        <f t="shared" si="63"/>
        <v>-6.5602010140699248E-3</v>
      </c>
      <c r="X117" s="5">
        <f t="shared" si="64"/>
        <v>-9.021261000631246E-3</v>
      </c>
      <c r="Y117" s="5">
        <f t="shared" si="65"/>
        <v>-2.953869538379883E-2</v>
      </c>
      <c r="Z117" s="33">
        <v>113</v>
      </c>
      <c r="AE117" s="20" t="str">
        <f t="shared" si="66"/>
        <v/>
      </c>
      <c r="AF117" s="22" t="str">
        <f t="shared" si="67"/>
        <v/>
      </c>
      <c r="AG117" s="9" t="str">
        <f t="shared" ca="1" si="46"/>
        <v/>
      </c>
      <c r="AH117" s="9" t="str">
        <f t="shared" ca="1" si="47"/>
        <v/>
      </c>
      <c r="AI117" s="9" t="str">
        <f t="shared" ca="1" si="48"/>
        <v/>
      </c>
      <c r="AJ117" s="9" t="str">
        <f t="shared" ca="1" si="49"/>
        <v/>
      </c>
      <c r="AK117" s="9" t="str">
        <f t="shared" ca="1" si="50"/>
        <v/>
      </c>
      <c r="AL117" s="9" t="str">
        <f t="shared" ca="1" si="51"/>
        <v/>
      </c>
      <c r="AM117" s="9" t="str">
        <f t="shared" ca="1" si="52"/>
        <v/>
      </c>
      <c r="AN117" s="9" t="str">
        <f t="shared" ca="1" si="53"/>
        <v/>
      </c>
      <c r="AO117" s="9" t="str">
        <f t="shared" ca="1" si="54"/>
        <v/>
      </c>
      <c r="AP117" s="9" t="str">
        <f t="shared" ca="1" si="55"/>
        <v/>
      </c>
      <c r="AQ117" s="9"/>
      <c r="AR117" s="9"/>
      <c r="AS117" s="9"/>
      <c r="AT117" s="9"/>
      <c r="AU117" s="9"/>
    </row>
    <row r="118" spans="1:47" x14ac:dyDescent="0.3">
      <c r="A118" s="1">
        <v>43633</v>
      </c>
      <c r="B118" s="6">
        <v>275.60000600000001</v>
      </c>
      <c r="C118" s="6">
        <v>124.519997</v>
      </c>
      <c r="D118" s="6">
        <v>30.959999</v>
      </c>
      <c r="E118" s="6">
        <v>132.520004</v>
      </c>
      <c r="F118" s="6">
        <v>107.44000200000001</v>
      </c>
      <c r="G118" s="6">
        <v>46.740001999999997</v>
      </c>
      <c r="H118" s="6">
        <v>95.410004000000001</v>
      </c>
      <c r="I118" s="6">
        <v>161.64999399999999</v>
      </c>
      <c r="J118" s="6">
        <v>21.969999000000001</v>
      </c>
      <c r="K118" s="6">
        <v>29.52</v>
      </c>
      <c r="N118" s="18">
        <v>114</v>
      </c>
      <c r="O118" s="1">
        <v>43633</v>
      </c>
      <c r="P118" s="5">
        <f t="shared" si="56"/>
        <v>4.8010821399310753E-3</v>
      </c>
      <c r="Q118" s="5">
        <f t="shared" si="57"/>
        <v>-2.2461584928966587E-3</v>
      </c>
      <c r="R118" s="5">
        <f t="shared" si="58"/>
        <v>9.5740447333696743E-3</v>
      </c>
      <c r="S118" s="5">
        <f t="shared" si="59"/>
        <v>-1.5833518859256347E-3</v>
      </c>
      <c r="T118" s="5">
        <f t="shared" si="60"/>
        <v>1.1985143127096427E-2</v>
      </c>
      <c r="U118" s="5">
        <f t="shared" si="61"/>
        <v>6.439236604083097E-3</v>
      </c>
      <c r="V118" s="5">
        <f t="shared" si="62"/>
        <v>-6.893655733566849E-3</v>
      </c>
      <c r="W118" s="5">
        <f t="shared" si="63"/>
        <v>-1.4981566355979662E-2</v>
      </c>
      <c r="X118" s="5">
        <f t="shared" si="64"/>
        <v>-4.5413793887407773E-3</v>
      </c>
      <c r="Y118" s="5">
        <f t="shared" si="65"/>
        <v>1.7082752276229976E-2</v>
      </c>
      <c r="Z118" s="33">
        <v>114</v>
      </c>
      <c r="AE118" s="20" t="str">
        <f t="shared" si="66"/>
        <v/>
      </c>
      <c r="AF118" s="22" t="str">
        <f t="shared" si="67"/>
        <v/>
      </c>
      <c r="AG118" s="9" t="str">
        <f t="shared" ca="1" si="46"/>
        <v/>
      </c>
      <c r="AH118" s="9" t="str">
        <f t="shared" ca="1" si="47"/>
        <v/>
      </c>
      <c r="AI118" s="9" t="str">
        <f t="shared" ca="1" si="48"/>
        <v/>
      </c>
      <c r="AJ118" s="9" t="str">
        <f t="shared" ca="1" si="49"/>
        <v/>
      </c>
      <c r="AK118" s="9" t="str">
        <f t="shared" ca="1" si="50"/>
        <v/>
      </c>
      <c r="AL118" s="9" t="str">
        <f t="shared" ca="1" si="51"/>
        <v/>
      </c>
      <c r="AM118" s="9" t="str">
        <f t="shared" ca="1" si="52"/>
        <v/>
      </c>
      <c r="AN118" s="9" t="str">
        <f t="shared" ca="1" si="53"/>
        <v/>
      </c>
      <c r="AO118" s="9" t="str">
        <f t="shared" ca="1" si="54"/>
        <v/>
      </c>
      <c r="AP118" s="9" t="str">
        <f t="shared" ca="1" si="55"/>
        <v/>
      </c>
      <c r="AQ118" s="9"/>
      <c r="AR118" s="9"/>
      <c r="AS118" s="9"/>
      <c r="AT118" s="9"/>
      <c r="AU118" s="9"/>
    </row>
    <row r="119" spans="1:47" x14ac:dyDescent="0.3">
      <c r="A119" s="1">
        <v>43634</v>
      </c>
      <c r="B119" s="6">
        <v>276.77999899999998</v>
      </c>
      <c r="C119" s="6">
        <v>125.860001</v>
      </c>
      <c r="D119" s="6">
        <v>31.059999000000001</v>
      </c>
      <c r="E119" s="6">
        <v>132.05999800000001</v>
      </c>
      <c r="F119" s="6">
        <v>106.68</v>
      </c>
      <c r="G119" s="6">
        <v>46.32</v>
      </c>
      <c r="H119" s="6">
        <v>96.360000999999997</v>
      </c>
      <c r="I119" s="6">
        <v>165.89999399999999</v>
      </c>
      <c r="J119" s="6">
        <v>22.219999000000001</v>
      </c>
      <c r="K119" s="6">
        <v>29.65</v>
      </c>
      <c r="N119" s="19">
        <v>115</v>
      </c>
      <c r="O119" s="1">
        <v>43634</v>
      </c>
      <c r="P119" s="5">
        <f t="shared" si="56"/>
        <v>4.2724022746207417E-3</v>
      </c>
      <c r="Q119" s="5">
        <f t="shared" si="57"/>
        <v>1.0703864563231569E-2</v>
      </c>
      <c r="R119" s="5">
        <f t="shared" si="58"/>
        <v>3.224769103006122E-3</v>
      </c>
      <c r="S119" s="5">
        <f t="shared" si="59"/>
        <v>-3.4772579940238225E-3</v>
      </c>
      <c r="T119" s="5">
        <f t="shared" si="60"/>
        <v>-7.098871516209403E-3</v>
      </c>
      <c r="U119" s="5">
        <f t="shared" si="61"/>
        <v>-9.0265386358727318E-3</v>
      </c>
      <c r="V119" s="5">
        <f t="shared" si="62"/>
        <v>9.9077514363402775E-3</v>
      </c>
      <c r="W119" s="5">
        <f t="shared" si="63"/>
        <v>2.5951693975820089E-2</v>
      </c>
      <c r="X119" s="5">
        <f t="shared" si="64"/>
        <v>1.1314898327078268E-2</v>
      </c>
      <c r="Y119" s="5">
        <f t="shared" si="65"/>
        <v>4.3941257114627772E-3</v>
      </c>
      <c r="Z119" s="33">
        <v>115</v>
      </c>
      <c r="AE119" s="20" t="str">
        <f t="shared" si="66"/>
        <v/>
      </c>
      <c r="AF119" s="22" t="str">
        <f t="shared" si="67"/>
        <v/>
      </c>
      <c r="AG119" s="9" t="str">
        <f t="shared" ca="1" si="46"/>
        <v/>
      </c>
      <c r="AH119" s="9" t="str">
        <f t="shared" ca="1" si="47"/>
        <v/>
      </c>
      <c r="AI119" s="9" t="str">
        <f t="shared" ca="1" si="48"/>
        <v/>
      </c>
      <c r="AJ119" s="9" t="str">
        <f t="shared" ca="1" si="49"/>
        <v/>
      </c>
      <c r="AK119" s="9" t="str">
        <f t="shared" ca="1" si="50"/>
        <v/>
      </c>
      <c r="AL119" s="9" t="str">
        <f t="shared" ca="1" si="51"/>
        <v/>
      </c>
      <c r="AM119" s="9" t="str">
        <f t="shared" ca="1" si="52"/>
        <v/>
      </c>
      <c r="AN119" s="9" t="str">
        <f t="shared" ca="1" si="53"/>
        <v/>
      </c>
      <c r="AO119" s="9" t="str">
        <f t="shared" ca="1" si="54"/>
        <v/>
      </c>
      <c r="AP119" s="9" t="str">
        <f t="shared" ca="1" si="55"/>
        <v/>
      </c>
      <c r="AQ119" s="9"/>
      <c r="AR119" s="9"/>
      <c r="AS119" s="9"/>
      <c r="AT119" s="9"/>
      <c r="AU119" s="9"/>
    </row>
    <row r="120" spans="1:47" x14ac:dyDescent="0.3">
      <c r="A120" s="1">
        <v>43635</v>
      </c>
      <c r="B120" s="6">
        <v>291.209991</v>
      </c>
      <c r="C120" s="6">
        <v>127.650002</v>
      </c>
      <c r="D120" s="6">
        <v>31.18</v>
      </c>
      <c r="E120" s="6">
        <v>132.85000600000001</v>
      </c>
      <c r="F120" s="6">
        <v>107.040001</v>
      </c>
      <c r="G120" s="6">
        <v>46.509998000000003</v>
      </c>
      <c r="H120" s="6">
        <v>96.940002000000007</v>
      </c>
      <c r="I120" s="6">
        <v>165.05999800000001</v>
      </c>
      <c r="J120" s="6">
        <v>22.450001</v>
      </c>
      <c r="K120" s="6">
        <v>30.5</v>
      </c>
      <c r="N120" s="18">
        <v>116</v>
      </c>
      <c r="O120" s="1">
        <v>43635</v>
      </c>
      <c r="P120" s="5">
        <f t="shared" si="56"/>
        <v>5.082166230190583E-2</v>
      </c>
      <c r="Q120" s="5">
        <f t="shared" si="57"/>
        <v>1.4121973311210876E-2</v>
      </c>
      <c r="R120" s="5">
        <f t="shared" si="58"/>
        <v>3.8560781048400448E-3</v>
      </c>
      <c r="S120" s="5">
        <f t="shared" si="59"/>
        <v>5.9643677477459302E-3</v>
      </c>
      <c r="T120" s="5">
        <f t="shared" si="60"/>
        <v>3.3689064084067065E-3</v>
      </c>
      <c r="U120" s="5">
        <f t="shared" si="61"/>
        <v>4.0934669697599074E-3</v>
      </c>
      <c r="V120" s="5">
        <f t="shared" si="62"/>
        <v>6.0010629241274514E-3</v>
      </c>
      <c r="W120" s="5">
        <f t="shared" si="63"/>
        <v>-5.07612898230072E-3</v>
      </c>
      <c r="X120" s="5">
        <f t="shared" si="64"/>
        <v>1.029791952470957E-2</v>
      </c>
      <c r="Y120" s="5">
        <f t="shared" si="65"/>
        <v>2.8264558169631422E-2</v>
      </c>
      <c r="Z120" s="33">
        <v>116</v>
      </c>
      <c r="AE120" s="20" t="str">
        <f t="shared" si="66"/>
        <v/>
      </c>
      <c r="AF120" s="22" t="str">
        <f t="shared" si="67"/>
        <v/>
      </c>
      <c r="AG120" s="9" t="str">
        <f t="shared" ca="1" si="46"/>
        <v/>
      </c>
      <c r="AH120" s="9" t="str">
        <f t="shared" ca="1" si="47"/>
        <v/>
      </c>
      <c r="AI120" s="9" t="str">
        <f t="shared" ca="1" si="48"/>
        <v/>
      </c>
      <c r="AJ120" s="9" t="str">
        <f t="shared" ca="1" si="49"/>
        <v/>
      </c>
      <c r="AK120" s="9" t="str">
        <f t="shared" ca="1" si="50"/>
        <v/>
      </c>
      <c r="AL120" s="9" t="str">
        <f t="shared" ca="1" si="51"/>
        <v/>
      </c>
      <c r="AM120" s="9" t="str">
        <f t="shared" ca="1" si="52"/>
        <v/>
      </c>
      <c r="AN120" s="9" t="str">
        <f t="shared" ca="1" si="53"/>
        <v/>
      </c>
      <c r="AO120" s="9" t="str">
        <f t="shared" ca="1" si="54"/>
        <v/>
      </c>
      <c r="AP120" s="9" t="str">
        <f t="shared" ca="1" si="55"/>
        <v/>
      </c>
      <c r="AQ120" s="9"/>
      <c r="AR120" s="9"/>
      <c r="AS120" s="9"/>
      <c r="AT120" s="9"/>
      <c r="AU120" s="9"/>
    </row>
    <row r="121" spans="1:47" x14ac:dyDescent="0.3">
      <c r="A121" s="1">
        <v>43636</v>
      </c>
      <c r="B121" s="6">
        <v>302.10998499999999</v>
      </c>
      <c r="C121" s="6">
        <v>130.009995</v>
      </c>
      <c r="D121" s="6">
        <v>31.76</v>
      </c>
      <c r="E121" s="6">
        <v>134.16000399999999</v>
      </c>
      <c r="F121" s="6">
        <v>107.66999800000001</v>
      </c>
      <c r="G121" s="6">
        <v>46.560001</v>
      </c>
      <c r="H121" s="6">
        <v>98.050003000000004</v>
      </c>
      <c r="I121" s="6">
        <v>167.990005</v>
      </c>
      <c r="J121" s="6">
        <v>22.48</v>
      </c>
      <c r="K121" s="6">
        <v>30.93</v>
      </c>
      <c r="N121" s="19">
        <v>117</v>
      </c>
      <c r="O121" s="1">
        <v>43636</v>
      </c>
      <c r="P121" s="5">
        <f t="shared" si="56"/>
        <v>3.6746514329256505E-2</v>
      </c>
      <c r="Q121" s="5">
        <f t="shared" si="57"/>
        <v>1.8319172760162063E-2</v>
      </c>
      <c r="R121" s="5">
        <f t="shared" si="58"/>
        <v>1.8430772749304613E-2</v>
      </c>
      <c r="S121" s="5">
        <f t="shared" si="59"/>
        <v>9.8124299605590378E-3</v>
      </c>
      <c r="T121" s="5">
        <f t="shared" si="60"/>
        <v>5.8683695301289755E-3</v>
      </c>
      <c r="U121" s="5">
        <f t="shared" si="61"/>
        <v>1.0745246663456448E-3</v>
      </c>
      <c r="V121" s="5">
        <f t="shared" si="62"/>
        <v>1.1385332190441117E-2</v>
      </c>
      <c r="W121" s="5">
        <f t="shared" si="63"/>
        <v>1.759545153806677E-2</v>
      </c>
      <c r="X121" s="5">
        <f t="shared" si="64"/>
        <v>1.3353662937981002E-3</v>
      </c>
      <c r="Y121" s="5">
        <f t="shared" si="65"/>
        <v>1.3999903083612267E-2</v>
      </c>
      <c r="Z121" s="33">
        <v>117</v>
      </c>
      <c r="AE121" s="20" t="str">
        <f t="shared" si="66"/>
        <v/>
      </c>
      <c r="AF121" s="22" t="str">
        <f t="shared" si="67"/>
        <v/>
      </c>
      <c r="AG121" s="9" t="str">
        <f t="shared" ca="1" si="46"/>
        <v/>
      </c>
      <c r="AH121" s="9" t="str">
        <f t="shared" ca="1" si="47"/>
        <v/>
      </c>
      <c r="AI121" s="9" t="str">
        <f t="shared" ca="1" si="48"/>
        <v/>
      </c>
      <c r="AJ121" s="9" t="str">
        <f t="shared" ca="1" si="49"/>
        <v/>
      </c>
      <c r="AK121" s="9" t="str">
        <f t="shared" ca="1" si="50"/>
        <v/>
      </c>
      <c r="AL121" s="9" t="str">
        <f t="shared" ca="1" si="51"/>
        <v/>
      </c>
      <c r="AM121" s="9" t="str">
        <f t="shared" ca="1" si="52"/>
        <v/>
      </c>
      <c r="AN121" s="9" t="str">
        <f t="shared" ca="1" si="53"/>
        <v/>
      </c>
      <c r="AO121" s="9" t="str">
        <f t="shared" ca="1" si="54"/>
        <v/>
      </c>
      <c r="AP121" s="9" t="str">
        <f t="shared" ca="1" si="55"/>
        <v/>
      </c>
      <c r="AQ121" s="9"/>
      <c r="AR121" s="9"/>
      <c r="AS121" s="9"/>
      <c r="AT121" s="9"/>
      <c r="AU121" s="9"/>
    </row>
    <row r="122" spans="1:47" x14ac:dyDescent="0.3">
      <c r="A122" s="1">
        <v>43637</v>
      </c>
      <c r="B122" s="6">
        <v>299.32998700000002</v>
      </c>
      <c r="C122" s="6">
        <v>128.83999600000001</v>
      </c>
      <c r="D122" s="6">
        <v>31.889999</v>
      </c>
      <c r="E122" s="6">
        <v>133.96000699999999</v>
      </c>
      <c r="F122" s="6">
        <v>106.16999800000001</v>
      </c>
      <c r="G122" s="6">
        <v>45.68</v>
      </c>
      <c r="H122" s="6">
        <v>97.220000999999996</v>
      </c>
      <c r="I122" s="6">
        <v>161.820007</v>
      </c>
      <c r="J122" s="6">
        <v>22.450001</v>
      </c>
      <c r="K122" s="6">
        <v>30.690000999999999</v>
      </c>
      <c r="N122" s="18">
        <v>118</v>
      </c>
      <c r="O122" s="1">
        <v>43637</v>
      </c>
      <c r="P122" s="5">
        <f t="shared" si="56"/>
        <v>-9.2445395316723047E-3</v>
      </c>
      <c r="Q122" s="5">
        <f t="shared" si="57"/>
        <v>-9.0400386987577169E-3</v>
      </c>
      <c r="R122" s="5">
        <f t="shared" si="58"/>
        <v>4.0848132852383257E-3</v>
      </c>
      <c r="S122" s="5">
        <f t="shared" si="59"/>
        <v>-1.491847149692267E-3</v>
      </c>
      <c r="T122" s="5">
        <f t="shared" si="60"/>
        <v>-1.4029411064580699E-2</v>
      </c>
      <c r="U122" s="5">
        <f t="shared" si="61"/>
        <v>-1.9081259553090559E-2</v>
      </c>
      <c r="V122" s="5">
        <f t="shared" si="62"/>
        <v>-8.5011213357304351E-3</v>
      </c>
      <c r="W122" s="5">
        <f t="shared" si="63"/>
        <v>-3.7419833948165157E-2</v>
      </c>
      <c r="X122" s="5">
        <f t="shared" si="64"/>
        <v>-1.3353662937982032E-3</v>
      </c>
      <c r="Y122" s="5">
        <f t="shared" si="65"/>
        <v>-7.7896854814304617E-3</v>
      </c>
      <c r="Z122" s="33">
        <v>118</v>
      </c>
      <c r="AE122" s="20" t="str">
        <f t="shared" si="66"/>
        <v/>
      </c>
      <c r="AF122" s="22" t="str">
        <f t="shared" si="67"/>
        <v/>
      </c>
      <c r="AG122" s="9" t="str">
        <f t="shared" ca="1" si="46"/>
        <v/>
      </c>
      <c r="AH122" s="9" t="str">
        <f t="shared" ca="1" si="47"/>
        <v/>
      </c>
      <c r="AI122" s="9" t="str">
        <f t="shared" ca="1" si="48"/>
        <v/>
      </c>
      <c r="AJ122" s="9" t="str">
        <f t="shared" ca="1" si="49"/>
        <v/>
      </c>
      <c r="AK122" s="9" t="str">
        <f t="shared" ca="1" si="50"/>
        <v/>
      </c>
      <c r="AL122" s="9" t="str">
        <f t="shared" ca="1" si="51"/>
        <v/>
      </c>
      <c r="AM122" s="9" t="str">
        <f t="shared" ca="1" si="52"/>
        <v/>
      </c>
      <c r="AN122" s="9" t="str">
        <f t="shared" ca="1" si="53"/>
        <v/>
      </c>
      <c r="AO122" s="9" t="str">
        <f t="shared" ca="1" si="54"/>
        <v/>
      </c>
      <c r="AP122" s="9" t="str">
        <f t="shared" ca="1" si="55"/>
        <v/>
      </c>
      <c r="AQ122" s="9"/>
      <c r="AR122" s="9"/>
      <c r="AS122" s="9"/>
      <c r="AT122" s="9"/>
      <c r="AU122" s="9"/>
    </row>
    <row r="123" spans="1:47" x14ac:dyDescent="0.3">
      <c r="A123" s="1">
        <v>43640</v>
      </c>
      <c r="B123" s="6">
        <v>299.86999500000002</v>
      </c>
      <c r="C123" s="6">
        <v>128.11000100000001</v>
      </c>
      <c r="D123" s="6">
        <v>31.780000999999999</v>
      </c>
      <c r="E123" s="6">
        <v>134.13999899999999</v>
      </c>
      <c r="F123" s="6">
        <v>105.93</v>
      </c>
      <c r="G123" s="6">
        <v>45.509998000000003</v>
      </c>
      <c r="H123" s="6">
        <v>97.949996999999996</v>
      </c>
      <c r="I123" s="6">
        <v>162.58999600000001</v>
      </c>
      <c r="J123" s="6">
        <v>22.6</v>
      </c>
      <c r="K123" s="6">
        <v>31.01</v>
      </c>
      <c r="N123" s="19">
        <v>119</v>
      </c>
      <c r="O123" s="1">
        <v>43640</v>
      </c>
      <c r="P123" s="5">
        <f t="shared" si="56"/>
        <v>1.802430448658377E-3</v>
      </c>
      <c r="Q123" s="5">
        <f t="shared" si="57"/>
        <v>-5.6820157426044973E-3</v>
      </c>
      <c r="R123" s="5">
        <f t="shared" si="58"/>
        <v>-3.4552570892729399E-3</v>
      </c>
      <c r="S123" s="5">
        <f t="shared" si="59"/>
        <v>1.342723036286594E-3</v>
      </c>
      <c r="T123" s="5">
        <f t="shared" si="60"/>
        <v>-2.2630655793637214E-3</v>
      </c>
      <c r="U123" s="5">
        <f t="shared" si="61"/>
        <v>-3.7285272655905562E-3</v>
      </c>
      <c r="V123" s="5">
        <f t="shared" si="62"/>
        <v>7.4806518594192298E-3</v>
      </c>
      <c r="W123" s="5">
        <f t="shared" si="63"/>
        <v>4.7470203680707408E-3</v>
      </c>
      <c r="X123" s="5">
        <f t="shared" si="64"/>
        <v>6.6592475465480205E-3</v>
      </c>
      <c r="Y123" s="5">
        <f t="shared" si="65"/>
        <v>1.0372831896809785E-2</v>
      </c>
      <c r="Z123" s="33">
        <v>119</v>
      </c>
      <c r="AE123" s="20" t="str">
        <f t="shared" si="66"/>
        <v/>
      </c>
      <c r="AF123" s="22" t="str">
        <f t="shared" si="67"/>
        <v/>
      </c>
      <c r="AG123" s="9" t="str">
        <f t="shared" ca="1" si="46"/>
        <v/>
      </c>
      <c r="AH123" s="9" t="str">
        <f t="shared" ca="1" si="47"/>
        <v/>
      </c>
      <c r="AI123" s="9" t="str">
        <f t="shared" ca="1" si="48"/>
        <v/>
      </c>
      <c r="AJ123" s="9" t="str">
        <f t="shared" ca="1" si="49"/>
        <v/>
      </c>
      <c r="AK123" s="9" t="str">
        <f t="shared" ca="1" si="50"/>
        <v/>
      </c>
      <c r="AL123" s="9" t="str">
        <f t="shared" ca="1" si="51"/>
        <v/>
      </c>
      <c r="AM123" s="9" t="str">
        <f t="shared" ca="1" si="52"/>
        <v/>
      </c>
      <c r="AN123" s="9" t="str">
        <f t="shared" ca="1" si="53"/>
        <v/>
      </c>
      <c r="AO123" s="9" t="str">
        <f t="shared" ca="1" si="54"/>
        <v/>
      </c>
      <c r="AP123" s="9" t="str">
        <f t="shared" ca="1" si="55"/>
        <v/>
      </c>
      <c r="AQ123" s="9"/>
      <c r="AR123" s="9"/>
      <c r="AS123" s="9"/>
      <c r="AT123" s="9"/>
      <c r="AU123" s="9"/>
    </row>
    <row r="124" spans="1:47" x14ac:dyDescent="0.3">
      <c r="A124" s="1">
        <v>43641</v>
      </c>
      <c r="B124" s="6">
        <v>287.97000100000002</v>
      </c>
      <c r="C124" s="6">
        <v>124.639999</v>
      </c>
      <c r="D124" s="6">
        <v>31.665001</v>
      </c>
      <c r="E124" s="6">
        <v>133.80999800000001</v>
      </c>
      <c r="F124" s="6">
        <v>105.80999799999999</v>
      </c>
      <c r="G124" s="6">
        <v>45.110000999999997</v>
      </c>
      <c r="H124" s="6">
        <v>98.610000999999997</v>
      </c>
      <c r="I124" s="6">
        <v>163.979996</v>
      </c>
      <c r="J124" s="6">
        <v>22.370000999999998</v>
      </c>
      <c r="K124" s="6">
        <v>29.93</v>
      </c>
      <c r="N124" s="18">
        <v>120</v>
      </c>
      <c r="O124" s="1">
        <v>43641</v>
      </c>
      <c r="P124" s="5">
        <f t="shared" si="56"/>
        <v>-4.0492719216815194E-2</v>
      </c>
      <c r="Q124" s="5">
        <f t="shared" si="57"/>
        <v>-2.7459703574802749E-2</v>
      </c>
      <c r="R124" s="5">
        <f t="shared" si="58"/>
        <v>-3.6251910258977738E-3</v>
      </c>
      <c r="S124" s="5">
        <f t="shared" si="59"/>
        <v>-2.4631548463618347E-3</v>
      </c>
      <c r="T124" s="5">
        <f t="shared" si="60"/>
        <v>-1.133484594139849E-3</v>
      </c>
      <c r="U124" s="5">
        <f t="shared" si="61"/>
        <v>-8.828064493826315E-3</v>
      </c>
      <c r="V124" s="5">
        <f t="shared" si="62"/>
        <v>6.7155727225191387E-3</v>
      </c>
      <c r="W124" s="5">
        <f t="shared" si="63"/>
        <v>8.5127747691083073E-3</v>
      </c>
      <c r="X124" s="5">
        <f t="shared" si="64"/>
        <v>-1.0229086073476248E-2</v>
      </c>
      <c r="Y124" s="5">
        <f t="shared" si="65"/>
        <v>-3.5448411247750035E-2</v>
      </c>
      <c r="Z124" s="33">
        <v>120</v>
      </c>
      <c r="AE124" s="20" t="str">
        <f t="shared" si="66"/>
        <v/>
      </c>
      <c r="AF124" s="22" t="str">
        <f t="shared" si="67"/>
        <v/>
      </c>
      <c r="AG124" s="9" t="str">
        <f t="shared" ca="1" si="46"/>
        <v/>
      </c>
      <c r="AH124" s="9" t="str">
        <f t="shared" ca="1" si="47"/>
        <v/>
      </c>
      <c r="AI124" s="9" t="str">
        <f t="shared" ca="1" si="48"/>
        <v/>
      </c>
      <c r="AJ124" s="9" t="str">
        <f t="shared" ca="1" si="49"/>
        <v/>
      </c>
      <c r="AK124" s="9" t="str">
        <f t="shared" ca="1" si="50"/>
        <v/>
      </c>
      <c r="AL124" s="9" t="str">
        <f t="shared" ca="1" si="51"/>
        <v/>
      </c>
      <c r="AM124" s="9" t="str">
        <f t="shared" ca="1" si="52"/>
        <v/>
      </c>
      <c r="AN124" s="9" t="str">
        <f t="shared" ca="1" si="53"/>
        <v/>
      </c>
      <c r="AO124" s="9" t="str">
        <f t="shared" ca="1" si="54"/>
        <v/>
      </c>
      <c r="AP124" s="9" t="str">
        <f t="shared" ca="1" si="55"/>
        <v/>
      </c>
      <c r="AQ124" s="9"/>
      <c r="AR124" s="9"/>
      <c r="AS124" s="9"/>
      <c r="AT124" s="9"/>
      <c r="AU124" s="9"/>
    </row>
    <row r="125" spans="1:47" x14ac:dyDescent="0.3">
      <c r="A125" s="1">
        <v>43642</v>
      </c>
      <c r="B125" s="6">
        <v>288.72000100000002</v>
      </c>
      <c r="C125" s="6">
        <v>123.980003</v>
      </c>
      <c r="D125" s="6">
        <v>31.799999</v>
      </c>
      <c r="E125" s="6">
        <v>132.320007</v>
      </c>
      <c r="F125" s="6">
        <v>104.269997</v>
      </c>
      <c r="G125" s="6">
        <v>44.150002000000001</v>
      </c>
      <c r="H125" s="6">
        <v>98.349997999999999</v>
      </c>
      <c r="I125" s="6">
        <v>163.529999</v>
      </c>
      <c r="J125" s="6">
        <v>22.15</v>
      </c>
      <c r="K125" s="6">
        <v>29.52</v>
      </c>
      <c r="N125" s="19">
        <v>121</v>
      </c>
      <c r="O125" s="1">
        <v>43642</v>
      </c>
      <c r="P125" s="5">
        <f t="shared" si="56"/>
        <v>2.6010522819571325E-3</v>
      </c>
      <c r="Q125" s="5">
        <f t="shared" si="57"/>
        <v>-5.3092876281073597E-3</v>
      </c>
      <c r="R125" s="5">
        <f t="shared" si="58"/>
        <v>4.2542567905871293E-3</v>
      </c>
      <c r="S125" s="5">
        <f t="shared" si="59"/>
        <v>-1.1197584192895895E-2</v>
      </c>
      <c r="T125" s="5">
        <f t="shared" si="60"/>
        <v>-1.4661353984222242E-2</v>
      </c>
      <c r="U125" s="5">
        <f t="shared" si="61"/>
        <v>-2.1511001238256673E-2</v>
      </c>
      <c r="V125" s="5">
        <f t="shared" si="62"/>
        <v>-2.6401619856654349E-3</v>
      </c>
      <c r="W125" s="5">
        <f t="shared" si="63"/>
        <v>-2.7479911455993754E-3</v>
      </c>
      <c r="X125" s="5">
        <f t="shared" si="64"/>
        <v>-9.8833237136194199E-3</v>
      </c>
      <c r="Y125" s="5">
        <f t="shared" si="65"/>
        <v>-1.3793322132335873E-2</v>
      </c>
      <c r="Z125" s="33">
        <v>121</v>
      </c>
      <c r="AE125" s="20" t="str">
        <f t="shared" si="66"/>
        <v/>
      </c>
      <c r="AF125" s="22" t="str">
        <f t="shared" si="67"/>
        <v/>
      </c>
      <c r="AG125" s="9" t="str">
        <f t="shared" ca="1" si="46"/>
        <v/>
      </c>
      <c r="AH125" s="9" t="str">
        <f t="shared" ca="1" si="47"/>
        <v/>
      </c>
      <c r="AI125" s="9" t="str">
        <f t="shared" ca="1" si="48"/>
        <v/>
      </c>
      <c r="AJ125" s="9" t="str">
        <f t="shared" ca="1" si="49"/>
        <v/>
      </c>
      <c r="AK125" s="9" t="str">
        <f t="shared" ca="1" si="50"/>
        <v/>
      </c>
      <c r="AL125" s="9" t="str">
        <f t="shared" ca="1" si="51"/>
        <v/>
      </c>
      <c r="AM125" s="9" t="str">
        <f t="shared" ca="1" si="52"/>
        <v/>
      </c>
      <c r="AN125" s="9" t="str">
        <f t="shared" ca="1" si="53"/>
        <v/>
      </c>
      <c r="AO125" s="9" t="str">
        <f t="shared" ca="1" si="54"/>
        <v/>
      </c>
      <c r="AP125" s="9" t="str">
        <f t="shared" ca="1" si="55"/>
        <v/>
      </c>
      <c r="AQ125" s="9"/>
      <c r="AR125" s="9"/>
      <c r="AS125" s="9"/>
      <c r="AT125" s="9"/>
      <c r="AU125" s="9"/>
    </row>
    <row r="126" spans="1:47" x14ac:dyDescent="0.3">
      <c r="A126" s="1">
        <v>43643</v>
      </c>
      <c r="B126" s="6">
        <v>293.23001099999999</v>
      </c>
      <c r="C126" s="6">
        <v>125.620003</v>
      </c>
      <c r="D126" s="6">
        <v>31.785</v>
      </c>
      <c r="E126" s="6">
        <v>131.69000199999999</v>
      </c>
      <c r="F126" s="6">
        <v>103.650002</v>
      </c>
      <c r="G126" s="6">
        <v>44.580002</v>
      </c>
      <c r="H126" s="6">
        <v>98.540001000000004</v>
      </c>
      <c r="I126" s="6">
        <v>163.479996</v>
      </c>
      <c r="J126" s="6">
        <v>22.059999000000001</v>
      </c>
      <c r="K126" s="6">
        <v>29.74</v>
      </c>
      <c r="N126" s="18">
        <v>122</v>
      </c>
      <c r="O126" s="1">
        <v>43643</v>
      </c>
      <c r="P126" s="5">
        <f t="shared" si="56"/>
        <v>1.5499957729374471E-2</v>
      </c>
      <c r="Q126" s="5">
        <f t="shared" si="57"/>
        <v>1.3141214436557707E-2</v>
      </c>
      <c r="R126" s="5">
        <f t="shared" si="58"/>
        <v>-4.7177795121763422E-4</v>
      </c>
      <c r="S126" s="5">
        <f t="shared" si="59"/>
        <v>-4.7725932681248195E-3</v>
      </c>
      <c r="T126" s="5">
        <f t="shared" si="60"/>
        <v>-5.9638018525475546E-3</v>
      </c>
      <c r="U126" s="5">
        <f t="shared" si="61"/>
        <v>9.6924004708077889E-3</v>
      </c>
      <c r="V126" s="5">
        <f t="shared" si="62"/>
        <v>1.9300427644486924E-3</v>
      </c>
      <c r="W126" s="5">
        <f t="shared" si="63"/>
        <v>-3.0581940096186921E-4</v>
      </c>
      <c r="X126" s="5">
        <f t="shared" si="64"/>
        <v>-4.0715279967048455E-3</v>
      </c>
      <c r="Y126" s="5">
        <f t="shared" si="65"/>
        <v>7.4249412997372255E-3</v>
      </c>
      <c r="Z126" s="33">
        <v>122</v>
      </c>
      <c r="AE126" s="20" t="str">
        <f t="shared" si="66"/>
        <v/>
      </c>
      <c r="AF126" s="22" t="str">
        <f t="shared" si="67"/>
        <v/>
      </c>
      <c r="AG126" s="9" t="str">
        <f t="shared" ca="1" si="46"/>
        <v/>
      </c>
      <c r="AH126" s="9" t="str">
        <f t="shared" ca="1" si="47"/>
        <v/>
      </c>
      <c r="AI126" s="9" t="str">
        <f t="shared" ca="1" si="48"/>
        <v/>
      </c>
      <c r="AJ126" s="9" t="str">
        <f t="shared" ca="1" si="49"/>
        <v/>
      </c>
      <c r="AK126" s="9" t="str">
        <f t="shared" ca="1" si="50"/>
        <v/>
      </c>
      <c r="AL126" s="9" t="str">
        <f t="shared" ca="1" si="51"/>
        <v/>
      </c>
      <c r="AM126" s="9" t="str">
        <f t="shared" ca="1" si="52"/>
        <v/>
      </c>
      <c r="AN126" s="9" t="str">
        <f t="shared" ca="1" si="53"/>
        <v/>
      </c>
      <c r="AO126" s="9" t="str">
        <f t="shared" ca="1" si="54"/>
        <v/>
      </c>
      <c r="AP126" s="9" t="str">
        <f t="shared" ca="1" si="55"/>
        <v/>
      </c>
      <c r="AQ126" s="9"/>
      <c r="AR126" s="9"/>
      <c r="AS126" s="9"/>
      <c r="AT126" s="9"/>
      <c r="AU126" s="9"/>
    </row>
    <row r="127" spans="1:47" x14ac:dyDescent="0.3">
      <c r="A127" s="1">
        <v>43644</v>
      </c>
      <c r="B127" s="6">
        <v>294.64999399999999</v>
      </c>
      <c r="C127" s="6">
        <v>128.69000199999999</v>
      </c>
      <c r="D127" s="6">
        <v>31.915001</v>
      </c>
      <c r="E127" s="6">
        <v>131.13000500000001</v>
      </c>
      <c r="F127" s="6">
        <v>104.389999</v>
      </c>
      <c r="G127" s="6">
        <v>44.889999000000003</v>
      </c>
      <c r="H127" s="6">
        <v>100.199997</v>
      </c>
      <c r="I127" s="6">
        <v>165.63999899999999</v>
      </c>
      <c r="J127" s="6">
        <v>22.59</v>
      </c>
      <c r="K127" s="6">
        <v>30.700001</v>
      </c>
      <c r="N127" s="19">
        <v>123</v>
      </c>
      <c r="O127" s="1">
        <v>43644</v>
      </c>
      <c r="P127" s="5">
        <f t="shared" si="56"/>
        <v>4.8308693933084238E-3</v>
      </c>
      <c r="Q127" s="5">
        <f t="shared" si="57"/>
        <v>2.4144926139014509E-2</v>
      </c>
      <c r="R127" s="5">
        <f t="shared" si="58"/>
        <v>4.0816696528769769E-3</v>
      </c>
      <c r="S127" s="5">
        <f t="shared" si="59"/>
        <v>-4.2614552358784833E-3</v>
      </c>
      <c r="T127" s="5">
        <f t="shared" si="60"/>
        <v>7.1140176632502154E-3</v>
      </c>
      <c r="U127" s="5">
        <f t="shared" si="61"/>
        <v>6.9296576962750624E-3</v>
      </c>
      <c r="V127" s="5">
        <f t="shared" si="62"/>
        <v>1.6705591446664021E-2</v>
      </c>
      <c r="W127" s="5">
        <f t="shared" si="63"/>
        <v>1.3126118411925798E-2</v>
      </c>
      <c r="X127" s="5">
        <f t="shared" si="64"/>
        <v>2.3741361985472081E-2</v>
      </c>
      <c r="Y127" s="5">
        <f t="shared" si="65"/>
        <v>3.1769746134431849E-2</v>
      </c>
      <c r="Z127" s="33">
        <v>123</v>
      </c>
      <c r="AE127" s="20" t="str">
        <f t="shared" si="66"/>
        <v/>
      </c>
      <c r="AF127" s="22" t="str">
        <f t="shared" si="67"/>
        <v/>
      </c>
      <c r="AG127" s="9" t="str">
        <f t="shared" ca="1" si="46"/>
        <v/>
      </c>
      <c r="AH127" s="9" t="str">
        <f t="shared" ca="1" si="47"/>
        <v/>
      </c>
      <c r="AI127" s="9" t="str">
        <f t="shared" ca="1" si="48"/>
        <v/>
      </c>
      <c r="AJ127" s="9" t="str">
        <f t="shared" ca="1" si="49"/>
        <v/>
      </c>
      <c r="AK127" s="9" t="str">
        <f t="shared" ca="1" si="50"/>
        <v/>
      </c>
      <c r="AL127" s="9" t="str">
        <f t="shared" ca="1" si="51"/>
        <v/>
      </c>
      <c r="AM127" s="9" t="str">
        <f t="shared" ca="1" si="52"/>
        <v/>
      </c>
      <c r="AN127" s="9" t="str">
        <f t="shared" ca="1" si="53"/>
        <v/>
      </c>
      <c r="AO127" s="9" t="str">
        <f t="shared" ca="1" si="54"/>
        <v/>
      </c>
      <c r="AP127" s="9" t="str">
        <f t="shared" ca="1" si="55"/>
        <v/>
      </c>
      <c r="AQ127" s="9"/>
      <c r="AR127" s="9"/>
      <c r="AS127" s="9"/>
      <c r="AT127" s="9"/>
      <c r="AU127" s="9"/>
    </row>
    <row r="128" spans="1:47" x14ac:dyDescent="0.3">
      <c r="A128" s="1">
        <v>43647</v>
      </c>
      <c r="B128" s="6">
        <v>300.97000100000002</v>
      </c>
      <c r="C128" s="6">
        <v>131.429993</v>
      </c>
      <c r="D128" s="6">
        <v>32.384998000000003</v>
      </c>
      <c r="E128" s="6">
        <v>131.86999499999999</v>
      </c>
      <c r="F128" s="6">
        <v>104.779999</v>
      </c>
      <c r="G128" s="6">
        <v>45.110000999999997</v>
      </c>
      <c r="H128" s="6">
        <v>102.339996</v>
      </c>
      <c r="I128" s="6">
        <v>165.35000600000001</v>
      </c>
      <c r="J128" s="6">
        <v>22.530000999999999</v>
      </c>
      <c r="K128" s="6">
        <v>30.68</v>
      </c>
      <c r="N128" s="18">
        <v>124</v>
      </c>
      <c r="O128" s="1">
        <v>43647</v>
      </c>
      <c r="P128" s="5">
        <f t="shared" si="56"/>
        <v>2.1222404409437599E-2</v>
      </c>
      <c r="Q128" s="5">
        <f t="shared" si="57"/>
        <v>2.1067910186828298E-2</v>
      </c>
      <c r="R128" s="5">
        <f t="shared" si="58"/>
        <v>1.4619140836643153E-2</v>
      </c>
      <c r="S128" s="5">
        <f t="shared" si="59"/>
        <v>5.6273152300453152E-3</v>
      </c>
      <c r="T128" s="5">
        <f t="shared" si="60"/>
        <v>3.72902859552213E-3</v>
      </c>
      <c r="U128" s="5">
        <f t="shared" si="61"/>
        <v>4.8889430711736475E-3</v>
      </c>
      <c r="V128" s="5">
        <f t="shared" si="62"/>
        <v>2.1132405580899179E-2</v>
      </c>
      <c r="W128" s="5">
        <f t="shared" si="63"/>
        <v>-1.7522769257115119E-3</v>
      </c>
      <c r="X128" s="5">
        <f t="shared" si="64"/>
        <v>-2.6595316504957919E-3</v>
      </c>
      <c r="Y128" s="5">
        <f t="shared" si="65"/>
        <v>-6.5171066738547621E-4</v>
      </c>
      <c r="Z128" s="33">
        <v>124</v>
      </c>
      <c r="AE128" s="20" t="str">
        <f t="shared" si="66"/>
        <v/>
      </c>
      <c r="AF128" s="22" t="str">
        <f t="shared" si="67"/>
        <v/>
      </c>
      <c r="AG128" s="9" t="str">
        <f t="shared" ca="1" si="46"/>
        <v/>
      </c>
      <c r="AH128" s="9" t="str">
        <f t="shared" ca="1" si="47"/>
        <v/>
      </c>
      <c r="AI128" s="9" t="str">
        <f t="shared" ca="1" si="48"/>
        <v/>
      </c>
      <c r="AJ128" s="9" t="str">
        <f t="shared" ca="1" si="49"/>
        <v/>
      </c>
      <c r="AK128" s="9" t="str">
        <f t="shared" ca="1" si="50"/>
        <v/>
      </c>
      <c r="AL128" s="9" t="str">
        <f t="shared" ca="1" si="51"/>
        <v/>
      </c>
      <c r="AM128" s="9" t="str">
        <f t="shared" ca="1" si="52"/>
        <v/>
      </c>
      <c r="AN128" s="9" t="str">
        <f t="shared" ca="1" si="53"/>
        <v/>
      </c>
      <c r="AO128" s="9" t="str">
        <f t="shared" ca="1" si="54"/>
        <v/>
      </c>
      <c r="AP128" s="9" t="str">
        <f t="shared" ca="1" si="55"/>
        <v/>
      </c>
      <c r="AQ128" s="9"/>
      <c r="AR128" s="9"/>
      <c r="AS128" s="9"/>
      <c r="AT128" s="9"/>
      <c r="AU128" s="9"/>
    </row>
    <row r="129" spans="1:47" x14ac:dyDescent="0.3">
      <c r="A129" s="1">
        <v>43648</v>
      </c>
      <c r="B129" s="6">
        <v>301.39001500000001</v>
      </c>
      <c r="C129" s="6">
        <v>133.46000699999999</v>
      </c>
      <c r="D129" s="6">
        <v>32.325001</v>
      </c>
      <c r="E129" s="6">
        <v>132.429993</v>
      </c>
      <c r="F129" s="6">
        <v>106.480003</v>
      </c>
      <c r="G129" s="6">
        <v>45.650002000000001</v>
      </c>
      <c r="H129" s="6">
        <v>102.19000200000001</v>
      </c>
      <c r="I129" s="6">
        <v>162.96000699999999</v>
      </c>
      <c r="J129" s="6">
        <v>23.200001</v>
      </c>
      <c r="K129" s="6">
        <v>30.879999000000002</v>
      </c>
      <c r="N129" s="19">
        <v>125</v>
      </c>
      <c r="O129" s="1">
        <v>43648</v>
      </c>
      <c r="P129" s="5">
        <f t="shared" si="56"/>
        <v>1.3945615808281669E-3</v>
      </c>
      <c r="Q129" s="5">
        <f t="shared" si="57"/>
        <v>1.53275226920067E-2</v>
      </c>
      <c r="R129" s="5">
        <f t="shared" si="58"/>
        <v>-1.8543352841633399E-3</v>
      </c>
      <c r="S129" s="5">
        <f t="shared" si="59"/>
        <v>4.2376001772804527E-3</v>
      </c>
      <c r="T129" s="5">
        <f t="shared" si="60"/>
        <v>1.6094297824893168E-2</v>
      </c>
      <c r="U129" s="5">
        <f t="shared" si="61"/>
        <v>1.189967726424858E-2</v>
      </c>
      <c r="V129" s="5">
        <f t="shared" si="62"/>
        <v>-1.4667190960391857E-3</v>
      </c>
      <c r="W129" s="5">
        <f t="shared" si="63"/>
        <v>-1.4559660840590018E-2</v>
      </c>
      <c r="X129" s="5">
        <f t="shared" si="64"/>
        <v>2.93045229462956E-2</v>
      </c>
      <c r="Y129" s="5">
        <f t="shared" si="65"/>
        <v>6.4977162740998866E-3</v>
      </c>
      <c r="Z129" s="33">
        <v>125</v>
      </c>
      <c r="AE129" s="20" t="str">
        <f t="shared" si="66"/>
        <v/>
      </c>
      <c r="AF129" s="22" t="str">
        <f t="shared" si="67"/>
        <v/>
      </c>
      <c r="AG129" s="9" t="str">
        <f t="shared" ca="1" si="46"/>
        <v/>
      </c>
      <c r="AH129" s="9" t="str">
        <f t="shared" ca="1" si="47"/>
        <v/>
      </c>
      <c r="AI129" s="9" t="str">
        <f t="shared" ca="1" si="48"/>
        <v/>
      </c>
      <c r="AJ129" s="9" t="str">
        <f t="shared" ca="1" si="49"/>
        <v/>
      </c>
      <c r="AK129" s="9" t="str">
        <f t="shared" ca="1" si="50"/>
        <v/>
      </c>
      <c r="AL129" s="9" t="str">
        <f t="shared" ca="1" si="51"/>
        <v/>
      </c>
      <c r="AM129" s="9" t="str">
        <f t="shared" ca="1" si="52"/>
        <v/>
      </c>
      <c r="AN129" s="9" t="str">
        <f t="shared" ca="1" si="53"/>
        <v/>
      </c>
      <c r="AO129" s="9" t="str">
        <f t="shared" ca="1" si="54"/>
        <v/>
      </c>
      <c r="AP129" s="9" t="str">
        <f t="shared" ca="1" si="55"/>
        <v/>
      </c>
      <c r="AQ129" s="9"/>
      <c r="AR129" s="9"/>
      <c r="AS129" s="9"/>
      <c r="AT129" s="9"/>
      <c r="AU129" s="9"/>
    </row>
    <row r="130" spans="1:47" x14ac:dyDescent="0.3">
      <c r="A130" s="1">
        <v>43649</v>
      </c>
      <c r="B130" s="6">
        <v>305.70001200000002</v>
      </c>
      <c r="C130" s="6">
        <v>134.88999899999999</v>
      </c>
      <c r="D130" s="6">
        <v>32.974997999999999</v>
      </c>
      <c r="E130" s="6">
        <v>133.990005</v>
      </c>
      <c r="F130" s="6">
        <v>107.720001</v>
      </c>
      <c r="G130" s="6">
        <v>46.259998000000003</v>
      </c>
      <c r="H130" s="6">
        <v>103.389999</v>
      </c>
      <c r="I130" s="6">
        <v>162.80999800000001</v>
      </c>
      <c r="J130" s="6">
        <v>23.16</v>
      </c>
      <c r="K130" s="6">
        <v>30.9</v>
      </c>
      <c r="N130" s="18">
        <v>126</v>
      </c>
      <c r="O130" s="1">
        <v>43649</v>
      </c>
      <c r="P130" s="5">
        <f t="shared" si="56"/>
        <v>1.4199111239913517E-2</v>
      </c>
      <c r="Q130" s="5">
        <f t="shared" si="57"/>
        <v>1.0657764142508895E-2</v>
      </c>
      <c r="R130" s="5">
        <f t="shared" si="58"/>
        <v>1.9908682357638444E-2</v>
      </c>
      <c r="S130" s="5">
        <f t="shared" si="59"/>
        <v>1.1711056535975635E-2</v>
      </c>
      <c r="T130" s="5">
        <f t="shared" si="60"/>
        <v>1.1578074965564381E-2</v>
      </c>
      <c r="U130" s="5">
        <f t="shared" si="61"/>
        <v>1.3273962716810313E-2</v>
      </c>
      <c r="V130" s="5">
        <f t="shared" si="62"/>
        <v>1.1674390730982217E-2</v>
      </c>
      <c r="W130" s="5">
        <f t="shared" si="63"/>
        <v>-9.2095041471044971E-4</v>
      </c>
      <c r="X130" s="5">
        <f t="shared" si="64"/>
        <v>-1.725669070917089E-3</v>
      </c>
      <c r="Y130" s="5">
        <f t="shared" si="65"/>
        <v>6.4749113054439564E-4</v>
      </c>
      <c r="Z130" s="33">
        <v>126</v>
      </c>
      <c r="AE130" s="20" t="str">
        <f t="shared" si="66"/>
        <v/>
      </c>
      <c r="AF130" s="22" t="str">
        <f t="shared" si="67"/>
        <v/>
      </c>
      <c r="AG130" s="9" t="str">
        <f t="shared" ca="1" si="46"/>
        <v/>
      </c>
      <c r="AH130" s="9" t="str">
        <f t="shared" ca="1" si="47"/>
        <v/>
      </c>
      <c r="AI130" s="9" t="str">
        <f t="shared" ca="1" si="48"/>
        <v/>
      </c>
      <c r="AJ130" s="9" t="str">
        <f t="shared" ca="1" si="49"/>
        <v/>
      </c>
      <c r="AK130" s="9" t="str">
        <f t="shared" ca="1" si="50"/>
        <v/>
      </c>
      <c r="AL130" s="9" t="str">
        <f t="shared" ca="1" si="51"/>
        <v/>
      </c>
      <c r="AM130" s="9" t="str">
        <f t="shared" ca="1" si="52"/>
        <v/>
      </c>
      <c r="AN130" s="9" t="str">
        <f t="shared" ca="1" si="53"/>
        <v/>
      </c>
      <c r="AO130" s="9" t="str">
        <f t="shared" ca="1" si="54"/>
        <v/>
      </c>
      <c r="AP130" s="9" t="str">
        <f t="shared" ca="1" si="55"/>
        <v/>
      </c>
      <c r="AQ130" s="9"/>
      <c r="AR130" s="9"/>
      <c r="AS130" s="9"/>
      <c r="AT130" s="9"/>
      <c r="AU130" s="9"/>
    </row>
    <row r="131" spans="1:47" x14ac:dyDescent="0.3">
      <c r="A131" s="1">
        <v>43651</v>
      </c>
      <c r="B131" s="6">
        <v>303.98001099999999</v>
      </c>
      <c r="C131" s="6">
        <v>135.39999399999999</v>
      </c>
      <c r="D131" s="6">
        <v>32.959999000000003</v>
      </c>
      <c r="E131" s="6">
        <v>133.020004</v>
      </c>
      <c r="F131" s="6">
        <v>107.43</v>
      </c>
      <c r="G131" s="6">
        <v>46</v>
      </c>
      <c r="H131" s="6">
        <v>102.739998</v>
      </c>
      <c r="I131" s="6">
        <v>161.699997</v>
      </c>
      <c r="J131" s="6">
        <v>23.360001</v>
      </c>
      <c r="K131" s="6">
        <v>31.26</v>
      </c>
      <c r="N131" s="19">
        <v>127</v>
      </c>
      <c r="O131" s="1">
        <v>43651</v>
      </c>
      <c r="P131" s="5">
        <f t="shared" si="56"/>
        <v>-5.6423221960531476E-3</v>
      </c>
      <c r="Q131" s="5">
        <f t="shared" si="57"/>
        <v>3.7736920968871606E-3</v>
      </c>
      <c r="R131" s="5">
        <f t="shared" si="58"/>
        <v>-4.5496324990253602E-4</v>
      </c>
      <c r="S131" s="5">
        <f t="shared" si="59"/>
        <v>-7.2656846897928033E-3</v>
      </c>
      <c r="T131" s="5">
        <f t="shared" si="60"/>
        <v>-2.6958045482741622E-3</v>
      </c>
      <c r="U131" s="5">
        <f t="shared" si="61"/>
        <v>-5.6362170803019064E-3</v>
      </c>
      <c r="V131" s="5">
        <f t="shared" si="62"/>
        <v>-6.3067303539795739E-3</v>
      </c>
      <c r="W131" s="5">
        <f t="shared" si="63"/>
        <v>-6.8411164289800732E-3</v>
      </c>
      <c r="X131" s="5">
        <f t="shared" si="64"/>
        <v>8.5985480634501524E-3</v>
      </c>
      <c r="Y131" s="5">
        <f t="shared" si="65"/>
        <v>1.1583141089630855E-2</v>
      </c>
      <c r="Z131" s="33">
        <v>127</v>
      </c>
      <c r="AE131" s="20" t="str">
        <f t="shared" si="66"/>
        <v/>
      </c>
      <c r="AF131" s="22" t="str">
        <f t="shared" si="67"/>
        <v/>
      </c>
      <c r="AG131" s="9" t="str">
        <f t="shared" ca="1" si="46"/>
        <v/>
      </c>
      <c r="AH131" s="9" t="str">
        <f t="shared" ca="1" si="47"/>
        <v/>
      </c>
      <c r="AI131" s="9" t="str">
        <f t="shared" ca="1" si="48"/>
        <v/>
      </c>
      <c r="AJ131" s="9" t="str">
        <f t="shared" ca="1" si="49"/>
        <v/>
      </c>
      <c r="AK131" s="9" t="str">
        <f t="shared" ca="1" si="50"/>
        <v/>
      </c>
      <c r="AL131" s="9" t="str">
        <f t="shared" ca="1" si="51"/>
        <v/>
      </c>
      <c r="AM131" s="9" t="str">
        <f t="shared" ca="1" si="52"/>
        <v/>
      </c>
      <c r="AN131" s="9" t="str">
        <f t="shared" ca="1" si="53"/>
        <v/>
      </c>
      <c r="AO131" s="9" t="str">
        <f t="shared" ca="1" si="54"/>
        <v/>
      </c>
      <c r="AP131" s="9" t="str">
        <f t="shared" ca="1" si="55"/>
        <v/>
      </c>
      <c r="AQ131" s="9"/>
      <c r="AR131" s="9"/>
      <c r="AS131" s="9"/>
      <c r="AT131" s="9"/>
      <c r="AU131" s="9"/>
    </row>
    <row r="132" spans="1:47" x14ac:dyDescent="0.3">
      <c r="A132" s="1">
        <v>43654</v>
      </c>
      <c r="B132" s="6">
        <v>302.92001299999998</v>
      </c>
      <c r="C132" s="6">
        <v>135.60000600000001</v>
      </c>
      <c r="D132" s="6">
        <v>33</v>
      </c>
      <c r="E132" s="6">
        <v>132.55999800000001</v>
      </c>
      <c r="F132" s="6">
        <v>108.300003</v>
      </c>
      <c r="G132" s="6">
        <v>46.470001000000003</v>
      </c>
      <c r="H132" s="6">
        <v>101.260002</v>
      </c>
      <c r="I132" s="6">
        <v>159.89999399999999</v>
      </c>
      <c r="J132" s="6">
        <v>23.32</v>
      </c>
      <c r="K132" s="6">
        <v>31.299999</v>
      </c>
      <c r="N132" s="18">
        <v>128</v>
      </c>
      <c r="O132" s="1">
        <v>43654</v>
      </c>
      <c r="P132" s="5">
        <f t="shared" si="56"/>
        <v>-3.4931587936634888E-3</v>
      </c>
      <c r="Q132" s="5">
        <f t="shared" si="57"/>
        <v>1.4761035890544637E-3</v>
      </c>
      <c r="R132" s="5">
        <f t="shared" si="58"/>
        <v>1.2128867650153853E-3</v>
      </c>
      <c r="S132" s="5">
        <f t="shared" si="59"/>
        <v>-3.4641648961408586E-3</v>
      </c>
      <c r="T132" s="5">
        <f t="shared" si="60"/>
        <v>8.0657090293245731E-3</v>
      </c>
      <c r="U132" s="5">
        <f t="shared" si="61"/>
        <v>1.016556812705143E-2</v>
      </c>
      <c r="V132" s="5">
        <f t="shared" si="62"/>
        <v>-1.4510019279608285E-2</v>
      </c>
      <c r="W132" s="5">
        <f t="shared" si="63"/>
        <v>-1.1194165713729606E-2</v>
      </c>
      <c r="X132" s="5">
        <f t="shared" si="64"/>
        <v>-1.713839285952895E-3</v>
      </c>
      <c r="Y132" s="5">
        <f t="shared" si="65"/>
        <v>1.2787406038947107E-3</v>
      </c>
      <c r="Z132" s="33">
        <v>128</v>
      </c>
      <c r="AE132" s="20" t="str">
        <f t="shared" si="66"/>
        <v/>
      </c>
      <c r="AF132" s="22" t="str">
        <f t="shared" si="67"/>
        <v/>
      </c>
      <c r="AG132" s="9" t="str">
        <f t="shared" ca="1" si="46"/>
        <v/>
      </c>
      <c r="AH132" s="9" t="str">
        <f t="shared" ca="1" si="47"/>
        <v/>
      </c>
      <c r="AI132" s="9" t="str">
        <f t="shared" ca="1" si="48"/>
        <v/>
      </c>
      <c r="AJ132" s="9" t="str">
        <f t="shared" ca="1" si="49"/>
        <v/>
      </c>
      <c r="AK132" s="9" t="str">
        <f t="shared" ca="1" si="50"/>
        <v/>
      </c>
      <c r="AL132" s="9" t="str">
        <f t="shared" ca="1" si="51"/>
        <v/>
      </c>
      <c r="AM132" s="9" t="str">
        <f t="shared" ca="1" si="52"/>
        <v/>
      </c>
      <c r="AN132" s="9" t="str">
        <f t="shared" ca="1" si="53"/>
        <v/>
      </c>
      <c r="AO132" s="9" t="str">
        <f t="shared" ca="1" si="54"/>
        <v/>
      </c>
      <c r="AP132" s="9" t="str">
        <f t="shared" ca="1" si="55"/>
        <v/>
      </c>
      <c r="AQ132" s="9"/>
      <c r="AR132" s="9"/>
      <c r="AS132" s="9"/>
      <c r="AT132" s="9"/>
      <c r="AU132" s="9"/>
    </row>
    <row r="133" spans="1:47" x14ac:dyDescent="0.3">
      <c r="A133" s="1">
        <v>43655</v>
      </c>
      <c r="B133" s="6">
        <v>304.20001200000002</v>
      </c>
      <c r="C133" s="6">
        <v>135.86000100000001</v>
      </c>
      <c r="D133" s="6">
        <v>32.380001</v>
      </c>
      <c r="E133" s="6">
        <v>131.740005</v>
      </c>
      <c r="F133" s="6">
        <v>108.970001</v>
      </c>
      <c r="G133" s="6">
        <v>46.650002000000001</v>
      </c>
      <c r="H133" s="6">
        <v>100.389999</v>
      </c>
      <c r="I133" s="6">
        <v>157.199997</v>
      </c>
      <c r="J133" s="6">
        <v>23.15</v>
      </c>
      <c r="K133" s="6">
        <v>31.629999000000002</v>
      </c>
      <c r="N133" s="19">
        <v>129</v>
      </c>
      <c r="O133" s="1">
        <v>43655</v>
      </c>
      <c r="P133" s="5">
        <f t="shared" si="56"/>
        <v>4.2166321116813253E-3</v>
      </c>
      <c r="Q133" s="5">
        <f t="shared" si="57"/>
        <v>1.9155313695923088E-3</v>
      </c>
      <c r="R133" s="5">
        <f t="shared" si="58"/>
        <v>-1.8966582333730376E-2</v>
      </c>
      <c r="S133" s="5">
        <f t="shared" si="59"/>
        <v>-6.205036864708924E-3</v>
      </c>
      <c r="T133" s="5">
        <f t="shared" si="60"/>
        <v>6.1674424578566905E-3</v>
      </c>
      <c r="U133" s="5">
        <f t="shared" si="61"/>
        <v>3.866005549659911E-3</v>
      </c>
      <c r="V133" s="5">
        <f t="shared" si="62"/>
        <v>-8.6288955506149349E-3</v>
      </c>
      <c r="W133" s="5">
        <f t="shared" si="63"/>
        <v>-1.7029721405319137E-2</v>
      </c>
      <c r="X133" s="5">
        <f t="shared" si="64"/>
        <v>-7.3165809500485924E-3</v>
      </c>
      <c r="Y133" s="5">
        <f t="shared" si="65"/>
        <v>1.0487940104776888E-2</v>
      </c>
      <c r="Z133" s="33">
        <v>129</v>
      </c>
      <c r="AE133" s="20" t="str">
        <f t="shared" si="66"/>
        <v/>
      </c>
      <c r="AF133" s="22" t="str">
        <f t="shared" si="67"/>
        <v/>
      </c>
      <c r="AG133" s="9" t="str">
        <f t="shared" ref="AG133:AG196" ca="1" si="68">IF($AE133="","",OFFSET(P$4,$AE133,0))</f>
        <v/>
      </c>
      <c r="AH133" s="9" t="str">
        <f t="shared" ref="AH133:AH196" ca="1" si="69">IF($AE133="","",OFFSET(Q$4,$AE133,0))</f>
        <v/>
      </c>
      <c r="AI133" s="9" t="str">
        <f t="shared" ref="AI133:AI196" ca="1" si="70">IF($AE133="","",OFFSET(R$4,$AE133,0))</f>
        <v/>
      </c>
      <c r="AJ133" s="9" t="str">
        <f t="shared" ref="AJ133:AJ196" ca="1" si="71">IF($AE133="","",OFFSET(S$4,$AE133,0))</f>
        <v/>
      </c>
      <c r="AK133" s="9" t="str">
        <f t="shared" ref="AK133:AK196" ca="1" si="72">IF($AE133="","",OFFSET(T$4,$AE133,0))</f>
        <v/>
      </c>
      <c r="AL133" s="9" t="str">
        <f t="shared" ref="AL133:AL196" ca="1" si="73">IF($AE133="","",OFFSET(U$4,$AE133,0))</f>
        <v/>
      </c>
      <c r="AM133" s="9" t="str">
        <f t="shared" ref="AM133:AM196" ca="1" si="74">IF($AE133="","",OFFSET(V$4,$AE133,0))</f>
        <v/>
      </c>
      <c r="AN133" s="9" t="str">
        <f t="shared" ref="AN133:AN196" ca="1" si="75">IF($AE133="","",OFFSET(W$4,$AE133,0))</f>
        <v/>
      </c>
      <c r="AO133" s="9" t="str">
        <f t="shared" ref="AO133:AO196" ca="1" si="76">IF($AE133="","",OFFSET(X$4,$AE133,0))</f>
        <v/>
      </c>
      <c r="AP133" s="9" t="str">
        <f t="shared" ref="AP133:AP196" ca="1" si="77">IF($AE133="","",OFFSET(Y$4,$AE133,0))</f>
        <v/>
      </c>
      <c r="AQ133" s="9"/>
      <c r="AR133" s="9"/>
      <c r="AS133" s="9"/>
      <c r="AT133" s="9"/>
      <c r="AU133" s="9"/>
    </row>
    <row r="134" spans="1:47" x14ac:dyDescent="0.3">
      <c r="A134" s="1">
        <v>43656</v>
      </c>
      <c r="B134" s="6">
        <v>306.98001099999999</v>
      </c>
      <c r="C134" s="6">
        <v>137.570007</v>
      </c>
      <c r="D134" s="6">
        <v>32.514999000000003</v>
      </c>
      <c r="E134" s="6">
        <v>134.41000399999999</v>
      </c>
      <c r="F134" s="6">
        <v>110.129997</v>
      </c>
      <c r="G134" s="6">
        <v>46.919998</v>
      </c>
      <c r="H134" s="6">
        <v>98.540001000000004</v>
      </c>
      <c r="I134" s="6">
        <v>156.66999799999999</v>
      </c>
      <c r="J134" s="6">
        <v>23.280000999999999</v>
      </c>
      <c r="K134" s="6">
        <v>31.65</v>
      </c>
      <c r="N134" s="18">
        <v>130</v>
      </c>
      <c r="O134" s="1">
        <v>43656</v>
      </c>
      <c r="P134" s="5">
        <f t="shared" ref="P134:P197" si="78">LN(B134/B133)</f>
        <v>9.0972154452912037E-3</v>
      </c>
      <c r="Q134" s="5">
        <f t="shared" ref="Q134:Q197" si="79">LN(C134/C133)</f>
        <v>1.2507978232415473E-2</v>
      </c>
      <c r="R134" s="5">
        <f t="shared" ref="R134:R197" si="80">LN(D134/D133)</f>
        <v>4.1605114333286711E-3</v>
      </c>
      <c r="S134" s="5">
        <f t="shared" ref="S134:S197" si="81">LN(E134/E133)</f>
        <v>2.0064538676655853E-2</v>
      </c>
      <c r="T134" s="5">
        <f t="shared" ref="T134:T197" si="82">LN(F134/F133)</f>
        <v>1.0588834770686052E-2</v>
      </c>
      <c r="U134" s="5">
        <f t="shared" ref="U134:U197" si="83">LN(G134/G133)</f>
        <v>5.7710109937215044E-3</v>
      </c>
      <c r="V134" s="5">
        <f t="shared" ref="V134:V197" si="84">LN(H134/H133)</f>
        <v>-1.8600023478303446E-2</v>
      </c>
      <c r="W134" s="5">
        <f t="shared" ref="W134:W197" si="85">LN(I134/I133)</f>
        <v>-3.377191271426746E-3</v>
      </c>
      <c r="X134" s="5">
        <f t="shared" ref="X134:X197" si="86">LN(J134/J133)</f>
        <v>5.5998852863195182E-3</v>
      </c>
      <c r="Y134" s="5">
        <f t="shared" ref="Y134:Y197" si="87">LN(K134/K133)</f>
        <v>6.3214288818308462E-4</v>
      </c>
      <c r="Z134" s="33">
        <v>130</v>
      </c>
      <c r="AE134" s="20" t="str">
        <f t="shared" ref="AE134:AE197" si="88">IF(AE133="","",IF(AE133+1&lt;=$AC$5,AE133+1,""))</f>
        <v/>
      </c>
      <c r="AF134" s="22" t="str">
        <f t="shared" ref="AF134:AF197" si="89">IF(AE134="","",VLOOKUP(AE134,N133:O1390,2))</f>
        <v/>
      </c>
      <c r="AG134" s="9" t="str">
        <f t="shared" ca="1" si="68"/>
        <v/>
      </c>
      <c r="AH134" s="9" t="str">
        <f t="shared" ca="1" si="69"/>
        <v/>
      </c>
      <c r="AI134" s="9" t="str">
        <f t="shared" ca="1" si="70"/>
        <v/>
      </c>
      <c r="AJ134" s="9" t="str">
        <f t="shared" ca="1" si="71"/>
        <v/>
      </c>
      <c r="AK134" s="9" t="str">
        <f t="shared" ca="1" si="72"/>
        <v/>
      </c>
      <c r="AL134" s="9" t="str">
        <f t="shared" ca="1" si="73"/>
        <v/>
      </c>
      <c r="AM134" s="9" t="str">
        <f t="shared" ca="1" si="74"/>
        <v/>
      </c>
      <c r="AN134" s="9" t="str">
        <f t="shared" ca="1" si="75"/>
        <v/>
      </c>
      <c r="AO134" s="9" t="str">
        <f t="shared" ca="1" si="76"/>
        <v/>
      </c>
      <c r="AP134" s="9" t="str">
        <f t="shared" ca="1" si="77"/>
        <v/>
      </c>
      <c r="AQ134" s="9"/>
      <c r="AR134" s="9"/>
      <c r="AS134" s="9"/>
      <c r="AT134" s="9"/>
      <c r="AU134" s="9"/>
    </row>
    <row r="135" spans="1:47" x14ac:dyDescent="0.3">
      <c r="A135" s="1">
        <v>43657</v>
      </c>
      <c r="B135" s="6">
        <v>307.60000600000001</v>
      </c>
      <c r="C135" s="6">
        <v>136.44000199999999</v>
      </c>
      <c r="D135" s="6">
        <v>32.400002000000001</v>
      </c>
      <c r="E135" s="6">
        <v>134.35000600000001</v>
      </c>
      <c r="F135" s="6">
        <v>109.040001</v>
      </c>
      <c r="G135" s="6">
        <v>46.5</v>
      </c>
      <c r="H135" s="6">
        <v>97.629997000000003</v>
      </c>
      <c r="I135" s="6">
        <v>156.5</v>
      </c>
      <c r="J135" s="6">
        <v>23.23</v>
      </c>
      <c r="K135" s="6">
        <v>31.620000999999998</v>
      </c>
      <c r="N135" s="19">
        <v>131</v>
      </c>
      <c r="O135" s="1">
        <v>43657</v>
      </c>
      <c r="P135" s="5">
        <f t="shared" si="78"/>
        <v>2.0176224191258332E-3</v>
      </c>
      <c r="Q135" s="5">
        <f t="shared" si="79"/>
        <v>-8.2479571471869313E-3</v>
      </c>
      <c r="R135" s="5">
        <f t="shared" si="80"/>
        <v>-3.5430060394017076E-3</v>
      </c>
      <c r="S135" s="5">
        <f t="shared" si="81"/>
        <v>-4.4648012177607563E-4</v>
      </c>
      <c r="T135" s="5">
        <f t="shared" si="82"/>
        <v>-9.9466623770947966E-3</v>
      </c>
      <c r="U135" s="5">
        <f t="shared" si="83"/>
        <v>-8.9916685662172081E-3</v>
      </c>
      <c r="V135" s="5">
        <f t="shared" si="84"/>
        <v>-9.277774754660224E-3</v>
      </c>
      <c r="W135" s="5">
        <f t="shared" si="85"/>
        <v>-1.0856596595018421E-3</v>
      </c>
      <c r="X135" s="5">
        <f t="shared" si="86"/>
        <v>-2.1501190362447548E-3</v>
      </c>
      <c r="Y135" s="5">
        <f t="shared" si="87"/>
        <v>-9.4828518330631727E-4</v>
      </c>
      <c r="Z135" s="33">
        <v>131</v>
      </c>
      <c r="AE135" s="20" t="str">
        <f t="shared" si="88"/>
        <v/>
      </c>
      <c r="AF135" s="22" t="str">
        <f t="shared" si="89"/>
        <v/>
      </c>
      <c r="AG135" s="9" t="str">
        <f t="shared" ca="1" si="68"/>
        <v/>
      </c>
      <c r="AH135" s="9" t="str">
        <f t="shared" ca="1" si="69"/>
        <v/>
      </c>
      <c r="AI135" s="9" t="str">
        <f t="shared" ca="1" si="70"/>
        <v/>
      </c>
      <c r="AJ135" s="9" t="str">
        <f t="shared" ca="1" si="71"/>
        <v/>
      </c>
      <c r="AK135" s="9" t="str">
        <f t="shared" ca="1" si="72"/>
        <v/>
      </c>
      <c r="AL135" s="9" t="str">
        <f t="shared" ca="1" si="73"/>
        <v/>
      </c>
      <c r="AM135" s="9" t="str">
        <f t="shared" ca="1" si="74"/>
        <v/>
      </c>
      <c r="AN135" s="9" t="str">
        <f t="shared" ca="1" si="75"/>
        <v/>
      </c>
      <c r="AO135" s="9" t="str">
        <f t="shared" ca="1" si="76"/>
        <v/>
      </c>
      <c r="AP135" s="9" t="str">
        <f t="shared" ca="1" si="77"/>
        <v/>
      </c>
      <c r="AQ135" s="9"/>
      <c r="AR135" s="9"/>
      <c r="AS135" s="9"/>
      <c r="AT135" s="9"/>
      <c r="AU135" s="9"/>
    </row>
    <row r="136" spans="1:47" x14ac:dyDescent="0.3">
      <c r="A136" s="1">
        <v>43658</v>
      </c>
      <c r="B136" s="6">
        <v>309.42001299999998</v>
      </c>
      <c r="C136" s="6">
        <v>137.41000399999999</v>
      </c>
      <c r="D136" s="6">
        <v>32.5</v>
      </c>
      <c r="E136" s="6">
        <v>133.279999</v>
      </c>
      <c r="F136" s="6">
        <v>108.709999</v>
      </c>
      <c r="G136" s="6">
        <v>46.259998000000003</v>
      </c>
      <c r="H136" s="6">
        <v>100.05999799999999</v>
      </c>
      <c r="I136" s="6">
        <v>159.759995</v>
      </c>
      <c r="J136" s="6">
        <v>23.77</v>
      </c>
      <c r="K136" s="6">
        <v>32.409999999999997</v>
      </c>
      <c r="N136" s="18">
        <v>132</v>
      </c>
      <c r="O136" s="1">
        <v>43658</v>
      </c>
      <c r="P136" s="5">
        <f t="shared" si="78"/>
        <v>5.8993621676719813E-3</v>
      </c>
      <c r="Q136" s="5">
        <f t="shared" si="79"/>
        <v>7.0842142447425554E-3</v>
      </c>
      <c r="R136" s="5">
        <f t="shared" si="80"/>
        <v>3.0816048090148264E-3</v>
      </c>
      <c r="S136" s="5">
        <f t="shared" si="81"/>
        <v>-7.9962088054394594E-3</v>
      </c>
      <c r="T136" s="5">
        <f t="shared" si="82"/>
        <v>-3.0310195421004234E-3</v>
      </c>
      <c r="U136" s="5">
        <f t="shared" si="83"/>
        <v>-5.1746990239137204E-3</v>
      </c>
      <c r="V136" s="5">
        <f t="shared" si="84"/>
        <v>2.4585193562731606E-2</v>
      </c>
      <c r="W136" s="5">
        <f t="shared" si="85"/>
        <v>2.0616647830405996E-2</v>
      </c>
      <c r="X136" s="5">
        <f t="shared" si="86"/>
        <v>2.2979734589784841E-2</v>
      </c>
      <c r="Y136" s="5">
        <f t="shared" si="87"/>
        <v>2.4677153746576964E-2</v>
      </c>
      <c r="Z136" s="33">
        <v>132</v>
      </c>
      <c r="AE136" s="20" t="str">
        <f t="shared" si="88"/>
        <v/>
      </c>
      <c r="AF136" s="22" t="str">
        <f t="shared" si="89"/>
        <v/>
      </c>
      <c r="AG136" s="9" t="str">
        <f t="shared" ca="1" si="68"/>
        <v/>
      </c>
      <c r="AH136" s="9" t="str">
        <f t="shared" ca="1" si="69"/>
        <v/>
      </c>
      <c r="AI136" s="9" t="str">
        <f t="shared" ca="1" si="70"/>
        <v/>
      </c>
      <c r="AJ136" s="9" t="str">
        <f t="shared" ca="1" si="71"/>
        <v/>
      </c>
      <c r="AK136" s="9" t="str">
        <f t="shared" ca="1" si="72"/>
        <v/>
      </c>
      <c r="AL136" s="9" t="str">
        <f t="shared" ca="1" si="73"/>
        <v/>
      </c>
      <c r="AM136" s="9" t="str">
        <f t="shared" ca="1" si="74"/>
        <v/>
      </c>
      <c r="AN136" s="9" t="str">
        <f t="shared" ca="1" si="75"/>
        <v/>
      </c>
      <c r="AO136" s="9" t="str">
        <f t="shared" ca="1" si="76"/>
        <v/>
      </c>
      <c r="AP136" s="9" t="str">
        <f t="shared" ca="1" si="77"/>
        <v/>
      </c>
      <c r="AQ136" s="9"/>
      <c r="AR136" s="9"/>
      <c r="AS136" s="9"/>
      <c r="AT136" s="9"/>
      <c r="AU136" s="9"/>
    </row>
    <row r="137" spans="1:47" x14ac:dyDescent="0.3">
      <c r="A137" s="1">
        <v>43661</v>
      </c>
      <c r="B137" s="6">
        <v>308.76001000000002</v>
      </c>
      <c r="C137" s="6">
        <v>137.46000699999999</v>
      </c>
      <c r="D137" s="6">
        <v>32.630001</v>
      </c>
      <c r="E137" s="6">
        <v>134.14999399999999</v>
      </c>
      <c r="F137" s="6">
        <v>108.94000200000001</v>
      </c>
      <c r="G137" s="6">
        <v>46.310001</v>
      </c>
      <c r="H137" s="6">
        <v>99.339995999999999</v>
      </c>
      <c r="I137" s="6">
        <v>158.36000100000001</v>
      </c>
      <c r="J137" s="6">
        <v>23.709999</v>
      </c>
      <c r="K137" s="6">
        <v>32.380001</v>
      </c>
      <c r="N137" s="19">
        <v>133</v>
      </c>
      <c r="O137" s="1">
        <v>43661</v>
      </c>
      <c r="P137" s="5">
        <f t="shared" si="78"/>
        <v>-2.1353108357448822E-3</v>
      </c>
      <c r="Q137" s="5">
        <f t="shared" si="79"/>
        <v>3.6383016371750737E-4</v>
      </c>
      <c r="R137" s="5">
        <f t="shared" si="80"/>
        <v>3.9920519161811292E-3</v>
      </c>
      <c r="S137" s="5">
        <f t="shared" si="81"/>
        <v>6.5063612300477998E-3</v>
      </c>
      <c r="T137" s="5">
        <f t="shared" si="82"/>
        <v>2.1135132971346511E-3</v>
      </c>
      <c r="U137" s="5">
        <f t="shared" si="83"/>
        <v>1.0803285168718168E-3</v>
      </c>
      <c r="V137" s="5">
        <f t="shared" si="84"/>
        <v>-7.2217166586018905E-3</v>
      </c>
      <c r="W137" s="5">
        <f t="shared" si="85"/>
        <v>-8.8017292579579999E-3</v>
      </c>
      <c r="X137" s="5">
        <f t="shared" si="86"/>
        <v>-2.5274234710862941E-3</v>
      </c>
      <c r="Y137" s="5">
        <f t="shared" si="87"/>
        <v>-9.2603802070599184E-4</v>
      </c>
      <c r="Z137" s="33">
        <v>133</v>
      </c>
      <c r="AE137" s="20" t="str">
        <f t="shared" si="88"/>
        <v/>
      </c>
      <c r="AF137" s="22" t="str">
        <f t="shared" si="89"/>
        <v/>
      </c>
      <c r="AG137" s="9" t="str">
        <f t="shared" ca="1" si="68"/>
        <v/>
      </c>
      <c r="AH137" s="9" t="str">
        <f t="shared" ca="1" si="69"/>
        <v/>
      </c>
      <c r="AI137" s="9" t="str">
        <f t="shared" ca="1" si="70"/>
        <v/>
      </c>
      <c r="AJ137" s="9" t="str">
        <f t="shared" ca="1" si="71"/>
        <v/>
      </c>
      <c r="AK137" s="9" t="str">
        <f t="shared" ca="1" si="72"/>
        <v/>
      </c>
      <c r="AL137" s="9" t="str">
        <f t="shared" ca="1" si="73"/>
        <v/>
      </c>
      <c r="AM137" s="9" t="str">
        <f t="shared" ca="1" si="74"/>
        <v/>
      </c>
      <c r="AN137" s="9" t="str">
        <f t="shared" ca="1" si="75"/>
        <v/>
      </c>
      <c r="AO137" s="9" t="str">
        <f t="shared" ca="1" si="76"/>
        <v/>
      </c>
      <c r="AP137" s="9" t="str">
        <f t="shared" ca="1" si="77"/>
        <v/>
      </c>
      <c r="AQ137" s="9"/>
      <c r="AR137" s="9"/>
      <c r="AS137" s="9"/>
      <c r="AT137" s="9"/>
      <c r="AU137" s="9"/>
    </row>
    <row r="138" spans="1:47" x14ac:dyDescent="0.3">
      <c r="A138" s="1">
        <v>43662</v>
      </c>
      <c r="B138" s="6">
        <v>305.70001200000002</v>
      </c>
      <c r="C138" s="6">
        <v>135.91000399999999</v>
      </c>
      <c r="D138" s="6">
        <v>32.895000000000003</v>
      </c>
      <c r="E138" s="6">
        <v>133.800003</v>
      </c>
      <c r="F138" s="6">
        <v>108.510002</v>
      </c>
      <c r="G138" s="6">
        <v>46.439999</v>
      </c>
      <c r="H138" s="6">
        <v>99.32</v>
      </c>
      <c r="I138" s="6">
        <v>160.03999300000001</v>
      </c>
      <c r="J138" s="6">
        <v>23.690000999999999</v>
      </c>
      <c r="K138" s="6">
        <v>32.57</v>
      </c>
      <c r="N138" s="18">
        <v>134</v>
      </c>
      <c r="O138" s="1">
        <v>43662</v>
      </c>
      <c r="P138" s="5">
        <f t="shared" si="78"/>
        <v>-9.9600403183087976E-3</v>
      </c>
      <c r="Q138" s="5">
        <f t="shared" si="79"/>
        <v>-1.1340085218866288E-2</v>
      </c>
      <c r="R138" s="5">
        <f t="shared" si="80"/>
        <v>8.088529286088322E-3</v>
      </c>
      <c r="S138" s="5">
        <f t="shared" si="81"/>
        <v>-2.6123620299266879E-3</v>
      </c>
      <c r="T138" s="5">
        <f t="shared" si="82"/>
        <v>-3.9549372506608345E-3</v>
      </c>
      <c r="U138" s="5">
        <f t="shared" si="83"/>
        <v>2.803193210260757E-3</v>
      </c>
      <c r="V138" s="5">
        <f t="shared" si="84"/>
        <v>-2.0130877348386255E-4</v>
      </c>
      <c r="W138" s="5">
        <f t="shared" si="85"/>
        <v>1.0552811697312208E-2</v>
      </c>
      <c r="X138" s="5">
        <f t="shared" si="86"/>
        <v>-8.4379751841937489E-4</v>
      </c>
      <c r="Y138" s="5">
        <f t="shared" si="87"/>
        <v>5.8506401553922406E-3</v>
      </c>
      <c r="Z138" s="33">
        <v>134</v>
      </c>
      <c r="AE138" s="20" t="str">
        <f t="shared" si="88"/>
        <v/>
      </c>
      <c r="AF138" s="22" t="str">
        <f t="shared" si="89"/>
        <v/>
      </c>
      <c r="AG138" s="9" t="str">
        <f t="shared" ca="1" si="68"/>
        <v/>
      </c>
      <c r="AH138" s="9" t="str">
        <f t="shared" ca="1" si="69"/>
        <v/>
      </c>
      <c r="AI138" s="9" t="str">
        <f t="shared" ca="1" si="70"/>
        <v/>
      </c>
      <c r="AJ138" s="9" t="str">
        <f t="shared" ca="1" si="71"/>
        <v/>
      </c>
      <c r="AK138" s="9" t="str">
        <f t="shared" ca="1" si="72"/>
        <v/>
      </c>
      <c r="AL138" s="9" t="str">
        <f t="shared" ca="1" si="73"/>
        <v/>
      </c>
      <c r="AM138" s="9" t="str">
        <f t="shared" ca="1" si="74"/>
        <v/>
      </c>
      <c r="AN138" s="9" t="str">
        <f t="shared" ca="1" si="75"/>
        <v/>
      </c>
      <c r="AO138" s="9" t="str">
        <f t="shared" ca="1" si="76"/>
        <v/>
      </c>
      <c r="AP138" s="9" t="str">
        <f t="shared" ca="1" si="77"/>
        <v/>
      </c>
      <c r="AQ138" s="9"/>
      <c r="AR138" s="9"/>
      <c r="AS138" s="9"/>
      <c r="AT138" s="9"/>
      <c r="AU138" s="9"/>
    </row>
    <row r="139" spans="1:47" x14ac:dyDescent="0.3">
      <c r="A139" s="1">
        <v>43663</v>
      </c>
      <c r="B139" s="6">
        <v>309.39001500000001</v>
      </c>
      <c r="C139" s="6">
        <v>135.75</v>
      </c>
      <c r="D139" s="6">
        <v>32.869999</v>
      </c>
      <c r="E139" s="6">
        <v>132.779999</v>
      </c>
      <c r="F139" s="6">
        <v>108.129997</v>
      </c>
      <c r="G139" s="6">
        <v>46.23</v>
      </c>
      <c r="H139" s="6">
        <v>95.459998999999996</v>
      </c>
      <c r="I139" s="6">
        <v>153.75</v>
      </c>
      <c r="J139" s="6">
        <v>23.09</v>
      </c>
      <c r="K139" s="6">
        <v>31.799999</v>
      </c>
      <c r="N139" s="19">
        <v>135</v>
      </c>
      <c r="O139" s="1">
        <v>43663</v>
      </c>
      <c r="P139" s="5">
        <f t="shared" si="78"/>
        <v>1.1998397327625024E-2</v>
      </c>
      <c r="Q139" s="5">
        <f t="shared" si="79"/>
        <v>-1.1779725844518795E-3</v>
      </c>
      <c r="R139" s="5">
        <f t="shared" si="80"/>
        <v>-7.603132847116813E-4</v>
      </c>
      <c r="S139" s="5">
        <f t="shared" si="81"/>
        <v>-7.6525543558939339E-3</v>
      </c>
      <c r="T139" s="5">
        <f t="shared" si="82"/>
        <v>-3.5081738505334274E-3</v>
      </c>
      <c r="U139" s="5">
        <f t="shared" si="83"/>
        <v>-4.5321972963954455E-3</v>
      </c>
      <c r="V139" s="5">
        <f t="shared" si="84"/>
        <v>-3.9639659537807244E-2</v>
      </c>
      <c r="W139" s="5">
        <f t="shared" si="85"/>
        <v>-4.0095833563340934E-2</v>
      </c>
      <c r="X139" s="5">
        <f t="shared" si="86"/>
        <v>-2.5653437016192937E-2</v>
      </c>
      <c r="Y139" s="5">
        <f t="shared" si="87"/>
        <v>-2.3925360948552379E-2</v>
      </c>
      <c r="Z139" s="33">
        <v>135</v>
      </c>
      <c r="AE139" s="20" t="str">
        <f t="shared" si="88"/>
        <v/>
      </c>
      <c r="AF139" s="22" t="str">
        <f t="shared" si="89"/>
        <v/>
      </c>
      <c r="AG139" s="9" t="str">
        <f t="shared" ca="1" si="68"/>
        <v/>
      </c>
      <c r="AH139" s="9" t="str">
        <f t="shared" ca="1" si="69"/>
        <v/>
      </c>
      <c r="AI139" s="9" t="str">
        <f t="shared" ca="1" si="70"/>
        <v/>
      </c>
      <c r="AJ139" s="9" t="str">
        <f t="shared" ca="1" si="71"/>
        <v/>
      </c>
      <c r="AK139" s="9" t="str">
        <f t="shared" ca="1" si="72"/>
        <v/>
      </c>
      <c r="AL139" s="9" t="str">
        <f t="shared" ca="1" si="73"/>
        <v/>
      </c>
      <c r="AM139" s="9" t="str">
        <f t="shared" ca="1" si="74"/>
        <v/>
      </c>
      <c r="AN139" s="9" t="str">
        <f t="shared" ca="1" si="75"/>
        <v/>
      </c>
      <c r="AO139" s="9" t="str">
        <f t="shared" ca="1" si="76"/>
        <v/>
      </c>
      <c r="AP139" s="9" t="str">
        <f t="shared" ca="1" si="77"/>
        <v/>
      </c>
      <c r="AQ139" s="9"/>
      <c r="AR139" s="9"/>
      <c r="AS139" s="9"/>
      <c r="AT139" s="9"/>
      <c r="AU139" s="9"/>
    </row>
    <row r="140" spans="1:47" x14ac:dyDescent="0.3">
      <c r="A140" s="1">
        <v>43664</v>
      </c>
      <c r="B140" s="6">
        <v>310.07998700000002</v>
      </c>
      <c r="C140" s="6">
        <v>136.03999300000001</v>
      </c>
      <c r="D140" s="6">
        <v>32.485000999999997</v>
      </c>
      <c r="E140" s="6">
        <v>132.88000500000001</v>
      </c>
      <c r="F140" s="6">
        <v>108.279999</v>
      </c>
      <c r="G140" s="6">
        <v>46.330002</v>
      </c>
      <c r="H140" s="6">
        <v>97.220000999999996</v>
      </c>
      <c r="I140" s="6">
        <v>151.33000200000001</v>
      </c>
      <c r="J140" s="6">
        <v>22.83</v>
      </c>
      <c r="K140" s="6">
        <v>31.32</v>
      </c>
      <c r="N140" s="18">
        <v>136</v>
      </c>
      <c r="O140" s="1">
        <v>43664</v>
      </c>
      <c r="P140" s="5">
        <f t="shared" si="78"/>
        <v>2.2276212991520377E-3</v>
      </c>
      <c r="Q140" s="5">
        <f t="shared" si="79"/>
        <v>2.1339498694942578E-3</v>
      </c>
      <c r="R140" s="5">
        <f t="shared" si="80"/>
        <v>-1.1781882137317377E-2</v>
      </c>
      <c r="S140" s="5">
        <f t="shared" si="81"/>
        <v>7.5288717321529035E-4</v>
      </c>
      <c r="T140" s="5">
        <f t="shared" si="82"/>
        <v>1.3862762977209313E-3</v>
      </c>
      <c r="U140" s="5">
        <f t="shared" si="83"/>
        <v>2.1608045969954115E-3</v>
      </c>
      <c r="V140" s="5">
        <f t="shared" si="84"/>
        <v>1.8269160801100272E-2</v>
      </c>
      <c r="W140" s="5">
        <f t="shared" si="85"/>
        <v>-1.5865010771542384E-2</v>
      </c>
      <c r="X140" s="5">
        <f t="shared" si="86"/>
        <v>-1.1324162824699897E-2</v>
      </c>
      <c r="Y140" s="5">
        <f t="shared" si="87"/>
        <v>-1.5209387216987445E-2</v>
      </c>
      <c r="Z140" s="33">
        <v>136</v>
      </c>
      <c r="AE140" s="20" t="str">
        <f t="shared" si="88"/>
        <v/>
      </c>
      <c r="AF140" s="22" t="str">
        <f t="shared" si="89"/>
        <v/>
      </c>
      <c r="AG140" s="9" t="str">
        <f t="shared" ca="1" si="68"/>
        <v/>
      </c>
      <c r="AH140" s="9" t="str">
        <f t="shared" ca="1" si="69"/>
        <v/>
      </c>
      <c r="AI140" s="9" t="str">
        <f t="shared" ca="1" si="70"/>
        <v/>
      </c>
      <c r="AJ140" s="9" t="str">
        <f t="shared" ca="1" si="71"/>
        <v/>
      </c>
      <c r="AK140" s="9" t="str">
        <f t="shared" ca="1" si="72"/>
        <v/>
      </c>
      <c r="AL140" s="9" t="str">
        <f t="shared" ca="1" si="73"/>
        <v/>
      </c>
      <c r="AM140" s="9" t="str">
        <f t="shared" ca="1" si="74"/>
        <v/>
      </c>
      <c r="AN140" s="9" t="str">
        <f t="shared" ca="1" si="75"/>
        <v/>
      </c>
      <c r="AO140" s="9" t="str">
        <f t="shared" ca="1" si="76"/>
        <v/>
      </c>
      <c r="AP140" s="9" t="str">
        <f t="shared" ca="1" si="77"/>
        <v/>
      </c>
      <c r="AQ140" s="9"/>
      <c r="AR140" s="9"/>
      <c r="AS140" s="9"/>
      <c r="AT140" s="9"/>
      <c r="AU140" s="9"/>
    </row>
    <row r="141" spans="1:47" x14ac:dyDescent="0.3">
      <c r="A141" s="1">
        <v>43665</v>
      </c>
      <c r="B141" s="6">
        <v>306.86999500000002</v>
      </c>
      <c r="C141" s="6">
        <v>134.990005</v>
      </c>
      <c r="D141" s="6">
        <v>31.629999000000002</v>
      </c>
      <c r="E141" s="6">
        <v>130.08999600000001</v>
      </c>
      <c r="F141" s="6">
        <v>106.099998</v>
      </c>
      <c r="G141" s="6">
        <v>45.43</v>
      </c>
      <c r="H141" s="6">
        <v>98.120002999999997</v>
      </c>
      <c r="I141" s="6">
        <v>150</v>
      </c>
      <c r="J141" s="6">
        <v>22.799999</v>
      </c>
      <c r="K141" s="6">
        <v>31.459999</v>
      </c>
      <c r="N141" s="19">
        <v>137</v>
      </c>
      <c r="O141" s="1">
        <v>43665</v>
      </c>
      <c r="P141" s="5">
        <f t="shared" si="78"/>
        <v>-1.0406097934254887E-2</v>
      </c>
      <c r="Q141" s="5">
        <f t="shared" si="79"/>
        <v>-7.7481700230235435E-3</v>
      </c>
      <c r="R141" s="5">
        <f t="shared" si="80"/>
        <v>-2.667246941393004E-2</v>
      </c>
      <c r="S141" s="5">
        <f t="shared" si="81"/>
        <v>-2.1220015067450259E-2</v>
      </c>
      <c r="T141" s="5">
        <f t="shared" si="82"/>
        <v>-2.033842874098863E-2</v>
      </c>
      <c r="U141" s="5">
        <f t="shared" si="83"/>
        <v>-1.9617062825817457E-2</v>
      </c>
      <c r="V141" s="5">
        <f t="shared" si="84"/>
        <v>9.2147880618357447E-3</v>
      </c>
      <c r="W141" s="5">
        <f t="shared" si="85"/>
        <v>-8.8276018188291824E-3</v>
      </c>
      <c r="X141" s="5">
        <f t="shared" si="86"/>
        <v>-1.3149684409591248E-3</v>
      </c>
      <c r="Y141" s="5">
        <f t="shared" si="87"/>
        <v>4.4599947211334976E-3</v>
      </c>
      <c r="Z141" s="33">
        <v>137</v>
      </c>
      <c r="AE141" s="20" t="str">
        <f t="shared" si="88"/>
        <v/>
      </c>
      <c r="AF141" s="22" t="str">
        <f t="shared" si="89"/>
        <v/>
      </c>
      <c r="AG141" s="9" t="str">
        <f t="shared" ca="1" si="68"/>
        <v/>
      </c>
      <c r="AH141" s="9" t="str">
        <f t="shared" ca="1" si="69"/>
        <v/>
      </c>
      <c r="AI141" s="9" t="str">
        <f t="shared" ca="1" si="70"/>
        <v/>
      </c>
      <c r="AJ141" s="9" t="str">
        <f t="shared" ca="1" si="71"/>
        <v/>
      </c>
      <c r="AK141" s="9" t="str">
        <f t="shared" ca="1" si="72"/>
        <v/>
      </c>
      <c r="AL141" s="9" t="str">
        <f t="shared" ca="1" si="73"/>
        <v/>
      </c>
      <c r="AM141" s="9" t="str">
        <f t="shared" ca="1" si="74"/>
        <v/>
      </c>
      <c r="AN141" s="9" t="str">
        <f t="shared" ca="1" si="75"/>
        <v/>
      </c>
      <c r="AO141" s="9" t="str">
        <f t="shared" ca="1" si="76"/>
        <v/>
      </c>
      <c r="AP141" s="9" t="str">
        <f t="shared" ca="1" si="77"/>
        <v/>
      </c>
      <c r="AQ141" s="9"/>
      <c r="AR141" s="9"/>
      <c r="AS141" s="9"/>
      <c r="AT141" s="9"/>
      <c r="AU141" s="9"/>
    </row>
    <row r="142" spans="1:47" x14ac:dyDescent="0.3">
      <c r="A142" s="1">
        <v>43668</v>
      </c>
      <c r="B142" s="6">
        <v>308.54998799999998</v>
      </c>
      <c r="C142" s="6">
        <v>135.41999799999999</v>
      </c>
      <c r="D142" s="6">
        <v>31.764999</v>
      </c>
      <c r="E142" s="6">
        <v>130.279999</v>
      </c>
      <c r="F142" s="6">
        <v>105.589996</v>
      </c>
      <c r="G142" s="6">
        <v>45.299999</v>
      </c>
      <c r="H142" s="6">
        <v>97.199996999999996</v>
      </c>
      <c r="I142" s="6">
        <v>150.800003</v>
      </c>
      <c r="J142" s="6">
        <v>22.780000999999999</v>
      </c>
      <c r="K142" s="6">
        <v>30.98</v>
      </c>
      <c r="N142" s="18">
        <v>138</v>
      </c>
      <c r="O142" s="1">
        <v>43668</v>
      </c>
      <c r="P142" s="5">
        <f t="shared" si="78"/>
        <v>5.459677032004181E-3</v>
      </c>
      <c r="Q142" s="5">
        <f t="shared" si="79"/>
        <v>3.1803066281161684E-3</v>
      </c>
      <c r="R142" s="5">
        <f t="shared" si="80"/>
        <v>4.2590175353039838E-3</v>
      </c>
      <c r="S142" s="5">
        <f t="shared" si="81"/>
        <v>1.4594848667338393E-3</v>
      </c>
      <c r="T142" s="5">
        <f t="shared" si="82"/>
        <v>-4.8183948337488835E-3</v>
      </c>
      <c r="U142" s="5">
        <f t="shared" si="83"/>
        <v>-2.8656693573790529E-3</v>
      </c>
      <c r="V142" s="5">
        <f t="shared" si="84"/>
        <v>-9.4205693628990877E-3</v>
      </c>
      <c r="W142" s="5">
        <f t="shared" si="85"/>
        <v>5.3191813714989116E-3</v>
      </c>
      <c r="X142" s="5">
        <f t="shared" si="86"/>
        <v>-8.7749018355361521E-4</v>
      </c>
      <c r="Y142" s="5">
        <f t="shared" si="87"/>
        <v>-1.5375030855013213E-2</v>
      </c>
      <c r="Z142" s="33">
        <v>138</v>
      </c>
      <c r="AE142" s="20" t="str">
        <f t="shared" si="88"/>
        <v/>
      </c>
      <c r="AF142" s="22" t="str">
        <f t="shared" si="89"/>
        <v/>
      </c>
      <c r="AG142" s="9" t="str">
        <f t="shared" ca="1" si="68"/>
        <v/>
      </c>
      <c r="AH142" s="9" t="str">
        <f t="shared" ca="1" si="69"/>
        <v/>
      </c>
      <c r="AI142" s="9" t="str">
        <f t="shared" ca="1" si="70"/>
        <v/>
      </c>
      <c r="AJ142" s="9" t="str">
        <f t="shared" ca="1" si="71"/>
        <v/>
      </c>
      <c r="AK142" s="9" t="str">
        <f t="shared" ca="1" si="72"/>
        <v/>
      </c>
      <c r="AL142" s="9" t="str">
        <f t="shared" ca="1" si="73"/>
        <v/>
      </c>
      <c r="AM142" s="9" t="str">
        <f t="shared" ca="1" si="74"/>
        <v/>
      </c>
      <c r="AN142" s="9" t="str">
        <f t="shared" ca="1" si="75"/>
        <v/>
      </c>
      <c r="AO142" s="9" t="str">
        <f t="shared" ca="1" si="76"/>
        <v/>
      </c>
      <c r="AP142" s="9" t="str">
        <f t="shared" ca="1" si="77"/>
        <v/>
      </c>
      <c r="AQ142" s="9"/>
      <c r="AR142" s="9"/>
      <c r="AS142" s="9"/>
      <c r="AT142" s="9"/>
      <c r="AU142" s="9"/>
    </row>
    <row r="143" spans="1:47" x14ac:dyDescent="0.3">
      <c r="A143" s="1">
        <v>43669</v>
      </c>
      <c r="B143" s="6">
        <v>307.88000499999998</v>
      </c>
      <c r="C143" s="6">
        <v>136.16000399999999</v>
      </c>
      <c r="D143" s="6">
        <v>32.049999</v>
      </c>
      <c r="E143" s="6">
        <v>130.740005</v>
      </c>
      <c r="F143" s="6">
        <v>107.110001</v>
      </c>
      <c r="G143" s="6">
        <v>45.779998999999997</v>
      </c>
      <c r="H143" s="6">
        <v>98.110000999999997</v>
      </c>
      <c r="I143" s="6">
        <v>154.83999600000001</v>
      </c>
      <c r="J143" s="6">
        <v>22.440000999999999</v>
      </c>
      <c r="K143" s="6">
        <v>30.889999</v>
      </c>
      <c r="N143" s="19">
        <v>139</v>
      </c>
      <c r="O143" s="1">
        <v>43669</v>
      </c>
      <c r="P143" s="5">
        <f t="shared" si="78"/>
        <v>-2.1737529692753025E-3</v>
      </c>
      <c r="Q143" s="5">
        <f t="shared" si="79"/>
        <v>5.4496489136348462E-3</v>
      </c>
      <c r="R143" s="5">
        <f t="shared" si="80"/>
        <v>8.932128928124455E-3</v>
      </c>
      <c r="S143" s="5">
        <f t="shared" si="81"/>
        <v>3.5246836961680206E-3</v>
      </c>
      <c r="T143" s="5">
        <f t="shared" si="82"/>
        <v>1.4292721176687676E-2</v>
      </c>
      <c r="U143" s="5">
        <f t="shared" si="83"/>
        <v>1.0540282266887543E-2</v>
      </c>
      <c r="V143" s="5">
        <f t="shared" si="84"/>
        <v>9.3186277657449461E-3</v>
      </c>
      <c r="W143" s="5">
        <f t="shared" si="85"/>
        <v>2.6437824408574302E-2</v>
      </c>
      <c r="X143" s="5">
        <f t="shared" si="86"/>
        <v>-1.5037876699417E-2</v>
      </c>
      <c r="Y143" s="5">
        <f t="shared" si="87"/>
        <v>-2.909360431168957E-3</v>
      </c>
      <c r="Z143" s="33">
        <v>139</v>
      </c>
      <c r="AE143" s="20" t="str">
        <f t="shared" si="88"/>
        <v/>
      </c>
      <c r="AF143" s="22" t="str">
        <f t="shared" si="89"/>
        <v/>
      </c>
      <c r="AG143" s="9" t="str">
        <f t="shared" ca="1" si="68"/>
        <v/>
      </c>
      <c r="AH143" s="9" t="str">
        <f t="shared" ca="1" si="69"/>
        <v/>
      </c>
      <c r="AI143" s="9" t="str">
        <f t="shared" ca="1" si="70"/>
        <v/>
      </c>
      <c r="AJ143" s="9" t="str">
        <f t="shared" ca="1" si="71"/>
        <v/>
      </c>
      <c r="AK143" s="9" t="str">
        <f t="shared" ca="1" si="72"/>
        <v/>
      </c>
      <c r="AL143" s="9" t="str">
        <f t="shared" ca="1" si="73"/>
        <v/>
      </c>
      <c r="AM143" s="9" t="str">
        <f t="shared" ca="1" si="74"/>
        <v/>
      </c>
      <c r="AN143" s="9" t="str">
        <f t="shared" ca="1" si="75"/>
        <v/>
      </c>
      <c r="AO143" s="9" t="str">
        <f t="shared" ca="1" si="76"/>
        <v/>
      </c>
      <c r="AP143" s="9" t="str">
        <f t="shared" ca="1" si="77"/>
        <v/>
      </c>
      <c r="AQ143" s="9"/>
      <c r="AR143" s="9"/>
      <c r="AS143" s="9"/>
      <c r="AT143" s="9"/>
      <c r="AU143" s="9"/>
    </row>
    <row r="144" spans="1:47" x14ac:dyDescent="0.3">
      <c r="A144" s="1">
        <v>43670</v>
      </c>
      <c r="B144" s="6">
        <v>310.26998900000001</v>
      </c>
      <c r="C144" s="6">
        <v>137.61999499999999</v>
      </c>
      <c r="D144" s="6">
        <v>32.369999</v>
      </c>
      <c r="E144" s="6">
        <v>129.21000699999999</v>
      </c>
      <c r="F144" s="6">
        <v>107.040001</v>
      </c>
      <c r="G144" s="6">
        <v>45.650002000000001</v>
      </c>
      <c r="H144" s="6">
        <v>97.709998999999996</v>
      </c>
      <c r="I144" s="6">
        <v>154.759995</v>
      </c>
      <c r="J144" s="6">
        <v>22.77</v>
      </c>
      <c r="K144" s="6">
        <v>31.49</v>
      </c>
      <c r="N144" s="18">
        <v>140</v>
      </c>
      <c r="O144" s="1">
        <v>43670</v>
      </c>
      <c r="P144" s="5">
        <f t="shared" si="78"/>
        <v>7.7327377896111004E-3</v>
      </c>
      <c r="Q144" s="5">
        <f t="shared" si="79"/>
        <v>1.0665533240137894E-2</v>
      </c>
      <c r="R144" s="5">
        <f t="shared" si="80"/>
        <v>9.9348848799201139E-3</v>
      </c>
      <c r="S144" s="5">
        <f t="shared" si="81"/>
        <v>-1.1771614518924665E-2</v>
      </c>
      <c r="T144" s="5">
        <f t="shared" si="82"/>
        <v>-6.5374739051434969E-4</v>
      </c>
      <c r="U144" s="5">
        <f t="shared" si="83"/>
        <v>-2.8436418282338925E-3</v>
      </c>
      <c r="V144" s="5">
        <f t="shared" si="84"/>
        <v>-4.0854106460555513E-3</v>
      </c>
      <c r="W144" s="5">
        <f t="shared" si="85"/>
        <v>-5.1680235210722729E-4</v>
      </c>
      <c r="X144" s="5">
        <f t="shared" si="86"/>
        <v>1.4598754857873779E-2</v>
      </c>
      <c r="Y144" s="5">
        <f t="shared" si="87"/>
        <v>1.9237560555379712E-2</v>
      </c>
      <c r="Z144" s="33">
        <v>140</v>
      </c>
      <c r="AE144" s="20" t="str">
        <f t="shared" si="88"/>
        <v/>
      </c>
      <c r="AF144" s="22" t="str">
        <f t="shared" si="89"/>
        <v/>
      </c>
      <c r="AG144" s="9" t="str">
        <f t="shared" ca="1" si="68"/>
        <v/>
      </c>
      <c r="AH144" s="9" t="str">
        <f t="shared" ca="1" si="69"/>
        <v/>
      </c>
      <c r="AI144" s="9" t="str">
        <f t="shared" ca="1" si="70"/>
        <v/>
      </c>
      <c r="AJ144" s="9" t="str">
        <f t="shared" ca="1" si="71"/>
        <v/>
      </c>
      <c r="AK144" s="9" t="str">
        <f t="shared" ca="1" si="72"/>
        <v/>
      </c>
      <c r="AL144" s="9" t="str">
        <f t="shared" ca="1" si="73"/>
        <v/>
      </c>
      <c r="AM144" s="9" t="str">
        <f t="shared" ca="1" si="74"/>
        <v/>
      </c>
      <c r="AN144" s="9" t="str">
        <f t="shared" ca="1" si="75"/>
        <v/>
      </c>
      <c r="AO144" s="9" t="str">
        <f t="shared" ca="1" si="76"/>
        <v/>
      </c>
      <c r="AP144" s="9" t="str">
        <f t="shared" ca="1" si="77"/>
        <v/>
      </c>
      <c r="AQ144" s="9"/>
      <c r="AR144" s="9"/>
      <c r="AS144" s="9"/>
      <c r="AT144" s="9"/>
      <c r="AU144" s="9"/>
    </row>
    <row r="145" spans="1:47" x14ac:dyDescent="0.3">
      <c r="A145" s="1">
        <v>43671</v>
      </c>
      <c r="B145" s="6">
        <v>308.73001099999999</v>
      </c>
      <c r="C145" s="6">
        <v>137.5</v>
      </c>
      <c r="D145" s="6">
        <v>32.080002</v>
      </c>
      <c r="E145" s="6">
        <v>128.990005</v>
      </c>
      <c r="F145" s="6">
        <v>107.610001</v>
      </c>
      <c r="G145" s="6">
        <v>45.91</v>
      </c>
      <c r="H145" s="6">
        <v>98.779999000000004</v>
      </c>
      <c r="I145" s="6">
        <v>154.11999499999999</v>
      </c>
      <c r="J145" s="6">
        <v>23.02</v>
      </c>
      <c r="K145" s="6">
        <v>31.459999</v>
      </c>
      <c r="N145" s="19">
        <v>141</v>
      </c>
      <c r="O145" s="1">
        <v>43671</v>
      </c>
      <c r="P145" s="5">
        <f t="shared" si="78"/>
        <v>-4.9757065498733499E-3</v>
      </c>
      <c r="Q145" s="5">
        <f t="shared" si="79"/>
        <v>-8.7231033577855768E-4</v>
      </c>
      <c r="R145" s="5">
        <f t="shared" si="80"/>
        <v>-8.9991917028991002E-3</v>
      </c>
      <c r="S145" s="5">
        <f t="shared" si="81"/>
        <v>-1.704121169762022E-3</v>
      </c>
      <c r="T145" s="5">
        <f t="shared" si="82"/>
        <v>5.3109837828973347E-3</v>
      </c>
      <c r="U145" s="5">
        <f t="shared" si="83"/>
        <v>5.6793074085439944E-3</v>
      </c>
      <c r="V145" s="5">
        <f t="shared" si="84"/>
        <v>1.0891247267087154E-2</v>
      </c>
      <c r="W145" s="5">
        <f t="shared" si="85"/>
        <v>-4.144010208518365E-3</v>
      </c>
      <c r="X145" s="5">
        <f t="shared" si="86"/>
        <v>1.0919523218088444E-2</v>
      </c>
      <c r="Y145" s="5">
        <f t="shared" si="87"/>
        <v>-9.5316926919744311E-4</v>
      </c>
      <c r="Z145" s="33">
        <v>141</v>
      </c>
      <c r="AE145" s="20" t="str">
        <f t="shared" si="88"/>
        <v/>
      </c>
      <c r="AF145" s="22" t="str">
        <f t="shared" si="89"/>
        <v/>
      </c>
      <c r="AG145" s="9" t="str">
        <f t="shared" ca="1" si="68"/>
        <v/>
      </c>
      <c r="AH145" s="9" t="str">
        <f t="shared" ca="1" si="69"/>
        <v/>
      </c>
      <c r="AI145" s="9" t="str">
        <f t="shared" ca="1" si="70"/>
        <v/>
      </c>
      <c r="AJ145" s="9" t="str">
        <f t="shared" ca="1" si="71"/>
        <v/>
      </c>
      <c r="AK145" s="9" t="str">
        <f t="shared" ca="1" si="72"/>
        <v/>
      </c>
      <c r="AL145" s="9" t="str">
        <f t="shared" ca="1" si="73"/>
        <v/>
      </c>
      <c r="AM145" s="9" t="str">
        <f t="shared" ca="1" si="74"/>
        <v/>
      </c>
      <c r="AN145" s="9" t="str">
        <f t="shared" ca="1" si="75"/>
        <v/>
      </c>
      <c r="AO145" s="9" t="str">
        <f t="shared" ca="1" si="76"/>
        <v/>
      </c>
      <c r="AP145" s="9" t="str">
        <f t="shared" ca="1" si="77"/>
        <v/>
      </c>
      <c r="AQ145" s="9"/>
      <c r="AR145" s="9"/>
      <c r="AS145" s="9"/>
      <c r="AT145" s="9"/>
      <c r="AU145" s="9"/>
    </row>
    <row r="146" spans="1:47" x14ac:dyDescent="0.3">
      <c r="A146" s="1">
        <v>43672</v>
      </c>
      <c r="B146" s="6">
        <v>311.26998900000001</v>
      </c>
      <c r="C146" s="6">
        <v>137.08999600000001</v>
      </c>
      <c r="D146" s="6">
        <v>32.599997999999999</v>
      </c>
      <c r="E146" s="6">
        <v>131.220001</v>
      </c>
      <c r="F146" s="6">
        <v>105.910004</v>
      </c>
      <c r="G146" s="6">
        <v>46.09</v>
      </c>
      <c r="H146" s="6">
        <v>98.209998999999996</v>
      </c>
      <c r="I146" s="6">
        <v>155.33000200000001</v>
      </c>
      <c r="J146" s="6">
        <v>23.07</v>
      </c>
      <c r="K146" s="6">
        <v>31.469999000000001</v>
      </c>
      <c r="N146" s="18">
        <v>142</v>
      </c>
      <c r="O146" s="1">
        <v>43672</v>
      </c>
      <c r="P146" s="5">
        <f t="shared" si="78"/>
        <v>8.1935232575924104E-3</v>
      </c>
      <c r="Q146" s="5">
        <f t="shared" si="79"/>
        <v>-2.9863018367297439E-3</v>
      </c>
      <c r="R146" s="5">
        <f t="shared" si="80"/>
        <v>1.607938168051529E-2</v>
      </c>
      <c r="S146" s="5">
        <f t="shared" si="81"/>
        <v>1.714039079778213E-2</v>
      </c>
      <c r="T146" s="5">
        <f t="shared" si="82"/>
        <v>-1.5923874881624164E-2</v>
      </c>
      <c r="U146" s="5">
        <f t="shared" si="83"/>
        <v>3.9130484712863022E-3</v>
      </c>
      <c r="V146" s="5">
        <f t="shared" si="84"/>
        <v>-5.7871120015516812E-3</v>
      </c>
      <c r="W146" s="5">
        <f t="shared" si="85"/>
        <v>7.8204115599252201E-3</v>
      </c>
      <c r="X146" s="5">
        <f t="shared" si="86"/>
        <v>2.1696688919257707E-3</v>
      </c>
      <c r="Y146" s="5">
        <f t="shared" si="87"/>
        <v>3.178134562842425E-4</v>
      </c>
      <c r="Z146" s="33">
        <v>142</v>
      </c>
      <c r="AE146" s="20" t="str">
        <f t="shared" si="88"/>
        <v/>
      </c>
      <c r="AF146" s="22" t="str">
        <f t="shared" si="89"/>
        <v/>
      </c>
      <c r="AG146" s="9" t="str">
        <f t="shared" ca="1" si="68"/>
        <v/>
      </c>
      <c r="AH146" s="9" t="str">
        <f t="shared" ca="1" si="69"/>
        <v/>
      </c>
      <c r="AI146" s="9" t="str">
        <f t="shared" ca="1" si="70"/>
        <v/>
      </c>
      <c r="AJ146" s="9" t="str">
        <f t="shared" ca="1" si="71"/>
        <v/>
      </c>
      <c r="AK146" s="9" t="str">
        <f t="shared" ca="1" si="72"/>
        <v/>
      </c>
      <c r="AL146" s="9" t="str">
        <f t="shared" ca="1" si="73"/>
        <v/>
      </c>
      <c r="AM146" s="9" t="str">
        <f t="shared" ca="1" si="74"/>
        <v/>
      </c>
      <c r="AN146" s="9" t="str">
        <f t="shared" ca="1" si="75"/>
        <v/>
      </c>
      <c r="AO146" s="9" t="str">
        <f t="shared" ca="1" si="76"/>
        <v/>
      </c>
      <c r="AP146" s="9" t="str">
        <f t="shared" ca="1" si="77"/>
        <v/>
      </c>
      <c r="AQ146" s="9"/>
      <c r="AR146" s="9"/>
      <c r="AS146" s="9"/>
      <c r="AT146" s="9"/>
      <c r="AU146" s="9"/>
    </row>
    <row r="147" spans="1:47" x14ac:dyDescent="0.3">
      <c r="A147" s="1">
        <v>43675</v>
      </c>
      <c r="B147" s="6">
        <v>307.22000100000002</v>
      </c>
      <c r="C147" s="6">
        <v>136.21000699999999</v>
      </c>
      <c r="D147" s="6">
        <v>32.695</v>
      </c>
      <c r="E147" s="6">
        <v>131.529999</v>
      </c>
      <c r="F147" s="6">
        <v>106.220001</v>
      </c>
      <c r="G147" s="6">
        <v>46.560001</v>
      </c>
      <c r="H147" s="6">
        <v>96.769997000000004</v>
      </c>
      <c r="I147" s="6">
        <v>154.58999600000001</v>
      </c>
      <c r="J147" s="6">
        <v>23.15</v>
      </c>
      <c r="K147" s="6">
        <v>31.08</v>
      </c>
      <c r="N147" s="19">
        <v>143</v>
      </c>
      <c r="O147" s="1">
        <v>43675</v>
      </c>
      <c r="P147" s="5">
        <f t="shared" si="78"/>
        <v>-1.3096560827544212E-2</v>
      </c>
      <c r="Q147" s="5">
        <f t="shared" si="79"/>
        <v>-6.439751419413311E-3</v>
      </c>
      <c r="R147" s="5">
        <f t="shared" si="80"/>
        <v>2.9099339902724283E-3</v>
      </c>
      <c r="S147" s="5">
        <f t="shared" si="81"/>
        <v>2.3596433403381568E-3</v>
      </c>
      <c r="T147" s="5">
        <f t="shared" si="82"/>
        <v>2.9227097851825408E-3</v>
      </c>
      <c r="U147" s="5">
        <f t="shared" si="83"/>
        <v>1.014581816842838E-2</v>
      </c>
      <c r="V147" s="5">
        <f t="shared" si="84"/>
        <v>-1.4771035095912969E-2</v>
      </c>
      <c r="W147" s="5">
        <f t="shared" si="85"/>
        <v>-4.775473742281139E-3</v>
      </c>
      <c r="X147" s="5">
        <f t="shared" si="86"/>
        <v>3.4617083465807979E-3</v>
      </c>
      <c r="Y147" s="5">
        <f t="shared" si="87"/>
        <v>-1.2470153800573529E-2</v>
      </c>
      <c r="Z147" s="33">
        <v>143</v>
      </c>
      <c r="AE147" s="20" t="str">
        <f t="shared" si="88"/>
        <v/>
      </c>
      <c r="AF147" s="22" t="str">
        <f t="shared" si="89"/>
        <v/>
      </c>
      <c r="AG147" s="9" t="str">
        <f t="shared" ca="1" si="68"/>
        <v/>
      </c>
      <c r="AH147" s="9" t="str">
        <f t="shared" ca="1" si="69"/>
        <v/>
      </c>
      <c r="AI147" s="9" t="str">
        <f t="shared" ca="1" si="70"/>
        <v/>
      </c>
      <c r="AJ147" s="9" t="str">
        <f t="shared" ca="1" si="71"/>
        <v/>
      </c>
      <c r="AK147" s="9" t="str">
        <f t="shared" ca="1" si="72"/>
        <v/>
      </c>
      <c r="AL147" s="9" t="str">
        <f t="shared" ca="1" si="73"/>
        <v/>
      </c>
      <c r="AM147" s="9" t="str">
        <f t="shared" ca="1" si="74"/>
        <v/>
      </c>
      <c r="AN147" s="9" t="str">
        <f t="shared" ca="1" si="75"/>
        <v/>
      </c>
      <c r="AO147" s="9" t="str">
        <f t="shared" ca="1" si="76"/>
        <v/>
      </c>
      <c r="AP147" s="9" t="str">
        <f t="shared" ca="1" si="77"/>
        <v/>
      </c>
      <c r="AQ147" s="9"/>
      <c r="AR147" s="9"/>
      <c r="AS147" s="9"/>
      <c r="AT147" s="9"/>
      <c r="AU147" s="9"/>
    </row>
    <row r="148" spans="1:47" x14ac:dyDescent="0.3">
      <c r="A148" s="1">
        <v>43676</v>
      </c>
      <c r="B148" s="6">
        <v>303.64001500000001</v>
      </c>
      <c r="C148" s="6">
        <v>135.36999499999999</v>
      </c>
      <c r="D148" s="6">
        <v>32.755001</v>
      </c>
      <c r="E148" s="6">
        <v>130.479996</v>
      </c>
      <c r="F148" s="6">
        <v>106.089996</v>
      </c>
      <c r="G148" s="6">
        <v>46.599997999999999</v>
      </c>
      <c r="H148" s="6">
        <v>97.889999000000003</v>
      </c>
      <c r="I148" s="6">
        <v>155.80999800000001</v>
      </c>
      <c r="J148" s="6">
        <v>22.950001</v>
      </c>
      <c r="K148" s="6">
        <v>31.02</v>
      </c>
      <c r="N148" s="18">
        <v>144</v>
      </c>
      <c r="O148" s="1">
        <v>43676</v>
      </c>
      <c r="P148" s="5">
        <f t="shared" si="78"/>
        <v>-1.1721268026823719E-2</v>
      </c>
      <c r="Q148" s="5">
        <f t="shared" si="79"/>
        <v>-6.1861305885945201E-3</v>
      </c>
      <c r="R148" s="5">
        <f t="shared" si="80"/>
        <v>1.8334917002901258E-3</v>
      </c>
      <c r="S148" s="5">
        <f t="shared" si="81"/>
        <v>-8.015027221140239E-3</v>
      </c>
      <c r="T148" s="5">
        <f t="shared" si="82"/>
        <v>-1.2246716413328509E-3</v>
      </c>
      <c r="U148" s="5">
        <f t="shared" si="83"/>
        <v>8.586733122988927E-4</v>
      </c>
      <c r="V148" s="5">
        <f t="shared" si="84"/>
        <v>1.1507391166283567E-2</v>
      </c>
      <c r="W148" s="5">
        <f t="shared" si="85"/>
        <v>7.860878259769109E-3</v>
      </c>
      <c r="X148" s="5">
        <f t="shared" si="86"/>
        <v>-8.6768004527049934E-3</v>
      </c>
      <c r="Y148" s="5">
        <f t="shared" si="87"/>
        <v>-1.9323677510539241E-3</v>
      </c>
      <c r="Z148" s="33">
        <v>144</v>
      </c>
      <c r="AE148" s="20" t="str">
        <f t="shared" si="88"/>
        <v/>
      </c>
      <c r="AF148" s="22" t="str">
        <f t="shared" si="89"/>
        <v/>
      </c>
      <c r="AG148" s="9" t="str">
        <f t="shared" ca="1" si="68"/>
        <v/>
      </c>
      <c r="AH148" s="9" t="str">
        <f t="shared" ca="1" si="69"/>
        <v/>
      </c>
      <c r="AI148" s="9" t="str">
        <f t="shared" ca="1" si="70"/>
        <v/>
      </c>
      <c r="AJ148" s="9" t="str">
        <f t="shared" ca="1" si="71"/>
        <v/>
      </c>
      <c r="AK148" s="9" t="str">
        <f t="shared" ca="1" si="72"/>
        <v/>
      </c>
      <c r="AL148" s="9" t="str">
        <f t="shared" ca="1" si="73"/>
        <v/>
      </c>
      <c r="AM148" s="9" t="str">
        <f t="shared" ca="1" si="74"/>
        <v/>
      </c>
      <c r="AN148" s="9" t="str">
        <f t="shared" ca="1" si="75"/>
        <v/>
      </c>
      <c r="AO148" s="9" t="str">
        <f t="shared" ca="1" si="76"/>
        <v/>
      </c>
      <c r="AP148" s="9" t="str">
        <f t="shared" ca="1" si="77"/>
        <v/>
      </c>
      <c r="AQ148" s="9"/>
      <c r="AR148" s="9"/>
      <c r="AS148" s="9"/>
      <c r="AT148" s="9"/>
      <c r="AU148" s="9"/>
    </row>
    <row r="149" spans="1:47" x14ac:dyDescent="0.3">
      <c r="A149" s="1">
        <v>43677</v>
      </c>
      <c r="B149" s="6">
        <v>298.85998499999999</v>
      </c>
      <c r="C149" s="6">
        <v>132.759995</v>
      </c>
      <c r="D149" s="6">
        <v>32.235000999999997</v>
      </c>
      <c r="E149" s="6">
        <v>127.80999799999999</v>
      </c>
      <c r="F149" s="6">
        <v>103.709999</v>
      </c>
      <c r="G149" s="6">
        <v>46.060001</v>
      </c>
      <c r="H149" s="6">
        <v>96.849997999999999</v>
      </c>
      <c r="I149" s="6">
        <v>152.61000100000001</v>
      </c>
      <c r="J149" s="6">
        <v>22.92</v>
      </c>
      <c r="K149" s="6">
        <v>30.309999000000001</v>
      </c>
      <c r="N149" s="19">
        <v>145</v>
      </c>
      <c r="O149" s="1">
        <v>43677</v>
      </c>
      <c r="P149" s="5">
        <f t="shared" si="78"/>
        <v>-1.5867652426651238E-2</v>
      </c>
      <c r="Q149" s="5">
        <f t="shared" si="79"/>
        <v>-1.9468784072061728E-2</v>
      </c>
      <c r="R149" s="5">
        <f t="shared" si="80"/>
        <v>-1.6002802928765634E-2</v>
      </c>
      <c r="S149" s="5">
        <f t="shared" si="81"/>
        <v>-2.0675157161323735E-2</v>
      </c>
      <c r="T149" s="5">
        <f t="shared" si="82"/>
        <v>-2.2689219807972033E-2</v>
      </c>
      <c r="U149" s="5">
        <f t="shared" si="83"/>
        <v>-1.1655582109793429E-2</v>
      </c>
      <c r="V149" s="5">
        <f t="shared" si="84"/>
        <v>-1.0681019855276634E-2</v>
      </c>
      <c r="W149" s="5">
        <f t="shared" si="85"/>
        <v>-2.0751649337682622E-2</v>
      </c>
      <c r="X149" s="5">
        <f t="shared" si="86"/>
        <v>-1.3080882329991107E-3</v>
      </c>
      <c r="Y149" s="5">
        <f t="shared" si="87"/>
        <v>-2.3154499671093228E-2</v>
      </c>
      <c r="Z149" s="33">
        <v>145</v>
      </c>
      <c r="AE149" s="20" t="str">
        <f t="shared" si="88"/>
        <v/>
      </c>
      <c r="AF149" s="22" t="str">
        <f t="shared" si="89"/>
        <v/>
      </c>
      <c r="AG149" s="9" t="str">
        <f t="shared" ca="1" si="68"/>
        <v/>
      </c>
      <c r="AH149" s="9" t="str">
        <f t="shared" ca="1" si="69"/>
        <v/>
      </c>
      <c r="AI149" s="9" t="str">
        <f t="shared" ca="1" si="70"/>
        <v/>
      </c>
      <c r="AJ149" s="9" t="str">
        <f t="shared" ca="1" si="71"/>
        <v/>
      </c>
      <c r="AK149" s="9" t="str">
        <f t="shared" ca="1" si="72"/>
        <v/>
      </c>
      <c r="AL149" s="9" t="str">
        <f t="shared" ca="1" si="73"/>
        <v/>
      </c>
      <c r="AM149" s="9" t="str">
        <f t="shared" ca="1" si="74"/>
        <v/>
      </c>
      <c r="AN149" s="9" t="str">
        <f t="shared" ca="1" si="75"/>
        <v/>
      </c>
      <c r="AO149" s="9" t="str">
        <f t="shared" ca="1" si="76"/>
        <v/>
      </c>
      <c r="AP149" s="9" t="str">
        <f t="shared" ca="1" si="77"/>
        <v/>
      </c>
      <c r="AQ149" s="9"/>
      <c r="AR149" s="9"/>
      <c r="AS149" s="9"/>
      <c r="AT149" s="9"/>
      <c r="AU149" s="9"/>
    </row>
    <row r="150" spans="1:47" x14ac:dyDescent="0.3">
      <c r="A150" s="1">
        <v>43678</v>
      </c>
      <c r="B150" s="6">
        <v>298.44000199999999</v>
      </c>
      <c r="C150" s="6">
        <v>132.520004</v>
      </c>
      <c r="D150" s="6">
        <v>31.73</v>
      </c>
      <c r="E150" s="6">
        <v>127.139999</v>
      </c>
      <c r="F150" s="6">
        <v>103.589996</v>
      </c>
      <c r="G150" s="6">
        <v>46.07</v>
      </c>
      <c r="H150" s="6">
        <v>94.389999000000003</v>
      </c>
      <c r="I150" s="6">
        <v>149.779999</v>
      </c>
      <c r="J150" s="6">
        <v>22.25</v>
      </c>
      <c r="K150" s="6">
        <v>29.940000999999999</v>
      </c>
      <c r="N150" s="18">
        <v>146</v>
      </c>
      <c r="O150" s="1">
        <v>43678</v>
      </c>
      <c r="P150" s="5">
        <f t="shared" si="78"/>
        <v>-1.4062718176929292E-3</v>
      </c>
      <c r="Q150" s="5">
        <f t="shared" si="79"/>
        <v>-1.8093415740090099E-3</v>
      </c>
      <c r="R150" s="5">
        <f t="shared" si="80"/>
        <v>-1.5790244189659519E-2</v>
      </c>
      <c r="S150" s="5">
        <f t="shared" si="81"/>
        <v>-5.2559368524775617E-3</v>
      </c>
      <c r="T150" s="5">
        <f t="shared" si="82"/>
        <v>-1.1577715031269779E-3</v>
      </c>
      <c r="U150" s="5">
        <f t="shared" si="83"/>
        <v>2.1706284447465011E-4</v>
      </c>
      <c r="V150" s="5">
        <f t="shared" si="84"/>
        <v>-2.5728244460003779E-2</v>
      </c>
      <c r="W150" s="5">
        <f t="shared" si="85"/>
        <v>-1.8718109910671774E-2</v>
      </c>
      <c r="X150" s="5">
        <f t="shared" si="86"/>
        <v>-2.9667883234289708E-2</v>
      </c>
      <c r="Y150" s="5">
        <f t="shared" si="87"/>
        <v>-1.228224568568425E-2</v>
      </c>
      <c r="Z150" s="33">
        <v>146</v>
      </c>
      <c r="AE150" s="20" t="str">
        <f t="shared" si="88"/>
        <v/>
      </c>
      <c r="AF150" s="22" t="str">
        <f t="shared" si="89"/>
        <v/>
      </c>
      <c r="AG150" s="9" t="str">
        <f t="shared" ca="1" si="68"/>
        <v/>
      </c>
      <c r="AH150" s="9" t="str">
        <f t="shared" ca="1" si="69"/>
        <v/>
      </c>
      <c r="AI150" s="9" t="str">
        <f t="shared" ca="1" si="70"/>
        <v/>
      </c>
      <c r="AJ150" s="9" t="str">
        <f t="shared" ca="1" si="71"/>
        <v/>
      </c>
      <c r="AK150" s="9" t="str">
        <f t="shared" ca="1" si="72"/>
        <v/>
      </c>
      <c r="AL150" s="9" t="str">
        <f t="shared" ca="1" si="73"/>
        <v/>
      </c>
      <c r="AM150" s="9" t="str">
        <f t="shared" ca="1" si="74"/>
        <v/>
      </c>
      <c r="AN150" s="9" t="str">
        <f t="shared" ca="1" si="75"/>
        <v/>
      </c>
      <c r="AO150" s="9" t="str">
        <f t="shared" ca="1" si="76"/>
        <v/>
      </c>
      <c r="AP150" s="9" t="str">
        <f t="shared" ca="1" si="77"/>
        <v/>
      </c>
      <c r="AQ150" s="9"/>
      <c r="AR150" s="9"/>
      <c r="AS150" s="9"/>
      <c r="AT150" s="9"/>
      <c r="AU150" s="9"/>
    </row>
    <row r="151" spans="1:47" x14ac:dyDescent="0.3">
      <c r="A151" s="1">
        <v>43679</v>
      </c>
      <c r="B151" s="6">
        <v>293.709991</v>
      </c>
      <c r="C151" s="6">
        <v>129.35000600000001</v>
      </c>
      <c r="D151" s="6">
        <v>31.195</v>
      </c>
      <c r="E151" s="6">
        <v>127.91999800000001</v>
      </c>
      <c r="F151" s="6">
        <v>103.94000200000001</v>
      </c>
      <c r="G151" s="6">
        <v>46.259998000000003</v>
      </c>
      <c r="H151" s="6">
        <v>92.75</v>
      </c>
      <c r="I151" s="6">
        <v>149.25</v>
      </c>
      <c r="J151" s="6">
        <v>21.77</v>
      </c>
      <c r="K151" s="6">
        <v>29.43</v>
      </c>
      <c r="N151" s="19">
        <v>147</v>
      </c>
      <c r="O151" s="1">
        <v>43679</v>
      </c>
      <c r="P151" s="5">
        <f t="shared" si="78"/>
        <v>-1.597605897370143E-2</v>
      </c>
      <c r="Q151" s="5">
        <f t="shared" si="79"/>
        <v>-2.4211652598005621E-2</v>
      </c>
      <c r="R151" s="5">
        <f t="shared" si="80"/>
        <v>-1.7004780032354477E-2</v>
      </c>
      <c r="S151" s="5">
        <f t="shared" si="81"/>
        <v>6.1162192480095755E-3</v>
      </c>
      <c r="T151" s="5">
        <f t="shared" si="82"/>
        <v>3.3730673659219199E-3</v>
      </c>
      <c r="U151" s="5">
        <f t="shared" si="83"/>
        <v>4.1156346215711834E-3</v>
      </c>
      <c r="V151" s="5">
        <f t="shared" si="84"/>
        <v>-1.7527423254965837E-2</v>
      </c>
      <c r="W151" s="5">
        <f t="shared" si="85"/>
        <v>-3.5447918720507275E-3</v>
      </c>
      <c r="X151" s="5">
        <f t="shared" si="86"/>
        <v>-2.180913336579321E-2</v>
      </c>
      <c r="Y151" s="5">
        <f t="shared" si="87"/>
        <v>-1.7180850146233863E-2</v>
      </c>
      <c r="Z151" s="33">
        <v>147</v>
      </c>
      <c r="AE151" s="20" t="str">
        <f t="shared" si="88"/>
        <v/>
      </c>
      <c r="AF151" s="22" t="str">
        <f t="shared" si="89"/>
        <v/>
      </c>
      <c r="AG151" s="9" t="str">
        <f t="shared" ca="1" si="68"/>
        <v/>
      </c>
      <c r="AH151" s="9" t="str">
        <f t="shared" ca="1" si="69"/>
        <v/>
      </c>
      <c r="AI151" s="9" t="str">
        <f t="shared" ca="1" si="70"/>
        <v/>
      </c>
      <c r="AJ151" s="9" t="str">
        <f t="shared" ca="1" si="71"/>
        <v/>
      </c>
      <c r="AK151" s="9" t="str">
        <f t="shared" ca="1" si="72"/>
        <v/>
      </c>
      <c r="AL151" s="9" t="str">
        <f t="shared" ca="1" si="73"/>
        <v/>
      </c>
      <c r="AM151" s="9" t="str">
        <f t="shared" ca="1" si="74"/>
        <v/>
      </c>
      <c r="AN151" s="9" t="str">
        <f t="shared" ca="1" si="75"/>
        <v/>
      </c>
      <c r="AO151" s="9" t="str">
        <f t="shared" ca="1" si="76"/>
        <v/>
      </c>
      <c r="AP151" s="9" t="str">
        <f t="shared" ca="1" si="77"/>
        <v/>
      </c>
      <c r="AQ151" s="9"/>
      <c r="AR151" s="9"/>
      <c r="AS151" s="9"/>
      <c r="AT151" s="9"/>
      <c r="AU151" s="9"/>
    </row>
    <row r="152" spans="1:47" x14ac:dyDescent="0.3">
      <c r="A152" s="1">
        <v>43682</v>
      </c>
      <c r="B152" s="6">
        <v>280.35998499999999</v>
      </c>
      <c r="C152" s="6">
        <v>124.769997</v>
      </c>
      <c r="D152" s="6">
        <v>29.48</v>
      </c>
      <c r="E152" s="6">
        <v>124.400002</v>
      </c>
      <c r="F152" s="6">
        <v>101.739998</v>
      </c>
      <c r="G152" s="6">
        <v>44.799999</v>
      </c>
      <c r="H152" s="6">
        <v>89.900002000000001</v>
      </c>
      <c r="I152" s="6">
        <v>147.63999899999999</v>
      </c>
      <c r="J152" s="6">
        <v>21.16</v>
      </c>
      <c r="K152" s="6">
        <v>29.18</v>
      </c>
      <c r="N152" s="18">
        <v>148</v>
      </c>
      <c r="O152" s="1">
        <v>43682</v>
      </c>
      <c r="P152" s="5">
        <f t="shared" si="78"/>
        <v>-4.6518417201643625E-2</v>
      </c>
      <c r="Q152" s="5">
        <f t="shared" si="79"/>
        <v>-3.6049936639123863E-2</v>
      </c>
      <c r="R152" s="5">
        <f t="shared" si="80"/>
        <v>-5.6545758241613807E-2</v>
      </c>
      <c r="S152" s="5">
        <f t="shared" si="81"/>
        <v>-2.7902856508677611E-2</v>
      </c>
      <c r="T152" s="5">
        <f t="shared" si="82"/>
        <v>-2.1393309085498823E-2</v>
      </c>
      <c r="U152" s="5">
        <f t="shared" si="83"/>
        <v>-3.206949646988623E-2</v>
      </c>
      <c r="V152" s="5">
        <f t="shared" si="84"/>
        <v>-3.1209737763029141E-2</v>
      </c>
      <c r="W152" s="5">
        <f t="shared" si="85"/>
        <v>-1.084588088414588E-2</v>
      </c>
      <c r="X152" s="5">
        <f t="shared" si="86"/>
        <v>-2.8420268256357396E-2</v>
      </c>
      <c r="Y152" s="5">
        <f t="shared" si="87"/>
        <v>-8.5310191507417723E-3</v>
      </c>
      <c r="Z152" s="33">
        <v>148</v>
      </c>
      <c r="AE152" s="20" t="str">
        <f t="shared" si="88"/>
        <v/>
      </c>
      <c r="AF152" s="22" t="str">
        <f t="shared" si="89"/>
        <v/>
      </c>
      <c r="AG152" s="9" t="str">
        <f t="shared" ca="1" si="68"/>
        <v/>
      </c>
      <c r="AH152" s="9" t="str">
        <f t="shared" ca="1" si="69"/>
        <v/>
      </c>
      <c r="AI152" s="9" t="str">
        <f t="shared" ca="1" si="70"/>
        <v/>
      </c>
      <c r="AJ152" s="9" t="str">
        <f t="shared" ca="1" si="71"/>
        <v/>
      </c>
      <c r="AK152" s="9" t="str">
        <f t="shared" ca="1" si="72"/>
        <v/>
      </c>
      <c r="AL152" s="9" t="str">
        <f t="shared" ca="1" si="73"/>
        <v/>
      </c>
      <c r="AM152" s="9" t="str">
        <f t="shared" ca="1" si="74"/>
        <v/>
      </c>
      <c r="AN152" s="9" t="str">
        <f t="shared" ca="1" si="75"/>
        <v/>
      </c>
      <c r="AO152" s="9" t="str">
        <f t="shared" ca="1" si="76"/>
        <v/>
      </c>
      <c r="AP152" s="9" t="str">
        <f t="shared" ca="1" si="77"/>
        <v/>
      </c>
      <c r="AQ152" s="9"/>
      <c r="AR152" s="9"/>
      <c r="AS152" s="9"/>
      <c r="AT152" s="9"/>
      <c r="AU152" s="9"/>
    </row>
    <row r="153" spans="1:47" x14ac:dyDescent="0.3">
      <c r="A153" s="1">
        <v>43683</v>
      </c>
      <c r="B153" s="6">
        <v>286.209991</v>
      </c>
      <c r="C153" s="6">
        <v>126.230003</v>
      </c>
      <c r="D153" s="6">
        <v>30.09</v>
      </c>
      <c r="E153" s="6">
        <v>126.449997</v>
      </c>
      <c r="F153" s="6">
        <v>103.730003</v>
      </c>
      <c r="G153" s="6">
        <v>46.330002</v>
      </c>
      <c r="H153" s="6">
        <v>91</v>
      </c>
      <c r="I153" s="6">
        <v>151.520004</v>
      </c>
      <c r="J153" s="6">
        <v>21.290001</v>
      </c>
      <c r="K153" s="6">
        <v>29.540001</v>
      </c>
      <c r="N153" s="19">
        <v>149</v>
      </c>
      <c r="O153" s="1">
        <v>43683</v>
      </c>
      <c r="P153" s="5">
        <f t="shared" si="78"/>
        <v>2.0651337537994596E-2</v>
      </c>
      <c r="Q153" s="5">
        <f t="shared" si="79"/>
        <v>1.1633645152222864E-2</v>
      </c>
      <c r="R153" s="5">
        <f t="shared" si="80"/>
        <v>2.0480823320818044E-2</v>
      </c>
      <c r="S153" s="5">
        <f t="shared" si="81"/>
        <v>1.6344753008932098E-2</v>
      </c>
      <c r="T153" s="5">
        <f t="shared" si="82"/>
        <v>1.9370878628306925E-2</v>
      </c>
      <c r="U153" s="5">
        <f t="shared" si="83"/>
        <v>3.3581625497618665E-2</v>
      </c>
      <c r="V153" s="5">
        <f t="shared" si="84"/>
        <v>1.2161542792334593E-2</v>
      </c>
      <c r="W153" s="5">
        <f t="shared" si="85"/>
        <v>2.594078444835745E-2</v>
      </c>
      <c r="X153" s="5">
        <f t="shared" si="86"/>
        <v>6.1249188856970921E-3</v>
      </c>
      <c r="Y153" s="5">
        <f t="shared" si="87"/>
        <v>1.2261767860997204E-2</v>
      </c>
      <c r="Z153" s="33">
        <v>149</v>
      </c>
      <c r="AE153" s="20" t="str">
        <f t="shared" si="88"/>
        <v/>
      </c>
      <c r="AF153" s="22" t="str">
        <f t="shared" si="89"/>
        <v/>
      </c>
      <c r="AG153" s="9" t="str">
        <f t="shared" ca="1" si="68"/>
        <v/>
      </c>
      <c r="AH153" s="9" t="str">
        <f t="shared" ca="1" si="69"/>
        <v/>
      </c>
      <c r="AI153" s="9" t="str">
        <f t="shared" ca="1" si="70"/>
        <v/>
      </c>
      <c r="AJ153" s="9" t="str">
        <f t="shared" ca="1" si="71"/>
        <v/>
      </c>
      <c r="AK153" s="9" t="str">
        <f t="shared" ca="1" si="72"/>
        <v/>
      </c>
      <c r="AL153" s="9" t="str">
        <f t="shared" ca="1" si="73"/>
        <v/>
      </c>
      <c r="AM153" s="9" t="str">
        <f t="shared" ca="1" si="74"/>
        <v/>
      </c>
      <c r="AN153" s="9" t="str">
        <f t="shared" ca="1" si="75"/>
        <v/>
      </c>
      <c r="AO153" s="9" t="str">
        <f t="shared" ca="1" si="76"/>
        <v/>
      </c>
      <c r="AP153" s="9" t="str">
        <f t="shared" ca="1" si="77"/>
        <v/>
      </c>
      <c r="AQ153" s="9"/>
      <c r="AR153" s="9"/>
      <c r="AS153" s="9"/>
      <c r="AT153" s="9"/>
      <c r="AU153" s="9"/>
    </row>
    <row r="154" spans="1:47" x14ac:dyDescent="0.3">
      <c r="A154" s="1">
        <v>43684</v>
      </c>
      <c r="B154" s="6">
        <v>289.01998900000001</v>
      </c>
      <c r="C154" s="6">
        <v>127.040001</v>
      </c>
      <c r="D154" s="6">
        <v>30.195</v>
      </c>
      <c r="E154" s="6">
        <v>127.779999</v>
      </c>
      <c r="F154" s="6">
        <v>103.91999800000001</v>
      </c>
      <c r="G154" s="6">
        <v>46.310001</v>
      </c>
      <c r="H154" s="6">
        <v>90.489998</v>
      </c>
      <c r="I154" s="6">
        <v>151.800003</v>
      </c>
      <c r="J154" s="6">
        <v>21.07</v>
      </c>
      <c r="K154" s="6">
        <v>29.860001</v>
      </c>
      <c r="N154" s="18">
        <v>150</v>
      </c>
      <c r="O154" s="1">
        <v>43684</v>
      </c>
      <c r="P154" s="5">
        <f t="shared" si="78"/>
        <v>9.7700761430561545E-3</v>
      </c>
      <c r="Q154" s="5">
        <f t="shared" si="79"/>
        <v>6.3963418394510302E-3</v>
      </c>
      <c r="R154" s="5">
        <f t="shared" si="80"/>
        <v>3.4834571179105565E-3</v>
      </c>
      <c r="S154" s="5">
        <f t="shared" si="81"/>
        <v>1.046307795706488E-2</v>
      </c>
      <c r="T154" s="5">
        <f t="shared" si="82"/>
        <v>1.829954751796487E-3</v>
      </c>
      <c r="U154" s="5">
        <f t="shared" si="83"/>
        <v>-4.3180051086071704E-4</v>
      </c>
      <c r="V154" s="5">
        <f t="shared" si="84"/>
        <v>-5.6201812556981277E-3</v>
      </c>
      <c r="W154" s="5">
        <f t="shared" si="85"/>
        <v>1.8462288874522893E-3</v>
      </c>
      <c r="X154" s="5">
        <f t="shared" si="86"/>
        <v>-1.0387298059697951E-2</v>
      </c>
      <c r="Y154" s="5">
        <f t="shared" si="87"/>
        <v>1.0774514645025372E-2</v>
      </c>
      <c r="Z154" s="33">
        <v>150</v>
      </c>
      <c r="AE154" s="20" t="str">
        <f t="shared" si="88"/>
        <v/>
      </c>
      <c r="AF154" s="22" t="str">
        <f t="shared" si="89"/>
        <v/>
      </c>
      <c r="AG154" s="9" t="str">
        <f t="shared" ca="1" si="68"/>
        <v/>
      </c>
      <c r="AH154" s="9" t="str">
        <f t="shared" ca="1" si="69"/>
        <v/>
      </c>
      <c r="AI154" s="9" t="str">
        <f t="shared" ca="1" si="70"/>
        <v/>
      </c>
      <c r="AJ154" s="9" t="str">
        <f t="shared" ca="1" si="71"/>
        <v/>
      </c>
      <c r="AK154" s="9" t="str">
        <f t="shared" ca="1" si="72"/>
        <v/>
      </c>
      <c r="AL154" s="9" t="str">
        <f t="shared" ca="1" si="73"/>
        <v/>
      </c>
      <c r="AM154" s="9" t="str">
        <f t="shared" ca="1" si="74"/>
        <v/>
      </c>
      <c r="AN154" s="9" t="str">
        <f t="shared" ca="1" si="75"/>
        <v/>
      </c>
      <c r="AO154" s="9" t="str">
        <f t="shared" ca="1" si="76"/>
        <v/>
      </c>
      <c r="AP154" s="9" t="str">
        <f t="shared" ca="1" si="77"/>
        <v/>
      </c>
      <c r="AQ154" s="9"/>
      <c r="AR154" s="9"/>
      <c r="AS154" s="9"/>
      <c r="AT154" s="9"/>
      <c r="AU154" s="9"/>
    </row>
    <row r="155" spans="1:47" x14ac:dyDescent="0.3">
      <c r="A155" s="1">
        <v>43685</v>
      </c>
      <c r="B155" s="6">
        <v>297.77999899999998</v>
      </c>
      <c r="C155" s="6">
        <v>131.970001</v>
      </c>
      <c r="D155" s="6">
        <v>31.09</v>
      </c>
      <c r="E155" s="6">
        <v>129.470001</v>
      </c>
      <c r="F155" s="6">
        <v>105.25</v>
      </c>
      <c r="G155" s="6">
        <v>46.73</v>
      </c>
      <c r="H155" s="6">
        <v>92.419998000000007</v>
      </c>
      <c r="I155" s="6">
        <v>154.470001</v>
      </c>
      <c r="J155" s="6">
        <v>21.469999000000001</v>
      </c>
      <c r="K155" s="6">
        <v>29.67</v>
      </c>
      <c r="N155" s="19">
        <v>151</v>
      </c>
      <c r="O155" s="1">
        <v>43685</v>
      </c>
      <c r="P155" s="5">
        <f t="shared" si="78"/>
        <v>2.9859103658686492E-2</v>
      </c>
      <c r="Q155" s="5">
        <f t="shared" si="79"/>
        <v>3.8072626235855556E-2</v>
      </c>
      <c r="R155" s="5">
        <f t="shared" si="80"/>
        <v>2.9209876310798005E-2</v>
      </c>
      <c r="S155" s="5">
        <f t="shared" si="81"/>
        <v>1.3139174446106542E-2</v>
      </c>
      <c r="T155" s="5">
        <f t="shared" si="82"/>
        <v>1.2717119445720407E-2</v>
      </c>
      <c r="U155" s="5">
        <f t="shared" si="83"/>
        <v>9.0284146260660725E-3</v>
      </c>
      <c r="V155" s="5">
        <f t="shared" si="84"/>
        <v>2.1104058540630667E-2</v>
      </c>
      <c r="W155" s="5">
        <f t="shared" si="85"/>
        <v>1.7436024475533343E-2</v>
      </c>
      <c r="X155" s="5">
        <f t="shared" si="86"/>
        <v>1.8806337497972489E-2</v>
      </c>
      <c r="Y155" s="5">
        <f t="shared" si="87"/>
        <v>-6.3833912979314941E-3</v>
      </c>
      <c r="Z155" s="33">
        <v>151</v>
      </c>
      <c r="AE155" s="20" t="str">
        <f t="shared" si="88"/>
        <v/>
      </c>
      <c r="AF155" s="22" t="str">
        <f t="shared" si="89"/>
        <v/>
      </c>
      <c r="AG155" s="9" t="str">
        <f t="shared" ca="1" si="68"/>
        <v/>
      </c>
      <c r="AH155" s="9" t="str">
        <f t="shared" ca="1" si="69"/>
        <v/>
      </c>
      <c r="AI155" s="9" t="str">
        <f t="shared" ca="1" si="70"/>
        <v/>
      </c>
      <c r="AJ155" s="9" t="str">
        <f t="shared" ca="1" si="71"/>
        <v/>
      </c>
      <c r="AK155" s="9" t="str">
        <f t="shared" ca="1" si="72"/>
        <v/>
      </c>
      <c r="AL155" s="9" t="str">
        <f t="shared" ca="1" si="73"/>
        <v/>
      </c>
      <c r="AM155" s="9" t="str">
        <f t="shared" ca="1" si="74"/>
        <v/>
      </c>
      <c r="AN155" s="9" t="str">
        <f t="shared" ca="1" si="75"/>
        <v/>
      </c>
      <c r="AO155" s="9" t="str">
        <f t="shared" ca="1" si="76"/>
        <v/>
      </c>
      <c r="AP155" s="9" t="str">
        <f t="shared" ca="1" si="77"/>
        <v/>
      </c>
      <c r="AQ155" s="9"/>
      <c r="AR155" s="9"/>
      <c r="AS155" s="9"/>
      <c r="AT155" s="9"/>
      <c r="AU155" s="9"/>
    </row>
    <row r="156" spans="1:47" x14ac:dyDescent="0.3">
      <c r="A156" s="1">
        <v>43686</v>
      </c>
      <c r="B156" s="6">
        <v>294.82998700000002</v>
      </c>
      <c r="C156" s="6">
        <v>131</v>
      </c>
      <c r="D156" s="6">
        <v>29.614999999999998</v>
      </c>
      <c r="E156" s="6">
        <v>128.60000600000001</v>
      </c>
      <c r="F156" s="6">
        <v>105.779999</v>
      </c>
      <c r="G156" s="6">
        <v>47.110000999999997</v>
      </c>
      <c r="H156" s="6">
        <v>92.190002000000007</v>
      </c>
      <c r="I156" s="6">
        <v>153</v>
      </c>
      <c r="J156" s="6">
        <v>21.200001</v>
      </c>
      <c r="K156" s="6">
        <v>29.459999</v>
      </c>
      <c r="N156" s="18">
        <v>152</v>
      </c>
      <c r="O156" s="1">
        <v>43686</v>
      </c>
      <c r="P156" s="5">
        <f t="shared" si="78"/>
        <v>-9.9560805171072398E-3</v>
      </c>
      <c r="Q156" s="5">
        <f t="shared" si="79"/>
        <v>-7.3773084050662184E-3</v>
      </c>
      <c r="R156" s="5">
        <f t="shared" si="80"/>
        <v>-4.8605234341734048E-2</v>
      </c>
      <c r="S156" s="5">
        <f t="shared" si="81"/>
        <v>-6.7423433345362308E-3</v>
      </c>
      <c r="T156" s="5">
        <f t="shared" si="82"/>
        <v>5.0229836217601772E-3</v>
      </c>
      <c r="U156" s="5">
        <f t="shared" si="83"/>
        <v>8.0989572265304007E-3</v>
      </c>
      <c r="V156" s="5">
        <f t="shared" si="84"/>
        <v>-2.4916972969528163E-3</v>
      </c>
      <c r="W156" s="5">
        <f t="shared" si="85"/>
        <v>-9.5619878074731587E-3</v>
      </c>
      <c r="X156" s="5">
        <f t="shared" si="86"/>
        <v>-1.2655336466293066E-2</v>
      </c>
      <c r="Y156" s="5">
        <f t="shared" si="87"/>
        <v>-7.1030572125781767E-3</v>
      </c>
      <c r="Z156" s="33">
        <v>152</v>
      </c>
      <c r="AE156" s="20" t="str">
        <f t="shared" si="88"/>
        <v/>
      </c>
      <c r="AF156" s="22" t="str">
        <f t="shared" si="89"/>
        <v/>
      </c>
      <c r="AG156" s="9" t="str">
        <f t="shared" ca="1" si="68"/>
        <v/>
      </c>
      <c r="AH156" s="9" t="str">
        <f t="shared" ca="1" si="69"/>
        <v/>
      </c>
      <c r="AI156" s="9" t="str">
        <f t="shared" ca="1" si="70"/>
        <v/>
      </c>
      <c r="AJ156" s="9" t="str">
        <f t="shared" ca="1" si="71"/>
        <v/>
      </c>
      <c r="AK156" s="9" t="str">
        <f t="shared" ca="1" si="72"/>
        <v/>
      </c>
      <c r="AL156" s="9" t="str">
        <f t="shared" ca="1" si="73"/>
        <v/>
      </c>
      <c r="AM156" s="9" t="str">
        <f t="shared" ca="1" si="74"/>
        <v/>
      </c>
      <c r="AN156" s="9" t="str">
        <f t="shared" ca="1" si="75"/>
        <v/>
      </c>
      <c r="AO156" s="9" t="str">
        <f t="shared" ca="1" si="76"/>
        <v/>
      </c>
      <c r="AP156" s="9" t="str">
        <f t="shared" ca="1" si="77"/>
        <v/>
      </c>
      <c r="AQ156" s="9"/>
      <c r="AR156" s="9"/>
      <c r="AS156" s="9"/>
      <c r="AT156" s="9"/>
      <c r="AU156" s="9"/>
    </row>
    <row r="157" spans="1:47" x14ac:dyDescent="0.3">
      <c r="A157" s="1">
        <v>43689</v>
      </c>
      <c r="B157" s="6">
        <v>288.64999399999999</v>
      </c>
      <c r="C157" s="6">
        <v>128.16000399999999</v>
      </c>
      <c r="D157" s="6">
        <v>28.24</v>
      </c>
      <c r="E157" s="6">
        <v>128.35000600000001</v>
      </c>
      <c r="F157" s="6">
        <v>105.589996</v>
      </c>
      <c r="G157" s="6">
        <v>47.48</v>
      </c>
      <c r="H157" s="6">
        <v>90.160004000000001</v>
      </c>
      <c r="I157" s="6">
        <v>149.86999499999999</v>
      </c>
      <c r="J157" s="6">
        <v>20.940000999999999</v>
      </c>
      <c r="K157" s="6">
        <v>29.25</v>
      </c>
      <c r="N157" s="19">
        <v>153</v>
      </c>
      <c r="O157" s="1">
        <v>43689</v>
      </c>
      <c r="P157" s="5">
        <f t="shared" si="78"/>
        <v>-2.1184014231590453E-2</v>
      </c>
      <c r="Q157" s="5">
        <f t="shared" si="79"/>
        <v>-2.1917808670116754E-2</v>
      </c>
      <c r="R157" s="5">
        <f t="shared" si="80"/>
        <v>-4.7541577103887143E-2</v>
      </c>
      <c r="S157" s="5">
        <f t="shared" si="81"/>
        <v>-1.9459043954924893E-3</v>
      </c>
      <c r="T157" s="5">
        <f t="shared" si="82"/>
        <v>-1.7978242482039005E-3</v>
      </c>
      <c r="U157" s="5">
        <f t="shared" si="83"/>
        <v>7.823255802601967E-3</v>
      </c>
      <c r="V157" s="5">
        <f t="shared" si="84"/>
        <v>-2.226577240773759E-2</v>
      </c>
      <c r="W157" s="5">
        <f t="shared" si="85"/>
        <v>-2.0669703097778672E-2</v>
      </c>
      <c r="X157" s="5">
        <f t="shared" si="86"/>
        <v>-1.2339975649895569E-2</v>
      </c>
      <c r="Y157" s="5">
        <f t="shared" si="87"/>
        <v>-7.153803412286849E-3</v>
      </c>
      <c r="Z157" s="33">
        <v>153</v>
      </c>
      <c r="AE157" s="20" t="str">
        <f t="shared" si="88"/>
        <v/>
      </c>
      <c r="AF157" s="22" t="str">
        <f t="shared" si="89"/>
        <v/>
      </c>
      <c r="AG157" s="9" t="str">
        <f t="shared" ca="1" si="68"/>
        <v/>
      </c>
      <c r="AH157" s="9" t="str">
        <f t="shared" ca="1" si="69"/>
        <v/>
      </c>
      <c r="AI157" s="9" t="str">
        <f t="shared" ca="1" si="70"/>
        <v/>
      </c>
      <c r="AJ157" s="9" t="str">
        <f t="shared" ca="1" si="71"/>
        <v/>
      </c>
      <c r="AK157" s="9" t="str">
        <f t="shared" ca="1" si="72"/>
        <v/>
      </c>
      <c r="AL157" s="9" t="str">
        <f t="shared" ca="1" si="73"/>
        <v/>
      </c>
      <c r="AM157" s="9" t="str">
        <f t="shared" ca="1" si="74"/>
        <v/>
      </c>
      <c r="AN157" s="9" t="str">
        <f t="shared" ca="1" si="75"/>
        <v/>
      </c>
      <c r="AO157" s="9" t="str">
        <f t="shared" ca="1" si="76"/>
        <v/>
      </c>
      <c r="AP157" s="9" t="str">
        <f t="shared" ca="1" si="77"/>
        <v/>
      </c>
      <c r="AQ157" s="9"/>
      <c r="AR157" s="9"/>
      <c r="AS157" s="9"/>
      <c r="AT157" s="9"/>
      <c r="AU157" s="9"/>
    </row>
    <row r="158" spans="1:47" x14ac:dyDescent="0.3">
      <c r="A158" s="1">
        <v>43690</v>
      </c>
      <c r="B158" s="6">
        <v>293.17001299999998</v>
      </c>
      <c r="C158" s="6">
        <v>132.11999499999999</v>
      </c>
      <c r="D158" s="6">
        <v>29.02</v>
      </c>
      <c r="E158" s="6">
        <v>129.929993</v>
      </c>
      <c r="F158" s="6">
        <v>105.489998</v>
      </c>
      <c r="G158" s="6">
        <v>46.560001</v>
      </c>
      <c r="H158" s="6">
        <v>91.279999000000004</v>
      </c>
      <c r="I158" s="6">
        <v>151.39999399999999</v>
      </c>
      <c r="J158" s="6">
        <v>20.809999000000001</v>
      </c>
      <c r="K158" s="6">
        <v>29.6</v>
      </c>
      <c r="N158" s="18">
        <v>154</v>
      </c>
      <c r="O158" s="1">
        <v>43690</v>
      </c>
      <c r="P158" s="5">
        <f t="shared" si="78"/>
        <v>1.5537829163858806E-2</v>
      </c>
      <c r="Q158" s="5">
        <f t="shared" si="79"/>
        <v>3.0431048147169449E-2</v>
      </c>
      <c r="R158" s="5">
        <f t="shared" si="80"/>
        <v>2.7245834831000477E-2</v>
      </c>
      <c r="S158" s="5">
        <f t="shared" si="81"/>
        <v>1.223483595515589E-2</v>
      </c>
      <c r="T158" s="5">
        <f t="shared" si="82"/>
        <v>-9.4748920147288962E-4</v>
      </c>
      <c r="U158" s="5">
        <f t="shared" si="83"/>
        <v>-1.9566744840621833E-2</v>
      </c>
      <c r="V158" s="5">
        <f t="shared" si="84"/>
        <v>1.2345780501425688E-2</v>
      </c>
      <c r="W158" s="5">
        <f t="shared" si="85"/>
        <v>1.0157083078571915E-2</v>
      </c>
      <c r="X158" s="5">
        <f t="shared" si="86"/>
        <v>-6.2276608461597953E-3</v>
      </c>
      <c r="Y158" s="5">
        <f t="shared" si="87"/>
        <v>1.1894787652149146E-2</v>
      </c>
      <c r="Z158" s="33">
        <v>154</v>
      </c>
      <c r="AE158" s="20" t="str">
        <f t="shared" si="88"/>
        <v/>
      </c>
      <c r="AF158" s="22" t="str">
        <f t="shared" si="89"/>
        <v/>
      </c>
      <c r="AG158" s="9" t="str">
        <f t="shared" ca="1" si="68"/>
        <v/>
      </c>
      <c r="AH158" s="9" t="str">
        <f t="shared" ca="1" si="69"/>
        <v/>
      </c>
      <c r="AI158" s="9" t="str">
        <f t="shared" ca="1" si="70"/>
        <v/>
      </c>
      <c r="AJ158" s="9" t="str">
        <f t="shared" ca="1" si="71"/>
        <v/>
      </c>
      <c r="AK158" s="9" t="str">
        <f t="shared" ca="1" si="72"/>
        <v/>
      </c>
      <c r="AL158" s="9" t="str">
        <f t="shared" ca="1" si="73"/>
        <v/>
      </c>
      <c r="AM158" s="9" t="str">
        <f t="shared" ca="1" si="74"/>
        <v/>
      </c>
      <c r="AN158" s="9" t="str">
        <f t="shared" ca="1" si="75"/>
        <v/>
      </c>
      <c r="AO158" s="9" t="str">
        <f t="shared" ca="1" si="76"/>
        <v/>
      </c>
      <c r="AP158" s="9" t="str">
        <f t="shared" ca="1" si="77"/>
        <v/>
      </c>
      <c r="AQ158" s="9"/>
      <c r="AR158" s="9"/>
      <c r="AS158" s="9"/>
      <c r="AT158" s="9"/>
      <c r="AU158" s="9"/>
    </row>
    <row r="159" spans="1:47" x14ac:dyDescent="0.3">
      <c r="A159" s="1">
        <v>43691</v>
      </c>
      <c r="B159" s="6">
        <v>283.66000400000001</v>
      </c>
      <c r="C159" s="6">
        <v>126.709999</v>
      </c>
      <c r="D159" s="6">
        <v>28.055</v>
      </c>
      <c r="E159" s="6">
        <v>129.11999499999999</v>
      </c>
      <c r="F159" s="6">
        <v>103.019997</v>
      </c>
      <c r="G159" s="6">
        <v>45.860000999999997</v>
      </c>
      <c r="H159" s="6">
        <v>88.290001000000004</v>
      </c>
      <c r="I159" s="6">
        <v>146.41999799999999</v>
      </c>
      <c r="J159" s="6">
        <v>19.879999000000002</v>
      </c>
      <c r="K159" s="6">
        <v>27.49</v>
      </c>
      <c r="N159" s="19">
        <v>155</v>
      </c>
      <c r="O159" s="1">
        <v>43691</v>
      </c>
      <c r="P159" s="5">
        <f t="shared" si="78"/>
        <v>-3.29763379165312E-2</v>
      </c>
      <c r="Q159" s="5">
        <f t="shared" si="79"/>
        <v>-4.1809559759424339E-2</v>
      </c>
      <c r="R159" s="5">
        <f t="shared" si="80"/>
        <v>-3.3818378253106435E-2</v>
      </c>
      <c r="S159" s="5">
        <f t="shared" si="81"/>
        <v>-6.2536242215099867E-3</v>
      </c>
      <c r="T159" s="5">
        <f t="shared" si="82"/>
        <v>-2.3693027717694541E-2</v>
      </c>
      <c r="U159" s="5">
        <f t="shared" si="83"/>
        <v>-1.514852566559228E-2</v>
      </c>
      <c r="V159" s="5">
        <f t="shared" si="84"/>
        <v>-3.3304832358715758E-2</v>
      </c>
      <c r="W159" s="5">
        <f t="shared" si="85"/>
        <v>-3.3446110814068356E-2</v>
      </c>
      <c r="X159" s="5">
        <f t="shared" si="86"/>
        <v>-4.5719441425105777E-2</v>
      </c>
      <c r="Y159" s="5">
        <f t="shared" si="87"/>
        <v>-7.3952059152860433E-2</v>
      </c>
      <c r="Z159" s="33">
        <v>155</v>
      </c>
      <c r="AE159" s="20" t="str">
        <f t="shared" si="88"/>
        <v/>
      </c>
      <c r="AF159" s="22" t="str">
        <f t="shared" si="89"/>
        <v/>
      </c>
      <c r="AG159" s="9" t="str">
        <f t="shared" ca="1" si="68"/>
        <v/>
      </c>
      <c r="AH159" s="9" t="str">
        <f t="shared" ca="1" si="69"/>
        <v/>
      </c>
      <c r="AI159" s="9" t="str">
        <f t="shared" ca="1" si="70"/>
        <v/>
      </c>
      <c r="AJ159" s="9" t="str">
        <f t="shared" ca="1" si="71"/>
        <v/>
      </c>
      <c r="AK159" s="9" t="str">
        <f t="shared" ca="1" si="72"/>
        <v/>
      </c>
      <c r="AL159" s="9" t="str">
        <f t="shared" ca="1" si="73"/>
        <v/>
      </c>
      <c r="AM159" s="9" t="str">
        <f t="shared" ca="1" si="74"/>
        <v/>
      </c>
      <c r="AN159" s="9" t="str">
        <f t="shared" ca="1" si="75"/>
        <v/>
      </c>
      <c r="AO159" s="9" t="str">
        <f t="shared" ca="1" si="76"/>
        <v/>
      </c>
      <c r="AP159" s="9" t="str">
        <f t="shared" ca="1" si="77"/>
        <v/>
      </c>
      <c r="AQ159" s="9"/>
      <c r="AR159" s="9"/>
      <c r="AS159" s="9"/>
      <c r="AT159" s="9"/>
      <c r="AU159" s="9"/>
    </row>
    <row r="160" spans="1:47" x14ac:dyDescent="0.3">
      <c r="A160" s="1">
        <v>43692</v>
      </c>
      <c r="B160" s="6">
        <v>282.709991</v>
      </c>
      <c r="C160" s="6">
        <v>127.290001</v>
      </c>
      <c r="D160" s="6">
        <v>28.475000000000001</v>
      </c>
      <c r="E160" s="6">
        <v>130.720001</v>
      </c>
      <c r="F160" s="6">
        <v>105.07</v>
      </c>
      <c r="G160" s="6">
        <v>46.57</v>
      </c>
      <c r="H160" s="6">
        <v>89</v>
      </c>
      <c r="I160" s="6">
        <v>144.020004</v>
      </c>
      <c r="J160" s="6">
        <v>19.57</v>
      </c>
      <c r="K160" s="6">
        <v>27.17</v>
      </c>
      <c r="N160" s="18">
        <v>156</v>
      </c>
      <c r="O160" s="1">
        <v>43692</v>
      </c>
      <c r="P160" s="5">
        <f t="shared" si="78"/>
        <v>-3.3547465415408968E-3</v>
      </c>
      <c r="Q160" s="5">
        <f t="shared" si="79"/>
        <v>4.5669528196399306E-3</v>
      </c>
      <c r="R160" s="5">
        <f t="shared" si="80"/>
        <v>1.4859640130310688E-2</v>
      </c>
      <c r="S160" s="5">
        <f t="shared" si="81"/>
        <v>1.2315472963661606E-2</v>
      </c>
      <c r="T160" s="5">
        <f t="shared" si="82"/>
        <v>1.9703679683804248E-2</v>
      </c>
      <c r="U160" s="5">
        <f t="shared" si="83"/>
        <v>1.5363257759032873E-2</v>
      </c>
      <c r="V160" s="5">
        <f t="shared" si="84"/>
        <v>8.0095074923377009E-3</v>
      </c>
      <c r="W160" s="5">
        <f t="shared" si="85"/>
        <v>-1.6526983964519654E-2</v>
      </c>
      <c r="X160" s="5">
        <f t="shared" si="86"/>
        <v>-1.5716369518630993E-2</v>
      </c>
      <c r="Y160" s="5">
        <f t="shared" si="87"/>
        <v>-1.1708878738897808E-2</v>
      </c>
      <c r="Z160" s="33">
        <v>156</v>
      </c>
      <c r="AE160" s="20" t="str">
        <f t="shared" si="88"/>
        <v/>
      </c>
      <c r="AF160" s="22" t="str">
        <f t="shared" si="89"/>
        <v/>
      </c>
      <c r="AG160" s="9" t="str">
        <f t="shared" ca="1" si="68"/>
        <v/>
      </c>
      <c r="AH160" s="9" t="str">
        <f t="shared" ca="1" si="69"/>
        <v/>
      </c>
      <c r="AI160" s="9" t="str">
        <f t="shared" ca="1" si="70"/>
        <v/>
      </c>
      <c r="AJ160" s="9" t="str">
        <f t="shared" ca="1" si="71"/>
        <v/>
      </c>
      <c r="AK160" s="9" t="str">
        <f t="shared" ca="1" si="72"/>
        <v/>
      </c>
      <c r="AL160" s="9" t="str">
        <f t="shared" ca="1" si="73"/>
        <v/>
      </c>
      <c r="AM160" s="9" t="str">
        <f t="shared" ca="1" si="74"/>
        <v/>
      </c>
      <c r="AN160" s="9" t="str">
        <f t="shared" ca="1" si="75"/>
        <v/>
      </c>
      <c r="AO160" s="9" t="str">
        <f t="shared" ca="1" si="76"/>
        <v/>
      </c>
      <c r="AP160" s="9" t="str">
        <f t="shared" ca="1" si="77"/>
        <v/>
      </c>
      <c r="AQ160" s="9"/>
      <c r="AR160" s="9"/>
      <c r="AS160" s="9"/>
      <c r="AT160" s="9"/>
      <c r="AU160" s="9"/>
    </row>
    <row r="161" spans="1:47" x14ac:dyDescent="0.3">
      <c r="A161" s="1">
        <v>43693</v>
      </c>
      <c r="B161" s="6">
        <v>287.45001200000002</v>
      </c>
      <c r="C161" s="6">
        <v>128.979996</v>
      </c>
      <c r="D161" s="6">
        <v>28.59</v>
      </c>
      <c r="E161" s="6">
        <v>131.759995</v>
      </c>
      <c r="F161" s="6">
        <v>106.18</v>
      </c>
      <c r="G161" s="6">
        <v>46.98</v>
      </c>
      <c r="H161" s="6">
        <v>90.720000999999996</v>
      </c>
      <c r="I161" s="6">
        <v>147.41999799999999</v>
      </c>
      <c r="J161" s="6">
        <v>20.100000000000001</v>
      </c>
      <c r="K161" s="6">
        <v>27.950001</v>
      </c>
      <c r="N161" s="19">
        <v>157</v>
      </c>
      <c r="O161" s="1">
        <v>43693</v>
      </c>
      <c r="P161" s="5">
        <f t="shared" si="78"/>
        <v>1.6627368389380143E-2</v>
      </c>
      <c r="Q161" s="5">
        <f t="shared" si="79"/>
        <v>1.3189366831250804E-2</v>
      </c>
      <c r="R161" s="5">
        <f t="shared" si="80"/>
        <v>4.0304970009746206E-3</v>
      </c>
      <c r="S161" s="5">
        <f t="shared" si="81"/>
        <v>7.9244091599687625E-3</v>
      </c>
      <c r="T161" s="5">
        <f t="shared" si="82"/>
        <v>1.050897245484167E-2</v>
      </c>
      <c r="U161" s="5">
        <f t="shared" si="83"/>
        <v>8.7654222364807292E-3</v>
      </c>
      <c r="V161" s="5">
        <f t="shared" si="84"/>
        <v>1.9141481270229698E-2</v>
      </c>
      <c r="W161" s="5">
        <f t="shared" si="85"/>
        <v>2.3333435599821799E-2</v>
      </c>
      <c r="X161" s="5">
        <f t="shared" si="86"/>
        <v>2.6722033657045317E-2</v>
      </c>
      <c r="Y161" s="5">
        <f t="shared" si="87"/>
        <v>2.8303811941026352E-2</v>
      </c>
      <c r="Z161" s="33">
        <v>157</v>
      </c>
      <c r="AE161" s="20" t="str">
        <f t="shared" si="88"/>
        <v/>
      </c>
      <c r="AF161" s="22" t="str">
        <f t="shared" si="89"/>
        <v/>
      </c>
      <c r="AG161" s="9" t="str">
        <f t="shared" ca="1" si="68"/>
        <v/>
      </c>
      <c r="AH161" s="9" t="str">
        <f t="shared" ca="1" si="69"/>
        <v/>
      </c>
      <c r="AI161" s="9" t="str">
        <f t="shared" ca="1" si="70"/>
        <v/>
      </c>
      <c r="AJ161" s="9" t="str">
        <f t="shared" ca="1" si="71"/>
        <v/>
      </c>
      <c r="AK161" s="9" t="str">
        <f t="shared" ca="1" si="72"/>
        <v/>
      </c>
      <c r="AL161" s="9" t="str">
        <f t="shared" ca="1" si="73"/>
        <v/>
      </c>
      <c r="AM161" s="9" t="str">
        <f t="shared" ca="1" si="74"/>
        <v/>
      </c>
      <c r="AN161" s="9" t="str">
        <f t="shared" ca="1" si="75"/>
        <v/>
      </c>
      <c r="AO161" s="9" t="str">
        <f t="shared" ca="1" si="76"/>
        <v/>
      </c>
      <c r="AP161" s="9" t="str">
        <f t="shared" ca="1" si="77"/>
        <v/>
      </c>
      <c r="AQ161" s="9"/>
      <c r="AR161" s="9"/>
      <c r="AS161" s="9"/>
      <c r="AT161" s="9"/>
      <c r="AU161" s="9"/>
    </row>
    <row r="162" spans="1:47" x14ac:dyDescent="0.3">
      <c r="A162" s="1">
        <v>43696</v>
      </c>
      <c r="B162" s="6">
        <v>287.97000100000002</v>
      </c>
      <c r="C162" s="6">
        <v>129.94000199999999</v>
      </c>
      <c r="D162" s="6">
        <v>28.9</v>
      </c>
      <c r="E162" s="6">
        <v>132.570007</v>
      </c>
      <c r="F162" s="6">
        <v>107.110001</v>
      </c>
      <c r="G162" s="6">
        <v>47.75</v>
      </c>
      <c r="H162" s="6">
        <v>91.239998</v>
      </c>
      <c r="I162" s="6">
        <v>149.009995</v>
      </c>
      <c r="J162" s="6">
        <v>20.48</v>
      </c>
      <c r="K162" s="6">
        <v>28.42</v>
      </c>
      <c r="N162" s="18">
        <v>158</v>
      </c>
      <c r="O162" s="1">
        <v>43696</v>
      </c>
      <c r="P162" s="5">
        <f t="shared" si="78"/>
        <v>1.8073377004494229E-3</v>
      </c>
      <c r="Q162" s="5">
        <f t="shared" si="79"/>
        <v>7.4154982744333081E-3</v>
      </c>
      <c r="R162" s="5">
        <f t="shared" si="80"/>
        <v>1.0784588784166058E-2</v>
      </c>
      <c r="S162" s="5">
        <f t="shared" si="81"/>
        <v>6.1288126914496649E-3</v>
      </c>
      <c r="T162" s="5">
        <f t="shared" si="82"/>
        <v>8.7205859572091534E-3</v>
      </c>
      <c r="U162" s="5">
        <f t="shared" si="83"/>
        <v>1.6257087695972484E-2</v>
      </c>
      <c r="V162" s="5">
        <f t="shared" si="84"/>
        <v>5.7155244936070663E-3</v>
      </c>
      <c r="W162" s="5">
        <f t="shared" si="85"/>
        <v>1.0727742038111009E-2</v>
      </c>
      <c r="X162" s="5">
        <f t="shared" si="86"/>
        <v>1.8728985106276907E-2</v>
      </c>
      <c r="Y162" s="5">
        <f t="shared" si="87"/>
        <v>1.6675887289671874E-2</v>
      </c>
      <c r="Z162" s="33">
        <v>158</v>
      </c>
      <c r="AE162" s="20" t="str">
        <f t="shared" si="88"/>
        <v/>
      </c>
      <c r="AF162" s="22" t="str">
        <f t="shared" si="89"/>
        <v/>
      </c>
      <c r="AG162" s="9" t="str">
        <f t="shared" ca="1" si="68"/>
        <v/>
      </c>
      <c r="AH162" s="9" t="str">
        <f t="shared" ca="1" si="69"/>
        <v/>
      </c>
      <c r="AI162" s="9" t="str">
        <f t="shared" ca="1" si="70"/>
        <v/>
      </c>
      <c r="AJ162" s="9" t="str">
        <f t="shared" ca="1" si="71"/>
        <v/>
      </c>
      <c r="AK162" s="9" t="str">
        <f t="shared" ca="1" si="72"/>
        <v/>
      </c>
      <c r="AL162" s="9" t="str">
        <f t="shared" ca="1" si="73"/>
        <v/>
      </c>
      <c r="AM162" s="9" t="str">
        <f t="shared" ca="1" si="74"/>
        <v/>
      </c>
      <c r="AN162" s="9" t="str">
        <f t="shared" ca="1" si="75"/>
        <v/>
      </c>
      <c r="AO162" s="9" t="str">
        <f t="shared" ca="1" si="76"/>
        <v/>
      </c>
      <c r="AP162" s="9" t="str">
        <f t="shared" ca="1" si="77"/>
        <v/>
      </c>
      <c r="AQ162" s="9"/>
      <c r="AR162" s="9"/>
      <c r="AS162" s="9"/>
      <c r="AT162" s="9"/>
      <c r="AU162" s="9"/>
    </row>
    <row r="163" spans="1:47" x14ac:dyDescent="0.3">
      <c r="A163" s="1">
        <v>43697</v>
      </c>
      <c r="B163" s="6">
        <v>285.709991</v>
      </c>
      <c r="C163" s="6">
        <v>129.96000699999999</v>
      </c>
      <c r="D163" s="6">
        <v>28.92</v>
      </c>
      <c r="E163" s="6">
        <v>132.05999800000001</v>
      </c>
      <c r="F163" s="6">
        <v>106.93</v>
      </c>
      <c r="G163" s="6">
        <v>47.48</v>
      </c>
      <c r="H163" s="6">
        <v>91.300003000000004</v>
      </c>
      <c r="I163" s="6">
        <v>146.80999800000001</v>
      </c>
      <c r="J163" s="6">
        <v>20.34</v>
      </c>
      <c r="K163" s="6">
        <v>28.209999</v>
      </c>
      <c r="N163" s="19">
        <v>159</v>
      </c>
      <c r="O163" s="1">
        <v>43697</v>
      </c>
      <c r="P163" s="5">
        <f t="shared" si="78"/>
        <v>-7.8790326423443212E-3</v>
      </c>
      <c r="Q163" s="5">
        <f t="shared" si="79"/>
        <v>1.5394381952110319E-4</v>
      </c>
      <c r="R163" s="5">
        <f t="shared" si="80"/>
        <v>6.9180217217747176E-4</v>
      </c>
      <c r="S163" s="5">
        <f t="shared" si="81"/>
        <v>-3.8545109912560857E-3</v>
      </c>
      <c r="T163" s="5">
        <f t="shared" si="82"/>
        <v>-1.6819383441693146E-3</v>
      </c>
      <c r="U163" s="5">
        <f t="shared" si="83"/>
        <v>-5.6704971852719922E-3</v>
      </c>
      <c r="V163" s="5">
        <f t="shared" si="84"/>
        <v>6.5744496365316104E-4</v>
      </c>
      <c r="W163" s="5">
        <f t="shared" si="85"/>
        <v>-1.4874164104254598E-2</v>
      </c>
      <c r="X163" s="5">
        <f t="shared" si="86"/>
        <v>-6.8594095508931431E-3</v>
      </c>
      <c r="Y163" s="5">
        <f t="shared" si="87"/>
        <v>-7.416633103472881E-3</v>
      </c>
      <c r="Z163" s="33">
        <v>159</v>
      </c>
      <c r="AE163" s="20" t="str">
        <f t="shared" si="88"/>
        <v/>
      </c>
      <c r="AF163" s="22" t="str">
        <f t="shared" si="89"/>
        <v/>
      </c>
      <c r="AG163" s="9" t="str">
        <f t="shared" ca="1" si="68"/>
        <v/>
      </c>
      <c r="AH163" s="9" t="str">
        <f t="shared" ca="1" si="69"/>
        <v/>
      </c>
      <c r="AI163" s="9" t="str">
        <f t="shared" ca="1" si="70"/>
        <v/>
      </c>
      <c r="AJ163" s="9" t="str">
        <f t="shared" ca="1" si="71"/>
        <v/>
      </c>
      <c r="AK163" s="9" t="str">
        <f t="shared" ca="1" si="72"/>
        <v/>
      </c>
      <c r="AL163" s="9" t="str">
        <f t="shared" ca="1" si="73"/>
        <v/>
      </c>
      <c r="AM163" s="9" t="str">
        <f t="shared" ca="1" si="74"/>
        <v/>
      </c>
      <c r="AN163" s="9" t="str">
        <f t="shared" ca="1" si="75"/>
        <v/>
      </c>
      <c r="AO163" s="9" t="str">
        <f t="shared" ca="1" si="76"/>
        <v/>
      </c>
      <c r="AP163" s="9" t="str">
        <f t="shared" ca="1" si="77"/>
        <v/>
      </c>
      <c r="AQ163" s="9"/>
      <c r="AR163" s="9"/>
      <c r="AS163" s="9"/>
      <c r="AT163" s="9"/>
      <c r="AU163" s="9"/>
    </row>
    <row r="164" spans="1:47" x14ac:dyDescent="0.3">
      <c r="A164" s="1">
        <v>43698</v>
      </c>
      <c r="B164" s="6">
        <v>291.52999899999998</v>
      </c>
      <c r="C164" s="6">
        <v>131.83999600000001</v>
      </c>
      <c r="D164" s="6">
        <v>29.014999</v>
      </c>
      <c r="E164" s="6">
        <v>132.33999600000001</v>
      </c>
      <c r="F164" s="6">
        <v>107.589996</v>
      </c>
      <c r="G164" s="6">
        <v>47.689999</v>
      </c>
      <c r="H164" s="6">
        <v>91.68</v>
      </c>
      <c r="I164" s="6">
        <v>148.36000100000001</v>
      </c>
      <c r="J164" s="6">
        <v>20.57</v>
      </c>
      <c r="K164" s="6">
        <v>28.280000999999999</v>
      </c>
      <c r="N164" s="18">
        <v>160</v>
      </c>
      <c r="O164" s="1">
        <v>43698</v>
      </c>
      <c r="P164" s="5">
        <f t="shared" si="78"/>
        <v>2.016563414306257E-2</v>
      </c>
      <c r="Q164" s="5">
        <f t="shared" si="79"/>
        <v>1.4362271157730406E-2</v>
      </c>
      <c r="R164" s="5">
        <f t="shared" si="80"/>
        <v>3.2795058870751701E-3</v>
      </c>
      <c r="S164" s="5">
        <f t="shared" si="81"/>
        <v>2.1179887369413715E-3</v>
      </c>
      <c r="T164" s="5">
        <f t="shared" si="82"/>
        <v>6.1532546590753667E-3</v>
      </c>
      <c r="U164" s="5">
        <f t="shared" si="83"/>
        <v>4.4131415999089261E-3</v>
      </c>
      <c r="V164" s="5">
        <f t="shared" si="84"/>
        <v>4.1534325067996451E-3</v>
      </c>
      <c r="W164" s="5">
        <f t="shared" si="85"/>
        <v>1.0502539233432565E-2</v>
      </c>
      <c r="X164" s="5">
        <f t="shared" si="86"/>
        <v>1.1244313044451865E-2</v>
      </c>
      <c r="Y164" s="5">
        <f t="shared" si="87"/>
        <v>2.4783868235684404E-3</v>
      </c>
      <c r="Z164" s="33">
        <v>160</v>
      </c>
      <c r="AE164" s="20" t="str">
        <f t="shared" si="88"/>
        <v/>
      </c>
      <c r="AF164" s="22" t="str">
        <f t="shared" si="89"/>
        <v/>
      </c>
      <c r="AG164" s="9" t="str">
        <f t="shared" ca="1" si="68"/>
        <v/>
      </c>
      <c r="AH164" s="9" t="str">
        <f t="shared" ca="1" si="69"/>
        <v/>
      </c>
      <c r="AI164" s="9" t="str">
        <f t="shared" ca="1" si="70"/>
        <v/>
      </c>
      <c r="AJ164" s="9" t="str">
        <f t="shared" ca="1" si="71"/>
        <v/>
      </c>
      <c r="AK164" s="9" t="str">
        <f t="shared" ca="1" si="72"/>
        <v/>
      </c>
      <c r="AL164" s="9" t="str">
        <f t="shared" ca="1" si="73"/>
        <v/>
      </c>
      <c r="AM164" s="9" t="str">
        <f t="shared" ca="1" si="74"/>
        <v/>
      </c>
      <c r="AN164" s="9" t="str">
        <f t="shared" ca="1" si="75"/>
        <v/>
      </c>
      <c r="AO164" s="9" t="str">
        <f t="shared" ca="1" si="76"/>
        <v/>
      </c>
      <c r="AP164" s="9" t="str">
        <f t="shared" ca="1" si="77"/>
        <v/>
      </c>
      <c r="AQ164" s="9"/>
      <c r="AR164" s="9"/>
      <c r="AS164" s="9"/>
      <c r="AT164" s="9"/>
      <c r="AU164" s="9"/>
    </row>
    <row r="165" spans="1:47" x14ac:dyDescent="0.3">
      <c r="A165" s="1">
        <v>43699</v>
      </c>
      <c r="B165" s="6">
        <v>287.69000199999999</v>
      </c>
      <c r="C165" s="6">
        <v>139</v>
      </c>
      <c r="D165" s="6">
        <v>28.575001</v>
      </c>
      <c r="E165" s="6">
        <v>132.66000399999999</v>
      </c>
      <c r="F165" s="6">
        <v>107.730003</v>
      </c>
      <c r="G165" s="6">
        <v>48.18</v>
      </c>
      <c r="H165" s="6">
        <v>90.93</v>
      </c>
      <c r="I165" s="6">
        <v>149.55999800000001</v>
      </c>
      <c r="J165" s="6">
        <v>20.370000999999998</v>
      </c>
      <c r="K165" s="6">
        <v>28.030000999999999</v>
      </c>
      <c r="N165" s="19">
        <v>161</v>
      </c>
      <c r="O165" s="1">
        <v>43699</v>
      </c>
      <c r="P165" s="5">
        <f t="shared" si="78"/>
        <v>-1.3259394540435216E-2</v>
      </c>
      <c r="Q165" s="5">
        <f t="shared" si="79"/>
        <v>5.2884897309336321E-2</v>
      </c>
      <c r="R165" s="5">
        <f t="shared" si="80"/>
        <v>-1.5280658501139719E-2</v>
      </c>
      <c r="S165" s="5">
        <f t="shared" si="81"/>
        <v>2.4151558909429418E-3</v>
      </c>
      <c r="T165" s="5">
        <f t="shared" si="82"/>
        <v>1.3004553258563847E-3</v>
      </c>
      <c r="U165" s="5">
        <f t="shared" si="83"/>
        <v>1.0222285845349021E-2</v>
      </c>
      <c r="V165" s="5">
        <f t="shared" si="84"/>
        <v>-8.2142732286079496E-3</v>
      </c>
      <c r="W165" s="5">
        <f t="shared" si="85"/>
        <v>8.0558773746019809E-3</v>
      </c>
      <c r="X165" s="5">
        <f t="shared" si="86"/>
        <v>-9.7704243343509599E-3</v>
      </c>
      <c r="Y165" s="5">
        <f t="shared" si="87"/>
        <v>-8.8794755362927233E-3</v>
      </c>
      <c r="Z165" s="33">
        <v>161</v>
      </c>
      <c r="AE165" s="20" t="str">
        <f t="shared" si="88"/>
        <v/>
      </c>
      <c r="AF165" s="22" t="str">
        <f t="shared" si="89"/>
        <v/>
      </c>
      <c r="AG165" s="9" t="str">
        <f t="shared" ca="1" si="68"/>
        <v/>
      </c>
      <c r="AH165" s="9" t="str">
        <f t="shared" ca="1" si="69"/>
        <v/>
      </c>
      <c r="AI165" s="9" t="str">
        <f t="shared" ca="1" si="70"/>
        <v/>
      </c>
      <c r="AJ165" s="9" t="str">
        <f t="shared" ca="1" si="71"/>
        <v/>
      </c>
      <c r="AK165" s="9" t="str">
        <f t="shared" ca="1" si="72"/>
        <v/>
      </c>
      <c r="AL165" s="9" t="str">
        <f t="shared" ca="1" si="73"/>
        <v/>
      </c>
      <c r="AM165" s="9" t="str">
        <f t="shared" ca="1" si="74"/>
        <v/>
      </c>
      <c r="AN165" s="9" t="str">
        <f t="shared" ca="1" si="75"/>
        <v/>
      </c>
      <c r="AO165" s="9" t="str">
        <f t="shared" ca="1" si="76"/>
        <v/>
      </c>
      <c r="AP165" s="9" t="str">
        <f t="shared" ca="1" si="77"/>
        <v/>
      </c>
      <c r="AQ165" s="9"/>
      <c r="AR165" s="9"/>
      <c r="AS165" s="9"/>
      <c r="AT165" s="9"/>
      <c r="AU165" s="9"/>
    </row>
    <row r="166" spans="1:47" x14ac:dyDescent="0.3">
      <c r="A166" s="1">
        <v>43700</v>
      </c>
      <c r="B166" s="6">
        <v>282.44000199999999</v>
      </c>
      <c r="C166" s="6">
        <v>135.050003</v>
      </c>
      <c r="D166" s="6">
        <v>28.040001</v>
      </c>
      <c r="E166" s="6">
        <v>130.270004</v>
      </c>
      <c r="F166" s="6">
        <v>106.370003</v>
      </c>
      <c r="G166" s="6">
        <v>47.5</v>
      </c>
      <c r="H166" s="6">
        <v>88.099997999999999</v>
      </c>
      <c r="I166" s="6">
        <v>145.070007</v>
      </c>
      <c r="J166" s="6">
        <v>19.860001</v>
      </c>
      <c r="K166" s="6">
        <v>27.01</v>
      </c>
      <c r="N166" s="18">
        <v>162</v>
      </c>
      <c r="O166" s="1">
        <v>43700</v>
      </c>
      <c r="P166" s="5">
        <f t="shared" si="78"/>
        <v>-1.8417372747126379E-2</v>
      </c>
      <c r="Q166" s="5">
        <f t="shared" si="79"/>
        <v>-2.8828830678072553E-2</v>
      </c>
      <c r="R166" s="5">
        <f t="shared" si="80"/>
        <v>-1.8900146846772489E-2</v>
      </c>
      <c r="S166" s="5">
        <f t="shared" si="81"/>
        <v>-1.8180243834748165E-2</v>
      </c>
      <c r="T166" s="5">
        <f t="shared" si="82"/>
        <v>-1.270451428648311E-2</v>
      </c>
      <c r="U166" s="5">
        <f t="shared" si="83"/>
        <v>-1.4214286146129801E-2</v>
      </c>
      <c r="V166" s="5">
        <f t="shared" si="84"/>
        <v>-3.1617469497163563E-2</v>
      </c>
      <c r="W166" s="5">
        <f t="shared" si="85"/>
        <v>-3.0481203932975969E-2</v>
      </c>
      <c r="X166" s="5">
        <f t="shared" si="86"/>
        <v>-2.5355570361022286E-2</v>
      </c>
      <c r="Y166" s="5">
        <f t="shared" si="87"/>
        <v>-3.7068233048233319E-2</v>
      </c>
      <c r="Z166" s="33">
        <v>162</v>
      </c>
      <c r="AE166" s="20" t="str">
        <f t="shared" si="88"/>
        <v/>
      </c>
      <c r="AF166" s="22" t="str">
        <f t="shared" si="89"/>
        <v/>
      </c>
      <c r="AG166" s="9" t="str">
        <f t="shared" ca="1" si="68"/>
        <v/>
      </c>
      <c r="AH166" s="9" t="str">
        <f t="shared" ca="1" si="69"/>
        <v/>
      </c>
      <c r="AI166" s="9" t="str">
        <f t="shared" ca="1" si="70"/>
        <v/>
      </c>
      <c r="AJ166" s="9" t="str">
        <f t="shared" ca="1" si="71"/>
        <v/>
      </c>
      <c r="AK166" s="9" t="str">
        <f t="shared" ca="1" si="72"/>
        <v/>
      </c>
      <c r="AL166" s="9" t="str">
        <f t="shared" ca="1" si="73"/>
        <v/>
      </c>
      <c r="AM166" s="9" t="str">
        <f t="shared" ca="1" si="74"/>
        <v/>
      </c>
      <c r="AN166" s="9" t="str">
        <f t="shared" ca="1" si="75"/>
        <v/>
      </c>
      <c r="AO166" s="9" t="str">
        <f t="shared" ca="1" si="76"/>
        <v/>
      </c>
      <c r="AP166" s="9" t="str">
        <f t="shared" ca="1" si="77"/>
        <v/>
      </c>
      <c r="AQ166" s="9"/>
      <c r="AR166" s="9"/>
      <c r="AS166" s="9"/>
      <c r="AT166" s="9"/>
      <c r="AU166" s="9"/>
    </row>
    <row r="167" spans="1:47" x14ac:dyDescent="0.3">
      <c r="A167" s="1">
        <v>43703</v>
      </c>
      <c r="B167" s="6">
        <v>288.73998999999998</v>
      </c>
      <c r="C167" s="6">
        <v>136.61999499999999</v>
      </c>
      <c r="D167" s="6">
        <v>28.325001</v>
      </c>
      <c r="E167" s="6">
        <v>133.740005</v>
      </c>
      <c r="F167" s="6">
        <v>107.300003</v>
      </c>
      <c r="G167" s="6">
        <v>47.740001999999997</v>
      </c>
      <c r="H167" s="6">
        <v>88.639999000000003</v>
      </c>
      <c r="I167" s="6">
        <v>146.03999300000001</v>
      </c>
      <c r="J167" s="6">
        <v>19.969999000000001</v>
      </c>
      <c r="K167" s="6">
        <v>27.200001</v>
      </c>
      <c r="N167" s="19">
        <v>163</v>
      </c>
      <c r="O167" s="1">
        <v>43703</v>
      </c>
      <c r="P167" s="5">
        <f t="shared" si="78"/>
        <v>2.2060448839137808E-2</v>
      </c>
      <c r="Q167" s="5">
        <f t="shared" si="79"/>
        <v>1.1558210253220706E-2</v>
      </c>
      <c r="R167" s="5">
        <f t="shared" si="80"/>
        <v>1.0112744388843832E-2</v>
      </c>
      <c r="S167" s="5">
        <f t="shared" si="81"/>
        <v>2.628840359687452E-2</v>
      </c>
      <c r="T167" s="5">
        <f t="shared" si="82"/>
        <v>8.7050671286321053E-3</v>
      </c>
      <c r="U167" s="5">
        <f t="shared" si="83"/>
        <v>5.0399517636778622E-3</v>
      </c>
      <c r="V167" s="5">
        <f t="shared" si="84"/>
        <v>6.1107014767271877E-3</v>
      </c>
      <c r="W167" s="5">
        <f t="shared" si="85"/>
        <v>6.6640760519842039E-3</v>
      </c>
      <c r="X167" s="5">
        <f t="shared" si="86"/>
        <v>5.5233883831173917E-3</v>
      </c>
      <c r="Y167" s="5">
        <f t="shared" si="87"/>
        <v>7.009842262132567E-3</v>
      </c>
      <c r="Z167" s="33">
        <v>163</v>
      </c>
      <c r="AE167" s="20" t="str">
        <f t="shared" si="88"/>
        <v/>
      </c>
      <c r="AF167" s="22" t="str">
        <f t="shared" si="89"/>
        <v/>
      </c>
      <c r="AG167" s="9" t="str">
        <f t="shared" ca="1" si="68"/>
        <v/>
      </c>
      <c r="AH167" s="9" t="str">
        <f t="shared" ca="1" si="69"/>
        <v/>
      </c>
      <c r="AI167" s="9" t="str">
        <f t="shared" ca="1" si="70"/>
        <v/>
      </c>
      <c r="AJ167" s="9" t="str">
        <f t="shared" ca="1" si="71"/>
        <v/>
      </c>
      <c r="AK167" s="9" t="str">
        <f t="shared" ca="1" si="72"/>
        <v/>
      </c>
      <c r="AL167" s="9" t="str">
        <f t="shared" ca="1" si="73"/>
        <v/>
      </c>
      <c r="AM167" s="9" t="str">
        <f t="shared" ca="1" si="74"/>
        <v/>
      </c>
      <c r="AN167" s="9" t="str">
        <f t="shared" ca="1" si="75"/>
        <v/>
      </c>
      <c r="AO167" s="9" t="str">
        <f t="shared" ca="1" si="76"/>
        <v/>
      </c>
      <c r="AP167" s="9" t="str">
        <f t="shared" ca="1" si="77"/>
        <v/>
      </c>
      <c r="AQ167" s="9"/>
      <c r="AR167" s="9"/>
      <c r="AS167" s="9"/>
      <c r="AT167" s="9"/>
      <c r="AU167" s="9"/>
    </row>
    <row r="168" spans="1:47" x14ac:dyDescent="0.3">
      <c r="A168" s="1">
        <v>43704</v>
      </c>
      <c r="B168" s="6">
        <v>289.45001200000002</v>
      </c>
      <c r="C168" s="6">
        <v>136.69000199999999</v>
      </c>
      <c r="D168" s="6">
        <v>28.285</v>
      </c>
      <c r="E168" s="6">
        <v>134.759995</v>
      </c>
      <c r="F168" s="6">
        <v>107.30999799999999</v>
      </c>
      <c r="G168" s="6">
        <v>47.610000999999997</v>
      </c>
      <c r="H168" s="6">
        <v>88.93</v>
      </c>
      <c r="I168" s="6">
        <v>145.10000600000001</v>
      </c>
      <c r="J168" s="6">
        <v>19.899999999999999</v>
      </c>
      <c r="K168" s="6">
        <v>26.469999000000001</v>
      </c>
      <c r="N168" s="18">
        <v>164</v>
      </c>
      <c r="O168" s="1">
        <v>43704</v>
      </c>
      <c r="P168" s="5">
        <f t="shared" si="78"/>
        <v>2.4560174145164472E-3</v>
      </c>
      <c r="Q168" s="5">
        <f t="shared" si="79"/>
        <v>5.1229009036984137E-4</v>
      </c>
      <c r="R168" s="5">
        <f t="shared" si="80"/>
        <v>-1.4132134234516667E-3</v>
      </c>
      <c r="S168" s="5">
        <f t="shared" si="81"/>
        <v>7.597727423549085E-3</v>
      </c>
      <c r="T168" s="5">
        <f t="shared" si="82"/>
        <v>9.3145705797846874E-5</v>
      </c>
      <c r="U168" s="5">
        <f t="shared" si="83"/>
        <v>-2.7268185938555439E-3</v>
      </c>
      <c r="V168" s="5">
        <f t="shared" si="84"/>
        <v>3.2663316941636054E-3</v>
      </c>
      <c r="W168" s="5">
        <f t="shared" si="85"/>
        <v>-6.4573076144276726E-3</v>
      </c>
      <c r="X168" s="5">
        <f t="shared" si="86"/>
        <v>-3.5113656221633627E-3</v>
      </c>
      <c r="Y168" s="5">
        <f t="shared" si="87"/>
        <v>-2.7205031606264873E-2</v>
      </c>
      <c r="Z168" s="33">
        <v>164</v>
      </c>
      <c r="AE168" s="20" t="str">
        <f t="shared" si="88"/>
        <v/>
      </c>
      <c r="AF168" s="22" t="str">
        <f t="shared" si="89"/>
        <v/>
      </c>
      <c r="AG168" s="9" t="str">
        <f t="shared" ca="1" si="68"/>
        <v/>
      </c>
      <c r="AH168" s="9" t="str">
        <f t="shared" ca="1" si="69"/>
        <v/>
      </c>
      <c r="AI168" s="9" t="str">
        <f t="shared" ca="1" si="70"/>
        <v/>
      </c>
      <c r="AJ168" s="9" t="str">
        <f t="shared" ca="1" si="71"/>
        <v/>
      </c>
      <c r="AK168" s="9" t="str">
        <f t="shared" ca="1" si="72"/>
        <v/>
      </c>
      <c r="AL168" s="9" t="str">
        <f t="shared" ca="1" si="73"/>
        <v/>
      </c>
      <c r="AM168" s="9" t="str">
        <f t="shared" ca="1" si="74"/>
        <v/>
      </c>
      <c r="AN168" s="9" t="str">
        <f t="shared" ca="1" si="75"/>
        <v/>
      </c>
      <c r="AO168" s="9" t="str">
        <f t="shared" ca="1" si="76"/>
        <v/>
      </c>
      <c r="AP168" s="9" t="str">
        <f t="shared" ca="1" si="77"/>
        <v/>
      </c>
      <c r="AQ168" s="9"/>
      <c r="AR168" s="9"/>
      <c r="AS168" s="9"/>
      <c r="AT168" s="9"/>
      <c r="AU168" s="9"/>
    </row>
    <row r="169" spans="1:47" x14ac:dyDescent="0.3">
      <c r="A169" s="1">
        <v>43705</v>
      </c>
      <c r="B169" s="6">
        <v>282.13000499999998</v>
      </c>
      <c r="C169" s="6">
        <v>136.75</v>
      </c>
      <c r="D169" s="6">
        <v>29.040001</v>
      </c>
      <c r="E169" s="6">
        <v>135.19000199999999</v>
      </c>
      <c r="F169" s="6">
        <v>107.970001</v>
      </c>
      <c r="G169" s="6">
        <v>47.75</v>
      </c>
      <c r="H169" s="6">
        <v>90.779999000000004</v>
      </c>
      <c r="I169" s="6">
        <v>146.270004</v>
      </c>
      <c r="J169" s="6">
        <v>19.91</v>
      </c>
      <c r="K169" s="6">
        <v>26.940000999999999</v>
      </c>
      <c r="N169" s="19">
        <v>165</v>
      </c>
      <c r="O169" s="1">
        <v>43705</v>
      </c>
      <c r="P169" s="5">
        <f t="shared" si="78"/>
        <v>-2.5614636639294832E-2</v>
      </c>
      <c r="Q169" s="5">
        <f t="shared" si="79"/>
        <v>4.3883850588092546E-4</v>
      </c>
      <c r="R169" s="5">
        <f t="shared" si="80"/>
        <v>2.6342595596737448E-2</v>
      </c>
      <c r="S169" s="5">
        <f t="shared" si="81"/>
        <v>3.1858297349539985E-3</v>
      </c>
      <c r="T169" s="5">
        <f t="shared" si="82"/>
        <v>6.1315967194370416E-3</v>
      </c>
      <c r="U169" s="5">
        <f t="shared" si="83"/>
        <v>2.9362227163212992E-3</v>
      </c>
      <c r="V169" s="5">
        <f t="shared" si="84"/>
        <v>2.0589442601128639E-2</v>
      </c>
      <c r="W169" s="5">
        <f t="shared" si="85"/>
        <v>8.0310550047503846E-3</v>
      </c>
      <c r="X169" s="5">
        <f t="shared" si="86"/>
        <v>5.0238634565833568E-4</v>
      </c>
      <c r="Y169" s="5">
        <f t="shared" si="87"/>
        <v>1.7600229641350194E-2</v>
      </c>
      <c r="Z169" s="33">
        <v>165</v>
      </c>
      <c r="AE169" s="20" t="str">
        <f t="shared" si="88"/>
        <v/>
      </c>
      <c r="AF169" s="22" t="str">
        <f t="shared" si="89"/>
        <v/>
      </c>
      <c r="AG169" s="9" t="str">
        <f t="shared" ca="1" si="68"/>
        <v/>
      </c>
      <c r="AH169" s="9" t="str">
        <f t="shared" ca="1" si="69"/>
        <v/>
      </c>
      <c r="AI169" s="9" t="str">
        <f t="shared" ca="1" si="70"/>
        <v/>
      </c>
      <c r="AJ169" s="9" t="str">
        <f t="shared" ca="1" si="71"/>
        <v/>
      </c>
      <c r="AK169" s="9" t="str">
        <f t="shared" ca="1" si="72"/>
        <v/>
      </c>
      <c r="AL169" s="9" t="str">
        <f t="shared" ca="1" si="73"/>
        <v/>
      </c>
      <c r="AM169" s="9" t="str">
        <f t="shared" ca="1" si="74"/>
        <v/>
      </c>
      <c r="AN169" s="9" t="str">
        <f t="shared" ca="1" si="75"/>
        <v/>
      </c>
      <c r="AO169" s="9" t="str">
        <f t="shared" ca="1" si="76"/>
        <v/>
      </c>
      <c r="AP169" s="9" t="str">
        <f t="shared" ca="1" si="77"/>
        <v/>
      </c>
      <c r="AQ169" s="9"/>
      <c r="AR169" s="9"/>
      <c r="AS169" s="9"/>
      <c r="AT169" s="9"/>
      <c r="AU169" s="9"/>
    </row>
    <row r="170" spans="1:47" x14ac:dyDescent="0.3">
      <c r="A170" s="1">
        <v>43706</v>
      </c>
      <c r="B170" s="6">
        <v>286.63000499999998</v>
      </c>
      <c r="C170" s="6">
        <v>141.30999800000001</v>
      </c>
      <c r="D170" s="6">
        <v>28.805</v>
      </c>
      <c r="E170" s="6">
        <v>136.020004</v>
      </c>
      <c r="F170" s="6">
        <v>108.300003</v>
      </c>
      <c r="G170" s="6">
        <v>48.099997999999999</v>
      </c>
      <c r="H170" s="6">
        <v>92.25</v>
      </c>
      <c r="I170" s="6">
        <v>148.55999800000001</v>
      </c>
      <c r="J170" s="6">
        <v>20</v>
      </c>
      <c r="K170" s="6">
        <v>27.73</v>
      </c>
      <c r="N170" s="18">
        <v>166</v>
      </c>
      <c r="O170" s="1">
        <v>43706</v>
      </c>
      <c r="P170" s="5">
        <f t="shared" si="78"/>
        <v>1.5824227522340719E-2</v>
      </c>
      <c r="Q170" s="5">
        <f t="shared" si="79"/>
        <v>3.2801603139284131E-2</v>
      </c>
      <c r="R170" s="5">
        <f t="shared" si="80"/>
        <v>-8.1252412075100127E-3</v>
      </c>
      <c r="S170" s="5">
        <f t="shared" si="81"/>
        <v>6.120751984624799E-3</v>
      </c>
      <c r="T170" s="5">
        <f t="shared" si="82"/>
        <v>3.0517616868945925E-3</v>
      </c>
      <c r="U170" s="5">
        <f t="shared" si="83"/>
        <v>7.3030686049337119E-3</v>
      </c>
      <c r="V170" s="5">
        <f t="shared" si="84"/>
        <v>1.6063296907959178E-2</v>
      </c>
      <c r="W170" s="5">
        <f t="shared" si="85"/>
        <v>1.5534647336192071E-2</v>
      </c>
      <c r="X170" s="5">
        <f t="shared" si="86"/>
        <v>4.5101554778861092E-3</v>
      </c>
      <c r="Y170" s="5">
        <f t="shared" si="87"/>
        <v>2.8902651525944647E-2</v>
      </c>
      <c r="Z170" s="33">
        <v>166</v>
      </c>
      <c r="AE170" s="20" t="str">
        <f t="shared" si="88"/>
        <v/>
      </c>
      <c r="AF170" s="22" t="str">
        <f t="shared" si="89"/>
        <v/>
      </c>
      <c r="AG170" s="9" t="str">
        <f t="shared" ca="1" si="68"/>
        <v/>
      </c>
      <c r="AH170" s="9" t="str">
        <f t="shared" ca="1" si="69"/>
        <v/>
      </c>
      <c r="AI170" s="9" t="str">
        <f t="shared" ca="1" si="70"/>
        <v/>
      </c>
      <c r="AJ170" s="9" t="str">
        <f t="shared" ca="1" si="71"/>
        <v/>
      </c>
      <c r="AK170" s="9" t="str">
        <f t="shared" ca="1" si="72"/>
        <v/>
      </c>
      <c r="AL170" s="9" t="str">
        <f t="shared" ca="1" si="73"/>
        <v/>
      </c>
      <c r="AM170" s="9" t="str">
        <f t="shared" ca="1" si="74"/>
        <v/>
      </c>
      <c r="AN170" s="9" t="str">
        <f t="shared" ca="1" si="75"/>
        <v/>
      </c>
      <c r="AO170" s="9" t="str">
        <f t="shared" ca="1" si="76"/>
        <v/>
      </c>
      <c r="AP170" s="9" t="str">
        <f t="shared" ca="1" si="77"/>
        <v/>
      </c>
      <c r="AQ170" s="9"/>
      <c r="AR170" s="9"/>
      <c r="AS170" s="9"/>
      <c r="AT170" s="9"/>
      <c r="AU170" s="9"/>
    </row>
    <row r="171" spans="1:47" x14ac:dyDescent="0.3">
      <c r="A171" s="1">
        <v>43707</v>
      </c>
      <c r="B171" s="6">
        <v>284.51001000000002</v>
      </c>
      <c r="C171" s="6">
        <v>141.80999800000001</v>
      </c>
      <c r="D171" s="6">
        <v>29.334999</v>
      </c>
      <c r="E171" s="6">
        <v>136.729996</v>
      </c>
      <c r="F171" s="6">
        <v>108.25</v>
      </c>
      <c r="G171" s="6">
        <v>48.18</v>
      </c>
      <c r="H171" s="6">
        <v>93.739998</v>
      </c>
      <c r="I171" s="6">
        <v>148.679993</v>
      </c>
      <c r="J171" s="6">
        <v>19.879999000000002</v>
      </c>
      <c r="K171" s="6">
        <v>27.6</v>
      </c>
      <c r="N171" s="19">
        <v>167</v>
      </c>
      <c r="O171" s="1">
        <v>43707</v>
      </c>
      <c r="P171" s="5">
        <f t="shared" si="78"/>
        <v>-7.4237653843009293E-3</v>
      </c>
      <c r="Q171" s="5">
        <f t="shared" si="79"/>
        <v>3.532074928502165E-3</v>
      </c>
      <c r="R171" s="5">
        <f t="shared" si="80"/>
        <v>1.8232325104504031E-2</v>
      </c>
      <c r="S171" s="5">
        <f t="shared" si="81"/>
        <v>5.206185911321967E-3</v>
      </c>
      <c r="T171" s="5">
        <f t="shared" si="82"/>
        <v>-4.6181482517642763E-4</v>
      </c>
      <c r="U171" s="5">
        <f t="shared" si="83"/>
        <v>1.6618616550523704E-3</v>
      </c>
      <c r="V171" s="5">
        <f t="shared" si="84"/>
        <v>1.6022688238314244E-2</v>
      </c>
      <c r="W171" s="5">
        <f t="shared" si="85"/>
        <v>8.0739476619469288E-4</v>
      </c>
      <c r="X171" s="5">
        <f t="shared" si="86"/>
        <v>-6.0181226273750693E-3</v>
      </c>
      <c r="Y171" s="5">
        <f t="shared" si="87"/>
        <v>-4.6990869045823325E-3</v>
      </c>
      <c r="Z171" s="33">
        <v>167</v>
      </c>
      <c r="AE171" s="20" t="str">
        <f t="shared" si="88"/>
        <v/>
      </c>
      <c r="AF171" s="22" t="str">
        <f t="shared" si="89"/>
        <v/>
      </c>
      <c r="AG171" s="9" t="str">
        <f t="shared" ca="1" si="68"/>
        <v/>
      </c>
      <c r="AH171" s="9" t="str">
        <f t="shared" ca="1" si="69"/>
        <v/>
      </c>
      <c r="AI171" s="9" t="str">
        <f t="shared" ca="1" si="70"/>
        <v/>
      </c>
      <c r="AJ171" s="9" t="str">
        <f t="shared" ca="1" si="71"/>
        <v/>
      </c>
      <c r="AK171" s="9" t="str">
        <f t="shared" ca="1" si="72"/>
        <v/>
      </c>
      <c r="AL171" s="9" t="str">
        <f t="shared" ca="1" si="73"/>
        <v/>
      </c>
      <c r="AM171" s="9" t="str">
        <f t="shared" ca="1" si="74"/>
        <v/>
      </c>
      <c r="AN171" s="9" t="str">
        <f t="shared" ca="1" si="75"/>
        <v/>
      </c>
      <c r="AO171" s="9" t="str">
        <f t="shared" ca="1" si="76"/>
        <v/>
      </c>
      <c r="AP171" s="9" t="str">
        <f t="shared" ca="1" si="77"/>
        <v/>
      </c>
      <c r="AQ171" s="9"/>
      <c r="AR171" s="9"/>
      <c r="AS171" s="9"/>
      <c r="AT171" s="9"/>
      <c r="AU171" s="9"/>
    </row>
    <row r="172" spans="1:47" x14ac:dyDescent="0.3">
      <c r="A172" s="1">
        <v>43711</v>
      </c>
      <c r="B172" s="6">
        <v>282.45001200000002</v>
      </c>
      <c r="C172" s="6">
        <v>139.270004</v>
      </c>
      <c r="D172" s="6">
        <v>28.82</v>
      </c>
      <c r="E172" s="6">
        <v>137.46000699999999</v>
      </c>
      <c r="F172" s="6">
        <v>108.860001</v>
      </c>
      <c r="G172" s="6">
        <v>48.5</v>
      </c>
      <c r="H172" s="6">
        <v>92.510002</v>
      </c>
      <c r="I172" s="6">
        <v>147.33000200000001</v>
      </c>
      <c r="J172" s="6">
        <v>19.93</v>
      </c>
      <c r="K172" s="6">
        <v>26.889999</v>
      </c>
      <c r="N172" s="18">
        <v>168</v>
      </c>
      <c r="O172" s="1">
        <v>43711</v>
      </c>
      <c r="P172" s="5">
        <f t="shared" si="78"/>
        <v>-7.2668512250292309E-3</v>
      </c>
      <c r="Q172" s="5">
        <f t="shared" si="79"/>
        <v>-1.8073595583687593E-2</v>
      </c>
      <c r="R172" s="5">
        <f t="shared" si="80"/>
        <v>-1.7711717717474366E-2</v>
      </c>
      <c r="S172" s="5">
        <f t="shared" si="81"/>
        <v>5.3248675511086948E-3</v>
      </c>
      <c r="T172" s="5">
        <f t="shared" si="82"/>
        <v>5.6192953095652613E-3</v>
      </c>
      <c r="U172" s="5">
        <f t="shared" si="83"/>
        <v>6.6198007567123069E-3</v>
      </c>
      <c r="V172" s="5">
        <f t="shared" si="84"/>
        <v>-1.3208202756439261E-2</v>
      </c>
      <c r="W172" s="5">
        <f t="shared" si="85"/>
        <v>-9.1213160538403826E-3</v>
      </c>
      <c r="X172" s="5">
        <f t="shared" si="86"/>
        <v>2.5119832980873853E-3</v>
      </c>
      <c r="Y172" s="5">
        <f t="shared" si="87"/>
        <v>-2.6061339630877721E-2</v>
      </c>
      <c r="Z172" s="33">
        <v>168</v>
      </c>
      <c r="AE172" s="20" t="str">
        <f t="shared" si="88"/>
        <v/>
      </c>
      <c r="AF172" s="22" t="str">
        <f t="shared" si="89"/>
        <v/>
      </c>
      <c r="AG172" s="9" t="str">
        <f t="shared" ca="1" si="68"/>
        <v/>
      </c>
      <c r="AH172" s="9" t="str">
        <f t="shared" ca="1" si="69"/>
        <v/>
      </c>
      <c r="AI172" s="9" t="str">
        <f t="shared" ca="1" si="70"/>
        <v/>
      </c>
      <c r="AJ172" s="9" t="str">
        <f t="shared" ca="1" si="71"/>
        <v/>
      </c>
      <c r="AK172" s="9" t="str">
        <f t="shared" ca="1" si="72"/>
        <v/>
      </c>
      <c r="AL172" s="9" t="str">
        <f t="shared" ca="1" si="73"/>
        <v/>
      </c>
      <c r="AM172" s="9" t="str">
        <f t="shared" ca="1" si="74"/>
        <v/>
      </c>
      <c r="AN172" s="9" t="str">
        <f t="shared" ca="1" si="75"/>
        <v/>
      </c>
      <c r="AO172" s="9" t="str">
        <f t="shared" ca="1" si="76"/>
        <v/>
      </c>
      <c r="AP172" s="9" t="str">
        <f t="shared" ca="1" si="77"/>
        <v/>
      </c>
      <c r="AQ172" s="9"/>
      <c r="AR172" s="9"/>
      <c r="AS172" s="9"/>
      <c r="AT172" s="9"/>
      <c r="AU172" s="9"/>
    </row>
    <row r="173" spans="1:47" x14ac:dyDescent="0.3">
      <c r="A173" s="1">
        <v>43712</v>
      </c>
      <c r="B173" s="6">
        <v>284.60000600000001</v>
      </c>
      <c r="C173" s="6">
        <v>141.520004</v>
      </c>
      <c r="D173" s="6">
        <v>29.030000999999999</v>
      </c>
      <c r="E173" s="6">
        <v>139.14999399999999</v>
      </c>
      <c r="F173" s="6">
        <v>109.959999</v>
      </c>
      <c r="G173" s="6">
        <v>48.700001</v>
      </c>
      <c r="H173" s="6">
        <v>93.25</v>
      </c>
      <c r="I173" s="6">
        <v>148.85000600000001</v>
      </c>
      <c r="J173" s="6">
        <v>20.139999</v>
      </c>
      <c r="K173" s="6">
        <v>27.040001</v>
      </c>
      <c r="N173" s="19">
        <v>169</v>
      </c>
      <c r="O173" s="1">
        <v>43712</v>
      </c>
      <c r="P173" s="5">
        <f t="shared" si="78"/>
        <v>7.583120481306627E-3</v>
      </c>
      <c r="Q173" s="5">
        <f t="shared" si="79"/>
        <v>1.6026554329896348E-2</v>
      </c>
      <c r="R173" s="5">
        <f t="shared" si="80"/>
        <v>7.2602219122854233E-3</v>
      </c>
      <c r="S173" s="5">
        <f t="shared" si="81"/>
        <v>1.2219428235599584E-2</v>
      </c>
      <c r="T173" s="5">
        <f t="shared" si="82"/>
        <v>1.0053992010664233E-2</v>
      </c>
      <c r="U173" s="5">
        <f t="shared" si="83"/>
        <v>4.1152526789872109E-3</v>
      </c>
      <c r="V173" s="5">
        <f t="shared" si="84"/>
        <v>7.967290121413461E-3</v>
      </c>
      <c r="W173" s="5">
        <f t="shared" si="85"/>
        <v>1.0264145476589995E-2</v>
      </c>
      <c r="X173" s="5">
        <f t="shared" si="86"/>
        <v>1.0481703413278682E-2</v>
      </c>
      <c r="Y173" s="5">
        <f t="shared" si="87"/>
        <v>5.5628550647846102E-3</v>
      </c>
      <c r="Z173" s="33">
        <v>169</v>
      </c>
      <c r="AE173" s="20" t="str">
        <f t="shared" si="88"/>
        <v/>
      </c>
      <c r="AF173" s="22" t="str">
        <f t="shared" si="89"/>
        <v/>
      </c>
      <c r="AG173" s="9" t="str">
        <f t="shared" ca="1" si="68"/>
        <v/>
      </c>
      <c r="AH173" s="9" t="str">
        <f t="shared" ca="1" si="69"/>
        <v/>
      </c>
      <c r="AI173" s="9" t="str">
        <f t="shared" ca="1" si="70"/>
        <v/>
      </c>
      <c r="AJ173" s="9" t="str">
        <f t="shared" ca="1" si="71"/>
        <v/>
      </c>
      <c r="AK173" s="9" t="str">
        <f t="shared" ca="1" si="72"/>
        <v/>
      </c>
      <c r="AL173" s="9" t="str">
        <f t="shared" ca="1" si="73"/>
        <v/>
      </c>
      <c r="AM173" s="9" t="str">
        <f t="shared" ca="1" si="74"/>
        <v/>
      </c>
      <c r="AN173" s="9" t="str">
        <f t="shared" ca="1" si="75"/>
        <v/>
      </c>
      <c r="AO173" s="9" t="str">
        <f t="shared" ca="1" si="76"/>
        <v/>
      </c>
      <c r="AP173" s="9" t="str">
        <f t="shared" ca="1" si="77"/>
        <v/>
      </c>
      <c r="AQ173" s="9"/>
      <c r="AR173" s="9"/>
      <c r="AS173" s="9"/>
      <c r="AT173" s="9"/>
      <c r="AU173" s="9"/>
    </row>
    <row r="174" spans="1:47" x14ac:dyDescent="0.3">
      <c r="A174" s="1">
        <v>43713</v>
      </c>
      <c r="B174" s="6">
        <v>287.75</v>
      </c>
      <c r="C174" s="6">
        <v>145.949997</v>
      </c>
      <c r="D174" s="6">
        <v>29.385000000000002</v>
      </c>
      <c r="E174" s="6">
        <v>135.979996</v>
      </c>
      <c r="F174" s="6">
        <v>109.5</v>
      </c>
      <c r="G174" s="6">
        <v>48.349997999999999</v>
      </c>
      <c r="H174" s="6">
        <v>96.129997000000003</v>
      </c>
      <c r="I174" s="6">
        <v>151.740005</v>
      </c>
      <c r="J174" s="6">
        <v>20.440000999999999</v>
      </c>
      <c r="K174" s="6">
        <v>27.4</v>
      </c>
      <c r="N174" s="18">
        <v>170</v>
      </c>
      <c r="O174" s="1">
        <v>43713</v>
      </c>
      <c r="P174" s="5">
        <f t="shared" si="78"/>
        <v>1.1007340864019619E-2</v>
      </c>
      <c r="Q174" s="5">
        <f t="shared" si="79"/>
        <v>3.0822998629053196E-2</v>
      </c>
      <c r="R174" s="5">
        <f t="shared" si="80"/>
        <v>1.2154527580952243E-2</v>
      </c>
      <c r="S174" s="5">
        <f t="shared" si="81"/>
        <v>-2.3044658170739904E-2</v>
      </c>
      <c r="T174" s="5">
        <f t="shared" si="82"/>
        <v>-4.1921049462733395E-3</v>
      </c>
      <c r="U174" s="5">
        <f t="shared" si="83"/>
        <v>-7.2128700881689163E-3</v>
      </c>
      <c r="V174" s="5">
        <f t="shared" si="84"/>
        <v>3.0417352346059866E-2</v>
      </c>
      <c r="W174" s="5">
        <f t="shared" si="85"/>
        <v>1.9229435090208278E-2</v>
      </c>
      <c r="X174" s="5">
        <f t="shared" si="86"/>
        <v>1.4785976621199584E-2</v>
      </c>
      <c r="Y174" s="5">
        <f t="shared" si="87"/>
        <v>1.3225725237013312E-2</v>
      </c>
      <c r="Z174" s="33">
        <v>170</v>
      </c>
      <c r="AE174" s="20" t="str">
        <f t="shared" si="88"/>
        <v/>
      </c>
      <c r="AF174" s="22" t="str">
        <f t="shared" si="89"/>
        <v/>
      </c>
      <c r="AG174" s="9" t="str">
        <f t="shared" ca="1" si="68"/>
        <v/>
      </c>
      <c r="AH174" s="9" t="str">
        <f t="shared" ca="1" si="69"/>
        <v/>
      </c>
      <c r="AI174" s="9" t="str">
        <f t="shared" ca="1" si="70"/>
        <v/>
      </c>
      <c r="AJ174" s="9" t="str">
        <f t="shared" ca="1" si="71"/>
        <v/>
      </c>
      <c r="AK174" s="9" t="str">
        <f t="shared" ca="1" si="72"/>
        <v/>
      </c>
      <c r="AL174" s="9" t="str">
        <f t="shared" ca="1" si="73"/>
        <v/>
      </c>
      <c r="AM174" s="9" t="str">
        <f t="shared" ca="1" si="74"/>
        <v/>
      </c>
      <c r="AN174" s="9" t="str">
        <f t="shared" ca="1" si="75"/>
        <v/>
      </c>
      <c r="AO174" s="9" t="str">
        <f t="shared" ca="1" si="76"/>
        <v/>
      </c>
      <c r="AP174" s="9" t="str">
        <f t="shared" ca="1" si="77"/>
        <v/>
      </c>
      <c r="AQ174" s="9"/>
      <c r="AR174" s="9"/>
      <c r="AS174" s="9"/>
      <c r="AT174" s="9"/>
      <c r="AU174" s="9"/>
    </row>
    <row r="175" spans="1:47" x14ac:dyDescent="0.3">
      <c r="A175" s="1">
        <v>43714</v>
      </c>
      <c r="B175" s="6">
        <v>284.94000199999999</v>
      </c>
      <c r="C175" s="6">
        <v>145.509995</v>
      </c>
      <c r="D175" s="6">
        <v>28.584999</v>
      </c>
      <c r="E175" s="6">
        <v>137.36999499999999</v>
      </c>
      <c r="F175" s="6">
        <v>110.949997</v>
      </c>
      <c r="G175" s="6">
        <v>48.93</v>
      </c>
      <c r="H175" s="6">
        <v>95.139999000000003</v>
      </c>
      <c r="I175" s="6">
        <v>151.070007</v>
      </c>
      <c r="J175" s="6">
        <v>20.73</v>
      </c>
      <c r="K175" s="6">
        <v>27.34</v>
      </c>
      <c r="N175" s="19">
        <v>171</v>
      </c>
      <c r="O175" s="1">
        <v>43714</v>
      </c>
      <c r="P175" s="5">
        <f t="shared" si="78"/>
        <v>-9.8134087938850471E-3</v>
      </c>
      <c r="Q175" s="5">
        <f t="shared" si="79"/>
        <v>-3.0192983348516921E-3</v>
      </c>
      <c r="R175" s="5">
        <f t="shared" si="80"/>
        <v>-2.7602270332062688E-2</v>
      </c>
      <c r="S175" s="5">
        <f t="shared" si="81"/>
        <v>1.0170192256841445E-2</v>
      </c>
      <c r="T175" s="5">
        <f t="shared" si="82"/>
        <v>1.3155073082840273E-2</v>
      </c>
      <c r="U175" s="5">
        <f t="shared" si="83"/>
        <v>1.1924524766776211E-2</v>
      </c>
      <c r="V175" s="5">
        <f t="shared" si="84"/>
        <v>-1.0351930376675578E-2</v>
      </c>
      <c r="W175" s="5">
        <f t="shared" si="85"/>
        <v>-4.4252109692606923E-3</v>
      </c>
      <c r="X175" s="5">
        <f t="shared" si="86"/>
        <v>1.4088112188506788E-2</v>
      </c>
      <c r="Y175" s="5">
        <f t="shared" si="87"/>
        <v>-2.1921820982210472E-3</v>
      </c>
      <c r="Z175" s="33">
        <v>171</v>
      </c>
      <c r="AE175" s="20" t="str">
        <f t="shared" si="88"/>
        <v/>
      </c>
      <c r="AF175" s="22" t="str">
        <f t="shared" si="89"/>
        <v/>
      </c>
      <c r="AG175" s="9" t="str">
        <f t="shared" ca="1" si="68"/>
        <v/>
      </c>
      <c r="AH175" s="9" t="str">
        <f t="shared" ca="1" si="69"/>
        <v/>
      </c>
      <c r="AI175" s="9" t="str">
        <f t="shared" ca="1" si="70"/>
        <v/>
      </c>
      <c r="AJ175" s="9" t="str">
        <f t="shared" ca="1" si="71"/>
        <v/>
      </c>
      <c r="AK175" s="9" t="str">
        <f t="shared" ca="1" si="72"/>
        <v/>
      </c>
      <c r="AL175" s="9" t="str">
        <f t="shared" ca="1" si="73"/>
        <v/>
      </c>
      <c r="AM175" s="9" t="str">
        <f t="shared" ca="1" si="74"/>
        <v/>
      </c>
      <c r="AN175" s="9" t="str">
        <f t="shared" ca="1" si="75"/>
        <v/>
      </c>
      <c r="AO175" s="9" t="str">
        <f t="shared" ca="1" si="76"/>
        <v/>
      </c>
      <c r="AP175" s="9" t="str">
        <f t="shared" ca="1" si="77"/>
        <v/>
      </c>
      <c r="AQ175" s="9"/>
      <c r="AR175" s="9"/>
      <c r="AS175" s="9"/>
      <c r="AT175" s="9"/>
      <c r="AU175" s="9"/>
    </row>
    <row r="176" spans="1:47" x14ac:dyDescent="0.3">
      <c r="A176" s="1">
        <v>43717</v>
      </c>
      <c r="B176" s="6">
        <v>279.29998799999998</v>
      </c>
      <c r="C176" s="6">
        <v>141.259995</v>
      </c>
      <c r="D176" s="6">
        <v>28.614999999999998</v>
      </c>
      <c r="E176" s="6">
        <v>136.39999399999999</v>
      </c>
      <c r="F176" s="6">
        <v>110.339996</v>
      </c>
      <c r="G176" s="6">
        <v>48.43</v>
      </c>
      <c r="H176" s="6">
        <v>95.529999000000004</v>
      </c>
      <c r="I176" s="6">
        <v>152.39999399999999</v>
      </c>
      <c r="J176" s="6">
        <v>21.07</v>
      </c>
      <c r="K176" s="6">
        <v>27.299999</v>
      </c>
      <c r="N176" s="18">
        <v>172</v>
      </c>
      <c r="O176" s="1">
        <v>43717</v>
      </c>
      <c r="P176" s="5">
        <f t="shared" si="78"/>
        <v>-1.999220882153116E-2</v>
      </c>
      <c r="Q176" s="5">
        <f t="shared" si="79"/>
        <v>-2.964264982523579E-2</v>
      </c>
      <c r="R176" s="5">
        <f t="shared" si="80"/>
        <v>1.0489861285144775E-3</v>
      </c>
      <c r="S176" s="5">
        <f t="shared" si="81"/>
        <v>-7.0862775179730934E-3</v>
      </c>
      <c r="T176" s="5">
        <f t="shared" si="82"/>
        <v>-5.5131507466976469E-3</v>
      </c>
      <c r="U176" s="5">
        <f t="shared" si="83"/>
        <v>-1.0271248885894438E-2</v>
      </c>
      <c r="V176" s="5">
        <f t="shared" si="84"/>
        <v>4.090843320691988E-3</v>
      </c>
      <c r="W176" s="5">
        <f t="shared" si="85"/>
        <v>8.7652519906982161E-3</v>
      </c>
      <c r="X176" s="5">
        <f t="shared" si="86"/>
        <v>1.626830136840943E-2</v>
      </c>
      <c r="Y176" s="5">
        <f t="shared" si="87"/>
        <v>-1.4641657349267175E-3</v>
      </c>
      <c r="Z176" s="33">
        <v>172</v>
      </c>
      <c r="AE176" s="20" t="str">
        <f t="shared" si="88"/>
        <v/>
      </c>
      <c r="AF176" s="22" t="str">
        <f t="shared" si="89"/>
        <v/>
      </c>
      <c r="AG176" s="9" t="str">
        <f t="shared" ca="1" si="68"/>
        <v/>
      </c>
      <c r="AH176" s="9" t="str">
        <f t="shared" ca="1" si="69"/>
        <v/>
      </c>
      <c r="AI176" s="9" t="str">
        <f t="shared" ca="1" si="70"/>
        <v/>
      </c>
      <c r="AJ176" s="9" t="str">
        <f t="shared" ca="1" si="71"/>
        <v/>
      </c>
      <c r="AK176" s="9" t="str">
        <f t="shared" ca="1" si="72"/>
        <v/>
      </c>
      <c r="AL176" s="9" t="str">
        <f t="shared" ca="1" si="73"/>
        <v/>
      </c>
      <c r="AM176" s="9" t="str">
        <f t="shared" ca="1" si="74"/>
        <v/>
      </c>
      <c r="AN176" s="9" t="str">
        <f t="shared" ca="1" si="75"/>
        <v/>
      </c>
      <c r="AO176" s="9" t="str">
        <f t="shared" ca="1" si="76"/>
        <v/>
      </c>
      <c r="AP176" s="9" t="str">
        <f t="shared" ca="1" si="77"/>
        <v/>
      </c>
      <c r="AQ176" s="9"/>
      <c r="AR176" s="9"/>
      <c r="AS176" s="9"/>
      <c r="AT176" s="9"/>
      <c r="AU176" s="9"/>
    </row>
    <row r="177" spans="1:47" x14ac:dyDescent="0.3">
      <c r="A177" s="1">
        <v>43718</v>
      </c>
      <c r="B177" s="6">
        <v>276.14001500000001</v>
      </c>
      <c r="C177" s="6">
        <v>135.25</v>
      </c>
      <c r="D177" s="6">
        <v>28.879999000000002</v>
      </c>
      <c r="E177" s="6">
        <v>135.86000100000001</v>
      </c>
      <c r="F177" s="6">
        <v>109.879997</v>
      </c>
      <c r="G177" s="6">
        <v>47.84</v>
      </c>
      <c r="H177" s="6">
        <v>97.050003000000004</v>
      </c>
      <c r="I177" s="6">
        <v>158.020004</v>
      </c>
      <c r="J177" s="6">
        <v>21.629999000000002</v>
      </c>
      <c r="K177" s="6">
        <v>28.43</v>
      </c>
      <c r="N177" s="19">
        <v>173</v>
      </c>
      <c r="O177" s="1">
        <v>43718</v>
      </c>
      <c r="P177" s="5">
        <f t="shared" si="78"/>
        <v>-1.1378392178298667E-2</v>
      </c>
      <c r="Q177" s="5">
        <f t="shared" si="79"/>
        <v>-4.3477210858460527E-2</v>
      </c>
      <c r="R177" s="5">
        <f t="shared" si="80"/>
        <v>9.2182235375206159E-3</v>
      </c>
      <c r="S177" s="5">
        <f t="shared" si="81"/>
        <v>-3.966750297416847E-3</v>
      </c>
      <c r="T177" s="5">
        <f t="shared" si="82"/>
        <v>-4.1776376681371087E-3</v>
      </c>
      <c r="U177" s="5">
        <f t="shared" si="83"/>
        <v>-1.225734677276142E-2</v>
      </c>
      <c r="V177" s="5">
        <f t="shared" si="84"/>
        <v>1.5786016712918797E-2</v>
      </c>
      <c r="W177" s="5">
        <f t="shared" si="85"/>
        <v>3.6213028725372007E-2</v>
      </c>
      <c r="X177" s="5">
        <f t="shared" si="86"/>
        <v>2.6230965916783762E-2</v>
      </c>
      <c r="Y177" s="5">
        <f t="shared" si="87"/>
        <v>4.0558260102031569E-2</v>
      </c>
      <c r="Z177" s="33">
        <v>173</v>
      </c>
      <c r="AE177" s="20" t="str">
        <f t="shared" si="88"/>
        <v/>
      </c>
      <c r="AF177" s="22" t="str">
        <f t="shared" si="89"/>
        <v/>
      </c>
      <c r="AG177" s="9" t="str">
        <f t="shared" ca="1" si="68"/>
        <v/>
      </c>
      <c r="AH177" s="9" t="str">
        <f t="shared" ca="1" si="69"/>
        <v/>
      </c>
      <c r="AI177" s="9" t="str">
        <f t="shared" ca="1" si="70"/>
        <v/>
      </c>
      <c r="AJ177" s="9" t="str">
        <f t="shared" ca="1" si="71"/>
        <v/>
      </c>
      <c r="AK177" s="9" t="str">
        <f t="shared" ca="1" si="72"/>
        <v/>
      </c>
      <c r="AL177" s="9" t="str">
        <f t="shared" ca="1" si="73"/>
        <v/>
      </c>
      <c r="AM177" s="9" t="str">
        <f t="shared" ca="1" si="74"/>
        <v/>
      </c>
      <c r="AN177" s="9" t="str">
        <f t="shared" ca="1" si="75"/>
        <v/>
      </c>
      <c r="AO177" s="9" t="str">
        <f t="shared" ca="1" si="76"/>
        <v/>
      </c>
      <c r="AP177" s="9" t="str">
        <f t="shared" ca="1" si="77"/>
        <v/>
      </c>
      <c r="AQ177" s="9"/>
      <c r="AR177" s="9"/>
      <c r="AS177" s="9"/>
      <c r="AT177" s="9"/>
      <c r="AU177" s="9"/>
    </row>
    <row r="178" spans="1:47" x14ac:dyDescent="0.3">
      <c r="A178" s="1">
        <v>43719</v>
      </c>
      <c r="B178" s="6">
        <v>277.77999899999998</v>
      </c>
      <c r="C178" s="6">
        <v>134.63999899999999</v>
      </c>
      <c r="D178" s="6">
        <v>28.434999000000001</v>
      </c>
      <c r="E178" s="6">
        <v>136.36000100000001</v>
      </c>
      <c r="F178" s="6">
        <v>109.239998</v>
      </c>
      <c r="G178" s="6">
        <v>47.810001</v>
      </c>
      <c r="H178" s="6">
        <v>99.209998999999996</v>
      </c>
      <c r="I178" s="6">
        <v>161.58999600000001</v>
      </c>
      <c r="J178" s="6">
        <v>21.280000999999999</v>
      </c>
      <c r="K178" s="6">
        <v>28.549999</v>
      </c>
      <c r="N178" s="18">
        <v>174</v>
      </c>
      <c r="O178" s="1">
        <v>43719</v>
      </c>
      <c r="P178" s="5">
        <f t="shared" si="78"/>
        <v>5.9213920798244085E-3</v>
      </c>
      <c r="Q178" s="5">
        <f t="shared" si="79"/>
        <v>-4.5203752712538016E-3</v>
      </c>
      <c r="R178" s="5">
        <f t="shared" si="80"/>
        <v>-1.5528533807750542E-2</v>
      </c>
      <c r="S178" s="5">
        <f t="shared" si="81"/>
        <v>3.6735034795571313E-3</v>
      </c>
      <c r="T178" s="5">
        <f t="shared" si="82"/>
        <v>-5.841555627368834E-3</v>
      </c>
      <c r="U178" s="5">
        <f t="shared" si="83"/>
        <v>-6.2726608823826654E-4</v>
      </c>
      <c r="V178" s="5">
        <f t="shared" si="84"/>
        <v>2.201246505526213E-2</v>
      </c>
      <c r="W178" s="5">
        <f t="shared" si="85"/>
        <v>2.2340605622310879E-2</v>
      </c>
      <c r="X178" s="5">
        <f t="shared" si="86"/>
        <v>-1.6313482266957662E-2</v>
      </c>
      <c r="Y178" s="5">
        <f t="shared" si="87"/>
        <v>4.2119754128404482E-3</v>
      </c>
      <c r="Z178" s="33">
        <v>174</v>
      </c>
      <c r="AE178" s="20" t="str">
        <f t="shared" si="88"/>
        <v/>
      </c>
      <c r="AF178" s="22" t="str">
        <f t="shared" si="89"/>
        <v/>
      </c>
      <c r="AG178" s="9" t="str">
        <f t="shared" ca="1" si="68"/>
        <v/>
      </c>
      <c r="AH178" s="9" t="str">
        <f t="shared" ca="1" si="69"/>
        <v/>
      </c>
      <c r="AI178" s="9" t="str">
        <f t="shared" ca="1" si="70"/>
        <v/>
      </c>
      <c r="AJ178" s="9" t="str">
        <f t="shared" ca="1" si="71"/>
        <v/>
      </c>
      <c r="AK178" s="9" t="str">
        <f t="shared" ca="1" si="72"/>
        <v/>
      </c>
      <c r="AL178" s="9" t="str">
        <f t="shared" ca="1" si="73"/>
        <v/>
      </c>
      <c r="AM178" s="9" t="str">
        <f t="shared" ca="1" si="74"/>
        <v/>
      </c>
      <c r="AN178" s="9" t="str">
        <f t="shared" ca="1" si="75"/>
        <v/>
      </c>
      <c r="AO178" s="9" t="str">
        <f t="shared" ca="1" si="76"/>
        <v/>
      </c>
      <c r="AP178" s="9" t="str">
        <f t="shared" ca="1" si="77"/>
        <v/>
      </c>
      <c r="AQ178" s="9"/>
      <c r="AR178" s="9"/>
      <c r="AS178" s="9"/>
      <c r="AT178" s="9"/>
      <c r="AU178" s="9"/>
    </row>
    <row r="179" spans="1:47" x14ac:dyDescent="0.3">
      <c r="A179" s="1">
        <v>43720</v>
      </c>
      <c r="B179" s="6">
        <v>278.01998900000001</v>
      </c>
      <c r="C179" s="6">
        <v>137.38999899999999</v>
      </c>
      <c r="D179" s="6">
        <v>28.725000000000001</v>
      </c>
      <c r="E179" s="6">
        <v>137.28999300000001</v>
      </c>
      <c r="F179" s="6">
        <v>108.970001</v>
      </c>
      <c r="G179" s="6">
        <v>48.029998999999997</v>
      </c>
      <c r="H179" s="6">
        <v>99.669998000000007</v>
      </c>
      <c r="I179" s="6">
        <v>162.86000100000001</v>
      </c>
      <c r="J179" s="6">
        <v>21.110001</v>
      </c>
      <c r="K179" s="6">
        <v>28.110001</v>
      </c>
      <c r="N179" s="19">
        <v>175</v>
      </c>
      <c r="O179" s="1">
        <v>43720</v>
      </c>
      <c r="P179" s="5">
        <f t="shared" si="78"/>
        <v>8.63584095345396E-4</v>
      </c>
      <c r="Q179" s="5">
        <f t="shared" si="79"/>
        <v>2.0219047201969553E-2</v>
      </c>
      <c r="R179" s="5">
        <f t="shared" si="80"/>
        <v>1.0147078143983784E-2</v>
      </c>
      <c r="S179" s="5">
        <f t="shared" si="81"/>
        <v>6.7969713193191273E-3</v>
      </c>
      <c r="T179" s="5">
        <f t="shared" si="82"/>
        <v>-2.4746541315597607E-3</v>
      </c>
      <c r="U179" s="5">
        <f t="shared" si="83"/>
        <v>4.5909513022740264E-3</v>
      </c>
      <c r="V179" s="5">
        <f t="shared" si="84"/>
        <v>4.6259033309643139E-3</v>
      </c>
      <c r="W179" s="5">
        <f t="shared" si="85"/>
        <v>7.8287039490791705E-3</v>
      </c>
      <c r="X179" s="5">
        <f t="shared" si="86"/>
        <v>-8.0208022347812592E-3</v>
      </c>
      <c r="Y179" s="5">
        <f t="shared" si="87"/>
        <v>-1.5531480582780401E-2</v>
      </c>
      <c r="Z179" s="33">
        <v>175</v>
      </c>
      <c r="AE179" s="20" t="str">
        <f t="shared" si="88"/>
        <v/>
      </c>
      <c r="AF179" s="22" t="str">
        <f t="shared" si="89"/>
        <v/>
      </c>
      <c r="AG179" s="9" t="str">
        <f t="shared" ca="1" si="68"/>
        <v/>
      </c>
      <c r="AH179" s="9" t="str">
        <f t="shared" ca="1" si="69"/>
        <v/>
      </c>
      <c r="AI179" s="9" t="str">
        <f t="shared" ca="1" si="70"/>
        <v/>
      </c>
      <c r="AJ179" s="9" t="str">
        <f t="shared" ca="1" si="71"/>
        <v/>
      </c>
      <c r="AK179" s="9" t="str">
        <f t="shared" ca="1" si="72"/>
        <v/>
      </c>
      <c r="AL179" s="9" t="str">
        <f t="shared" ca="1" si="73"/>
        <v/>
      </c>
      <c r="AM179" s="9" t="str">
        <f t="shared" ca="1" si="74"/>
        <v/>
      </c>
      <c r="AN179" s="9" t="str">
        <f t="shared" ca="1" si="75"/>
        <v/>
      </c>
      <c r="AO179" s="9" t="str">
        <f t="shared" ca="1" si="76"/>
        <v/>
      </c>
      <c r="AP179" s="9" t="str">
        <f t="shared" ca="1" si="77"/>
        <v/>
      </c>
      <c r="AQ179" s="9"/>
      <c r="AR179" s="9"/>
      <c r="AS179" s="9"/>
      <c r="AT179" s="9"/>
      <c r="AU179" s="9"/>
    </row>
    <row r="180" spans="1:47" x14ac:dyDescent="0.3">
      <c r="A180" s="1">
        <v>43721</v>
      </c>
      <c r="B180" s="6">
        <v>278.35000600000001</v>
      </c>
      <c r="C180" s="6">
        <v>134.63999899999999</v>
      </c>
      <c r="D180" s="6">
        <v>29.43</v>
      </c>
      <c r="E180" s="6">
        <v>136.44000199999999</v>
      </c>
      <c r="F180" s="6">
        <v>107.779999</v>
      </c>
      <c r="G180" s="6">
        <v>47.599997999999999</v>
      </c>
      <c r="H180" s="6">
        <v>99.669998000000007</v>
      </c>
      <c r="I180" s="6">
        <v>162.449997</v>
      </c>
      <c r="J180" s="6">
        <v>21.190000999999999</v>
      </c>
      <c r="K180" s="6">
        <v>27.889999</v>
      </c>
      <c r="N180" s="18">
        <v>176</v>
      </c>
      <c r="O180" s="1">
        <v>43721</v>
      </c>
      <c r="P180" s="5">
        <f t="shared" si="78"/>
        <v>1.1863222016650673E-3</v>
      </c>
      <c r="Q180" s="5">
        <f t="shared" si="79"/>
        <v>-2.0219047201969535E-2</v>
      </c>
      <c r="R180" s="5">
        <f t="shared" si="80"/>
        <v>2.4246738510561867E-2</v>
      </c>
      <c r="S180" s="5">
        <f t="shared" si="81"/>
        <v>-6.2104537136476821E-3</v>
      </c>
      <c r="T180" s="5">
        <f t="shared" si="82"/>
        <v>-1.0980520938440968E-2</v>
      </c>
      <c r="U180" s="5">
        <f t="shared" si="83"/>
        <v>-8.9930756358454073E-3</v>
      </c>
      <c r="V180" s="5">
        <f t="shared" si="84"/>
        <v>0</v>
      </c>
      <c r="W180" s="5">
        <f t="shared" si="85"/>
        <v>-2.5206985313400683E-3</v>
      </c>
      <c r="X180" s="5">
        <f t="shared" si="86"/>
        <v>3.7825102411358754E-3</v>
      </c>
      <c r="Y180" s="5">
        <f t="shared" si="87"/>
        <v>-7.8572547087167929E-3</v>
      </c>
      <c r="Z180" s="33">
        <v>176</v>
      </c>
      <c r="AE180" s="20" t="str">
        <f t="shared" si="88"/>
        <v/>
      </c>
      <c r="AF180" s="22" t="str">
        <f t="shared" si="89"/>
        <v/>
      </c>
      <c r="AG180" s="9" t="str">
        <f t="shared" ca="1" si="68"/>
        <v/>
      </c>
      <c r="AH180" s="9" t="str">
        <f t="shared" ca="1" si="69"/>
        <v/>
      </c>
      <c r="AI180" s="9" t="str">
        <f t="shared" ca="1" si="70"/>
        <v/>
      </c>
      <c r="AJ180" s="9" t="str">
        <f t="shared" ca="1" si="71"/>
        <v/>
      </c>
      <c r="AK180" s="9" t="str">
        <f t="shared" ca="1" si="72"/>
        <v/>
      </c>
      <c r="AL180" s="9" t="str">
        <f t="shared" ca="1" si="73"/>
        <v/>
      </c>
      <c r="AM180" s="9" t="str">
        <f t="shared" ca="1" si="74"/>
        <v/>
      </c>
      <c r="AN180" s="9" t="str">
        <f t="shared" ca="1" si="75"/>
        <v/>
      </c>
      <c r="AO180" s="9" t="str">
        <f t="shared" ca="1" si="76"/>
        <v/>
      </c>
      <c r="AP180" s="9" t="str">
        <f t="shared" ca="1" si="77"/>
        <v/>
      </c>
      <c r="AQ180" s="9"/>
      <c r="AR180" s="9"/>
      <c r="AS180" s="9"/>
      <c r="AT180" s="9"/>
      <c r="AU180" s="9"/>
    </row>
    <row r="181" spans="1:47" x14ac:dyDescent="0.3">
      <c r="A181" s="1">
        <v>43724</v>
      </c>
      <c r="B181" s="6">
        <v>282.92999300000002</v>
      </c>
      <c r="C181" s="6">
        <v>133.240005</v>
      </c>
      <c r="D181" s="6">
        <v>29.614999999999998</v>
      </c>
      <c r="E181" s="6">
        <v>134.88000500000001</v>
      </c>
      <c r="F181" s="6">
        <v>109.480003</v>
      </c>
      <c r="G181" s="6">
        <v>48.169998</v>
      </c>
      <c r="H181" s="6">
        <v>99.25</v>
      </c>
      <c r="I181" s="6">
        <v>162.050003</v>
      </c>
      <c r="J181" s="6">
        <v>21.41</v>
      </c>
      <c r="K181" s="6">
        <v>27.969999000000001</v>
      </c>
      <c r="N181" s="19">
        <v>177</v>
      </c>
      <c r="O181" s="1">
        <v>43724</v>
      </c>
      <c r="P181" s="5">
        <f t="shared" si="78"/>
        <v>1.6320156297688834E-2</v>
      </c>
      <c r="Q181" s="5">
        <f t="shared" si="79"/>
        <v>-1.0452491603590588E-2</v>
      </c>
      <c r="R181" s="5">
        <f t="shared" si="80"/>
        <v>6.2664274835470928E-3</v>
      </c>
      <c r="S181" s="5">
        <f t="shared" si="81"/>
        <v>-1.1499440885369945E-2</v>
      </c>
      <c r="T181" s="5">
        <f t="shared" si="82"/>
        <v>1.5649808347551673E-2</v>
      </c>
      <c r="U181" s="5">
        <f t="shared" si="83"/>
        <v>1.1903659901943746E-2</v>
      </c>
      <c r="V181" s="5">
        <f t="shared" si="84"/>
        <v>-4.2227893458463544E-3</v>
      </c>
      <c r="W181" s="5">
        <f t="shared" si="85"/>
        <v>-2.4652955475274875E-3</v>
      </c>
      <c r="X181" s="5">
        <f t="shared" si="86"/>
        <v>1.0328683129313218E-2</v>
      </c>
      <c r="Y181" s="5">
        <f t="shared" si="87"/>
        <v>2.8643056770240351E-3</v>
      </c>
      <c r="Z181" s="33">
        <v>177</v>
      </c>
      <c r="AE181" s="20" t="str">
        <f t="shared" si="88"/>
        <v/>
      </c>
      <c r="AF181" s="22" t="str">
        <f t="shared" si="89"/>
        <v/>
      </c>
      <c r="AG181" s="9" t="str">
        <f t="shared" ca="1" si="68"/>
        <v/>
      </c>
      <c r="AH181" s="9" t="str">
        <f t="shared" ca="1" si="69"/>
        <v/>
      </c>
      <c r="AI181" s="9" t="str">
        <f t="shared" ca="1" si="70"/>
        <v/>
      </c>
      <c r="AJ181" s="9" t="str">
        <f t="shared" ca="1" si="71"/>
        <v/>
      </c>
      <c r="AK181" s="9" t="str">
        <f t="shared" ca="1" si="72"/>
        <v/>
      </c>
      <c r="AL181" s="9" t="str">
        <f t="shared" ca="1" si="73"/>
        <v/>
      </c>
      <c r="AM181" s="9" t="str">
        <f t="shared" ca="1" si="74"/>
        <v/>
      </c>
      <c r="AN181" s="9" t="str">
        <f t="shared" ca="1" si="75"/>
        <v/>
      </c>
      <c r="AO181" s="9" t="str">
        <f t="shared" ca="1" si="76"/>
        <v/>
      </c>
      <c r="AP181" s="9" t="str">
        <f t="shared" ca="1" si="77"/>
        <v/>
      </c>
      <c r="AQ181" s="9"/>
      <c r="AR181" s="9"/>
      <c r="AS181" s="9"/>
      <c r="AT181" s="9"/>
      <c r="AU181" s="9"/>
    </row>
    <row r="182" spans="1:47" x14ac:dyDescent="0.3">
      <c r="A182" s="1">
        <v>43725</v>
      </c>
      <c r="B182" s="6">
        <v>284.69000199999999</v>
      </c>
      <c r="C182" s="6">
        <v>136.699997</v>
      </c>
      <c r="D182" s="6">
        <v>28.995000999999998</v>
      </c>
      <c r="E182" s="6">
        <v>135.699997</v>
      </c>
      <c r="F182" s="6">
        <v>110.720001</v>
      </c>
      <c r="G182" s="6">
        <v>48.509998000000003</v>
      </c>
      <c r="H182" s="6">
        <v>98.720000999999996</v>
      </c>
      <c r="I182" s="6">
        <v>157.83999600000001</v>
      </c>
      <c r="J182" s="6">
        <v>21.280000999999999</v>
      </c>
      <c r="K182" s="6">
        <v>27.200001</v>
      </c>
      <c r="N182" s="18">
        <v>178</v>
      </c>
      <c r="O182" s="1">
        <v>43725</v>
      </c>
      <c r="P182" s="5">
        <f t="shared" si="78"/>
        <v>6.201383516830721E-3</v>
      </c>
      <c r="Q182" s="5">
        <f t="shared" si="79"/>
        <v>2.5636670932290159E-2</v>
      </c>
      <c r="R182" s="5">
        <f t="shared" si="80"/>
        <v>-2.1157553911820254E-2</v>
      </c>
      <c r="S182" s="5">
        <f t="shared" si="81"/>
        <v>6.0610134097000695E-3</v>
      </c>
      <c r="T182" s="5">
        <f t="shared" si="82"/>
        <v>1.1262589326408041E-2</v>
      </c>
      <c r="U182" s="5">
        <f t="shared" si="83"/>
        <v>7.0335419060012141E-3</v>
      </c>
      <c r="V182" s="5">
        <f t="shared" si="84"/>
        <v>-5.3543492805626074E-3</v>
      </c>
      <c r="W182" s="5">
        <f t="shared" si="85"/>
        <v>-2.6323111728119866E-2</v>
      </c>
      <c r="X182" s="5">
        <f t="shared" si="86"/>
        <v>-6.0903911356678187E-3</v>
      </c>
      <c r="Y182" s="5">
        <f t="shared" si="87"/>
        <v>-2.791546139461884E-2</v>
      </c>
      <c r="Z182" s="33">
        <v>178</v>
      </c>
      <c r="AE182" s="20" t="str">
        <f t="shared" si="88"/>
        <v/>
      </c>
      <c r="AF182" s="22" t="str">
        <f t="shared" si="89"/>
        <v/>
      </c>
      <c r="AG182" s="9" t="str">
        <f t="shared" ca="1" si="68"/>
        <v/>
      </c>
      <c r="AH182" s="9" t="str">
        <f t="shared" ca="1" si="69"/>
        <v/>
      </c>
      <c r="AI182" s="9" t="str">
        <f t="shared" ca="1" si="70"/>
        <v/>
      </c>
      <c r="AJ182" s="9" t="str">
        <f t="shared" ca="1" si="71"/>
        <v/>
      </c>
      <c r="AK182" s="9" t="str">
        <f t="shared" ca="1" si="72"/>
        <v/>
      </c>
      <c r="AL182" s="9" t="str">
        <f t="shared" ca="1" si="73"/>
        <v/>
      </c>
      <c r="AM182" s="9" t="str">
        <f t="shared" ca="1" si="74"/>
        <v/>
      </c>
      <c r="AN182" s="9" t="str">
        <f t="shared" ca="1" si="75"/>
        <v/>
      </c>
      <c r="AO182" s="9" t="str">
        <f t="shared" ca="1" si="76"/>
        <v/>
      </c>
      <c r="AP182" s="9" t="str">
        <f t="shared" ca="1" si="77"/>
        <v/>
      </c>
      <c r="AQ182" s="9"/>
      <c r="AR182" s="9"/>
      <c r="AS182" s="9"/>
      <c r="AT182" s="9"/>
      <c r="AU182" s="9"/>
    </row>
    <row r="183" spans="1:47" x14ac:dyDescent="0.3">
      <c r="A183" s="1">
        <v>43726</v>
      </c>
      <c r="B183" s="6">
        <v>279.72000100000002</v>
      </c>
      <c r="C183" s="6">
        <v>136.5</v>
      </c>
      <c r="D183" s="6">
        <v>29.18</v>
      </c>
      <c r="E183" s="6">
        <v>135.5</v>
      </c>
      <c r="F183" s="6">
        <v>110.75</v>
      </c>
      <c r="G183" s="6">
        <v>48.310001</v>
      </c>
      <c r="H183" s="6">
        <v>99.309997999999993</v>
      </c>
      <c r="I183" s="6">
        <v>155.19000199999999</v>
      </c>
      <c r="J183" s="6">
        <v>21.43</v>
      </c>
      <c r="K183" s="6">
        <v>27.209999</v>
      </c>
      <c r="N183" s="19">
        <v>179</v>
      </c>
      <c r="O183" s="1">
        <v>43726</v>
      </c>
      <c r="P183" s="5">
        <f t="shared" si="78"/>
        <v>-1.7611769588961962E-2</v>
      </c>
      <c r="Q183" s="5">
        <f t="shared" si="79"/>
        <v>-1.4641071590223412E-3</v>
      </c>
      <c r="R183" s="5">
        <f t="shared" si="80"/>
        <v>6.360107277531302E-3</v>
      </c>
      <c r="S183" s="5">
        <f t="shared" si="81"/>
        <v>-1.4749044134773641E-3</v>
      </c>
      <c r="T183" s="5">
        <f t="shared" si="82"/>
        <v>2.7090802409380664E-4</v>
      </c>
      <c r="U183" s="5">
        <f t="shared" si="83"/>
        <v>-4.1313217625485784E-3</v>
      </c>
      <c r="V183" s="5">
        <f t="shared" si="84"/>
        <v>5.9586804895708978E-3</v>
      </c>
      <c r="W183" s="5">
        <f t="shared" si="85"/>
        <v>-1.6931650801279438E-2</v>
      </c>
      <c r="X183" s="5">
        <f t="shared" si="86"/>
        <v>7.0240980195619583E-3</v>
      </c>
      <c r="Y183" s="5">
        <f t="shared" si="87"/>
        <v>3.675059773030761E-4</v>
      </c>
      <c r="Z183" s="33">
        <v>179</v>
      </c>
      <c r="AE183" s="20" t="str">
        <f t="shared" si="88"/>
        <v/>
      </c>
      <c r="AF183" s="22" t="str">
        <f t="shared" si="89"/>
        <v/>
      </c>
      <c r="AG183" s="9" t="str">
        <f t="shared" ca="1" si="68"/>
        <v/>
      </c>
      <c r="AH183" s="9" t="str">
        <f t="shared" ca="1" si="69"/>
        <v/>
      </c>
      <c r="AI183" s="9" t="str">
        <f t="shared" ca="1" si="70"/>
        <v/>
      </c>
      <c r="AJ183" s="9" t="str">
        <f t="shared" ca="1" si="71"/>
        <v/>
      </c>
      <c r="AK183" s="9" t="str">
        <f t="shared" ca="1" si="72"/>
        <v/>
      </c>
      <c r="AL183" s="9" t="str">
        <f t="shared" ca="1" si="73"/>
        <v/>
      </c>
      <c r="AM183" s="9" t="str">
        <f t="shared" ca="1" si="74"/>
        <v/>
      </c>
      <c r="AN183" s="9" t="str">
        <f t="shared" ca="1" si="75"/>
        <v/>
      </c>
      <c r="AO183" s="9" t="str">
        <f t="shared" ca="1" si="76"/>
        <v/>
      </c>
      <c r="AP183" s="9" t="str">
        <f t="shared" ca="1" si="77"/>
        <v/>
      </c>
      <c r="AQ183" s="9"/>
      <c r="AR183" s="9"/>
      <c r="AS183" s="9"/>
      <c r="AT183" s="9"/>
      <c r="AU183" s="9"/>
    </row>
    <row r="184" spans="1:47" x14ac:dyDescent="0.3">
      <c r="A184" s="1">
        <v>43727</v>
      </c>
      <c r="B184" s="6">
        <v>281.26001000000002</v>
      </c>
      <c r="C184" s="6">
        <v>137.13000500000001</v>
      </c>
      <c r="D184" s="6">
        <v>29.395</v>
      </c>
      <c r="E184" s="6">
        <v>135.479996</v>
      </c>
      <c r="F184" s="6">
        <v>110.370003</v>
      </c>
      <c r="G184" s="6">
        <v>48.23</v>
      </c>
      <c r="H184" s="6">
        <v>98.970000999999996</v>
      </c>
      <c r="I184" s="6">
        <v>155.13999899999999</v>
      </c>
      <c r="J184" s="6">
        <v>21.32</v>
      </c>
      <c r="K184" s="6">
        <v>26.67</v>
      </c>
      <c r="N184" s="18">
        <v>180</v>
      </c>
      <c r="O184" s="1">
        <v>43727</v>
      </c>
      <c r="P184" s="5">
        <f t="shared" si="78"/>
        <v>5.490437585722689E-3</v>
      </c>
      <c r="Q184" s="5">
        <f t="shared" si="79"/>
        <v>4.6048028484992265E-3</v>
      </c>
      <c r="R184" s="5">
        <f t="shared" si="80"/>
        <v>7.3410487595785955E-3</v>
      </c>
      <c r="S184" s="5">
        <f t="shared" si="81"/>
        <v>-1.4764189483817798E-4</v>
      </c>
      <c r="T184" s="5">
        <f t="shared" si="82"/>
        <v>-3.437023959153455E-3</v>
      </c>
      <c r="U184" s="5">
        <f t="shared" si="83"/>
        <v>-1.6573651850827576E-3</v>
      </c>
      <c r="V184" s="5">
        <f t="shared" si="84"/>
        <v>-3.429466763636545E-3</v>
      </c>
      <c r="W184" s="5">
        <f t="shared" si="85"/>
        <v>-3.2225695402699839E-4</v>
      </c>
      <c r="X184" s="5">
        <f t="shared" si="86"/>
        <v>-5.1462101878418567E-3</v>
      </c>
      <c r="Y184" s="5">
        <f t="shared" si="87"/>
        <v>-2.004517785003691E-2</v>
      </c>
      <c r="Z184" s="33">
        <v>180</v>
      </c>
      <c r="AE184" s="20" t="str">
        <f t="shared" si="88"/>
        <v/>
      </c>
      <c r="AF184" s="22" t="str">
        <f t="shared" si="89"/>
        <v/>
      </c>
      <c r="AG184" s="9" t="str">
        <f t="shared" ca="1" si="68"/>
        <v/>
      </c>
      <c r="AH184" s="9" t="str">
        <f t="shared" ca="1" si="69"/>
        <v/>
      </c>
      <c r="AI184" s="9" t="str">
        <f t="shared" ca="1" si="70"/>
        <v/>
      </c>
      <c r="AJ184" s="9" t="str">
        <f t="shared" ca="1" si="71"/>
        <v/>
      </c>
      <c r="AK184" s="9" t="str">
        <f t="shared" ca="1" si="72"/>
        <v/>
      </c>
      <c r="AL184" s="9" t="str">
        <f t="shared" ca="1" si="73"/>
        <v/>
      </c>
      <c r="AM184" s="9" t="str">
        <f t="shared" ca="1" si="74"/>
        <v/>
      </c>
      <c r="AN184" s="9" t="str">
        <f t="shared" ca="1" si="75"/>
        <v/>
      </c>
      <c r="AO184" s="9" t="str">
        <f t="shared" ca="1" si="76"/>
        <v/>
      </c>
      <c r="AP184" s="9" t="str">
        <f t="shared" ca="1" si="77"/>
        <v/>
      </c>
      <c r="AQ184" s="9"/>
      <c r="AR184" s="9"/>
      <c r="AS184" s="9"/>
      <c r="AT184" s="9"/>
      <c r="AU184" s="9"/>
    </row>
    <row r="185" spans="1:47" x14ac:dyDescent="0.3">
      <c r="A185" s="1">
        <v>43728</v>
      </c>
      <c r="B185" s="6">
        <v>277.91000400000001</v>
      </c>
      <c r="C185" s="6">
        <v>135.720001</v>
      </c>
      <c r="D185" s="6">
        <v>29.174999</v>
      </c>
      <c r="E185" s="6">
        <v>134.71000699999999</v>
      </c>
      <c r="F185" s="6">
        <v>110</v>
      </c>
      <c r="G185" s="6">
        <v>47.91</v>
      </c>
      <c r="H185" s="6">
        <v>98.910004000000001</v>
      </c>
      <c r="I185" s="6">
        <v>155.71000699999999</v>
      </c>
      <c r="J185" s="6">
        <v>21.16</v>
      </c>
      <c r="K185" s="6">
        <v>26.23</v>
      </c>
      <c r="N185" s="19">
        <v>181</v>
      </c>
      <c r="O185" s="1">
        <v>43728</v>
      </c>
      <c r="P185" s="5">
        <f t="shared" si="78"/>
        <v>-1.1982209335233753E-2</v>
      </c>
      <c r="Q185" s="5">
        <f t="shared" si="79"/>
        <v>-1.0335470189373587E-2</v>
      </c>
      <c r="R185" s="5">
        <f t="shared" si="80"/>
        <v>-7.5124479575203141E-3</v>
      </c>
      <c r="S185" s="5">
        <f t="shared" si="81"/>
        <v>-5.6996267509651219E-3</v>
      </c>
      <c r="T185" s="5">
        <f t="shared" si="82"/>
        <v>-3.3580191736753101E-3</v>
      </c>
      <c r="U185" s="5">
        <f t="shared" si="83"/>
        <v>-6.6569831858497028E-3</v>
      </c>
      <c r="V185" s="5">
        <f t="shared" si="84"/>
        <v>-6.0639782011826784E-4</v>
      </c>
      <c r="W185" s="5">
        <f t="shared" si="85"/>
        <v>3.6674191917635051E-3</v>
      </c>
      <c r="X185" s="5">
        <f t="shared" si="86"/>
        <v>-7.5329923075451478E-3</v>
      </c>
      <c r="Y185" s="5">
        <f t="shared" si="87"/>
        <v>-1.6635544315140621E-2</v>
      </c>
      <c r="Z185" s="33">
        <v>181</v>
      </c>
      <c r="AE185" s="20" t="str">
        <f t="shared" si="88"/>
        <v/>
      </c>
      <c r="AF185" s="22" t="str">
        <f t="shared" si="89"/>
        <v/>
      </c>
      <c r="AG185" s="9" t="str">
        <f t="shared" ca="1" si="68"/>
        <v/>
      </c>
      <c r="AH185" s="9" t="str">
        <f t="shared" ca="1" si="69"/>
        <v/>
      </c>
      <c r="AI185" s="9" t="str">
        <f t="shared" ca="1" si="70"/>
        <v/>
      </c>
      <c r="AJ185" s="9" t="str">
        <f t="shared" ca="1" si="71"/>
        <v/>
      </c>
      <c r="AK185" s="9" t="str">
        <f t="shared" ca="1" si="72"/>
        <v/>
      </c>
      <c r="AL185" s="9" t="str">
        <f t="shared" ca="1" si="73"/>
        <v/>
      </c>
      <c r="AM185" s="9" t="str">
        <f t="shared" ca="1" si="74"/>
        <v/>
      </c>
      <c r="AN185" s="9" t="str">
        <f t="shared" ca="1" si="75"/>
        <v/>
      </c>
      <c r="AO185" s="9" t="str">
        <f t="shared" ca="1" si="76"/>
        <v/>
      </c>
      <c r="AP185" s="9" t="str">
        <f t="shared" ca="1" si="77"/>
        <v/>
      </c>
      <c r="AQ185" s="9"/>
      <c r="AR185" s="9"/>
      <c r="AS185" s="9"/>
      <c r="AT185" s="9"/>
      <c r="AU185" s="9"/>
    </row>
    <row r="186" spans="1:47" x14ac:dyDescent="0.3">
      <c r="A186" s="1">
        <v>43731</v>
      </c>
      <c r="B186" s="6">
        <v>277.44000199999999</v>
      </c>
      <c r="C186" s="6">
        <v>137.11000100000001</v>
      </c>
      <c r="D186" s="6">
        <v>29.559999000000001</v>
      </c>
      <c r="E186" s="6">
        <v>135.44000199999999</v>
      </c>
      <c r="F186" s="6">
        <v>110.769997</v>
      </c>
      <c r="G186" s="6">
        <v>48.09</v>
      </c>
      <c r="H186" s="6">
        <v>98.650002000000001</v>
      </c>
      <c r="I186" s="6">
        <v>155.35000600000001</v>
      </c>
      <c r="J186" s="6">
        <v>21.219999000000001</v>
      </c>
      <c r="K186" s="6">
        <v>26.58</v>
      </c>
      <c r="N186" s="18">
        <v>182</v>
      </c>
      <c r="O186" s="1">
        <v>43731</v>
      </c>
      <c r="P186" s="5">
        <f t="shared" si="78"/>
        <v>-1.6926338602159599E-3</v>
      </c>
      <c r="Q186" s="5">
        <f t="shared" si="79"/>
        <v>1.0189583377837607E-2</v>
      </c>
      <c r="R186" s="5">
        <f t="shared" si="80"/>
        <v>1.3109918353803146E-2</v>
      </c>
      <c r="S186" s="5">
        <f t="shared" si="81"/>
        <v>5.4043809176138047E-3</v>
      </c>
      <c r="T186" s="5">
        <f t="shared" si="82"/>
        <v>6.9755866532795995E-3</v>
      </c>
      <c r="U186" s="5">
        <f t="shared" si="83"/>
        <v>3.7500043945407654E-3</v>
      </c>
      <c r="V186" s="5">
        <f t="shared" si="84"/>
        <v>-2.6321334502343516E-3</v>
      </c>
      <c r="W186" s="5">
        <f t="shared" si="85"/>
        <v>-2.3146733471769024E-3</v>
      </c>
      <c r="X186" s="5">
        <f t="shared" si="86"/>
        <v>2.8314790703840628E-3</v>
      </c>
      <c r="Y186" s="5">
        <f t="shared" si="87"/>
        <v>1.3255259406316829E-2</v>
      </c>
      <c r="Z186" s="33">
        <v>182</v>
      </c>
      <c r="AE186" s="20" t="str">
        <f t="shared" si="88"/>
        <v/>
      </c>
      <c r="AF186" s="22" t="str">
        <f t="shared" si="89"/>
        <v/>
      </c>
      <c r="AG186" s="9" t="str">
        <f t="shared" ca="1" si="68"/>
        <v/>
      </c>
      <c r="AH186" s="9" t="str">
        <f t="shared" ca="1" si="69"/>
        <v/>
      </c>
      <c r="AI186" s="9" t="str">
        <f t="shared" ca="1" si="70"/>
        <v/>
      </c>
      <c r="AJ186" s="9" t="str">
        <f t="shared" ca="1" si="71"/>
        <v/>
      </c>
      <c r="AK186" s="9" t="str">
        <f t="shared" ca="1" si="72"/>
        <v/>
      </c>
      <c r="AL186" s="9" t="str">
        <f t="shared" ca="1" si="73"/>
        <v/>
      </c>
      <c r="AM186" s="9" t="str">
        <f t="shared" ca="1" si="74"/>
        <v/>
      </c>
      <c r="AN186" s="9" t="str">
        <f t="shared" ca="1" si="75"/>
        <v/>
      </c>
      <c r="AO186" s="9" t="str">
        <f t="shared" ca="1" si="76"/>
        <v/>
      </c>
      <c r="AP186" s="9" t="str">
        <f t="shared" ca="1" si="77"/>
        <v/>
      </c>
      <c r="AQ186" s="9"/>
      <c r="AR186" s="9"/>
      <c r="AS186" s="9"/>
      <c r="AT186" s="9"/>
      <c r="AU186" s="9"/>
    </row>
    <row r="187" spans="1:47" x14ac:dyDescent="0.3">
      <c r="A187" s="1">
        <v>43732</v>
      </c>
      <c r="B187" s="6">
        <v>272.47000100000002</v>
      </c>
      <c r="C187" s="6">
        <v>136.479996</v>
      </c>
      <c r="D187" s="6">
        <v>29.405000999999999</v>
      </c>
      <c r="E187" s="6">
        <v>135.36000100000001</v>
      </c>
      <c r="F187" s="6">
        <v>110.400002</v>
      </c>
      <c r="G187" s="6">
        <v>48.049999</v>
      </c>
      <c r="H187" s="6">
        <v>98.5</v>
      </c>
      <c r="I187" s="6">
        <v>153.35000600000001</v>
      </c>
      <c r="J187" s="6">
        <v>21.299999</v>
      </c>
      <c r="K187" s="6">
        <v>26.42</v>
      </c>
      <c r="N187" s="19">
        <v>183</v>
      </c>
      <c r="O187" s="1">
        <v>43732</v>
      </c>
      <c r="P187" s="5">
        <f t="shared" si="78"/>
        <v>-1.8076180831175254E-2</v>
      </c>
      <c r="Q187" s="5">
        <f t="shared" si="79"/>
        <v>-4.6054762269327285E-3</v>
      </c>
      <c r="R187" s="5">
        <f t="shared" si="80"/>
        <v>-5.2573003307606683E-3</v>
      </c>
      <c r="S187" s="5">
        <f t="shared" si="81"/>
        <v>-5.9084934594601159E-4</v>
      </c>
      <c r="T187" s="5">
        <f t="shared" si="82"/>
        <v>-3.3458004867590631E-3</v>
      </c>
      <c r="U187" s="5">
        <f t="shared" si="83"/>
        <v>-8.3214068492461495E-4</v>
      </c>
      <c r="V187" s="5">
        <f t="shared" si="84"/>
        <v>-1.5217045642758583E-3</v>
      </c>
      <c r="W187" s="5">
        <f t="shared" si="85"/>
        <v>-1.2957744775079372E-2</v>
      </c>
      <c r="X187" s="5">
        <f t="shared" si="86"/>
        <v>3.7629397065388906E-3</v>
      </c>
      <c r="Y187" s="5">
        <f t="shared" si="87"/>
        <v>-6.0377541909199207E-3</v>
      </c>
      <c r="Z187" s="33">
        <v>183</v>
      </c>
      <c r="AE187" s="20" t="str">
        <f t="shared" si="88"/>
        <v/>
      </c>
      <c r="AF187" s="22" t="str">
        <f t="shared" si="89"/>
        <v/>
      </c>
      <c r="AG187" s="9" t="str">
        <f t="shared" ca="1" si="68"/>
        <v/>
      </c>
      <c r="AH187" s="9" t="str">
        <f t="shared" ca="1" si="69"/>
        <v/>
      </c>
      <c r="AI187" s="9" t="str">
        <f t="shared" ca="1" si="70"/>
        <v/>
      </c>
      <c r="AJ187" s="9" t="str">
        <f t="shared" ca="1" si="71"/>
        <v/>
      </c>
      <c r="AK187" s="9" t="str">
        <f t="shared" ca="1" si="72"/>
        <v/>
      </c>
      <c r="AL187" s="9" t="str">
        <f t="shared" ca="1" si="73"/>
        <v/>
      </c>
      <c r="AM187" s="9" t="str">
        <f t="shared" ca="1" si="74"/>
        <v/>
      </c>
      <c r="AN187" s="9" t="str">
        <f t="shared" ca="1" si="75"/>
        <v/>
      </c>
      <c r="AO187" s="9" t="str">
        <f t="shared" ca="1" si="76"/>
        <v/>
      </c>
      <c r="AP187" s="9" t="str">
        <f t="shared" ca="1" si="77"/>
        <v/>
      </c>
      <c r="AQ187" s="9"/>
      <c r="AR187" s="9"/>
      <c r="AS187" s="9"/>
      <c r="AT187" s="9"/>
      <c r="AU187" s="9"/>
    </row>
    <row r="188" spans="1:47" x14ac:dyDescent="0.3">
      <c r="A188" s="1">
        <v>43733</v>
      </c>
      <c r="B188" s="6">
        <v>277.42999300000002</v>
      </c>
      <c r="C188" s="6">
        <v>139.38999899999999</v>
      </c>
      <c r="D188" s="6">
        <v>29.184999000000001</v>
      </c>
      <c r="E188" s="6">
        <v>135.08999600000001</v>
      </c>
      <c r="F188" s="6">
        <v>110.790001</v>
      </c>
      <c r="G188" s="6">
        <v>48.060001</v>
      </c>
      <c r="H188" s="6">
        <v>99.470000999999996</v>
      </c>
      <c r="I188" s="6">
        <v>155.58999600000001</v>
      </c>
      <c r="J188" s="6">
        <v>21</v>
      </c>
      <c r="K188" s="6">
        <v>26.690000999999999</v>
      </c>
      <c r="N188" s="18">
        <v>184</v>
      </c>
      <c r="O188" s="1">
        <v>43733</v>
      </c>
      <c r="P188" s="5">
        <f t="shared" si="78"/>
        <v>1.8040103911928319E-2</v>
      </c>
      <c r="Q188" s="5">
        <f t="shared" si="79"/>
        <v>2.1097698132634127E-2</v>
      </c>
      <c r="R188" s="5">
        <f t="shared" si="80"/>
        <v>-7.5099175281634813E-3</v>
      </c>
      <c r="S188" s="5">
        <f t="shared" si="81"/>
        <v>-1.9967098739201408E-3</v>
      </c>
      <c r="T188" s="5">
        <f t="shared" si="82"/>
        <v>3.5263745997300717E-3</v>
      </c>
      <c r="U188" s="5">
        <f t="shared" si="83"/>
        <v>2.081365110000788E-4</v>
      </c>
      <c r="V188" s="5">
        <f t="shared" si="84"/>
        <v>9.7995530395617921E-3</v>
      </c>
      <c r="W188" s="5">
        <f t="shared" si="85"/>
        <v>1.4501386931836172E-2</v>
      </c>
      <c r="X188" s="5">
        <f t="shared" si="86"/>
        <v>-1.4184588043598548E-2</v>
      </c>
      <c r="Y188" s="5">
        <f t="shared" si="87"/>
        <v>1.0167701789468891E-2</v>
      </c>
      <c r="Z188" s="33">
        <v>184</v>
      </c>
      <c r="AE188" s="20" t="str">
        <f t="shared" si="88"/>
        <v/>
      </c>
      <c r="AF188" s="22" t="str">
        <f t="shared" si="89"/>
        <v/>
      </c>
      <c r="AG188" s="9" t="str">
        <f t="shared" ca="1" si="68"/>
        <v/>
      </c>
      <c r="AH188" s="9" t="str">
        <f t="shared" ca="1" si="69"/>
        <v/>
      </c>
      <c r="AI188" s="9" t="str">
        <f t="shared" ca="1" si="70"/>
        <v/>
      </c>
      <c r="AJ188" s="9" t="str">
        <f t="shared" ca="1" si="71"/>
        <v/>
      </c>
      <c r="AK188" s="9" t="str">
        <f t="shared" ca="1" si="72"/>
        <v/>
      </c>
      <c r="AL188" s="9" t="str">
        <f t="shared" ca="1" si="73"/>
        <v/>
      </c>
      <c r="AM188" s="9" t="str">
        <f t="shared" ca="1" si="74"/>
        <v/>
      </c>
      <c r="AN188" s="9" t="str">
        <f t="shared" ca="1" si="75"/>
        <v/>
      </c>
      <c r="AO188" s="9" t="str">
        <f t="shared" ca="1" si="76"/>
        <v/>
      </c>
      <c r="AP188" s="9" t="str">
        <f t="shared" ca="1" si="77"/>
        <v/>
      </c>
      <c r="AQ188" s="9"/>
      <c r="AR188" s="9"/>
      <c r="AS188" s="9"/>
      <c r="AT188" s="9"/>
      <c r="AU188" s="9"/>
    </row>
    <row r="189" spans="1:47" x14ac:dyDescent="0.3">
      <c r="A189" s="1">
        <v>43734</v>
      </c>
      <c r="B189" s="6">
        <v>283.80999800000001</v>
      </c>
      <c r="C189" s="6">
        <v>140.740005</v>
      </c>
      <c r="D189" s="6">
        <v>28.885000000000002</v>
      </c>
      <c r="E189" s="6">
        <v>135.720001</v>
      </c>
      <c r="F189" s="6">
        <v>111.779999</v>
      </c>
      <c r="G189" s="6">
        <v>48.450001</v>
      </c>
      <c r="H189" s="6">
        <v>99.519997000000004</v>
      </c>
      <c r="I189" s="6">
        <v>154.91999799999999</v>
      </c>
      <c r="J189" s="6">
        <v>20.92</v>
      </c>
      <c r="K189" s="6">
        <v>26.459999</v>
      </c>
      <c r="N189" s="19">
        <v>185</v>
      </c>
      <c r="O189" s="1">
        <v>43734</v>
      </c>
      <c r="P189" s="5">
        <f t="shared" si="78"/>
        <v>2.2736369258249699E-2</v>
      </c>
      <c r="Q189" s="5">
        <f t="shared" si="79"/>
        <v>9.6384994972259132E-3</v>
      </c>
      <c r="R189" s="5">
        <f t="shared" si="80"/>
        <v>-1.0332415158348126E-2</v>
      </c>
      <c r="S189" s="5">
        <f t="shared" si="81"/>
        <v>4.6527539124402448E-3</v>
      </c>
      <c r="T189" s="5">
        <f t="shared" si="82"/>
        <v>8.8961183367409751E-3</v>
      </c>
      <c r="U189" s="5">
        <f t="shared" si="83"/>
        <v>8.0821078609631756E-3</v>
      </c>
      <c r="V189" s="5">
        <f t="shared" si="84"/>
        <v>5.0249762856945091E-4</v>
      </c>
      <c r="W189" s="5">
        <f t="shared" si="85"/>
        <v>-4.3154748816157064E-3</v>
      </c>
      <c r="X189" s="5">
        <f t="shared" si="86"/>
        <v>-3.8167985267007422E-3</v>
      </c>
      <c r="Y189" s="5">
        <f t="shared" si="87"/>
        <v>-8.6548799897342311E-3</v>
      </c>
      <c r="Z189" s="33">
        <v>185</v>
      </c>
      <c r="AE189" s="20" t="str">
        <f t="shared" si="88"/>
        <v/>
      </c>
      <c r="AF189" s="22" t="str">
        <f t="shared" si="89"/>
        <v/>
      </c>
      <c r="AG189" s="9" t="str">
        <f t="shared" ca="1" si="68"/>
        <v/>
      </c>
      <c r="AH189" s="9" t="str">
        <f t="shared" ca="1" si="69"/>
        <v/>
      </c>
      <c r="AI189" s="9" t="str">
        <f t="shared" ca="1" si="70"/>
        <v/>
      </c>
      <c r="AJ189" s="9" t="str">
        <f t="shared" ca="1" si="71"/>
        <v/>
      </c>
      <c r="AK189" s="9" t="str">
        <f t="shared" ca="1" si="72"/>
        <v/>
      </c>
      <c r="AL189" s="9" t="str">
        <f t="shared" ca="1" si="73"/>
        <v/>
      </c>
      <c r="AM189" s="9" t="str">
        <f t="shared" ca="1" si="74"/>
        <v/>
      </c>
      <c r="AN189" s="9" t="str">
        <f t="shared" ca="1" si="75"/>
        <v/>
      </c>
      <c r="AO189" s="9" t="str">
        <f t="shared" ca="1" si="76"/>
        <v/>
      </c>
      <c r="AP189" s="9" t="str">
        <f t="shared" ca="1" si="77"/>
        <v/>
      </c>
      <c r="AQ189" s="9"/>
      <c r="AR189" s="9"/>
      <c r="AS189" s="9"/>
      <c r="AT189" s="9"/>
      <c r="AU189" s="9"/>
    </row>
    <row r="190" spans="1:47" x14ac:dyDescent="0.3">
      <c r="A190" s="1">
        <v>43735</v>
      </c>
      <c r="B190" s="6">
        <v>277.540009</v>
      </c>
      <c r="C190" s="6">
        <v>136.21000699999999</v>
      </c>
      <c r="D190" s="6">
        <v>28.905000999999999</v>
      </c>
      <c r="E190" s="6">
        <v>135.60000600000001</v>
      </c>
      <c r="F190" s="6">
        <v>110.839996</v>
      </c>
      <c r="G190" s="6">
        <v>48.330002</v>
      </c>
      <c r="H190" s="6">
        <v>100.129997</v>
      </c>
      <c r="I190" s="6">
        <v>155.33999600000001</v>
      </c>
      <c r="J190" s="6">
        <v>21.41</v>
      </c>
      <c r="K190" s="6">
        <v>26.799999</v>
      </c>
      <c r="N190" s="18">
        <v>186</v>
      </c>
      <c r="O190" s="1">
        <v>43735</v>
      </c>
      <c r="P190" s="5">
        <f t="shared" si="78"/>
        <v>-2.2339893769323747E-2</v>
      </c>
      <c r="Q190" s="5">
        <f t="shared" si="79"/>
        <v>-3.2716388214422007E-2</v>
      </c>
      <c r="R190" s="5">
        <f t="shared" si="80"/>
        <v>6.9219589730048288E-4</v>
      </c>
      <c r="S190" s="5">
        <f t="shared" si="81"/>
        <v>-8.8452753005825431E-4</v>
      </c>
      <c r="T190" s="5">
        <f t="shared" si="82"/>
        <v>-8.4449609886857232E-3</v>
      </c>
      <c r="U190" s="5">
        <f t="shared" si="83"/>
        <v>-2.4798317374537964E-3</v>
      </c>
      <c r="V190" s="5">
        <f t="shared" si="84"/>
        <v>6.1107129124860493E-3</v>
      </c>
      <c r="W190" s="5">
        <f t="shared" si="85"/>
        <v>2.7073955048709827E-3</v>
      </c>
      <c r="X190" s="5">
        <f t="shared" si="86"/>
        <v>2.3152463404869289E-2</v>
      </c>
      <c r="Y190" s="5">
        <f t="shared" si="87"/>
        <v>1.2767729309463394E-2</v>
      </c>
      <c r="Z190" s="33">
        <v>186</v>
      </c>
      <c r="AE190" s="20" t="str">
        <f t="shared" si="88"/>
        <v/>
      </c>
      <c r="AF190" s="22" t="str">
        <f t="shared" si="89"/>
        <v/>
      </c>
      <c r="AG190" s="9" t="str">
        <f t="shared" ca="1" si="68"/>
        <v/>
      </c>
      <c r="AH190" s="9" t="str">
        <f t="shared" ca="1" si="69"/>
        <v/>
      </c>
      <c r="AI190" s="9" t="str">
        <f t="shared" ca="1" si="70"/>
        <v/>
      </c>
      <c r="AJ190" s="9" t="str">
        <f t="shared" ca="1" si="71"/>
        <v/>
      </c>
      <c r="AK190" s="9" t="str">
        <f t="shared" ca="1" si="72"/>
        <v/>
      </c>
      <c r="AL190" s="9" t="str">
        <f t="shared" ca="1" si="73"/>
        <v/>
      </c>
      <c r="AM190" s="9" t="str">
        <f t="shared" ca="1" si="74"/>
        <v/>
      </c>
      <c r="AN190" s="9" t="str">
        <f t="shared" ca="1" si="75"/>
        <v/>
      </c>
      <c r="AO190" s="9" t="str">
        <f t="shared" ca="1" si="76"/>
        <v/>
      </c>
      <c r="AP190" s="9" t="str">
        <f t="shared" ca="1" si="77"/>
        <v/>
      </c>
      <c r="AQ190" s="9"/>
      <c r="AR190" s="9"/>
      <c r="AS190" s="9"/>
      <c r="AT190" s="9"/>
      <c r="AU190" s="9"/>
    </row>
    <row r="191" spans="1:47" x14ac:dyDescent="0.3">
      <c r="A191" s="1">
        <v>43738</v>
      </c>
      <c r="B191" s="6">
        <v>276.25</v>
      </c>
      <c r="C191" s="6">
        <v>137.25</v>
      </c>
      <c r="D191" s="6">
        <v>29.030000999999999</v>
      </c>
      <c r="E191" s="6">
        <v>137.10000600000001</v>
      </c>
      <c r="F191" s="6">
        <v>111.010002</v>
      </c>
      <c r="G191" s="6">
        <v>48.48</v>
      </c>
      <c r="H191" s="6">
        <v>99.559997999999993</v>
      </c>
      <c r="I191" s="6">
        <v>156.53999300000001</v>
      </c>
      <c r="J191" s="6">
        <v>21.559999000000001</v>
      </c>
      <c r="K191" s="6">
        <v>26.629999000000002</v>
      </c>
      <c r="N191" s="19">
        <v>187</v>
      </c>
      <c r="O191" s="1">
        <v>43738</v>
      </c>
      <c r="P191" s="5">
        <f t="shared" si="78"/>
        <v>-4.6588465386595071E-3</v>
      </c>
      <c r="Q191" s="5">
        <f t="shared" si="79"/>
        <v>7.6062165391569576E-3</v>
      </c>
      <c r="R191" s="5">
        <f t="shared" si="80"/>
        <v>4.3151873531321475E-3</v>
      </c>
      <c r="S191" s="5">
        <f t="shared" si="81"/>
        <v>1.100121057786211E-2</v>
      </c>
      <c r="T191" s="5">
        <f t="shared" si="82"/>
        <v>1.5326214542283325E-3</v>
      </c>
      <c r="U191" s="5">
        <f t="shared" si="83"/>
        <v>3.0988145219028062E-3</v>
      </c>
      <c r="V191" s="5">
        <f t="shared" si="84"/>
        <v>-5.7088543476582747E-3</v>
      </c>
      <c r="W191" s="5">
        <f t="shared" si="85"/>
        <v>7.6952864181526115E-3</v>
      </c>
      <c r="X191" s="5">
        <f t="shared" si="86"/>
        <v>6.9815970570146092E-3</v>
      </c>
      <c r="Y191" s="5">
        <f t="shared" si="87"/>
        <v>-6.3634879291706858E-3</v>
      </c>
      <c r="Z191" s="33">
        <v>187</v>
      </c>
      <c r="AE191" s="20" t="str">
        <f t="shared" si="88"/>
        <v/>
      </c>
      <c r="AF191" s="22" t="str">
        <f t="shared" si="89"/>
        <v/>
      </c>
      <c r="AG191" s="9" t="str">
        <f t="shared" ca="1" si="68"/>
        <v/>
      </c>
      <c r="AH191" s="9" t="str">
        <f t="shared" ca="1" si="69"/>
        <v/>
      </c>
      <c r="AI191" s="9" t="str">
        <f t="shared" ca="1" si="70"/>
        <v/>
      </c>
      <c r="AJ191" s="9" t="str">
        <f t="shared" ca="1" si="71"/>
        <v/>
      </c>
      <c r="AK191" s="9" t="str">
        <f t="shared" ca="1" si="72"/>
        <v/>
      </c>
      <c r="AL191" s="9" t="str">
        <f t="shared" ca="1" si="73"/>
        <v/>
      </c>
      <c r="AM191" s="9" t="str">
        <f t="shared" ca="1" si="74"/>
        <v/>
      </c>
      <c r="AN191" s="9" t="str">
        <f t="shared" ca="1" si="75"/>
        <v/>
      </c>
      <c r="AO191" s="9" t="str">
        <f t="shared" ca="1" si="76"/>
        <v/>
      </c>
      <c r="AP191" s="9" t="str">
        <f t="shared" ca="1" si="77"/>
        <v/>
      </c>
      <c r="AQ191" s="9"/>
      <c r="AR191" s="9"/>
      <c r="AS191" s="9"/>
      <c r="AT191" s="9"/>
      <c r="AU191" s="9"/>
    </row>
    <row r="192" spans="1:47" x14ac:dyDescent="0.3">
      <c r="A192" s="1">
        <v>43739</v>
      </c>
      <c r="B192" s="6">
        <v>272.709991</v>
      </c>
      <c r="C192" s="6">
        <v>135.990005</v>
      </c>
      <c r="D192" s="6">
        <v>28.209999</v>
      </c>
      <c r="E192" s="6">
        <v>137.36999499999999</v>
      </c>
      <c r="F192" s="6">
        <v>110.57</v>
      </c>
      <c r="G192" s="6">
        <v>48.299999</v>
      </c>
      <c r="H192" s="6">
        <v>96.269997000000004</v>
      </c>
      <c r="I192" s="6">
        <v>154.779999</v>
      </c>
      <c r="J192" s="6">
        <v>21.280000999999999</v>
      </c>
      <c r="K192" s="6">
        <v>26.77</v>
      </c>
      <c r="N192" s="18">
        <v>188</v>
      </c>
      <c r="O192" s="1">
        <v>43739</v>
      </c>
      <c r="P192" s="5">
        <f t="shared" si="78"/>
        <v>-1.2897326321150591E-2</v>
      </c>
      <c r="Q192" s="5">
        <f t="shared" si="79"/>
        <v>-9.2226900013638001E-3</v>
      </c>
      <c r="R192" s="5">
        <f t="shared" si="80"/>
        <v>-2.8653322918179822E-2</v>
      </c>
      <c r="S192" s="5">
        <f t="shared" si="81"/>
        <v>1.967348607119996E-3</v>
      </c>
      <c r="T192" s="5">
        <f t="shared" si="82"/>
        <v>-3.9715008066402409E-3</v>
      </c>
      <c r="U192" s="5">
        <f t="shared" si="83"/>
        <v>-3.7198018064658806E-3</v>
      </c>
      <c r="V192" s="5">
        <f t="shared" si="84"/>
        <v>-3.36037447834832E-2</v>
      </c>
      <c r="W192" s="5">
        <f t="shared" si="85"/>
        <v>-1.1306776278155833E-2</v>
      </c>
      <c r="X192" s="5">
        <f t="shared" si="86"/>
        <v>-1.3071988192682448E-2</v>
      </c>
      <c r="Y192" s="5">
        <f t="shared" si="87"/>
        <v>5.24349525805449E-3</v>
      </c>
      <c r="Z192" s="33">
        <v>188</v>
      </c>
      <c r="AE192" s="20" t="str">
        <f t="shared" si="88"/>
        <v/>
      </c>
      <c r="AF192" s="22" t="str">
        <f t="shared" si="89"/>
        <v/>
      </c>
      <c r="AG192" s="9" t="str">
        <f t="shared" ca="1" si="68"/>
        <v/>
      </c>
      <c r="AH192" s="9" t="str">
        <f t="shared" ca="1" si="69"/>
        <v/>
      </c>
      <c r="AI192" s="9" t="str">
        <f t="shared" ca="1" si="70"/>
        <v/>
      </c>
      <c r="AJ192" s="9" t="str">
        <f t="shared" ca="1" si="71"/>
        <v/>
      </c>
      <c r="AK192" s="9" t="str">
        <f t="shared" ca="1" si="72"/>
        <v/>
      </c>
      <c r="AL192" s="9" t="str">
        <f t="shared" ca="1" si="73"/>
        <v/>
      </c>
      <c r="AM192" s="9" t="str">
        <f t="shared" ca="1" si="74"/>
        <v/>
      </c>
      <c r="AN192" s="9" t="str">
        <f t="shared" ca="1" si="75"/>
        <v/>
      </c>
      <c r="AO192" s="9" t="str">
        <f t="shared" ca="1" si="76"/>
        <v/>
      </c>
      <c r="AP192" s="9" t="str">
        <f t="shared" ca="1" si="77"/>
        <v/>
      </c>
      <c r="AQ192" s="9"/>
      <c r="AR192" s="9"/>
      <c r="AS192" s="9"/>
      <c r="AT192" s="9"/>
      <c r="AU192" s="9"/>
    </row>
    <row r="193" spans="1:47" x14ac:dyDescent="0.3">
      <c r="A193" s="1">
        <v>43740</v>
      </c>
      <c r="B193" s="6">
        <v>266.66000400000001</v>
      </c>
      <c r="C193" s="6">
        <v>133.30999800000001</v>
      </c>
      <c r="D193" s="6">
        <v>27.559999000000001</v>
      </c>
      <c r="E193" s="6">
        <v>133.94000199999999</v>
      </c>
      <c r="F193" s="6">
        <v>110.879997</v>
      </c>
      <c r="G193" s="6">
        <v>48.169998</v>
      </c>
      <c r="H193" s="6">
        <v>94.089995999999999</v>
      </c>
      <c r="I193" s="6">
        <v>152.78999300000001</v>
      </c>
      <c r="J193" s="6">
        <v>20.52</v>
      </c>
      <c r="K193" s="6">
        <v>26.43</v>
      </c>
      <c r="N193" s="19">
        <v>189</v>
      </c>
      <c r="O193" s="1">
        <v>43740</v>
      </c>
      <c r="P193" s="5">
        <f t="shared" si="78"/>
        <v>-2.2434472823124628E-2</v>
      </c>
      <c r="Q193" s="5">
        <f t="shared" si="79"/>
        <v>-1.9904162265316178E-2</v>
      </c>
      <c r="R193" s="5">
        <f t="shared" si="80"/>
        <v>-2.3311079704494742E-2</v>
      </c>
      <c r="S193" s="5">
        <f t="shared" si="81"/>
        <v>-2.5286025525100821E-2</v>
      </c>
      <c r="T193" s="5">
        <f t="shared" si="82"/>
        <v>2.7997038310052977E-3</v>
      </c>
      <c r="U193" s="5">
        <f t="shared" si="83"/>
        <v>-2.6951608320824947E-3</v>
      </c>
      <c r="V193" s="5">
        <f t="shared" si="84"/>
        <v>-2.2904984121333564E-2</v>
      </c>
      <c r="W193" s="5">
        <f t="shared" si="85"/>
        <v>-1.2940363631424687E-2</v>
      </c>
      <c r="X193" s="5">
        <f t="shared" si="86"/>
        <v>-3.6367691163354948E-2</v>
      </c>
      <c r="Y193" s="5">
        <f t="shared" si="87"/>
        <v>-1.2782128916063255E-2</v>
      </c>
      <c r="Z193" s="33">
        <v>189</v>
      </c>
      <c r="AE193" s="20" t="str">
        <f t="shared" si="88"/>
        <v/>
      </c>
      <c r="AF193" s="22" t="str">
        <f t="shared" si="89"/>
        <v/>
      </c>
      <c r="AG193" s="9" t="str">
        <f t="shared" ca="1" si="68"/>
        <v/>
      </c>
      <c r="AH193" s="9" t="str">
        <f t="shared" ca="1" si="69"/>
        <v/>
      </c>
      <c r="AI193" s="9" t="str">
        <f t="shared" ca="1" si="70"/>
        <v/>
      </c>
      <c r="AJ193" s="9" t="str">
        <f t="shared" ca="1" si="71"/>
        <v/>
      </c>
      <c r="AK193" s="9" t="str">
        <f t="shared" ca="1" si="72"/>
        <v/>
      </c>
      <c r="AL193" s="9" t="str">
        <f t="shared" ca="1" si="73"/>
        <v/>
      </c>
      <c r="AM193" s="9" t="str">
        <f t="shared" ca="1" si="74"/>
        <v/>
      </c>
      <c r="AN193" s="9" t="str">
        <f t="shared" ca="1" si="75"/>
        <v/>
      </c>
      <c r="AO193" s="9" t="str">
        <f t="shared" ca="1" si="76"/>
        <v/>
      </c>
      <c r="AP193" s="9" t="str">
        <f t="shared" ca="1" si="77"/>
        <v/>
      </c>
      <c r="AQ193" s="9"/>
      <c r="AR193" s="9"/>
      <c r="AS193" s="9"/>
      <c r="AT193" s="9"/>
      <c r="AU193" s="9"/>
    </row>
    <row r="194" spans="1:47" x14ac:dyDescent="0.3">
      <c r="A194" s="1">
        <v>43741</v>
      </c>
      <c r="B194" s="6">
        <v>272.39999399999999</v>
      </c>
      <c r="C194" s="6">
        <v>136.029999</v>
      </c>
      <c r="D194" s="6">
        <v>27.809999000000001</v>
      </c>
      <c r="E194" s="6">
        <v>137.929993</v>
      </c>
      <c r="F194" s="6">
        <v>111.910004</v>
      </c>
      <c r="G194" s="6">
        <v>48.610000999999997</v>
      </c>
      <c r="H194" s="6">
        <v>94.57</v>
      </c>
      <c r="I194" s="6">
        <v>152.11000100000001</v>
      </c>
      <c r="J194" s="6">
        <v>20.5</v>
      </c>
      <c r="K194" s="6">
        <v>27.02</v>
      </c>
      <c r="N194" s="18">
        <v>190</v>
      </c>
      <c r="O194" s="1">
        <v>43741</v>
      </c>
      <c r="P194" s="5">
        <f t="shared" si="78"/>
        <v>2.1297098561237987E-2</v>
      </c>
      <c r="Q194" s="5">
        <f t="shared" si="79"/>
        <v>2.0198214171059051E-2</v>
      </c>
      <c r="R194" s="5">
        <f t="shared" si="80"/>
        <v>9.0302224265974874E-3</v>
      </c>
      <c r="S194" s="5">
        <f t="shared" si="81"/>
        <v>2.9354305923083562E-2</v>
      </c>
      <c r="T194" s="5">
        <f t="shared" si="82"/>
        <v>9.2465041876272427E-3</v>
      </c>
      <c r="U194" s="5">
        <f t="shared" si="83"/>
        <v>9.0929125067521471E-3</v>
      </c>
      <c r="V194" s="5">
        <f t="shared" si="84"/>
        <v>5.0885725212354242E-3</v>
      </c>
      <c r="W194" s="5">
        <f t="shared" si="85"/>
        <v>-4.4604338522639701E-3</v>
      </c>
      <c r="X194" s="5">
        <f t="shared" si="86"/>
        <v>-9.7513415820631828E-4</v>
      </c>
      <c r="Y194" s="5">
        <f t="shared" si="87"/>
        <v>2.2077603915855067E-2</v>
      </c>
      <c r="Z194" s="33">
        <v>190</v>
      </c>
      <c r="AE194" s="20" t="str">
        <f t="shared" si="88"/>
        <v/>
      </c>
      <c r="AF194" s="22" t="str">
        <f t="shared" si="89"/>
        <v/>
      </c>
      <c r="AG194" s="9" t="str">
        <f t="shared" ca="1" si="68"/>
        <v/>
      </c>
      <c r="AH194" s="9" t="str">
        <f t="shared" ca="1" si="69"/>
        <v/>
      </c>
      <c r="AI194" s="9" t="str">
        <f t="shared" ca="1" si="70"/>
        <v/>
      </c>
      <c r="AJ194" s="9" t="str">
        <f t="shared" ca="1" si="71"/>
        <v/>
      </c>
      <c r="AK194" s="9" t="str">
        <f t="shared" ca="1" si="72"/>
        <v/>
      </c>
      <c r="AL194" s="9" t="str">
        <f t="shared" ca="1" si="73"/>
        <v/>
      </c>
      <c r="AM194" s="9" t="str">
        <f t="shared" ca="1" si="74"/>
        <v/>
      </c>
      <c r="AN194" s="9" t="str">
        <f t="shared" ca="1" si="75"/>
        <v/>
      </c>
      <c r="AO194" s="9" t="str">
        <f t="shared" ca="1" si="76"/>
        <v/>
      </c>
      <c r="AP194" s="9" t="str">
        <f t="shared" ca="1" si="77"/>
        <v/>
      </c>
      <c r="AQ194" s="9"/>
      <c r="AR194" s="9"/>
      <c r="AS194" s="9"/>
      <c r="AT194" s="9"/>
      <c r="AU194" s="9"/>
    </row>
    <row r="195" spans="1:47" x14ac:dyDescent="0.3">
      <c r="A195" s="1">
        <v>43742</v>
      </c>
      <c r="B195" s="6">
        <v>276.959991</v>
      </c>
      <c r="C195" s="6">
        <v>138.779999</v>
      </c>
      <c r="D195" s="6">
        <v>28.290001</v>
      </c>
      <c r="E195" s="6">
        <v>140.279999</v>
      </c>
      <c r="F195" s="6">
        <v>112.779999</v>
      </c>
      <c r="G195" s="6">
        <v>49.029998999999997</v>
      </c>
      <c r="H195" s="6">
        <v>95</v>
      </c>
      <c r="I195" s="6">
        <v>155.449997</v>
      </c>
      <c r="J195" s="6">
        <v>20.85</v>
      </c>
      <c r="K195" s="6">
        <v>27.01</v>
      </c>
      <c r="N195" s="19">
        <v>191</v>
      </c>
      <c r="O195" s="1">
        <v>43742</v>
      </c>
      <c r="P195" s="5">
        <f t="shared" si="78"/>
        <v>1.6601506683306004E-2</v>
      </c>
      <c r="Q195" s="5">
        <f t="shared" si="79"/>
        <v>2.0014495971734485E-2</v>
      </c>
      <c r="R195" s="5">
        <f t="shared" si="80"/>
        <v>1.7112788374070275E-2</v>
      </c>
      <c r="S195" s="5">
        <f t="shared" si="81"/>
        <v>1.6894158806330811E-2</v>
      </c>
      <c r="T195" s="5">
        <f t="shared" si="82"/>
        <v>7.7439969392727294E-3</v>
      </c>
      <c r="U195" s="5">
        <f t="shared" si="83"/>
        <v>8.6030436382029101E-3</v>
      </c>
      <c r="V195" s="5">
        <f t="shared" si="84"/>
        <v>4.5365905731201781E-3</v>
      </c>
      <c r="W195" s="5">
        <f t="shared" si="85"/>
        <v>2.1720167308111323E-2</v>
      </c>
      <c r="X195" s="5">
        <f t="shared" si="86"/>
        <v>1.6929062100447975E-2</v>
      </c>
      <c r="Y195" s="5">
        <f t="shared" si="87"/>
        <v>-3.701647275284673E-4</v>
      </c>
      <c r="Z195" s="33">
        <v>191</v>
      </c>
      <c r="AE195" s="20" t="str">
        <f t="shared" si="88"/>
        <v/>
      </c>
      <c r="AF195" s="22" t="str">
        <f t="shared" si="89"/>
        <v/>
      </c>
      <c r="AG195" s="9" t="str">
        <f t="shared" ca="1" si="68"/>
        <v/>
      </c>
      <c r="AH195" s="9" t="str">
        <f t="shared" ca="1" si="69"/>
        <v/>
      </c>
      <c r="AI195" s="9" t="str">
        <f t="shared" ca="1" si="70"/>
        <v/>
      </c>
      <c r="AJ195" s="9" t="str">
        <f t="shared" ca="1" si="71"/>
        <v/>
      </c>
      <c r="AK195" s="9" t="str">
        <f t="shared" ca="1" si="72"/>
        <v/>
      </c>
      <c r="AL195" s="9" t="str">
        <f t="shared" ca="1" si="73"/>
        <v/>
      </c>
      <c r="AM195" s="9" t="str">
        <f t="shared" ca="1" si="74"/>
        <v/>
      </c>
      <c r="AN195" s="9" t="str">
        <f t="shared" ca="1" si="75"/>
        <v/>
      </c>
      <c r="AO195" s="9" t="str">
        <f t="shared" ca="1" si="76"/>
        <v/>
      </c>
      <c r="AP195" s="9" t="str">
        <f t="shared" ca="1" si="77"/>
        <v/>
      </c>
      <c r="AQ195" s="9"/>
      <c r="AR195" s="9"/>
      <c r="AS195" s="9"/>
      <c r="AT195" s="9"/>
      <c r="AU195" s="9"/>
    </row>
    <row r="196" spans="1:47" x14ac:dyDescent="0.3">
      <c r="A196" s="1">
        <v>43745</v>
      </c>
      <c r="B196" s="6">
        <v>276.89999399999999</v>
      </c>
      <c r="C196" s="6">
        <v>137.88999899999999</v>
      </c>
      <c r="D196" s="6">
        <v>27.864999999999998</v>
      </c>
      <c r="E196" s="6">
        <v>138.33999600000001</v>
      </c>
      <c r="F196" s="6">
        <v>112.540001</v>
      </c>
      <c r="G196" s="6">
        <v>49.02</v>
      </c>
      <c r="H196" s="6">
        <v>94.639999000000003</v>
      </c>
      <c r="I196" s="6">
        <v>154.479996</v>
      </c>
      <c r="J196" s="6">
        <v>21.110001</v>
      </c>
      <c r="K196" s="6">
        <v>27.379999000000002</v>
      </c>
      <c r="N196" s="18">
        <v>192</v>
      </c>
      <c r="O196" s="1">
        <v>43745</v>
      </c>
      <c r="P196" s="5">
        <f t="shared" si="78"/>
        <v>-2.1665042378780721E-4</v>
      </c>
      <c r="Q196" s="5">
        <f t="shared" si="79"/>
        <v>-6.4336796642614196E-3</v>
      </c>
      <c r="R196" s="5">
        <f t="shared" si="80"/>
        <v>-1.5136999640155094E-2</v>
      </c>
      <c r="S196" s="5">
        <f t="shared" si="81"/>
        <v>-1.3926023885208307E-2</v>
      </c>
      <c r="T196" s="5">
        <f t="shared" si="82"/>
        <v>-2.1302866213532821E-3</v>
      </c>
      <c r="U196" s="5">
        <f t="shared" si="83"/>
        <v>-2.0395716749887715E-4</v>
      </c>
      <c r="V196" s="5">
        <f t="shared" si="84"/>
        <v>-3.7966824967662302E-3</v>
      </c>
      <c r="W196" s="5">
        <f t="shared" si="85"/>
        <v>-6.2595049790135117E-3</v>
      </c>
      <c r="X196" s="5">
        <f t="shared" si="86"/>
        <v>1.2392960986331863E-2</v>
      </c>
      <c r="Y196" s="5">
        <f t="shared" si="87"/>
        <v>1.3605615532768362E-2</v>
      </c>
      <c r="Z196" s="33">
        <v>192</v>
      </c>
      <c r="AE196" s="20" t="str">
        <f t="shared" si="88"/>
        <v/>
      </c>
      <c r="AF196" s="22" t="str">
        <f t="shared" si="89"/>
        <v/>
      </c>
      <c r="AG196" s="9" t="str">
        <f t="shared" ca="1" si="68"/>
        <v/>
      </c>
      <c r="AH196" s="9" t="str">
        <f t="shared" ca="1" si="69"/>
        <v/>
      </c>
      <c r="AI196" s="9" t="str">
        <f t="shared" ca="1" si="70"/>
        <v/>
      </c>
      <c r="AJ196" s="9" t="str">
        <f t="shared" ca="1" si="71"/>
        <v/>
      </c>
      <c r="AK196" s="9" t="str">
        <f t="shared" ca="1" si="72"/>
        <v/>
      </c>
      <c r="AL196" s="9" t="str">
        <f t="shared" ca="1" si="73"/>
        <v/>
      </c>
      <c r="AM196" s="9" t="str">
        <f t="shared" ca="1" si="74"/>
        <v/>
      </c>
      <c r="AN196" s="9" t="str">
        <f t="shared" ca="1" si="75"/>
        <v/>
      </c>
      <c r="AO196" s="9" t="str">
        <f t="shared" ca="1" si="76"/>
        <v/>
      </c>
      <c r="AP196" s="9" t="str">
        <f t="shared" ca="1" si="77"/>
        <v/>
      </c>
      <c r="AQ196" s="9"/>
      <c r="AR196" s="9"/>
      <c r="AS196" s="9"/>
      <c r="AT196" s="9"/>
      <c r="AU196" s="9"/>
    </row>
    <row r="197" spans="1:47" x14ac:dyDescent="0.3">
      <c r="A197" s="1">
        <v>43746</v>
      </c>
      <c r="B197" s="6">
        <v>270.82998700000002</v>
      </c>
      <c r="C197" s="6">
        <v>133.94000199999999</v>
      </c>
      <c r="D197" s="6">
        <v>27.940000999999999</v>
      </c>
      <c r="E197" s="6">
        <v>137.240005</v>
      </c>
      <c r="F197" s="6">
        <v>112.760002</v>
      </c>
      <c r="G197" s="6">
        <v>48.889999000000003</v>
      </c>
      <c r="H197" s="6">
        <v>91.989998</v>
      </c>
      <c r="I197" s="6">
        <v>151.88999899999999</v>
      </c>
      <c r="J197" s="6">
        <v>20.27</v>
      </c>
      <c r="K197" s="6">
        <v>26.83</v>
      </c>
      <c r="N197" s="19">
        <v>193</v>
      </c>
      <c r="O197" s="1">
        <v>43746</v>
      </c>
      <c r="P197" s="5">
        <f t="shared" si="78"/>
        <v>-2.2165138741300505E-2</v>
      </c>
      <c r="Q197" s="5">
        <f t="shared" si="79"/>
        <v>-2.906430518752906E-2</v>
      </c>
      <c r="R197" s="5">
        <f t="shared" si="80"/>
        <v>2.6879685982961182E-3</v>
      </c>
      <c r="S197" s="5">
        <f t="shared" si="81"/>
        <v>-7.9831398353939244E-3</v>
      </c>
      <c r="T197" s="5">
        <f t="shared" si="82"/>
        <v>1.9529610918353278E-3</v>
      </c>
      <c r="U197" s="5">
        <f t="shared" si="83"/>
        <v>-2.6555219634930923E-3</v>
      </c>
      <c r="V197" s="5">
        <f t="shared" si="84"/>
        <v>-2.8400355356202601E-2</v>
      </c>
      <c r="W197" s="5">
        <f t="shared" si="85"/>
        <v>-1.690804416072365E-2</v>
      </c>
      <c r="X197" s="5">
        <f t="shared" si="86"/>
        <v>-4.0604948767233744E-2</v>
      </c>
      <c r="Y197" s="5">
        <f t="shared" si="87"/>
        <v>-2.0292118899760004E-2</v>
      </c>
      <c r="Z197" s="33">
        <v>193</v>
      </c>
      <c r="AE197" s="20" t="str">
        <f t="shared" si="88"/>
        <v/>
      </c>
      <c r="AF197" s="22" t="str">
        <f t="shared" si="89"/>
        <v/>
      </c>
      <c r="AG197" s="9" t="str">
        <f t="shared" ref="AG197:AG260" ca="1" si="90">IF($AE197="","",OFFSET(P$4,$AE197,0))</f>
        <v/>
      </c>
      <c r="AH197" s="9" t="str">
        <f t="shared" ref="AH197:AH260" ca="1" si="91">IF($AE197="","",OFFSET(Q$4,$AE197,0))</f>
        <v/>
      </c>
      <c r="AI197" s="9" t="str">
        <f t="shared" ref="AI197:AI260" ca="1" si="92">IF($AE197="","",OFFSET(R$4,$AE197,0))</f>
        <v/>
      </c>
      <c r="AJ197" s="9" t="str">
        <f t="shared" ref="AJ197:AJ260" ca="1" si="93">IF($AE197="","",OFFSET(S$4,$AE197,0))</f>
        <v/>
      </c>
      <c r="AK197" s="9" t="str">
        <f t="shared" ref="AK197:AK260" ca="1" si="94">IF($AE197="","",OFFSET(T$4,$AE197,0))</f>
        <v/>
      </c>
      <c r="AL197" s="9" t="str">
        <f t="shared" ref="AL197:AL260" ca="1" si="95">IF($AE197="","",OFFSET(U$4,$AE197,0))</f>
        <v/>
      </c>
      <c r="AM197" s="9" t="str">
        <f t="shared" ref="AM197:AM260" ca="1" si="96">IF($AE197="","",OFFSET(V$4,$AE197,0))</f>
        <v/>
      </c>
      <c r="AN197" s="9" t="str">
        <f t="shared" ref="AN197:AN260" ca="1" si="97">IF($AE197="","",OFFSET(W$4,$AE197,0))</f>
        <v/>
      </c>
      <c r="AO197" s="9" t="str">
        <f t="shared" ref="AO197:AO260" ca="1" si="98">IF($AE197="","",OFFSET(X$4,$AE197,0))</f>
        <v/>
      </c>
      <c r="AP197" s="9" t="str">
        <f t="shared" ref="AP197:AP260" ca="1" si="99">IF($AE197="","",OFFSET(Y$4,$AE197,0))</f>
        <v/>
      </c>
      <c r="AQ197" s="9"/>
      <c r="AR197" s="9"/>
      <c r="AS197" s="9"/>
      <c r="AT197" s="9"/>
      <c r="AU197" s="9"/>
    </row>
    <row r="198" spans="1:47" x14ac:dyDescent="0.3">
      <c r="A198" s="1">
        <v>43747</v>
      </c>
      <c r="B198" s="6">
        <v>274.26998900000001</v>
      </c>
      <c r="C198" s="6">
        <v>135.78999300000001</v>
      </c>
      <c r="D198" s="6">
        <v>28.139999</v>
      </c>
      <c r="E198" s="6">
        <v>137.85000600000001</v>
      </c>
      <c r="F198" s="6">
        <v>113.139999</v>
      </c>
      <c r="G198" s="6">
        <v>48.5</v>
      </c>
      <c r="H198" s="6">
        <v>93.379997000000003</v>
      </c>
      <c r="I198" s="6">
        <v>151.83999600000001</v>
      </c>
      <c r="J198" s="6">
        <v>20.100000000000001</v>
      </c>
      <c r="K198" s="6">
        <v>27.01</v>
      </c>
      <c r="N198" s="18">
        <v>194</v>
      </c>
      <c r="O198" s="1">
        <v>43747</v>
      </c>
      <c r="P198" s="5">
        <f t="shared" ref="P198:P261" si="100">LN(B198/B197)</f>
        <v>1.2621712785008721E-2</v>
      </c>
      <c r="Q198" s="5">
        <f t="shared" ref="Q198:Q261" si="101">LN(C198/C197)</f>
        <v>1.3717569746551249E-2</v>
      </c>
      <c r="R198" s="5">
        <f t="shared" ref="R198:R261" si="102">LN(D198/D197)</f>
        <v>7.1326265298439114E-3</v>
      </c>
      <c r="S198" s="5">
        <f t="shared" ref="S198:S261" si="103">LN(E198/E197)</f>
        <v>4.4349265726008709E-3</v>
      </c>
      <c r="T198" s="5">
        <f t="shared" ref="T198:T261" si="104">LN(F198/F197)</f>
        <v>3.3642970937047818E-3</v>
      </c>
      <c r="U198" s="5">
        <f t="shared" ref="U198:U261" si="105">LN(G198/G197)</f>
        <v>-8.0090581930359755E-3</v>
      </c>
      <c r="V198" s="5">
        <f t="shared" ref="V198:V261" si="106">LN(H198/H197)</f>
        <v>1.4997303668424763E-2</v>
      </c>
      <c r="W198" s="5">
        <f t="shared" ref="W198:W261" si="107">LN(I198/I197)</f>
        <v>-3.2925954811752282E-4</v>
      </c>
      <c r="X198" s="5">
        <f t="shared" ref="X198:X261" si="108">LN(J198/J197)</f>
        <v>-8.4221453988785611E-3</v>
      </c>
      <c r="Y198" s="5">
        <f t="shared" ref="Y198:Y261" si="109">LN(K198/K197)</f>
        <v>6.6865033669915039E-3</v>
      </c>
      <c r="Z198" s="33">
        <v>194</v>
      </c>
      <c r="AE198" s="20" t="str">
        <f t="shared" ref="AE198:AE261" si="110">IF(AE197="","",IF(AE197+1&lt;=$AC$5,AE197+1,""))</f>
        <v/>
      </c>
      <c r="AF198" s="22" t="str">
        <f t="shared" ref="AF198:AF261" si="111">IF(AE198="","",VLOOKUP(AE198,N197:O1454,2))</f>
        <v/>
      </c>
      <c r="AG198" s="9" t="str">
        <f t="shared" ca="1" si="90"/>
        <v/>
      </c>
      <c r="AH198" s="9" t="str">
        <f t="shared" ca="1" si="91"/>
        <v/>
      </c>
      <c r="AI198" s="9" t="str">
        <f t="shared" ca="1" si="92"/>
        <v/>
      </c>
      <c r="AJ198" s="9" t="str">
        <f t="shared" ca="1" si="93"/>
        <v/>
      </c>
      <c r="AK198" s="9" t="str">
        <f t="shared" ca="1" si="94"/>
        <v/>
      </c>
      <c r="AL198" s="9" t="str">
        <f t="shared" ca="1" si="95"/>
        <v/>
      </c>
      <c r="AM198" s="9" t="str">
        <f t="shared" ca="1" si="96"/>
        <v/>
      </c>
      <c r="AN198" s="9" t="str">
        <f t="shared" ca="1" si="97"/>
        <v/>
      </c>
      <c r="AO198" s="9" t="str">
        <f t="shared" ca="1" si="98"/>
        <v/>
      </c>
      <c r="AP198" s="9" t="str">
        <f t="shared" ca="1" si="99"/>
        <v/>
      </c>
      <c r="AQ198" s="9"/>
      <c r="AR198" s="9"/>
      <c r="AS198" s="9"/>
      <c r="AT198" s="9"/>
      <c r="AU198" s="9"/>
    </row>
    <row r="199" spans="1:47" x14ac:dyDescent="0.3">
      <c r="A199" s="1">
        <v>43748</v>
      </c>
      <c r="B199" s="6">
        <v>274.98001099999999</v>
      </c>
      <c r="C199" s="6">
        <v>138.220001</v>
      </c>
      <c r="D199" s="6">
        <v>28.059999000000001</v>
      </c>
      <c r="E199" s="6">
        <v>137.88999899999999</v>
      </c>
      <c r="F199" s="6">
        <v>113.639999</v>
      </c>
      <c r="G199" s="6">
        <v>48.540000999999997</v>
      </c>
      <c r="H199" s="6">
        <v>94.919998000000007</v>
      </c>
      <c r="I199" s="6">
        <v>153.14999399999999</v>
      </c>
      <c r="J199" s="6">
        <v>19.829999999999998</v>
      </c>
      <c r="K199" s="6">
        <v>27.35</v>
      </c>
      <c r="N199" s="19">
        <v>195</v>
      </c>
      <c r="O199" s="1">
        <v>43748</v>
      </c>
      <c r="P199" s="5">
        <f t="shared" si="100"/>
        <v>2.5854251998444033E-3</v>
      </c>
      <c r="Q199" s="5">
        <f t="shared" si="101"/>
        <v>1.7737102737576935E-2</v>
      </c>
      <c r="R199" s="5">
        <f t="shared" si="102"/>
        <v>-2.8469771132441494E-3</v>
      </c>
      <c r="S199" s="5">
        <f t="shared" si="103"/>
        <v>2.9007760611603526E-4</v>
      </c>
      <c r="T199" s="5">
        <f t="shared" si="104"/>
        <v>4.4095671098661549E-3</v>
      </c>
      <c r="U199" s="5">
        <f t="shared" si="105"/>
        <v>8.2442295658320783E-4</v>
      </c>
      <c r="V199" s="5">
        <f t="shared" si="106"/>
        <v>1.63572530811909E-2</v>
      </c>
      <c r="W199" s="5">
        <f t="shared" si="107"/>
        <v>8.5904855834083617E-3</v>
      </c>
      <c r="X199" s="5">
        <f t="shared" si="108"/>
        <v>-1.3523872533325655E-2</v>
      </c>
      <c r="Y199" s="5">
        <f t="shared" si="109"/>
        <v>1.2509361063466016E-2</v>
      </c>
      <c r="Z199" s="33">
        <v>195</v>
      </c>
      <c r="AE199" s="20" t="str">
        <f t="shared" si="110"/>
        <v/>
      </c>
      <c r="AF199" s="22" t="str">
        <f t="shared" si="111"/>
        <v/>
      </c>
      <c r="AG199" s="9" t="str">
        <f t="shared" ca="1" si="90"/>
        <v/>
      </c>
      <c r="AH199" s="9" t="str">
        <f t="shared" ca="1" si="91"/>
        <v/>
      </c>
      <c r="AI199" s="9" t="str">
        <f t="shared" ca="1" si="92"/>
        <v/>
      </c>
      <c r="AJ199" s="9" t="str">
        <f t="shared" ca="1" si="93"/>
        <v/>
      </c>
      <c r="AK199" s="9" t="str">
        <f t="shared" ca="1" si="94"/>
        <v/>
      </c>
      <c r="AL199" s="9" t="str">
        <f t="shared" ca="1" si="95"/>
        <v/>
      </c>
      <c r="AM199" s="9" t="str">
        <f t="shared" ca="1" si="96"/>
        <v/>
      </c>
      <c r="AN199" s="9" t="str">
        <f t="shared" ca="1" si="97"/>
        <v/>
      </c>
      <c r="AO199" s="9" t="str">
        <f t="shared" ca="1" si="98"/>
        <v/>
      </c>
      <c r="AP199" s="9" t="str">
        <f t="shared" ca="1" si="99"/>
        <v/>
      </c>
      <c r="AQ199" s="9"/>
      <c r="AR199" s="9"/>
      <c r="AS199" s="9"/>
      <c r="AT199" s="9"/>
      <c r="AU199" s="9"/>
    </row>
    <row r="200" spans="1:47" x14ac:dyDescent="0.3">
      <c r="A200" s="1">
        <v>43749</v>
      </c>
      <c r="B200" s="6">
        <v>278.290009</v>
      </c>
      <c r="C200" s="6">
        <v>138.61000100000001</v>
      </c>
      <c r="D200" s="6">
        <v>28.15</v>
      </c>
      <c r="E200" s="6">
        <v>137.63999899999999</v>
      </c>
      <c r="F200" s="6">
        <v>112.82</v>
      </c>
      <c r="G200" s="6">
        <v>48.009998000000003</v>
      </c>
      <c r="H200" s="6">
        <v>97.360000999999997</v>
      </c>
      <c r="I200" s="6">
        <v>156.46000699999999</v>
      </c>
      <c r="J200" s="6">
        <v>20.079999999999998</v>
      </c>
      <c r="K200" s="6">
        <v>27.969999000000001</v>
      </c>
      <c r="N200" s="18">
        <v>196</v>
      </c>
      <c r="O200" s="1">
        <v>43749</v>
      </c>
      <c r="P200" s="5">
        <f t="shared" si="100"/>
        <v>1.1965360027627226E-2</v>
      </c>
      <c r="Q200" s="5">
        <f t="shared" si="101"/>
        <v>2.8176155416572164E-3</v>
      </c>
      <c r="R200" s="5">
        <f t="shared" si="102"/>
        <v>3.2023155493038054E-3</v>
      </c>
      <c r="S200" s="5">
        <f t="shared" si="103"/>
        <v>-1.8146849375425169E-3</v>
      </c>
      <c r="T200" s="5">
        <f t="shared" si="104"/>
        <v>-7.2419198744387691E-3</v>
      </c>
      <c r="U200" s="5">
        <f t="shared" si="105"/>
        <v>-1.0978940015160492E-2</v>
      </c>
      <c r="V200" s="5">
        <f t="shared" si="106"/>
        <v>2.5381048453242693E-2</v>
      </c>
      <c r="W200" s="5">
        <f t="shared" si="107"/>
        <v>2.1382636895296764E-2</v>
      </c>
      <c r="X200" s="5">
        <f t="shared" si="108"/>
        <v>1.252835229182374E-2</v>
      </c>
      <c r="Y200" s="5">
        <f t="shared" si="109"/>
        <v>2.2415942593285405E-2</v>
      </c>
      <c r="Z200" s="33">
        <v>196</v>
      </c>
      <c r="AE200" s="20" t="str">
        <f t="shared" si="110"/>
        <v/>
      </c>
      <c r="AF200" s="22" t="str">
        <f t="shared" si="111"/>
        <v/>
      </c>
      <c r="AG200" s="9" t="str">
        <f t="shared" ca="1" si="90"/>
        <v/>
      </c>
      <c r="AH200" s="9" t="str">
        <f t="shared" ca="1" si="91"/>
        <v/>
      </c>
      <c r="AI200" s="9" t="str">
        <f t="shared" ca="1" si="92"/>
        <v/>
      </c>
      <c r="AJ200" s="9" t="str">
        <f t="shared" ca="1" si="93"/>
        <v/>
      </c>
      <c r="AK200" s="9" t="str">
        <f t="shared" ca="1" si="94"/>
        <v/>
      </c>
      <c r="AL200" s="9" t="str">
        <f t="shared" ca="1" si="95"/>
        <v/>
      </c>
      <c r="AM200" s="9" t="str">
        <f t="shared" ca="1" si="96"/>
        <v/>
      </c>
      <c r="AN200" s="9" t="str">
        <f t="shared" ca="1" si="97"/>
        <v/>
      </c>
      <c r="AO200" s="9" t="str">
        <f t="shared" ca="1" si="98"/>
        <v/>
      </c>
      <c r="AP200" s="9" t="str">
        <f t="shared" ca="1" si="99"/>
        <v/>
      </c>
      <c r="AQ200" s="9"/>
      <c r="AR200" s="9"/>
      <c r="AS200" s="9"/>
      <c r="AT200" s="9"/>
      <c r="AU200" s="9"/>
    </row>
    <row r="201" spans="1:47" x14ac:dyDescent="0.3">
      <c r="A201" s="1">
        <v>43752</v>
      </c>
      <c r="B201" s="6">
        <v>277.77999899999998</v>
      </c>
      <c r="C201" s="6">
        <v>138.85000600000001</v>
      </c>
      <c r="D201" s="6">
        <v>28.274999999999999</v>
      </c>
      <c r="E201" s="6">
        <v>137.449997</v>
      </c>
      <c r="F201" s="6">
        <v>112.709999</v>
      </c>
      <c r="G201" s="6">
        <v>48.509998000000003</v>
      </c>
      <c r="H201" s="6">
        <v>95.910004000000001</v>
      </c>
      <c r="I201" s="6">
        <v>157.949997</v>
      </c>
      <c r="J201" s="6">
        <v>20.34</v>
      </c>
      <c r="K201" s="6">
        <v>27.75</v>
      </c>
      <c r="N201" s="19">
        <v>197</v>
      </c>
      <c r="O201" s="1">
        <v>43752</v>
      </c>
      <c r="P201" s="5">
        <f t="shared" si="100"/>
        <v>-1.8343378915218838E-3</v>
      </c>
      <c r="Q201" s="5">
        <f t="shared" si="101"/>
        <v>1.7300155251586879E-3</v>
      </c>
      <c r="R201" s="5">
        <f t="shared" si="102"/>
        <v>4.430667416484675E-3</v>
      </c>
      <c r="S201" s="5">
        <f t="shared" si="103"/>
        <v>-1.3813808788138385E-3</v>
      </c>
      <c r="T201" s="5">
        <f t="shared" si="104"/>
        <v>-9.7548893017006082E-4</v>
      </c>
      <c r="U201" s="5">
        <f t="shared" si="105"/>
        <v>1.0360640143651446E-2</v>
      </c>
      <c r="V201" s="5">
        <f t="shared" si="106"/>
        <v>-1.5005165504805516E-2</v>
      </c>
      <c r="W201" s="5">
        <f t="shared" si="107"/>
        <v>9.4780772579384914E-3</v>
      </c>
      <c r="X201" s="5">
        <f t="shared" si="108"/>
        <v>1.2865095796885434E-2</v>
      </c>
      <c r="Y201" s="5">
        <f t="shared" si="109"/>
        <v>-7.896631268832199E-3</v>
      </c>
      <c r="Z201" s="33">
        <v>197</v>
      </c>
      <c r="AE201" s="20" t="str">
        <f t="shared" si="110"/>
        <v/>
      </c>
      <c r="AF201" s="22" t="str">
        <f t="shared" si="111"/>
        <v/>
      </c>
      <c r="AG201" s="9" t="str">
        <f t="shared" ca="1" si="90"/>
        <v/>
      </c>
      <c r="AH201" s="9" t="str">
        <f t="shared" ca="1" si="91"/>
        <v/>
      </c>
      <c r="AI201" s="9" t="str">
        <f t="shared" ca="1" si="92"/>
        <v/>
      </c>
      <c r="AJ201" s="9" t="str">
        <f t="shared" ca="1" si="93"/>
        <v/>
      </c>
      <c r="AK201" s="9" t="str">
        <f t="shared" ca="1" si="94"/>
        <v/>
      </c>
      <c r="AL201" s="9" t="str">
        <f t="shared" ca="1" si="95"/>
        <v/>
      </c>
      <c r="AM201" s="9" t="str">
        <f t="shared" ca="1" si="96"/>
        <v/>
      </c>
      <c r="AN201" s="9" t="str">
        <f t="shared" ca="1" si="97"/>
        <v/>
      </c>
      <c r="AO201" s="9" t="str">
        <f t="shared" ca="1" si="98"/>
        <v/>
      </c>
      <c r="AP201" s="9" t="str">
        <f t="shared" ca="1" si="99"/>
        <v/>
      </c>
      <c r="AQ201" s="9"/>
      <c r="AR201" s="9"/>
      <c r="AS201" s="9"/>
      <c r="AT201" s="9"/>
      <c r="AU201" s="9"/>
    </row>
    <row r="202" spans="1:47" x14ac:dyDescent="0.3">
      <c r="A202" s="1">
        <v>43753</v>
      </c>
      <c r="B202" s="6">
        <v>279.39001500000001</v>
      </c>
      <c r="C202" s="6">
        <v>140.66000399999999</v>
      </c>
      <c r="D202" s="6">
        <v>28.145</v>
      </c>
      <c r="E202" s="6">
        <v>136.33000200000001</v>
      </c>
      <c r="F202" s="6">
        <v>111.94000200000001</v>
      </c>
      <c r="G202" s="6">
        <v>48.549999</v>
      </c>
      <c r="H202" s="6">
        <v>95.980002999999996</v>
      </c>
      <c r="I202" s="6">
        <v>158.300003</v>
      </c>
      <c r="J202" s="6">
        <v>20.68</v>
      </c>
      <c r="K202" s="6">
        <v>27.860001</v>
      </c>
      <c r="N202" s="18">
        <v>198</v>
      </c>
      <c r="O202" s="1">
        <v>43753</v>
      </c>
      <c r="P202" s="5">
        <f t="shared" si="100"/>
        <v>5.7792790019656854E-3</v>
      </c>
      <c r="Q202" s="5">
        <f t="shared" si="101"/>
        <v>1.2951402352331351E-2</v>
      </c>
      <c r="R202" s="5">
        <f t="shared" si="102"/>
        <v>-4.6083030861942187E-3</v>
      </c>
      <c r="S202" s="5">
        <f t="shared" si="103"/>
        <v>-8.1817609168122959E-3</v>
      </c>
      <c r="T202" s="5">
        <f t="shared" si="104"/>
        <v>-6.8551080517321493E-3</v>
      </c>
      <c r="U202" s="5">
        <f t="shared" si="105"/>
        <v>8.2425311149962751E-4</v>
      </c>
      <c r="V202" s="5">
        <f t="shared" si="106"/>
        <v>7.2957424098597269E-4</v>
      </c>
      <c r="W202" s="5">
        <f t="shared" si="107"/>
        <v>2.2134775835828059E-3</v>
      </c>
      <c r="X202" s="5">
        <f t="shared" si="108"/>
        <v>1.657765901981454E-2</v>
      </c>
      <c r="Y202" s="5">
        <f t="shared" si="109"/>
        <v>3.9561640529700457E-3</v>
      </c>
      <c r="Z202" s="33">
        <v>198</v>
      </c>
      <c r="AE202" s="20" t="str">
        <f t="shared" si="110"/>
        <v/>
      </c>
      <c r="AF202" s="22" t="str">
        <f t="shared" si="111"/>
        <v/>
      </c>
      <c r="AG202" s="9" t="str">
        <f t="shared" ca="1" si="90"/>
        <v/>
      </c>
      <c r="AH202" s="9" t="str">
        <f t="shared" ca="1" si="91"/>
        <v/>
      </c>
      <c r="AI202" s="9" t="str">
        <f t="shared" ca="1" si="92"/>
        <v/>
      </c>
      <c r="AJ202" s="9" t="str">
        <f t="shared" ca="1" si="93"/>
        <v/>
      </c>
      <c r="AK202" s="9" t="str">
        <f t="shared" ca="1" si="94"/>
        <v/>
      </c>
      <c r="AL202" s="9" t="str">
        <f t="shared" ca="1" si="95"/>
        <v/>
      </c>
      <c r="AM202" s="9" t="str">
        <f t="shared" ca="1" si="96"/>
        <v/>
      </c>
      <c r="AN202" s="9" t="str">
        <f t="shared" ca="1" si="97"/>
        <v/>
      </c>
      <c r="AO202" s="9" t="str">
        <f t="shared" ca="1" si="98"/>
        <v/>
      </c>
      <c r="AP202" s="9" t="str">
        <f t="shared" ca="1" si="99"/>
        <v/>
      </c>
      <c r="AQ202" s="9"/>
      <c r="AR202" s="9"/>
      <c r="AS202" s="9"/>
      <c r="AT202" s="9"/>
      <c r="AU202" s="9"/>
    </row>
    <row r="203" spans="1:47" x14ac:dyDescent="0.3">
      <c r="A203" s="1">
        <v>43754</v>
      </c>
      <c r="B203" s="6">
        <v>272.70001200000002</v>
      </c>
      <c r="C203" s="6">
        <v>138.740005</v>
      </c>
      <c r="D203" s="6">
        <v>28.26</v>
      </c>
      <c r="E203" s="6">
        <v>136.41999799999999</v>
      </c>
      <c r="F203" s="6">
        <v>113.449997</v>
      </c>
      <c r="G203" s="6">
        <v>49.34</v>
      </c>
      <c r="H203" s="6">
        <v>95.82</v>
      </c>
      <c r="I203" s="6">
        <v>158.029999</v>
      </c>
      <c r="J203" s="6">
        <v>20.799999</v>
      </c>
      <c r="K203" s="6">
        <v>27.799999</v>
      </c>
      <c r="N203" s="19">
        <v>199</v>
      </c>
      <c r="O203" s="1">
        <v>43754</v>
      </c>
      <c r="P203" s="5">
        <f t="shared" si="100"/>
        <v>-2.4236375034124916E-2</v>
      </c>
      <c r="Q203" s="5">
        <f t="shared" si="101"/>
        <v>-1.3743945321450441E-2</v>
      </c>
      <c r="R203" s="5">
        <f t="shared" si="102"/>
        <v>4.0776583403916147E-3</v>
      </c>
      <c r="S203" s="5">
        <f t="shared" si="103"/>
        <v>6.5991569764257605E-4</v>
      </c>
      <c r="T203" s="5">
        <f t="shared" si="104"/>
        <v>1.3399153452555436E-2</v>
      </c>
      <c r="U203" s="5">
        <f t="shared" si="105"/>
        <v>1.614093696119933E-2</v>
      </c>
      <c r="V203" s="5">
        <f t="shared" si="106"/>
        <v>-1.6684362316347512E-3</v>
      </c>
      <c r="W203" s="5">
        <f t="shared" si="107"/>
        <v>-1.7071037452245474E-3</v>
      </c>
      <c r="X203" s="5">
        <f t="shared" si="108"/>
        <v>5.7858889901196073E-3</v>
      </c>
      <c r="Y203" s="5">
        <f t="shared" si="109"/>
        <v>-2.1560195200458353E-3</v>
      </c>
      <c r="Z203" s="33">
        <v>199</v>
      </c>
      <c r="AE203" s="20" t="str">
        <f t="shared" si="110"/>
        <v/>
      </c>
      <c r="AF203" s="22" t="str">
        <f t="shared" si="111"/>
        <v/>
      </c>
      <c r="AG203" s="9" t="str">
        <f t="shared" ca="1" si="90"/>
        <v/>
      </c>
      <c r="AH203" s="9" t="str">
        <f t="shared" ca="1" si="91"/>
        <v/>
      </c>
      <c r="AI203" s="9" t="str">
        <f t="shared" ca="1" si="92"/>
        <v/>
      </c>
      <c r="AJ203" s="9" t="str">
        <f t="shared" ca="1" si="93"/>
        <v/>
      </c>
      <c r="AK203" s="9" t="str">
        <f t="shared" ca="1" si="94"/>
        <v/>
      </c>
      <c r="AL203" s="9" t="str">
        <f t="shared" ca="1" si="95"/>
        <v/>
      </c>
      <c r="AM203" s="9" t="str">
        <f t="shared" ca="1" si="96"/>
        <v/>
      </c>
      <c r="AN203" s="9" t="str">
        <f t="shared" ca="1" si="97"/>
        <v/>
      </c>
      <c r="AO203" s="9" t="str">
        <f t="shared" ca="1" si="98"/>
        <v/>
      </c>
      <c r="AP203" s="9" t="str">
        <f t="shared" ca="1" si="99"/>
        <v/>
      </c>
      <c r="AQ203" s="9"/>
      <c r="AR203" s="9"/>
      <c r="AS203" s="9"/>
      <c r="AT203" s="9"/>
      <c r="AU203" s="9"/>
    </row>
    <row r="204" spans="1:47" x14ac:dyDescent="0.3">
      <c r="A204" s="1">
        <v>43755</v>
      </c>
      <c r="B204" s="6">
        <v>269.23998999999998</v>
      </c>
      <c r="C204" s="6">
        <v>136.83000200000001</v>
      </c>
      <c r="D204" s="6">
        <v>28.280000999999999</v>
      </c>
      <c r="E204" s="6">
        <v>136.96000699999999</v>
      </c>
      <c r="F204" s="6">
        <v>114.089996</v>
      </c>
      <c r="G204" s="6">
        <v>49.41</v>
      </c>
      <c r="H204" s="6">
        <v>101.379997</v>
      </c>
      <c r="I204" s="6">
        <v>155.66000399999999</v>
      </c>
      <c r="J204" s="6">
        <v>20.77</v>
      </c>
      <c r="K204" s="6">
        <v>27.889999</v>
      </c>
      <c r="N204" s="18">
        <v>200</v>
      </c>
      <c r="O204" s="1">
        <v>43755</v>
      </c>
      <c r="P204" s="5">
        <f t="shared" si="100"/>
        <v>-1.2769195855014527E-2</v>
      </c>
      <c r="Q204" s="5">
        <f t="shared" si="101"/>
        <v>-1.3862419987391676E-2</v>
      </c>
      <c r="R204" s="5">
        <f t="shared" si="102"/>
        <v>7.074991326687461E-4</v>
      </c>
      <c r="S204" s="5">
        <f t="shared" si="103"/>
        <v>3.9506159372775691E-3</v>
      </c>
      <c r="T204" s="5">
        <f t="shared" si="104"/>
        <v>5.625390765753773E-3</v>
      </c>
      <c r="U204" s="5">
        <f t="shared" si="105"/>
        <v>1.4177217564477628E-3</v>
      </c>
      <c r="V204" s="5">
        <f t="shared" si="106"/>
        <v>5.6404371997591393E-2</v>
      </c>
      <c r="W204" s="5">
        <f t="shared" si="107"/>
        <v>-1.5110714864826269E-2</v>
      </c>
      <c r="X204" s="5">
        <f t="shared" si="108"/>
        <v>-1.4433007423270972E-3</v>
      </c>
      <c r="Y204" s="5">
        <f t="shared" si="109"/>
        <v>3.2321810588840376E-3</v>
      </c>
      <c r="Z204" s="33">
        <v>200</v>
      </c>
      <c r="AE204" s="20" t="str">
        <f t="shared" si="110"/>
        <v/>
      </c>
      <c r="AF204" s="22" t="str">
        <f t="shared" si="111"/>
        <v/>
      </c>
      <c r="AG204" s="9" t="str">
        <f t="shared" ca="1" si="90"/>
        <v/>
      </c>
      <c r="AH204" s="9" t="str">
        <f t="shared" ca="1" si="91"/>
        <v/>
      </c>
      <c r="AI204" s="9" t="str">
        <f t="shared" ca="1" si="92"/>
        <v/>
      </c>
      <c r="AJ204" s="9" t="str">
        <f t="shared" ca="1" si="93"/>
        <v/>
      </c>
      <c r="AK204" s="9" t="str">
        <f t="shared" ca="1" si="94"/>
        <v/>
      </c>
      <c r="AL204" s="9" t="str">
        <f t="shared" ca="1" si="95"/>
        <v/>
      </c>
      <c r="AM204" s="9" t="str">
        <f t="shared" ca="1" si="96"/>
        <v/>
      </c>
      <c r="AN204" s="9" t="str">
        <f t="shared" ca="1" si="97"/>
        <v/>
      </c>
      <c r="AO204" s="9" t="str">
        <f t="shared" ca="1" si="98"/>
        <v/>
      </c>
      <c r="AP204" s="9" t="str">
        <f t="shared" ca="1" si="99"/>
        <v/>
      </c>
      <c r="AQ204" s="9"/>
      <c r="AR204" s="9"/>
      <c r="AS204" s="9"/>
      <c r="AT204" s="9"/>
      <c r="AU204" s="9"/>
    </row>
    <row r="205" spans="1:47" x14ac:dyDescent="0.3">
      <c r="A205" s="1">
        <v>43756</v>
      </c>
      <c r="B205" s="6">
        <v>265.51998900000001</v>
      </c>
      <c r="C205" s="6">
        <v>134.949997</v>
      </c>
      <c r="D205" s="6">
        <v>28.030000999999999</v>
      </c>
      <c r="E205" s="6">
        <v>136.25</v>
      </c>
      <c r="F205" s="6">
        <v>114.730003</v>
      </c>
      <c r="G205" s="6">
        <v>49.799999</v>
      </c>
      <c r="H205" s="6">
        <v>102.220001</v>
      </c>
      <c r="I205" s="6">
        <v>157.520004</v>
      </c>
      <c r="J205" s="6">
        <v>20.65</v>
      </c>
      <c r="K205" s="6">
        <v>27.709999</v>
      </c>
      <c r="N205" s="19">
        <v>201</v>
      </c>
      <c r="O205" s="1">
        <v>43756</v>
      </c>
      <c r="P205" s="5">
        <f t="shared" si="100"/>
        <v>-1.3913012017350507E-2</v>
      </c>
      <c r="Q205" s="5">
        <f t="shared" si="101"/>
        <v>-1.3834976774838708E-2</v>
      </c>
      <c r="R205" s="5">
        <f t="shared" si="102"/>
        <v>-8.8794755362927233E-3</v>
      </c>
      <c r="S205" s="5">
        <f t="shared" si="103"/>
        <v>-5.1975299598902578E-3</v>
      </c>
      <c r="T205" s="5">
        <f t="shared" si="104"/>
        <v>5.5939924111624226E-3</v>
      </c>
      <c r="U205" s="5">
        <f t="shared" si="105"/>
        <v>7.8621310926271885E-3</v>
      </c>
      <c r="V205" s="5">
        <f t="shared" si="106"/>
        <v>8.2515596703873623E-3</v>
      </c>
      <c r="W205" s="5">
        <f t="shared" si="107"/>
        <v>1.1878292496196799E-2</v>
      </c>
      <c r="X205" s="5">
        <f t="shared" si="108"/>
        <v>-5.7943184809791885E-3</v>
      </c>
      <c r="Y205" s="5">
        <f t="shared" si="109"/>
        <v>-6.4748429974202104E-3</v>
      </c>
      <c r="Z205" s="33">
        <v>201</v>
      </c>
      <c r="AE205" s="20" t="str">
        <f t="shared" si="110"/>
        <v/>
      </c>
      <c r="AF205" s="22" t="str">
        <f t="shared" si="111"/>
        <v/>
      </c>
      <c r="AG205" s="9" t="str">
        <f t="shared" ca="1" si="90"/>
        <v/>
      </c>
      <c r="AH205" s="9" t="str">
        <f t="shared" ca="1" si="91"/>
        <v/>
      </c>
      <c r="AI205" s="9" t="str">
        <f t="shared" ca="1" si="92"/>
        <v/>
      </c>
      <c r="AJ205" s="9" t="str">
        <f t="shared" ca="1" si="93"/>
        <v/>
      </c>
      <c r="AK205" s="9" t="str">
        <f t="shared" ca="1" si="94"/>
        <v/>
      </c>
      <c r="AL205" s="9" t="str">
        <f t="shared" ca="1" si="95"/>
        <v/>
      </c>
      <c r="AM205" s="9" t="str">
        <f t="shared" ca="1" si="96"/>
        <v/>
      </c>
      <c r="AN205" s="9" t="str">
        <f t="shared" ca="1" si="97"/>
        <v/>
      </c>
      <c r="AO205" s="9" t="str">
        <f t="shared" ca="1" si="98"/>
        <v/>
      </c>
      <c r="AP205" s="9" t="str">
        <f t="shared" ca="1" si="99"/>
        <v/>
      </c>
      <c r="AQ205" s="9"/>
      <c r="AR205" s="9"/>
      <c r="AS205" s="9"/>
      <c r="AT205" s="9"/>
      <c r="AU205" s="9"/>
    </row>
    <row r="206" spans="1:47" x14ac:dyDescent="0.3">
      <c r="A206" s="1">
        <v>43759</v>
      </c>
      <c r="B206" s="6">
        <v>266.83999599999999</v>
      </c>
      <c r="C206" s="6">
        <v>136.679993</v>
      </c>
      <c r="D206" s="6">
        <v>28.145</v>
      </c>
      <c r="E206" s="6">
        <v>136.11999499999999</v>
      </c>
      <c r="F206" s="6">
        <v>114.959999</v>
      </c>
      <c r="G206" s="6">
        <v>50.18</v>
      </c>
      <c r="H206" s="6">
        <v>103.489998</v>
      </c>
      <c r="I206" s="6">
        <v>159.36000100000001</v>
      </c>
      <c r="J206" s="6">
        <v>20.799999</v>
      </c>
      <c r="K206" s="6">
        <v>27.690000999999999</v>
      </c>
      <c r="N206" s="18">
        <v>202</v>
      </c>
      <c r="O206" s="1">
        <v>43759</v>
      </c>
      <c r="P206" s="5">
        <f t="shared" si="100"/>
        <v>4.9590868674808178E-3</v>
      </c>
      <c r="Q206" s="5">
        <f t="shared" si="101"/>
        <v>1.2738058799016322E-2</v>
      </c>
      <c r="R206" s="5">
        <f t="shared" si="102"/>
        <v>4.0943180632323347E-3</v>
      </c>
      <c r="S206" s="5">
        <f t="shared" si="103"/>
        <v>-9.5462064294432288E-4</v>
      </c>
      <c r="T206" s="5">
        <f t="shared" si="104"/>
        <v>2.0026651126920287E-3</v>
      </c>
      <c r="U206" s="5">
        <f t="shared" si="105"/>
        <v>7.6015769879905605E-3</v>
      </c>
      <c r="V206" s="5">
        <f t="shared" si="106"/>
        <v>1.2347607231587888E-2</v>
      </c>
      <c r="W206" s="5">
        <f t="shared" si="107"/>
        <v>1.1613340386918055E-2</v>
      </c>
      <c r="X206" s="5">
        <f t="shared" si="108"/>
        <v>7.2376192233062908E-3</v>
      </c>
      <c r="Y206" s="5">
        <f t="shared" si="109"/>
        <v>-7.2194948984110414E-4</v>
      </c>
      <c r="Z206" s="33">
        <v>202</v>
      </c>
      <c r="AE206" s="20" t="str">
        <f t="shared" si="110"/>
        <v/>
      </c>
      <c r="AF206" s="22" t="str">
        <f t="shared" si="111"/>
        <v/>
      </c>
      <c r="AG206" s="9" t="str">
        <f t="shared" ca="1" si="90"/>
        <v/>
      </c>
      <c r="AH206" s="9" t="str">
        <f t="shared" ca="1" si="91"/>
        <v/>
      </c>
      <c r="AI206" s="9" t="str">
        <f t="shared" ca="1" si="92"/>
        <v/>
      </c>
      <c r="AJ206" s="9" t="str">
        <f t="shared" ca="1" si="93"/>
        <v/>
      </c>
      <c r="AK206" s="9" t="str">
        <f t="shared" ca="1" si="94"/>
        <v/>
      </c>
      <c r="AL206" s="9" t="str">
        <f t="shared" ca="1" si="95"/>
        <v/>
      </c>
      <c r="AM206" s="9" t="str">
        <f t="shared" ca="1" si="96"/>
        <v/>
      </c>
      <c r="AN206" s="9" t="str">
        <f t="shared" ca="1" si="97"/>
        <v/>
      </c>
      <c r="AO206" s="9" t="str">
        <f t="shared" ca="1" si="98"/>
        <v/>
      </c>
      <c r="AP206" s="9" t="str">
        <f t="shared" ca="1" si="99"/>
        <v/>
      </c>
      <c r="AQ206" s="9"/>
      <c r="AR206" s="9"/>
      <c r="AS206" s="9"/>
      <c r="AT206" s="9"/>
      <c r="AU206" s="9"/>
    </row>
    <row r="207" spans="1:47" x14ac:dyDescent="0.3">
      <c r="A207" s="1">
        <v>43760</v>
      </c>
      <c r="B207" s="6">
        <v>261.08999599999999</v>
      </c>
      <c r="C207" s="6">
        <v>132.11999499999999</v>
      </c>
      <c r="D207" s="6">
        <v>27.969999000000001</v>
      </c>
      <c r="E207" s="6">
        <v>136.66000399999999</v>
      </c>
      <c r="F207" s="6">
        <v>114.300003</v>
      </c>
      <c r="G207" s="6">
        <v>49.709999000000003</v>
      </c>
      <c r="H207" s="6">
        <v>104.120003</v>
      </c>
      <c r="I207" s="6">
        <v>162.63999899999999</v>
      </c>
      <c r="J207" s="6">
        <v>21.5</v>
      </c>
      <c r="K207" s="6">
        <v>28.17</v>
      </c>
      <c r="N207" s="19">
        <v>203</v>
      </c>
      <c r="O207" s="1">
        <v>43760</v>
      </c>
      <c r="P207" s="5">
        <f t="shared" si="100"/>
        <v>-2.1784052701913959E-2</v>
      </c>
      <c r="Q207" s="5">
        <f t="shared" si="101"/>
        <v>-3.3931813354369927E-2</v>
      </c>
      <c r="R207" s="5">
        <f t="shared" si="102"/>
        <v>-6.2372474547141548E-3</v>
      </c>
      <c r="S207" s="5">
        <f t="shared" si="103"/>
        <v>3.9593057219430294E-3</v>
      </c>
      <c r="T207" s="5">
        <f t="shared" si="104"/>
        <v>-5.757636024607821E-3</v>
      </c>
      <c r="U207" s="5">
        <f t="shared" si="105"/>
        <v>-9.4104409483718211E-3</v>
      </c>
      <c r="V207" s="5">
        <f t="shared" si="106"/>
        <v>6.0691385847295633E-3</v>
      </c>
      <c r="W207" s="5">
        <f t="shared" si="107"/>
        <v>2.0373363060153572E-2</v>
      </c>
      <c r="X207" s="5">
        <f t="shared" si="108"/>
        <v>3.3099996503269176E-2</v>
      </c>
      <c r="Y207" s="5">
        <f t="shared" si="109"/>
        <v>1.7186208591290858E-2</v>
      </c>
      <c r="Z207" s="33">
        <v>203</v>
      </c>
      <c r="AE207" s="20" t="str">
        <f t="shared" si="110"/>
        <v/>
      </c>
      <c r="AF207" s="22" t="str">
        <f t="shared" si="111"/>
        <v/>
      </c>
      <c r="AG207" s="9" t="str">
        <f t="shared" ca="1" si="90"/>
        <v/>
      </c>
      <c r="AH207" s="9" t="str">
        <f t="shared" ca="1" si="91"/>
        <v/>
      </c>
      <c r="AI207" s="9" t="str">
        <f t="shared" ca="1" si="92"/>
        <v/>
      </c>
      <c r="AJ207" s="9" t="str">
        <f t="shared" ca="1" si="93"/>
        <v/>
      </c>
      <c r="AK207" s="9" t="str">
        <f t="shared" ca="1" si="94"/>
        <v/>
      </c>
      <c r="AL207" s="9" t="str">
        <f t="shared" ca="1" si="95"/>
        <v/>
      </c>
      <c r="AM207" s="9" t="str">
        <f t="shared" ca="1" si="96"/>
        <v/>
      </c>
      <c r="AN207" s="9" t="str">
        <f t="shared" ca="1" si="97"/>
        <v/>
      </c>
      <c r="AO207" s="9" t="str">
        <f t="shared" ca="1" si="98"/>
        <v/>
      </c>
      <c r="AP207" s="9" t="str">
        <f t="shared" ca="1" si="99"/>
        <v/>
      </c>
      <c r="AQ207" s="9"/>
      <c r="AR207" s="9"/>
      <c r="AS207" s="9"/>
      <c r="AT207" s="9"/>
      <c r="AU207" s="9"/>
    </row>
    <row r="208" spans="1:47" x14ac:dyDescent="0.3">
      <c r="A208" s="1">
        <v>43761</v>
      </c>
      <c r="B208" s="6">
        <v>261.32000699999998</v>
      </c>
      <c r="C208" s="6">
        <v>133.96000699999999</v>
      </c>
      <c r="D208" s="6">
        <v>28.1</v>
      </c>
      <c r="E208" s="6">
        <v>137.449997</v>
      </c>
      <c r="F208" s="6">
        <v>114.449997</v>
      </c>
      <c r="G208" s="6">
        <v>49.509998000000003</v>
      </c>
      <c r="H208" s="6">
        <v>103.290001</v>
      </c>
      <c r="I208" s="6">
        <v>164.929993</v>
      </c>
      <c r="J208" s="6">
        <v>21.4</v>
      </c>
      <c r="K208" s="6">
        <v>28.16</v>
      </c>
      <c r="N208" s="18">
        <v>204</v>
      </c>
      <c r="O208" s="1">
        <v>43761</v>
      </c>
      <c r="P208" s="5">
        <f t="shared" si="100"/>
        <v>8.8057661048595681E-4</v>
      </c>
      <c r="Q208" s="5">
        <f t="shared" si="101"/>
        <v>1.3830737502202465E-2</v>
      </c>
      <c r="R208" s="5">
        <f t="shared" si="102"/>
        <v>4.6371048784243475E-3</v>
      </c>
      <c r="S208" s="5">
        <f t="shared" si="103"/>
        <v>5.7640741627836443E-3</v>
      </c>
      <c r="T208" s="5">
        <f t="shared" si="104"/>
        <v>1.3114231387717828E-3</v>
      </c>
      <c r="U208" s="5">
        <f t="shared" si="105"/>
        <v>-4.031471012453023E-3</v>
      </c>
      <c r="V208" s="5">
        <f t="shared" si="106"/>
        <v>-8.0035332392509109E-3</v>
      </c>
      <c r="W208" s="5">
        <f t="shared" si="107"/>
        <v>1.3981935846269665E-2</v>
      </c>
      <c r="X208" s="5">
        <f t="shared" si="108"/>
        <v>-4.662013105811413E-3</v>
      </c>
      <c r="Y208" s="5">
        <f t="shared" si="109"/>
        <v>-3.5505059843967107E-4</v>
      </c>
      <c r="Z208" s="33">
        <v>204</v>
      </c>
      <c r="AE208" s="20" t="str">
        <f t="shared" si="110"/>
        <v/>
      </c>
      <c r="AF208" s="22" t="str">
        <f t="shared" si="111"/>
        <v/>
      </c>
      <c r="AG208" s="9" t="str">
        <f t="shared" ca="1" si="90"/>
        <v/>
      </c>
      <c r="AH208" s="9" t="str">
        <f t="shared" ca="1" si="91"/>
        <v/>
      </c>
      <c r="AI208" s="9" t="str">
        <f t="shared" ca="1" si="92"/>
        <v/>
      </c>
      <c r="AJ208" s="9" t="str">
        <f t="shared" ca="1" si="93"/>
        <v/>
      </c>
      <c r="AK208" s="9" t="str">
        <f t="shared" ca="1" si="94"/>
        <v/>
      </c>
      <c r="AL208" s="9" t="str">
        <f t="shared" ca="1" si="95"/>
        <v/>
      </c>
      <c r="AM208" s="9" t="str">
        <f t="shared" ca="1" si="96"/>
        <v/>
      </c>
      <c r="AN208" s="9" t="str">
        <f t="shared" ca="1" si="97"/>
        <v/>
      </c>
      <c r="AO208" s="9" t="str">
        <f t="shared" ca="1" si="98"/>
        <v/>
      </c>
      <c r="AP208" s="9" t="str">
        <f t="shared" ca="1" si="99"/>
        <v/>
      </c>
      <c r="AQ208" s="9"/>
      <c r="AR208" s="9"/>
      <c r="AS208" s="9"/>
      <c r="AT208" s="9"/>
      <c r="AU208" s="9"/>
    </row>
    <row r="209" spans="1:47" x14ac:dyDescent="0.3">
      <c r="A209" s="1">
        <v>43762</v>
      </c>
      <c r="B209" s="6">
        <v>269.70001200000002</v>
      </c>
      <c r="C209" s="6">
        <v>137.720001</v>
      </c>
      <c r="D209" s="6">
        <v>28.305</v>
      </c>
      <c r="E209" s="6">
        <v>137.88999899999999</v>
      </c>
      <c r="F209" s="6">
        <v>114.16999800000001</v>
      </c>
      <c r="G209" s="6">
        <v>49.439999</v>
      </c>
      <c r="H209" s="6">
        <v>103.110001</v>
      </c>
      <c r="I209" s="6">
        <v>165.550003</v>
      </c>
      <c r="J209" s="6">
        <v>21.48</v>
      </c>
      <c r="K209" s="6">
        <v>27.540001</v>
      </c>
      <c r="N209" s="19">
        <v>205</v>
      </c>
      <c r="O209" s="1">
        <v>43762</v>
      </c>
      <c r="P209" s="5">
        <f t="shared" si="100"/>
        <v>3.1564537879935392E-2</v>
      </c>
      <c r="Q209" s="5">
        <f t="shared" si="101"/>
        <v>2.7681345551025704E-2</v>
      </c>
      <c r="R209" s="5">
        <f t="shared" si="102"/>
        <v>7.2688911489231086E-3</v>
      </c>
      <c r="S209" s="5">
        <f t="shared" si="103"/>
        <v>3.1960658163563225E-3</v>
      </c>
      <c r="T209" s="5">
        <f t="shared" si="104"/>
        <v>-2.4494720157565283E-3</v>
      </c>
      <c r="U209" s="5">
        <f t="shared" si="105"/>
        <v>-1.4148360545534128E-3</v>
      </c>
      <c r="V209" s="5">
        <f t="shared" si="106"/>
        <v>-1.7441864717888719E-3</v>
      </c>
      <c r="W209" s="5">
        <f t="shared" si="107"/>
        <v>3.752183096856846E-3</v>
      </c>
      <c r="X209" s="5">
        <f t="shared" si="108"/>
        <v>3.7313476128581842E-3</v>
      </c>
      <c r="Y209" s="5">
        <f t="shared" si="109"/>
        <v>-2.2263001678512865E-2</v>
      </c>
      <c r="Z209" s="33">
        <v>205</v>
      </c>
      <c r="AE209" s="20" t="str">
        <f t="shared" si="110"/>
        <v/>
      </c>
      <c r="AF209" s="22" t="str">
        <f t="shared" si="111"/>
        <v/>
      </c>
      <c r="AG209" s="9" t="str">
        <f t="shared" ca="1" si="90"/>
        <v/>
      </c>
      <c r="AH209" s="9" t="str">
        <f t="shared" ca="1" si="91"/>
        <v/>
      </c>
      <c r="AI209" s="9" t="str">
        <f t="shared" ca="1" si="92"/>
        <v/>
      </c>
      <c r="AJ209" s="9" t="str">
        <f t="shared" ca="1" si="93"/>
        <v/>
      </c>
      <c r="AK209" s="9" t="str">
        <f t="shared" ca="1" si="94"/>
        <v/>
      </c>
      <c r="AL209" s="9" t="str">
        <f t="shared" ca="1" si="95"/>
        <v/>
      </c>
      <c r="AM209" s="9" t="str">
        <f t="shared" ca="1" si="96"/>
        <v/>
      </c>
      <c r="AN209" s="9" t="str">
        <f t="shared" ca="1" si="97"/>
        <v/>
      </c>
      <c r="AO209" s="9" t="str">
        <f t="shared" ca="1" si="98"/>
        <v/>
      </c>
      <c r="AP209" s="9" t="str">
        <f t="shared" ca="1" si="99"/>
        <v/>
      </c>
      <c r="AQ209" s="9"/>
      <c r="AR209" s="9"/>
      <c r="AS209" s="9"/>
      <c r="AT209" s="9"/>
      <c r="AU209" s="9"/>
    </row>
    <row r="210" spans="1:47" x14ac:dyDescent="0.3">
      <c r="A210" s="1">
        <v>43763</v>
      </c>
      <c r="B210" s="6">
        <v>270.98001099999999</v>
      </c>
      <c r="C210" s="6">
        <v>137.13999899999999</v>
      </c>
      <c r="D210" s="6">
        <v>28.174999</v>
      </c>
      <c r="E210" s="6">
        <v>136.63999899999999</v>
      </c>
      <c r="F210" s="6">
        <v>113.83000199999999</v>
      </c>
      <c r="G210" s="6">
        <v>49.419998</v>
      </c>
      <c r="H210" s="6">
        <v>103.650002</v>
      </c>
      <c r="I210" s="6">
        <v>166.63999899999999</v>
      </c>
      <c r="J210" s="6">
        <v>21.85</v>
      </c>
      <c r="K210" s="6">
        <v>27.57</v>
      </c>
      <c r="N210" s="18">
        <v>206</v>
      </c>
      <c r="O210" s="1">
        <v>43763</v>
      </c>
      <c r="P210" s="5">
        <f t="shared" si="100"/>
        <v>4.7347833721204588E-3</v>
      </c>
      <c r="Q210" s="5">
        <f t="shared" si="101"/>
        <v>-4.2203511670327416E-3</v>
      </c>
      <c r="R210" s="5">
        <f t="shared" si="102"/>
        <v>-4.6034430552417014E-3</v>
      </c>
      <c r="S210" s="5">
        <f t="shared" si="103"/>
        <v>-9.1065358797337622E-3</v>
      </c>
      <c r="T210" s="5">
        <f t="shared" si="104"/>
        <v>-2.9824232633133612E-3</v>
      </c>
      <c r="U210" s="5">
        <f t="shared" si="105"/>
        <v>-4.0463283188028269E-4</v>
      </c>
      <c r="V210" s="5">
        <f t="shared" si="106"/>
        <v>5.2234689492625299E-3</v>
      </c>
      <c r="W210" s="5">
        <f t="shared" si="107"/>
        <v>6.5625088370877141E-3</v>
      </c>
      <c r="X210" s="5">
        <f t="shared" si="108"/>
        <v>1.7078651900935295E-2</v>
      </c>
      <c r="Y210" s="5">
        <f t="shared" si="109"/>
        <v>1.088695424376666E-3</v>
      </c>
      <c r="Z210" s="33">
        <v>206</v>
      </c>
      <c r="AE210" s="20" t="str">
        <f t="shared" si="110"/>
        <v/>
      </c>
      <c r="AF210" s="22" t="str">
        <f t="shared" si="111"/>
        <v/>
      </c>
      <c r="AG210" s="9" t="str">
        <f t="shared" ca="1" si="90"/>
        <v/>
      </c>
      <c r="AH210" s="9" t="str">
        <f t="shared" ca="1" si="91"/>
        <v/>
      </c>
      <c r="AI210" s="9" t="str">
        <f t="shared" ca="1" si="92"/>
        <v/>
      </c>
      <c r="AJ210" s="9" t="str">
        <f t="shared" ca="1" si="93"/>
        <v/>
      </c>
      <c r="AK210" s="9" t="str">
        <f t="shared" ca="1" si="94"/>
        <v/>
      </c>
      <c r="AL210" s="9" t="str">
        <f t="shared" ca="1" si="95"/>
        <v/>
      </c>
      <c r="AM210" s="9" t="str">
        <f t="shared" ca="1" si="96"/>
        <v/>
      </c>
      <c r="AN210" s="9" t="str">
        <f t="shared" ca="1" si="97"/>
        <v/>
      </c>
      <c r="AO210" s="9" t="str">
        <f t="shared" ca="1" si="98"/>
        <v/>
      </c>
      <c r="AP210" s="9" t="str">
        <f t="shared" ca="1" si="99"/>
        <v/>
      </c>
      <c r="AQ210" s="9"/>
      <c r="AR210" s="9"/>
      <c r="AS210" s="9"/>
      <c r="AT210" s="9"/>
      <c r="AU210" s="9"/>
    </row>
    <row r="211" spans="1:47" x14ac:dyDescent="0.3">
      <c r="A211" s="1">
        <v>43766</v>
      </c>
      <c r="B211" s="6">
        <v>271.35000600000001</v>
      </c>
      <c r="C211" s="6">
        <v>137.28999300000001</v>
      </c>
      <c r="D211" s="6">
        <v>27.985001</v>
      </c>
      <c r="E211" s="6">
        <v>136.570007</v>
      </c>
      <c r="F211" s="6">
        <v>113.269997</v>
      </c>
      <c r="G211" s="6">
        <v>49.049999</v>
      </c>
      <c r="H211" s="6">
        <v>104.209999</v>
      </c>
      <c r="I211" s="6">
        <v>166.33000200000001</v>
      </c>
      <c r="J211" s="6">
        <v>22.17</v>
      </c>
      <c r="K211" s="6">
        <v>27.790001</v>
      </c>
      <c r="N211" s="19">
        <v>207</v>
      </c>
      <c r="O211" s="1">
        <v>43766</v>
      </c>
      <c r="P211" s="5">
        <f t="shared" si="100"/>
        <v>1.3644646093916627E-3</v>
      </c>
      <c r="Q211" s="5">
        <f t="shared" si="101"/>
        <v>1.0931313581506676E-3</v>
      </c>
      <c r="R211" s="5">
        <f t="shared" si="102"/>
        <v>-6.7663363566306534E-3</v>
      </c>
      <c r="S211" s="5">
        <f t="shared" si="103"/>
        <v>-5.1236777566026736E-4</v>
      </c>
      <c r="T211" s="5">
        <f t="shared" si="104"/>
        <v>-4.9318021799526881E-3</v>
      </c>
      <c r="U211" s="5">
        <f t="shared" si="105"/>
        <v>-7.5149944670055971E-3</v>
      </c>
      <c r="V211" s="5">
        <f t="shared" si="106"/>
        <v>5.3882262308327716E-3</v>
      </c>
      <c r="W211" s="5">
        <f t="shared" si="107"/>
        <v>-1.8620121250237196E-3</v>
      </c>
      <c r="X211" s="5">
        <f t="shared" si="108"/>
        <v>1.4539102086620938E-2</v>
      </c>
      <c r="Y211" s="5">
        <f t="shared" si="109"/>
        <v>7.9480547028733025E-3</v>
      </c>
      <c r="Z211" s="33">
        <v>207</v>
      </c>
      <c r="AE211" s="20" t="str">
        <f t="shared" si="110"/>
        <v/>
      </c>
      <c r="AF211" s="22" t="str">
        <f t="shared" si="111"/>
        <v/>
      </c>
      <c r="AG211" s="9" t="str">
        <f t="shared" ca="1" si="90"/>
        <v/>
      </c>
      <c r="AH211" s="9" t="str">
        <f t="shared" ca="1" si="91"/>
        <v/>
      </c>
      <c r="AI211" s="9" t="str">
        <f t="shared" ca="1" si="92"/>
        <v/>
      </c>
      <c r="AJ211" s="9" t="str">
        <f t="shared" ca="1" si="93"/>
        <v/>
      </c>
      <c r="AK211" s="9" t="str">
        <f t="shared" ca="1" si="94"/>
        <v/>
      </c>
      <c r="AL211" s="9" t="str">
        <f t="shared" ca="1" si="95"/>
        <v/>
      </c>
      <c r="AM211" s="9" t="str">
        <f t="shared" ca="1" si="96"/>
        <v/>
      </c>
      <c r="AN211" s="9" t="str">
        <f t="shared" ca="1" si="97"/>
        <v/>
      </c>
      <c r="AO211" s="9" t="str">
        <f t="shared" ca="1" si="98"/>
        <v/>
      </c>
      <c r="AP211" s="9" t="str">
        <f t="shared" ca="1" si="99"/>
        <v/>
      </c>
      <c r="AQ211" s="9"/>
      <c r="AR211" s="9"/>
      <c r="AS211" s="9"/>
      <c r="AT211" s="9"/>
      <c r="AU211" s="9"/>
    </row>
    <row r="212" spans="1:47" x14ac:dyDescent="0.3">
      <c r="A212" s="1">
        <v>43767</v>
      </c>
      <c r="B212" s="6">
        <v>271.45001200000002</v>
      </c>
      <c r="C212" s="6">
        <v>136.679993</v>
      </c>
      <c r="D212" s="6">
        <v>28.075001</v>
      </c>
      <c r="E212" s="6">
        <v>136.08000200000001</v>
      </c>
      <c r="F212" s="6">
        <v>113.449997</v>
      </c>
      <c r="G212" s="6">
        <v>49.18</v>
      </c>
      <c r="H212" s="6">
        <v>105.040001</v>
      </c>
      <c r="I212" s="6">
        <v>165.699997</v>
      </c>
      <c r="J212" s="6">
        <v>22.040001</v>
      </c>
      <c r="K212" s="6">
        <v>27.42</v>
      </c>
      <c r="N212" s="18">
        <v>208</v>
      </c>
      <c r="O212" s="1">
        <v>43767</v>
      </c>
      <c r="P212" s="5">
        <f t="shared" si="100"/>
        <v>3.6848193741783301E-4</v>
      </c>
      <c r="Q212" s="5">
        <f t="shared" si="101"/>
        <v>-4.4530498899763744E-3</v>
      </c>
      <c r="R212" s="5">
        <f t="shared" si="102"/>
        <v>3.2108481666334276E-3</v>
      </c>
      <c r="S212" s="5">
        <f t="shared" si="103"/>
        <v>-3.594392161254976E-3</v>
      </c>
      <c r="T212" s="5">
        <f t="shared" si="104"/>
        <v>1.587862055250277E-3</v>
      </c>
      <c r="U212" s="5">
        <f t="shared" si="105"/>
        <v>2.64687116403441E-3</v>
      </c>
      <c r="V212" s="5">
        <f t="shared" si="106"/>
        <v>7.9331551063955633E-3</v>
      </c>
      <c r="W212" s="5">
        <f t="shared" si="107"/>
        <v>-3.794872499224603E-3</v>
      </c>
      <c r="X212" s="5">
        <f t="shared" si="108"/>
        <v>-5.8809939714566844E-3</v>
      </c>
      <c r="Y212" s="5">
        <f t="shared" si="109"/>
        <v>-1.3403605604410236E-2</v>
      </c>
      <c r="Z212" s="33">
        <v>208</v>
      </c>
      <c r="AE212" s="20" t="str">
        <f t="shared" si="110"/>
        <v/>
      </c>
      <c r="AF212" s="22" t="str">
        <f t="shared" si="111"/>
        <v/>
      </c>
      <c r="AG212" s="9" t="str">
        <f t="shared" ca="1" si="90"/>
        <v/>
      </c>
      <c r="AH212" s="9" t="str">
        <f t="shared" ca="1" si="91"/>
        <v/>
      </c>
      <c r="AI212" s="9" t="str">
        <f t="shared" ca="1" si="92"/>
        <v/>
      </c>
      <c r="AJ212" s="9" t="str">
        <f t="shared" ca="1" si="93"/>
        <v/>
      </c>
      <c r="AK212" s="9" t="str">
        <f t="shared" ca="1" si="94"/>
        <v/>
      </c>
      <c r="AL212" s="9" t="str">
        <f t="shared" ca="1" si="95"/>
        <v/>
      </c>
      <c r="AM212" s="9" t="str">
        <f t="shared" ca="1" si="96"/>
        <v/>
      </c>
      <c r="AN212" s="9" t="str">
        <f t="shared" ca="1" si="97"/>
        <v/>
      </c>
      <c r="AO212" s="9" t="str">
        <f t="shared" ca="1" si="98"/>
        <v/>
      </c>
      <c r="AP212" s="9" t="str">
        <f t="shared" ca="1" si="99"/>
        <v/>
      </c>
      <c r="AQ212" s="9"/>
      <c r="AR212" s="9"/>
      <c r="AS212" s="9"/>
      <c r="AT212" s="9"/>
      <c r="AU212" s="9"/>
    </row>
    <row r="213" spans="1:47" x14ac:dyDescent="0.3">
      <c r="A213" s="1">
        <v>43768</v>
      </c>
      <c r="B213" s="6">
        <v>278.41000400000001</v>
      </c>
      <c r="C213" s="6">
        <v>137.61000100000001</v>
      </c>
      <c r="D213" s="6">
        <v>28.075001</v>
      </c>
      <c r="E213" s="6">
        <v>136.89999399999999</v>
      </c>
      <c r="F213" s="6">
        <v>114.599998</v>
      </c>
      <c r="G213" s="6">
        <v>50.360000999999997</v>
      </c>
      <c r="H213" s="6">
        <v>103.94000200000001</v>
      </c>
      <c r="I213" s="6">
        <v>164.86999499999999</v>
      </c>
      <c r="J213" s="6">
        <v>22.1</v>
      </c>
      <c r="K213" s="6">
        <v>26.91</v>
      </c>
      <c r="N213" s="19">
        <v>209</v>
      </c>
      <c r="O213" s="1">
        <v>43768</v>
      </c>
      <c r="P213" s="5">
        <f t="shared" si="100"/>
        <v>2.531685716420766E-2</v>
      </c>
      <c r="Q213" s="5">
        <f t="shared" si="101"/>
        <v>6.7812285115301241E-3</v>
      </c>
      <c r="R213" s="5">
        <f t="shared" si="102"/>
        <v>0</v>
      </c>
      <c r="S213" s="5">
        <f t="shared" si="103"/>
        <v>6.0077256819476236E-3</v>
      </c>
      <c r="T213" s="5">
        <f t="shared" si="104"/>
        <v>1.0085602046148761E-2</v>
      </c>
      <c r="U213" s="5">
        <f t="shared" si="105"/>
        <v>2.3710192245129113E-2</v>
      </c>
      <c r="V213" s="5">
        <f t="shared" si="106"/>
        <v>-1.0527410692557511E-2</v>
      </c>
      <c r="W213" s="5">
        <f t="shared" si="107"/>
        <v>-5.0216520813455108E-3</v>
      </c>
      <c r="X213" s="5">
        <f t="shared" si="108"/>
        <v>2.7185788669436056E-3</v>
      </c>
      <c r="Y213" s="5">
        <f t="shared" si="109"/>
        <v>-1.8774709395353945E-2</v>
      </c>
      <c r="Z213" s="33">
        <v>209</v>
      </c>
      <c r="AE213" s="20" t="str">
        <f t="shared" si="110"/>
        <v/>
      </c>
      <c r="AF213" s="22" t="str">
        <f t="shared" si="111"/>
        <v/>
      </c>
      <c r="AG213" s="9" t="str">
        <f t="shared" ca="1" si="90"/>
        <v/>
      </c>
      <c r="AH213" s="9" t="str">
        <f t="shared" ca="1" si="91"/>
        <v/>
      </c>
      <c r="AI213" s="9" t="str">
        <f t="shared" ca="1" si="92"/>
        <v/>
      </c>
      <c r="AJ213" s="9" t="str">
        <f t="shared" ca="1" si="93"/>
        <v/>
      </c>
      <c r="AK213" s="9" t="str">
        <f t="shared" ca="1" si="94"/>
        <v/>
      </c>
      <c r="AL213" s="9" t="str">
        <f t="shared" ca="1" si="95"/>
        <v/>
      </c>
      <c r="AM213" s="9" t="str">
        <f t="shared" ca="1" si="96"/>
        <v/>
      </c>
      <c r="AN213" s="9" t="str">
        <f t="shared" ca="1" si="97"/>
        <v/>
      </c>
      <c r="AO213" s="9" t="str">
        <f t="shared" ca="1" si="98"/>
        <v/>
      </c>
      <c r="AP213" s="9" t="str">
        <f t="shared" ca="1" si="99"/>
        <v/>
      </c>
      <c r="AQ213" s="9"/>
      <c r="AR213" s="9"/>
      <c r="AS213" s="9"/>
      <c r="AT213" s="9"/>
      <c r="AU213" s="9"/>
    </row>
    <row r="214" spans="1:47" x14ac:dyDescent="0.3">
      <c r="A214" s="1">
        <v>43769</v>
      </c>
      <c r="B214" s="6">
        <v>277.92999300000002</v>
      </c>
      <c r="C214" s="6">
        <v>135.75</v>
      </c>
      <c r="D214" s="6">
        <v>28.065000999999999</v>
      </c>
      <c r="E214" s="6">
        <v>137.16999799999999</v>
      </c>
      <c r="F214" s="6">
        <v>114.370003</v>
      </c>
      <c r="G214" s="6">
        <v>50.25</v>
      </c>
      <c r="H214" s="6">
        <v>103.889999</v>
      </c>
      <c r="I214" s="6">
        <v>162.66999799999999</v>
      </c>
      <c r="J214" s="6">
        <v>21.75</v>
      </c>
      <c r="K214" s="6">
        <v>26.959999</v>
      </c>
      <c r="N214" s="18">
        <v>210</v>
      </c>
      <c r="O214" s="1">
        <v>43769</v>
      </c>
      <c r="P214" s="5">
        <f t="shared" si="100"/>
        <v>-1.725603485995683E-3</v>
      </c>
      <c r="Q214" s="5">
        <f t="shared" si="101"/>
        <v>-1.3608645730059299E-2</v>
      </c>
      <c r="R214" s="5">
        <f t="shared" si="102"/>
        <v>-3.5625221765272683E-4</v>
      </c>
      <c r="S214" s="5">
        <f t="shared" si="103"/>
        <v>1.9703294430771495E-3</v>
      </c>
      <c r="T214" s="5">
        <f t="shared" si="104"/>
        <v>-2.0089538048521805E-3</v>
      </c>
      <c r="U214" s="5">
        <f t="shared" si="105"/>
        <v>-2.1866820939904002E-3</v>
      </c>
      <c r="V214" s="5">
        <f t="shared" si="106"/>
        <v>-4.8119136529117611E-4</v>
      </c>
      <c r="W214" s="5">
        <f t="shared" si="107"/>
        <v>-1.3433657762630495E-2</v>
      </c>
      <c r="X214" s="5">
        <f t="shared" si="108"/>
        <v>-1.5963850989014088E-2</v>
      </c>
      <c r="Y214" s="5">
        <f t="shared" si="109"/>
        <v>1.8562842133029289E-3</v>
      </c>
      <c r="Z214" s="33">
        <v>210</v>
      </c>
      <c r="AE214" s="20" t="str">
        <f t="shared" si="110"/>
        <v/>
      </c>
      <c r="AF214" s="22" t="str">
        <f t="shared" si="111"/>
        <v/>
      </c>
      <c r="AG214" s="9" t="str">
        <f t="shared" ca="1" si="90"/>
        <v/>
      </c>
      <c r="AH214" s="9" t="str">
        <f t="shared" ca="1" si="91"/>
        <v/>
      </c>
      <c r="AI214" s="9" t="str">
        <f t="shared" ca="1" si="92"/>
        <v/>
      </c>
      <c r="AJ214" s="9" t="str">
        <f t="shared" ca="1" si="93"/>
        <v/>
      </c>
      <c r="AK214" s="9" t="str">
        <f t="shared" ca="1" si="94"/>
        <v/>
      </c>
      <c r="AL214" s="9" t="str">
        <f t="shared" ca="1" si="95"/>
        <v/>
      </c>
      <c r="AM214" s="9" t="str">
        <f t="shared" ca="1" si="96"/>
        <v/>
      </c>
      <c r="AN214" s="9" t="str">
        <f t="shared" ca="1" si="97"/>
        <v/>
      </c>
      <c r="AO214" s="9" t="str">
        <f t="shared" ca="1" si="98"/>
        <v/>
      </c>
      <c r="AP214" s="9" t="str">
        <f t="shared" ca="1" si="99"/>
        <v/>
      </c>
      <c r="AQ214" s="9"/>
      <c r="AR214" s="9"/>
      <c r="AS214" s="9"/>
      <c r="AT214" s="9"/>
      <c r="AU214" s="9"/>
    </row>
    <row r="215" spans="1:47" x14ac:dyDescent="0.3">
      <c r="A215" s="1">
        <v>43770</v>
      </c>
      <c r="B215" s="6">
        <v>277.82000699999998</v>
      </c>
      <c r="C215" s="6">
        <v>136.10000600000001</v>
      </c>
      <c r="D215" s="6">
        <v>28.125</v>
      </c>
      <c r="E215" s="6">
        <v>136.929993</v>
      </c>
      <c r="F215" s="6">
        <v>114.349998</v>
      </c>
      <c r="G215" s="6">
        <v>49.73</v>
      </c>
      <c r="H215" s="6">
        <v>106.629997</v>
      </c>
      <c r="I215" s="6">
        <v>166.86999499999999</v>
      </c>
      <c r="J215" s="6">
        <v>21.950001</v>
      </c>
      <c r="K215" s="6">
        <v>27.26</v>
      </c>
      <c r="N215" s="19">
        <v>211</v>
      </c>
      <c r="O215" s="1">
        <v>43770</v>
      </c>
      <c r="P215" s="5">
        <f t="shared" si="100"/>
        <v>-3.958110712945777E-4</v>
      </c>
      <c r="Q215" s="5">
        <f t="shared" si="101"/>
        <v>2.5749949286061977E-3</v>
      </c>
      <c r="R215" s="5">
        <f t="shared" si="102"/>
        <v>2.1355764988525896E-3</v>
      </c>
      <c r="S215" s="5">
        <f t="shared" si="103"/>
        <v>-1.7512226867376554E-3</v>
      </c>
      <c r="T215" s="5">
        <f t="shared" si="104"/>
        <v>-1.7493004515168998E-4</v>
      </c>
      <c r="U215" s="5">
        <f t="shared" si="105"/>
        <v>-1.0402174212538012E-2</v>
      </c>
      <c r="V215" s="5">
        <f t="shared" si="106"/>
        <v>2.6032232438541685E-2</v>
      </c>
      <c r="W215" s="5">
        <f t="shared" si="107"/>
        <v>2.5491439711834339E-2</v>
      </c>
      <c r="X215" s="5">
        <f t="shared" si="108"/>
        <v>9.1534275445727606E-3</v>
      </c>
      <c r="Y215" s="5">
        <f t="shared" si="109"/>
        <v>1.1066177316269233E-2</v>
      </c>
      <c r="Z215" s="33">
        <v>211</v>
      </c>
      <c r="AE215" s="20" t="str">
        <f t="shared" si="110"/>
        <v/>
      </c>
      <c r="AF215" s="22" t="str">
        <f t="shared" si="111"/>
        <v/>
      </c>
      <c r="AG215" s="9" t="str">
        <f t="shared" ca="1" si="90"/>
        <v/>
      </c>
      <c r="AH215" s="9" t="str">
        <f t="shared" ca="1" si="91"/>
        <v/>
      </c>
      <c r="AI215" s="9" t="str">
        <f t="shared" ca="1" si="92"/>
        <v/>
      </c>
      <c r="AJ215" s="9" t="str">
        <f t="shared" ca="1" si="93"/>
        <v/>
      </c>
      <c r="AK215" s="9" t="str">
        <f t="shared" ca="1" si="94"/>
        <v/>
      </c>
      <c r="AL215" s="9" t="str">
        <f t="shared" ca="1" si="95"/>
        <v/>
      </c>
      <c r="AM215" s="9" t="str">
        <f t="shared" ca="1" si="96"/>
        <v/>
      </c>
      <c r="AN215" s="9" t="str">
        <f t="shared" ca="1" si="97"/>
        <v/>
      </c>
      <c r="AO215" s="9" t="str">
        <f t="shared" ca="1" si="98"/>
        <v/>
      </c>
      <c r="AP215" s="9" t="str">
        <f t="shared" ca="1" si="99"/>
        <v/>
      </c>
      <c r="AQ215" s="9"/>
      <c r="AR215" s="9"/>
      <c r="AS215" s="9"/>
      <c r="AT215" s="9"/>
      <c r="AU215" s="9"/>
    </row>
    <row r="216" spans="1:47" x14ac:dyDescent="0.3">
      <c r="A216" s="1">
        <v>43773</v>
      </c>
      <c r="B216" s="6">
        <v>277.5</v>
      </c>
      <c r="C216" s="6">
        <v>135.770004</v>
      </c>
      <c r="D216" s="6">
        <v>28.045000000000002</v>
      </c>
      <c r="E216" s="6">
        <v>135.16000399999999</v>
      </c>
      <c r="F216" s="6">
        <v>113.5</v>
      </c>
      <c r="G216" s="6">
        <v>49.580002</v>
      </c>
      <c r="H216" s="6">
        <v>109.360001</v>
      </c>
      <c r="I216" s="6">
        <v>168.509995</v>
      </c>
      <c r="J216" s="6">
        <v>22.040001</v>
      </c>
      <c r="K216" s="6">
        <v>27.809999000000001</v>
      </c>
      <c r="N216" s="18">
        <v>212</v>
      </c>
      <c r="O216" s="1">
        <v>43773</v>
      </c>
      <c r="P216" s="5">
        <f t="shared" si="100"/>
        <v>-1.1525139789237315E-3</v>
      </c>
      <c r="Q216" s="5">
        <f t="shared" si="101"/>
        <v>-2.4276466688720492E-3</v>
      </c>
      <c r="R216" s="5">
        <f t="shared" si="102"/>
        <v>-2.8484975642839483E-3</v>
      </c>
      <c r="S216" s="5">
        <f t="shared" si="103"/>
        <v>-1.3010503782486992E-2</v>
      </c>
      <c r="T216" s="5">
        <f t="shared" si="104"/>
        <v>-7.4610660571707912E-3</v>
      </c>
      <c r="U216" s="5">
        <f t="shared" si="105"/>
        <v>-3.0208057807571747E-3</v>
      </c>
      <c r="V216" s="5">
        <f t="shared" si="106"/>
        <v>2.5280331664388676E-2</v>
      </c>
      <c r="W216" s="5">
        <f t="shared" si="107"/>
        <v>9.7800293452548082E-3</v>
      </c>
      <c r="X216" s="5">
        <f t="shared" si="108"/>
        <v>4.0918445774977448E-3</v>
      </c>
      <c r="Y216" s="5">
        <f t="shared" si="109"/>
        <v>1.997520601919785E-2</v>
      </c>
      <c r="Z216" s="33">
        <v>212</v>
      </c>
      <c r="AE216" s="20" t="str">
        <f t="shared" si="110"/>
        <v/>
      </c>
      <c r="AF216" s="22" t="str">
        <f t="shared" si="111"/>
        <v/>
      </c>
      <c r="AG216" s="9" t="str">
        <f t="shared" ca="1" si="90"/>
        <v/>
      </c>
      <c r="AH216" s="9" t="str">
        <f t="shared" ca="1" si="91"/>
        <v/>
      </c>
      <c r="AI216" s="9" t="str">
        <f t="shared" ca="1" si="92"/>
        <v/>
      </c>
      <c r="AJ216" s="9" t="str">
        <f t="shared" ca="1" si="93"/>
        <v/>
      </c>
      <c r="AK216" s="9" t="str">
        <f t="shared" ca="1" si="94"/>
        <v/>
      </c>
      <c r="AL216" s="9" t="str">
        <f t="shared" ca="1" si="95"/>
        <v/>
      </c>
      <c r="AM216" s="9" t="str">
        <f t="shared" ca="1" si="96"/>
        <v/>
      </c>
      <c r="AN216" s="9" t="str">
        <f t="shared" ca="1" si="97"/>
        <v/>
      </c>
      <c r="AO216" s="9" t="str">
        <f t="shared" ca="1" si="98"/>
        <v/>
      </c>
      <c r="AP216" s="9" t="str">
        <f t="shared" ca="1" si="99"/>
        <v/>
      </c>
      <c r="AQ216" s="9"/>
      <c r="AR216" s="9"/>
      <c r="AS216" s="9"/>
      <c r="AT216" s="9"/>
      <c r="AU216" s="9"/>
    </row>
    <row r="217" spans="1:47" x14ac:dyDescent="0.3">
      <c r="A217" s="1">
        <v>43774</v>
      </c>
      <c r="B217" s="6">
        <v>289.290009</v>
      </c>
      <c r="C217" s="6">
        <v>135.63000500000001</v>
      </c>
      <c r="D217" s="6">
        <v>28.235001</v>
      </c>
      <c r="E217" s="6">
        <v>134.009995</v>
      </c>
      <c r="F217" s="6">
        <v>112.089996</v>
      </c>
      <c r="G217" s="6">
        <v>48.5</v>
      </c>
      <c r="H217" s="6">
        <v>109.5</v>
      </c>
      <c r="I217" s="6">
        <v>168.070007</v>
      </c>
      <c r="J217" s="6">
        <v>22.4</v>
      </c>
      <c r="K217" s="6">
        <v>27.950001</v>
      </c>
      <c r="N217" s="19">
        <v>213</v>
      </c>
      <c r="O217" s="1">
        <v>43774</v>
      </c>
      <c r="P217" s="5">
        <f t="shared" si="100"/>
        <v>4.1608743114563314E-2</v>
      </c>
      <c r="Q217" s="5">
        <f t="shared" si="101"/>
        <v>-1.0316802341556221E-3</v>
      </c>
      <c r="R217" s="5">
        <f t="shared" si="102"/>
        <v>6.7520155815346296E-3</v>
      </c>
      <c r="S217" s="5">
        <f t="shared" si="103"/>
        <v>-8.5449047191553992E-3</v>
      </c>
      <c r="T217" s="5">
        <f t="shared" si="104"/>
        <v>-1.2500752574063788E-2</v>
      </c>
      <c r="U217" s="5">
        <f t="shared" si="105"/>
        <v>-2.2023769002452474E-2</v>
      </c>
      <c r="V217" s="5">
        <f t="shared" si="106"/>
        <v>1.2793476967502446E-3</v>
      </c>
      <c r="W217" s="5">
        <f t="shared" si="107"/>
        <v>-2.6144646028339285E-3</v>
      </c>
      <c r="X217" s="5">
        <f t="shared" si="108"/>
        <v>1.6201929204230546E-2</v>
      </c>
      <c r="Y217" s="5">
        <f t="shared" si="109"/>
        <v>5.021603091698355E-3</v>
      </c>
      <c r="Z217" s="33">
        <v>213</v>
      </c>
      <c r="AE217" s="20" t="str">
        <f t="shared" si="110"/>
        <v/>
      </c>
      <c r="AF217" s="22" t="str">
        <f t="shared" si="111"/>
        <v/>
      </c>
      <c r="AG217" s="9" t="str">
        <f t="shared" ca="1" si="90"/>
        <v/>
      </c>
      <c r="AH217" s="9" t="str">
        <f t="shared" ca="1" si="91"/>
        <v/>
      </c>
      <c r="AI217" s="9" t="str">
        <f t="shared" ca="1" si="92"/>
        <v/>
      </c>
      <c r="AJ217" s="9" t="str">
        <f t="shared" ca="1" si="93"/>
        <v/>
      </c>
      <c r="AK217" s="9" t="str">
        <f t="shared" ca="1" si="94"/>
        <v/>
      </c>
      <c r="AL217" s="9" t="str">
        <f t="shared" ca="1" si="95"/>
        <v/>
      </c>
      <c r="AM217" s="9" t="str">
        <f t="shared" ca="1" si="96"/>
        <v/>
      </c>
      <c r="AN217" s="9" t="str">
        <f t="shared" ca="1" si="97"/>
        <v/>
      </c>
      <c r="AO217" s="9" t="str">
        <f t="shared" ca="1" si="98"/>
        <v/>
      </c>
      <c r="AP217" s="9" t="str">
        <f t="shared" ca="1" si="99"/>
        <v/>
      </c>
      <c r="AQ217" s="9"/>
      <c r="AR217" s="9"/>
      <c r="AS217" s="9"/>
      <c r="AT217" s="9"/>
      <c r="AU217" s="9"/>
    </row>
    <row r="218" spans="1:47" x14ac:dyDescent="0.3">
      <c r="A218" s="1">
        <v>43775</v>
      </c>
      <c r="B218" s="6">
        <v>287.39999399999999</v>
      </c>
      <c r="C218" s="6">
        <v>136.570007</v>
      </c>
      <c r="D218" s="6">
        <v>27.995000999999998</v>
      </c>
      <c r="E218" s="6">
        <v>134.44000199999999</v>
      </c>
      <c r="F218" s="6">
        <v>112.260002</v>
      </c>
      <c r="G218" s="6">
        <v>48.650002000000001</v>
      </c>
      <c r="H218" s="6">
        <v>109.459999</v>
      </c>
      <c r="I218" s="6">
        <v>166.80999800000001</v>
      </c>
      <c r="J218" s="6">
        <v>22.360001</v>
      </c>
      <c r="K218" s="6">
        <v>27.690000999999999</v>
      </c>
      <c r="N218" s="18">
        <v>214</v>
      </c>
      <c r="O218" s="1">
        <v>43775</v>
      </c>
      <c r="P218" s="5">
        <f t="shared" si="100"/>
        <v>-6.5547235329549043E-3</v>
      </c>
      <c r="Q218" s="5">
        <f t="shared" si="101"/>
        <v>6.9067281064748012E-3</v>
      </c>
      <c r="R218" s="5">
        <f t="shared" si="102"/>
        <v>-8.5364200203146886E-3</v>
      </c>
      <c r="S218" s="5">
        <f t="shared" si="103"/>
        <v>3.2036310119418301E-3</v>
      </c>
      <c r="T218" s="5">
        <f t="shared" si="104"/>
        <v>1.5155429824444142E-3</v>
      </c>
      <c r="U218" s="5">
        <f t="shared" si="105"/>
        <v>3.0880517985449672E-3</v>
      </c>
      <c r="V218" s="5">
        <f t="shared" si="106"/>
        <v>-3.6537267654084308E-4</v>
      </c>
      <c r="W218" s="5">
        <f t="shared" si="107"/>
        <v>-7.5251727615119751E-3</v>
      </c>
      <c r="X218" s="5">
        <f t="shared" si="108"/>
        <v>-1.7872658513775643E-3</v>
      </c>
      <c r="Y218" s="5">
        <f t="shared" si="109"/>
        <v>-9.3458620822924818E-3</v>
      </c>
      <c r="Z218" s="33">
        <v>214</v>
      </c>
      <c r="AE218" s="20" t="str">
        <f t="shared" si="110"/>
        <v/>
      </c>
      <c r="AF218" s="22" t="str">
        <f t="shared" si="111"/>
        <v/>
      </c>
      <c r="AG218" s="9" t="str">
        <f t="shared" ca="1" si="90"/>
        <v/>
      </c>
      <c r="AH218" s="9" t="str">
        <f t="shared" ca="1" si="91"/>
        <v/>
      </c>
      <c r="AI218" s="9" t="str">
        <f t="shared" ca="1" si="92"/>
        <v/>
      </c>
      <c r="AJ218" s="9" t="str">
        <f t="shared" ca="1" si="93"/>
        <v/>
      </c>
      <c r="AK218" s="9" t="str">
        <f t="shared" ca="1" si="94"/>
        <v/>
      </c>
      <c r="AL218" s="9" t="str">
        <f t="shared" ca="1" si="95"/>
        <v/>
      </c>
      <c r="AM218" s="9" t="str">
        <f t="shared" ca="1" si="96"/>
        <v/>
      </c>
      <c r="AN218" s="9" t="str">
        <f t="shared" ca="1" si="97"/>
        <v/>
      </c>
      <c r="AO218" s="9" t="str">
        <f t="shared" ca="1" si="98"/>
        <v/>
      </c>
      <c r="AP218" s="9" t="str">
        <f t="shared" ca="1" si="99"/>
        <v/>
      </c>
      <c r="AQ218" s="9"/>
      <c r="AR218" s="9"/>
      <c r="AS218" s="9"/>
      <c r="AT218" s="9"/>
      <c r="AU218" s="9"/>
    </row>
    <row r="219" spans="1:47" x14ac:dyDescent="0.3">
      <c r="A219" s="1">
        <v>43776</v>
      </c>
      <c r="B219" s="6">
        <v>290.76998900000001</v>
      </c>
      <c r="C219" s="6">
        <v>135.229996</v>
      </c>
      <c r="D219" s="6">
        <v>28.32</v>
      </c>
      <c r="E219" s="6">
        <v>133.320007</v>
      </c>
      <c r="F219" s="6">
        <v>110.269997</v>
      </c>
      <c r="G219" s="6">
        <v>47.490001999999997</v>
      </c>
      <c r="H219" s="6">
        <v>109.129997</v>
      </c>
      <c r="I219" s="6">
        <v>166.970001</v>
      </c>
      <c r="J219" s="6">
        <v>22.67</v>
      </c>
      <c r="K219" s="6">
        <v>31.030000999999999</v>
      </c>
      <c r="N219" s="19">
        <v>215</v>
      </c>
      <c r="O219" s="1">
        <v>43776</v>
      </c>
      <c r="P219" s="5">
        <f t="shared" si="100"/>
        <v>1.1657586052556835E-2</v>
      </c>
      <c r="Q219" s="5">
        <f t="shared" si="101"/>
        <v>-9.8603520400654936E-3</v>
      </c>
      <c r="R219" s="5">
        <f t="shared" si="102"/>
        <v>1.1542310303998791E-2</v>
      </c>
      <c r="S219" s="5">
        <f t="shared" si="103"/>
        <v>-8.3657117886414261E-3</v>
      </c>
      <c r="T219" s="5">
        <f t="shared" si="104"/>
        <v>-1.7885750765200173E-2</v>
      </c>
      <c r="U219" s="5">
        <f t="shared" si="105"/>
        <v>-2.4132645066823621E-2</v>
      </c>
      <c r="V219" s="5">
        <f t="shared" si="106"/>
        <v>-3.0193719451659579E-3</v>
      </c>
      <c r="W219" s="5">
        <f t="shared" si="107"/>
        <v>9.587333736903389E-4</v>
      </c>
      <c r="X219" s="5">
        <f t="shared" si="108"/>
        <v>1.3768771509821229E-2</v>
      </c>
      <c r="Y219" s="5">
        <f t="shared" si="109"/>
        <v>0.11388313739017517</v>
      </c>
      <c r="Z219" s="33">
        <v>215</v>
      </c>
      <c r="AE219" s="20" t="str">
        <f t="shared" si="110"/>
        <v/>
      </c>
      <c r="AF219" s="22" t="str">
        <f t="shared" si="111"/>
        <v/>
      </c>
      <c r="AG219" s="9" t="str">
        <f t="shared" ca="1" si="90"/>
        <v/>
      </c>
      <c r="AH219" s="9" t="str">
        <f t="shared" ca="1" si="91"/>
        <v/>
      </c>
      <c r="AI219" s="9" t="str">
        <f t="shared" ca="1" si="92"/>
        <v/>
      </c>
      <c r="AJ219" s="9" t="str">
        <f t="shared" ca="1" si="93"/>
        <v/>
      </c>
      <c r="AK219" s="9" t="str">
        <f t="shared" ca="1" si="94"/>
        <v/>
      </c>
      <c r="AL219" s="9" t="str">
        <f t="shared" ca="1" si="95"/>
        <v/>
      </c>
      <c r="AM219" s="9" t="str">
        <f t="shared" ca="1" si="96"/>
        <v/>
      </c>
      <c r="AN219" s="9" t="str">
        <f t="shared" ca="1" si="97"/>
        <v/>
      </c>
      <c r="AO219" s="9" t="str">
        <f t="shared" ca="1" si="98"/>
        <v/>
      </c>
      <c r="AP219" s="9" t="str">
        <f t="shared" ca="1" si="99"/>
        <v/>
      </c>
      <c r="AQ219" s="9"/>
      <c r="AR219" s="9"/>
      <c r="AS219" s="9"/>
      <c r="AT219" s="9"/>
      <c r="AU219" s="9"/>
    </row>
    <row r="220" spans="1:47" x14ac:dyDescent="0.3">
      <c r="A220" s="1">
        <v>43777</v>
      </c>
      <c r="B220" s="6">
        <v>292.459991</v>
      </c>
      <c r="C220" s="6">
        <v>136.21000699999999</v>
      </c>
      <c r="D220" s="6">
        <v>29.08</v>
      </c>
      <c r="E220" s="6">
        <v>133.13000500000001</v>
      </c>
      <c r="F220" s="6">
        <v>110.120003</v>
      </c>
      <c r="G220" s="6">
        <v>47.369999</v>
      </c>
      <c r="H220" s="6">
        <v>109.349998</v>
      </c>
      <c r="I220" s="6">
        <v>166.94000199999999</v>
      </c>
      <c r="J220" s="6">
        <v>22.969999000000001</v>
      </c>
      <c r="K220" s="6">
        <v>30.91</v>
      </c>
      <c r="N220" s="18">
        <v>216</v>
      </c>
      <c r="O220" s="1">
        <v>43777</v>
      </c>
      <c r="P220" s="5">
        <f t="shared" si="100"/>
        <v>5.7953355896390099E-3</v>
      </c>
      <c r="Q220" s="5">
        <f t="shared" si="101"/>
        <v>7.2208609444502671E-3</v>
      </c>
      <c r="R220" s="5">
        <f t="shared" si="102"/>
        <v>2.6482383839799607E-2</v>
      </c>
      <c r="S220" s="5">
        <f t="shared" si="103"/>
        <v>-1.4261739436881237E-3</v>
      </c>
      <c r="T220" s="5">
        <f t="shared" si="104"/>
        <v>-1.3611690472239697E-3</v>
      </c>
      <c r="U220" s="5">
        <f t="shared" si="105"/>
        <v>-2.5301088499060159E-3</v>
      </c>
      <c r="V220" s="5">
        <f t="shared" si="106"/>
        <v>2.0139241980330113E-3</v>
      </c>
      <c r="W220" s="5">
        <f t="shared" si="107"/>
        <v>-1.7968314702279038E-4</v>
      </c>
      <c r="X220" s="5">
        <f t="shared" si="108"/>
        <v>1.3146508646522517E-2</v>
      </c>
      <c r="Y220" s="5">
        <f t="shared" si="109"/>
        <v>-3.8747545431405891E-3</v>
      </c>
      <c r="Z220" s="33">
        <v>216</v>
      </c>
      <c r="AE220" s="20" t="str">
        <f t="shared" si="110"/>
        <v/>
      </c>
      <c r="AF220" s="22" t="str">
        <f t="shared" si="111"/>
        <v/>
      </c>
      <c r="AG220" s="9" t="str">
        <f t="shared" ca="1" si="90"/>
        <v/>
      </c>
      <c r="AH220" s="9" t="str">
        <f t="shared" ca="1" si="91"/>
        <v/>
      </c>
      <c r="AI220" s="9" t="str">
        <f t="shared" ca="1" si="92"/>
        <v/>
      </c>
      <c r="AJ220" s="9" t="str">
        <f t="shared" ca="1" si="93"/>
        <v/>
      </c>
      <c r="AK220" s="9" t="str">
        <f t="shared" ca="1" si="94"/>
        <v/>
      </c>
      <c r="AL220" s="9" t="str">
        <f t="shared" ca="1" si="95"/>
        <v/>
      </c>
      <c r="AM220" s="9" t="str">
        <f t="shared" ca="1" si="96"/>
        <v/>
      </c>
      <c r="AN220" s="9" t="str">
        <f t="shared" ca="1" si="97"/>
        <v/>
      </c>
      <c r="AO220" s="9" t="str">
        <f t="shared" ca="1" si="98"/>
        <v/>
      </c>
      <c r="AP220" s="9" t="str">
        <f t="shared" ca="1" si="99"/>
        <v/>
      </c>
      <c r="AQ220" s="9"/>
      <c r="AR220" s="9"/>
      <c r="AS220" s="9"/>
      <c r="AT220" s="9"/>
      <c r="AU220" s="9"/>
    </row>
    <row r="221" spans="1:47" x14ac:dyDescent="0.3">
      <c r="A221" s="1">
        <v>43780</v>
      </c>
      <c r="B221" s="6">
        <v>290.26998900000001</v>
      </c>
      <c r="C221" s="6">
        <v>137.80999800000001</v>
      </c>
      <c r="D221" s="6">
        <v>29.014999</v>
      </c>
      <c r="E221" s="6">
        <v>132.38999899999999</v>
      </c>
      <c r="F221" s="6">
        <v>110.400002</v>
      </c>
      <c r="G221" s="6">
        <v>47.509998000000003</v>
      </c>
      <c r="H221" s="6">
        <v>109.949997</v>
      </c>
      <c r="I221" s="6">
        <v>167.949997</v>
      </c>
      <c r="J221" s="6">
        <v>22.51</v>
      </c>
      <c r="K221" s="6">
        <v>30.959999</v>
      </c>
      <c r="N221" s="19">
        <v>217</v>
      </c>
      <c r="O221" s="1">
        <v>43780</v>
      </c>
      <c r="P221" s="5">
        <f t="shared" si="100"/>
        <v>-7.5163879865451167E-3</v>
      </c>
      <c r="Q221" s="5">
        <f t="shared" si="101"/>
        <v>1.167804652383545E-2</v>
      </c>
      <c r="R221" s="5">
        <f t="shared" si="102"/>
        <v>-2.237749487679545E-3</v>
      </c>
      <c r="S221" s="5">
        <f t="shared" si="103"/>
        <v>-5.5740276049752136E-3</v>
      </c>
      <c r="T221" s="5">
        <f t="shared" si="104"/>
        <v>2.5394444415230322E-3</v>
      </c>
      <c r="U221" s="5">
        <f t="shared" si="105"/>
        <v>2.9510772771757254E-3</v>
      </c>
      <c r="V221" s="5">
        <f t="shared" si="106"/>
        <v>5.4719608827584025E-3</v>
      </c>
      <c r="W221" s="5">
        <f t="shared" si="107"/>
        <v>6.0318197928997449E-3</v>
      </c>
      <c r="X221" s="5">
        <f t="shared" si="108"/>
        <v>-2.0229318247319293E-2</v>
      </c>
      <c r="Y221" s="5">
        <f t="shared" si="109"/>
        <v>1.6162602777592002E-3</v>
      </c>
      <c r="Z221" s="33">
        <v>217</v>
      </c>
      <c r="AE221" s="20" t="str">
        <f t="shared" si="110"/>
        <v/>
      </c>
      <c r="AF221" s="22" t="str">
        <f t="shared" si="111"/>
        <v/>
      </c>
      <c r="AG221" s="9" t="str">
        <f t="shared" ca="1" si="90"/>
        <v/>
      </c>
      <c r="AH221" s="9" t="str">
        <f t="shared" ca="1" si="91"/>
        <v/>
      </c>
      <c r="AI221" s="9" t="str">
        <f t="shared" ca="1" si="92"/>
        <v/>
      </c>
      <c r="AJ221" s="9" t="str">
        <f t="shared" ca="1" si="93"/>
        <v/>
      </c>
      <c r="AK221" s="9" t="str">
        <f t="shared" ca="1" si="94"/>
        <v/>
      </c>
      <c r="AL221" s="9" t="str">
        <f t="shared" ca="1" si="95"/>
        <v/>
      </c>
      <c r="AM221" s="9" t="str">
        <f t="shared" ca="1" si="96"/>
        <v/>
      </c>
      <c r="AN221" s="9" t="str">
        <f t="shared" ca="1" si="97"/>
        <v/>
      </c>
      <c r="AO221" s="9" t="str">
        <f t="shared" ca="1" si="98"/>
        <v/>
      </c>
      <c r="AP221" s="9" t="str">
        <f t="shared" ca="1" si="99"/>
        <v/>
      </c>
      <c r="AQ221" s="9"/>
      <c r="AR221" s="9"/>
      <c r="AS221" s="9"/>
      <c r="AT221" s="9"/>
      <c r="AU221" s="9"/>
    </row>
    <row r="222" spans="1:47" x14ac:dyDescent="0.3">
      <c r="A222" s="1">
        <v>43781</v>
      </c>
      <c r="B222" s="6">
        <v>291.72000100000002</v>
      </c>
      <c r="C222" s="6">
        <v>138.88999899999999</v>
      </c>
      <c r="D222" s="6">
        <v>29.200001</v>
      </c>
      <c r="E222" s="6">
        <v>131.979996</v>
      </c>
      <c r="F222" s="6">
        <v>109.349998</v>
      </c>
      <c r="G222" s="6">
        <v>47.029998999999997</v>
      </c>
      <c r="H222" s="6">
        <v>110.010002</v>
      </c>
      <c r="I222" s="6">
        <v>168.94000199999999</v>
      </c>
      <c r="J222" s="6">
        <v>22.450001</v>
      </c>
      <c r="K222" s="6">
        <v>30.74</v>
      </c>
      <c r="N222" s="18">
        <v>218</v>
      </c>
      <c r="O222" s="1">
        <v>43781</v>
      </c>
      <c r="P222" s="5">
        <f t="shared" si="100"/>
        <v>4.9829551202285874E-3</v>
      </c>
      <c r="Q222" s="5">
        <f t="shared" si="101"/>
        <v>7.8063353538666714E-3</v>
      </c>
      <c r="R222" s="5">
        <f t="shared" si="102"/>
        <v>6.3558403431718206E-3</v>
      </c>
      <c r="S222" s="5">
        <f t="shared" si="103"/>
        <v>-3.1017387484720523E-3</v>
      </c>
      <c r="T222" s="5">
        <f t="shared" si="104"/>
        <v>-9.556423126054911E-3</v>
      </c>
      <c r="U222" s="5">
        <f t="shared" si="105"/>
        <v>-1.0154498408495697E-2</v>
      </c>
      <c r="V222" s="5">
        <f t="shared" si="106"/>
        <v>5.4559921586947737E-4</v>
      </c>
      <c r="W222" s="5">
        <f t="shared" si="107"/>
        <v>5.8773359420304407E-3</v>
      </c>
      <c r="X222" s="5">
        <f t="shared" si="108"/>
        <v>-2.6689961869488139E-3</v>
      </c>
      <c r="Y222" s="5">
        <f t="shared" si="109"/>
        <v>-7.1312783113345228E-3</v>
      </c>
      <c r="Z222" s="33">
        <v>218</v>
      </c>
      <c r="AE222" s="20" t="str">
        <f t="shared" si="110"/>
        <v/>
      </c>
      <c r="AF222" s="22" t="str">
        <f t="shared" si="111"/>
        <v/>
      </c>
      <c r="AG222" s="9" t="str">
        <f t="shared" ca="1" si="90"/>
        <v/>
      </c>
      <c r="AH222" s="9" t="str">
        <f t="shared" ca="1" si="91"/>
        <v/>
      </c>
      <c r="AI222" s="9" t="str">
        <f t="shared" ca="1" si="92"/>
        <v/>
      </c>
      <c r="AJ222" s="9" t="str">
        <f t="shared" ca="1" si="93"/>
        <v/>
      </c>
      <c r="AK222" s="9" t="str">
        <f t="shared" ca="1" si="94"/>
        <v/>
      </c>
      <c r="AL222" s="9" t="str">
        <f t="shared" ca="1" si="95"/>
        <v/>
      </c>
      <c r="AM222" s="9" t="str">
        <f t="shared" ca="1" si="96"/>
        <v/>
      </c>
      <c r="AN222" s="9" t="str">
        <f t="shared" ca="1" si="97"/>
        <v/>
      </c>
      <c r="AO222" s="9" t="str">
        <f t="shared" ca="1" si="98"/>
        <v/>
      </c>
      <c r="AP222" s="9" t="str">
        <f t="shared" ca="1" si="99"/>
        <v/>
      </c>
      <c r="AQ222" s="9"/>
      <c r="AR222" s="9"/>
      <c r="AS222" s="9"/>
      <c r="AT222" s="9"/>
      <c r="AU222" s="9"/>
    </row>
    <row r="223" spans="1:47" x14ac:dyDescent="0.3">
      <c r="A223" s="1">
        <v>43782</v>
      </c>
      <c r="B223" s="6">
        <v>293.540009</v>
      </c>
      <c r="C223" s="6">
        <v>139.199997</v>
      </c>
      <c r="D223" s="6">
        <v>29.475000000000001</v>
      </c>
      <c r="E223" s="6">
        <v>133.28999300000001</v>
      </c>
      <c r="F223" s="6">
        <v>110.730003</v>
      </c>
      <c r="G223" s="6">
        <v>47.689999</v>
      </c>
      <c r="H223" s="6">
        <v>109.139999</v>
      </c>
      <c r="I223" s="6">
        <v>164.30999800000001</v>
      </c>
      <c r="J223" s="6">
        <v>22.139999</v>
      </c>
      <c r="K223" s="6">
        <v>29.879999000000002</v>
      </c>
      <c r="N223" s="19">
        <v>219</v>
      </c>
      <c r="O223" s="1">
        <v>43782</v>
      </c>
      <c r="P223" s="5">
        <f t="shared" si="100"/>
        <v>6.2195052992918996E-3</v>
      </c>
      <c r="Q223" s="5">
        <f t="shared" si="101"/>
        <v>2.2294806204098379E-3</v>
      </c>
      <c r="R223" s="5">
        <f t="shared" si="102"/>
        <v>9.3737029026237928E-3</v>
      </c>
      <c r="S223" s="5">
        <f t="shared" si="103"/>
        <v>9.87678745120474E-3</v>
      </c>
      <c r="T223" s="5">
        <f t="shared" si="104"/>
        <v>1.2541103970063446E-2</v>
      </c>
      <c r="U223" s="5">
        <f t="shared" si="105"/>
        <v>1.3936036647443514E-2</v>
      </c>
      <c r="V223" s="5">
        <f t="shared" si="106"/>
        <v>-7.9398363359672978E-3</v>
      </c>
      <c r="W223" s="5">
        <f t="shared" si="107"/>
        <v>-2.7788758846247125E-2</v>
      </c>
      <c r="X223" s="5">
        <f t="shared" si="108"/>
        <v>-1.3904776618320737E-2</v>
      </c>
      <c r="Y223" s="5">
        <f t="shared" si="109"/>
        <v>-2.8375411313035892E-2</v>
      </c>
      <c r="Z223" s="33">
        <v>219</v>
      </c>
      <c r="AE223" s="20" t="str">
        <f t="shared" si="110"/>
        <v/>
      </c>
      <c r="AF223" s="22" t="str">
        <f t="shared" si="111"/>
        <v/>
      </c>
      <c r="AG223" s="9" t="str">
        <f t="shared" ca="1" si="90"/>
        <v/>
      </c>
      <c r="AH223" s="9" t="str">
        <f t="shared" ca="1" si="91"/>
        <v/>
      </c>
      <c r="AI223" s="9" t="str">
        <f t="shared" ca="1" si="92"/>
        <v/>
      </c>
      <c r="AJ223" s="9" t="str">
        <f t="shared" ca="1" si="93"/>
        <v/>
      </c>
      <c r="AK223" s="9" t="str">
        <f t="shared" ca="1" si="94"/>
        <v/>
      </c>
      <c r="AL223" s="9" t="str">
        <f t="shared" ca="1" si="95"/>
        <v/>
      </c>
      <c r="AM223" s="9" t="str">
        <f t="shared" ca="1" si="96"/>
        <v/>
      </c>
      <c r="AN223" s="9" t="str">
        <f t="shared" ca="1" si="97"/>
        <v/>
      </c>
      <c r="AO223" s="9" t="str">
        <f t="shared" ca="1" si="98"/>
        <v/>
      </c>
      <c r="AP223" s="9" t="str">
        <f t="shared" ca="1" si="99"/>
        <v/>
      </c>
      <c r="AQ223" s="9"/>
      <c r="AR223" s="9"/>
      <c r="AS223" s="9"/>
      <c r="AT223" s="9"/>
      <c r="AU223" s="9"/>
    </row>
    <row r="224" spans="1:47" x14ac:dyDescent="0.3">
      <c r="A224" s="1">
        <v>43783</v>
      </c>
      <c r="B224" s="6">
        <v>294.52999899999998</v>
      </c>
      <c r="C224" s="6">
        <v>138.13000500000001</v>
      </c>
      <c r="D224" s="6">
        <v>29.465</v>
      </c>
      <c r="E224" s="6">
        <v>133.33000200000001</v>
      </c>
      <c r="F224" s="6">
        <v>111.459999</v>
      </c>
      <c r="G224" s="6">
        <v>48.049999</v>
      </c>
      <c r="H224" s="6">
        <v>108.709999</v>
      </c>
      <c r="I224" s="6">
        <v>164.53999300000001</v>
      </c>
      <c r="J224" s="6">
        <v>22.23</v>
      </c>
      <c r="K224" s="6">
        <v>29.9</v>
      </c>
      <c r="N224" s="18">
        <v>220</v>
      </c>
      <c r="O224" s="1">
        <v>43783</v>
      </c>
      <c r="P224" s="5">
        <f t="shared" si="100"/>
        <v>3.3669152371400067E-3</v>
      </c>
      <c r="Q224" s="5">
        <f t="shared" si="101"/>
        <v>-7.7164194389422796E-3</v>
      </c>
      <c r="R224" s="5">
        <f t="shared" si="102"/>
        <v>-3.3932813355795979E-4</v>
      </c>
      <c r="S224" s="5">
        <f t="shared" si="103"/>
        <v>3.0012002888450055E-4</v>
      </c>
      <c r="T224" s="5">
        <f t="shared" si="104"/>
        <v>6.5709403666164385E-3</v>
      </c>
      <c r="U224" s="5">
        <f t="shared" si="105"/>
        <v>7.5204032632705331E-3</v>
      </c>
      <c r="V224" s="5">
        <f t="shared" si="106"/>
        <v>-3.9476755784191965E-3</v>
      </c>
      <c r="W224" s="5">
        <f t="shared" si="107"/>
        <v>1.3987839063106619E-3</v>
      </c>
      <c r="X224" s="5">
        <f t="shared" si="108"/>
        <v>4.0568458627337758E-3</v>
      </c>
      <c r="Y224" s="5">
        <f t="shared" si="109"/>
        <v>6.6915359922676198E-4</v>
      </c>
      <c r="Z224" s="33">
        <v>220</v>
      </c>
      <c r="AE224" s="20" t="str">
        <f t="shared" si="110"/>
        <v/>
      </c>
      <c r="AF224" s="22" t="str">
        <f t="shared" si="111"/>
        <v/>
      </c>
      <c r="AG224" s="9" t="str">
        <f t="shared" ca="1" si="90"/>
        <v/>
      </c>
      <c r="AH224" s="9" t="str">
        <f t="shared" ca="1" si="91"/>
        <v/>
      </c>
      <c r="AI224" s="9" t="str">
        <f t="shared" ca="1" si="92"/>
        <v/>
      </c>
      <c r="AJ224" s="9" t="str">
        <f t="shared" ca="1" si="93"/>
        <v/>
      </c>
      <c r="AK224" s="9" t="str">
        <f t="shared" ca="1" si="94"/>
        <v/>
      </c>
      <c r="AL224" s="9" t="str">
        <f t="shared" ca="1" si="95"/>
        <v/>
      </c>
      <c r="AM224" s="9" t="str">
        <f t="shared" ca="1" si="96"/>
        <v/>
      </c>
      <c r="AN224" s="9" t="str">
        <f t="shared" ca="1" si="97"/>
        <v/>
      </c>
      <c r="AO224" s="9" t="str">
        <f t="shared" ca="1" si="98"/>
        <v/>
      </c>
      <c r="AP224" s="9" t="str">
        <f t="shared" ca="1" si="99"/>
        <v/>
      </c>
      <c r="AQ224" s="9"/>
      <c r="AR224" s="9"/>
      <c r="AS224" s="9"/>
      <c r="AT224" s="9"/>
      <c r="AU224" s="9"/>
    </row>
    <row r="225" spans="1:47" x14ac:dyDescent="0.3">
      <c r="A225" s="1">
        <v>43784</v>
      </c>
      <c r="B225" s="6">
        <v>297.5</v>
      </c>
      <c r="C225" s="6">
        <v>139.71000699999999</v>
      </c>
      <c r="D225" s="6">
        <v>29.32</v>
      </c>
      <c r="E225" s="6">
        <v>133.80999800000001</v>
      </c>
      <c r="F225" s="6">
        <v>112.290001</v>
      </c>
      <c r="G225" s="6">
        <v>48.439999</v>
      </c>
      <c r="H225" s="6">
        <v>109.470001</v>
      </c>
      <c r="I225" s="6">
        <v>163.66999799999999</v>
      </c>
      <c r="J225" s="6">
        <v>22.33</v>
      </c>
      <c r="K225" s="6">
        <v>29.719999000000001</v>
      </c>
      <c r="N225" s="19">
        <v>221</v>
      </c>
      <c r="O225" s="1">
        <v>43784</v>
      </c>
      <c r="P225" s="5">
        <f t="shared" si="100"/>
        <v>1.0033362905275584E-2</v>
      </c>
      <c r="Q225" s="5">
        <f t="shared" si="101"/>
        <v>1.1373588856528057E-2</v>
      </c>
      <c r="R225" s="5">
        <f t="shared" si="102"/>
        <v>-4.9332412714258866E-3</v>
      </c>
      <c r="S225" s="5">
        <f t="shared" si="103"/>
        <v>3.593595242589208E-3</v>
      </c>
      <c r="T225" s="5">
        <f t="shared" si="104"/>
        <v>7.4190463203980261E-3</v>
      </c>
      <c r="U225" s="5">
        <f t="shared" si="105"/>
        <v>8.0837834361487306E-3</v>
      </c>
      <c r="V225" s="5">
        <f t="shared" si="106"/>
        <v>6.9667712342655784E-3</v>
      </c>
      <c r="W225" s="5">
        <f t="shared" si="107"/>
        <v>-5.3014658998546292E-3</v>
      </c>
      <c r="X225" s="5">
        <f t="shared" si="108"/>
        <v>4.488337875961119E-3</v>
      </c>
      <c r="Y225" s="5">
        <f t="shared" si="109"/>
        <v>-6.0382941944583457E-3</v>
      </c>
      <c r="Z225" s="33">
        <v>221</v>
      </c>
      <c r="AE225" s="20" t="str">
        <f t="shared" si="110"/>
        <v/>
      </c>
      <c r="AF225" s="22" t="str">
        <f t="shared" si="111"/>
        <v/>
      </c>
      <c r="AG225" s="9" t="str">
        <f t="shared" ca="1" si="90"/>
        <v/>
      </c>
      <c r="AH225" s="9" t="str">
        <f t="shared" ca="1" si="91"/>
        <v/>
      </c>
      <c r="AI225" s="9" t="str">
        <f t="shared" ca="1" si="92"/>
        <v/>
      </c>
      <c r="AJ225" s="9" t="str">
        <f t="shared" ca="1" si="93"/>
        <v/>
      </c>
      <c r="AK225" s="9" t="str">
        <f t="shared" ca="1" si="94"/>
        <v/>
      </c>
      <c r="AL225" s="9" t="str">
        <f t="shared" ca="1" si="95"/>
        <v/>
      </c>
      <c r="AM225" s="9" t="str">
        <f t="shared" ca="1" si="96"/>
        <v/>
      </c>
      <c r="AN225" s="9" t="str">
        <f t="shared" ca="1" si="97"/>
        <v/>
      </c>
      <c r="AO225" s="9" t="str">
        <f t="shared" ca="1" si="98"/>
        <v/>
      </c>
      <c r="AP225" s="9" t="str">
        <f t="shared" ca="1" si="99"/>
        <v/>
      </c>
      <c r="AQ225" s="9"/>
      <c r="AR225" s="9"/>
      <c r="AS225" s="9"/>
      <c r="AT225" s="9"/>
      <c r="AU225" s="9"/>
    </row>
    <row r="226" spans="1:47" x14ac:dyDescent="0.3">
      <c r="A226" s="1">
        <v>43787</v>
      </c>
      <c r="B226" s="6">
        <v>297.16000400000001</v>
      </c>
      <c r="C226" s="6">
        <v>139.229996</v>
      </c>
      <c r="D226" s="6">
        <v>29.514999</v>
      </c>
      <c r="E226" s="6">
        <v>134.05999800000001</v>
      </c>
      <c r="F226" s="6">
        <v>112.589996</v>
      </c>
      <c r="G226" s="6">
        <v>48.689999</v>
      </c>
      <c r="H226" s="6">
        <v>109.08000199999999</v>
      </c>
      <c r="I226" s="6">
        <v>162.050003</v>
      </c>
      <c r="J226" s="6">
        <v>22.360001</v>
      </c>
      <c r="K226" s="6">
        <v>30.76</v>
      </c>
      <c r="N226" s="18">
        <v>222</v>
      </c>
      <c r="O226" s="1">
        <v>43787</v>
      </c>
      <c r="P226" s="5">
        <f t="shared" si="100"/>
        <v>-1.1434972413171564E-3</v>
      </c>
      <c r="Q226" s="5">
        <f t="shared" si="101"/>
        <v>-3.4416825744273548E-3</v>
      </c>
      <c r="R226" s="5">
        <f t="shared" si="102"/>
        <v>6.6286977931239157E-3</v>
      </c>
      <c r="S226" s="5">
        <f t="shared" si="103"/>
        <v>1.8665776407871897E-3</v>
      </c>
      <c r="T226" s="5">
        <f t="shared" si="104"/>
        <v>2.6680467979449019E-3</v>
      </c>
      <c r="U226" s="5">
        <f t="shared" si="105"/>
        <v>5.1477516157157569E-3</v>
      </c>
      <c r="V226" s="5">
        <f t="shared" si="106"/>
        <v>-3.5689719388343013E-3</v>
      </c>
      <c r="W226" s="5">
        <f t="shared" si="107"/>
        <v>-9.9472451977210986E-3</v>
      </c>
      <c r="X226" s="5">
        <f t="shared" si="108"/>
        <v>1.342627157550033E-3</v>
      </c>
      <c r="Y226" s="5">
        <f t="shared" si="109"/>
        <v>3.4394958435260782E-2</v>
      </c>
      <c r="Z226" s="33">
        <v>222</v>
      </c>
      <c r="AE226" s="20" t="str">
        <f t="shared" si="110"/>
        <v/>
      </c>
      <c r="AF226" s="22" t="str">
        <f t="shared" si="111"/>
        <v/>
      </c>
      <c r="AG226" s="9" t="str">
        <f t="shared" ca="1" si="90"/>
        <v/>
      </c>
      <c r="AH226" s="9" t="str">
        <f t="shared" ca="1" si="91"/>
        <v/>
      </c>
      <c r="AI226" s="9" t="str">
        <f t="shared" ca="1" si="92"/>
        <v/>
      </c>
      <c r="AJ226" s="9" t="str">
        <f t="shared" ca="1" si="93"/>
        <v/>
      </c>
      <c r="AK226" s="9" t="str">
        <f t="shared" ca="1" si="94"/>
        <v/>
      </c>
      <c r="AL226" s="9" t="str">
        <f t="shared" ca="1" si="95"/>
        <v/>
      </c>
      <c r="AM226" s="9" t="str">
        <f t="shared" ca="1" si="96"/>
        <v/>
      </c>
      <c r="AN226" s="9" t="str">
        <f t="shared" ca="1" si="97"/>
        <v/>
      </c>
      <c r="AO226" s="9" t="str">
        <f t="shared" ca="1" si="98"/>
        <v/>
      </c>
      <c r="AP226" s="9" t="str">
        <f t="shared" ca="1" si="99"/>
        <v/>
      </c>
      <c r="AQ226" s="9"/>
      <c r="AR226" s="9"/>
      <c r="AS226" s="9"/>
      <c r="AT226" s="9"/>
      <c r="AU226" s="9"/>
    </row>
    <row r="227" spans="1:47" x14ac:dyDescent="0.3">
      <c r="A227" s="1">
        <v>43788</v>
      </c>
      <c r="B227" s="6">
        <v>300.60000600000001</v>
      </c>
      <c r="C227" s="6">
        <v>141.75</v>
      </c>
      <c r="D227" s="6">
        <v>29.280000999999999</v>
      </c>
      <c r="E227" s="6">
        <v>134.570007</v>
      </c>
      <c r="F227" s="6">
        <v>112.790001</v>
      </c>
      <c r="G227" s="6">
        <v>48.880001</v>
      </c>
      <c r="H227" s="6">
        <v>109.099998</v>
      </c>
      <c r="I227" s="6">
        <v>161.41000399999999</v>
      </c>
      <c r="J227" s="6">
        <v>22.41</v>
      </c>
      <c r="K227" s="6">
        <v>31.57</v>
      </c>
      <c r="N227" s="19">
        <v>223</v>
      </c>
      <c r="O227" s="1">
        <v>43788</v>
      </c>
      <c r="P227" s="5">
        <f t="shared" si="100"/>
        <v>1.1509769534586406E-2</v>
      </c>
      <c r="Q227" s="5">
        <f t="shared" si="101"/>
        <v>1.7937729416108272E-2</v>
      </c>
      <c r="R227" s="5">
        <f t="shared" si="102"/>
        <v>-7.9938515654589867E-3</v>
      </c>
      <c r="S227" s="5">
        <f t="shared" si="103"/>
        <v>3.7971157598675224E-3</v>
      </c>
      <c r="T227" s="5">
        <f t="shared" si="104"/>
        <v>1.774825229955024E-3</v>
      </c>
      <c r="U227" s="5">
        <f t="shared" si="105"/>
        <v>3.8946856650936027E-3</v>
      </c>
      <c r="V227" s="5">
        <f t="shared" si="106"/>
        <v>1.8329819466484821E-4</v>
      </c>
      <c r="W227" s="5">
        <f t="shared" si="107"/>
        <v>-3.9572115335610343E-3</v>
      </c>
      <c r="X227" s="5">
        <f t="shared" si="108"/>
        <v>2.2335948032189716E-3</v>
      </c>
      <c r="Y227" s="5">
        <f t="shared" si="109"/>
        <v>2.5992157932457082E-2</v>
      </c>
      <c r="Z227" s="33">
        <v>223</v>
      </c>
      <c r="AE227" s="20" t="str">
        <f t="shared" si="110"/>
        <v/>
      </c>
      <c r="AF227" s="22" t="str">
        <f t="shared" si="111"/>
        <v/>
      </c>
      <c r="AG227" s="9" t="str">
        <f t="shared" ca="1" si="90"/>
        <v/>
      </c>
      <c r="AH227" s="9" t="str">
        <f t="shared" ca="1" si="91"/>
        <v/>
      </c>
      <c r="AI227" s="9" t="str">
        <f t="shared" ca="1" si="92"/>
        <v/>
      </c>
      <c r="AJ227" s="9" t="str">
        <f t="shared" ca="1" si="93"/>
        <v/>
      </c>
      <c r="AK227" s="9" t="str">
        <f t="shared" ca="1" si="94"/>
        <v/>
      </c>
      <c r="AL227" s="9" t="str">
        <f t="shared" ca="1" si="95"/>
        <v/>
      </c>
      <c r="AM227" s="9" t="str">
        <f t="shared" ca="1" si="96"/>
        <v/>
      </c>
      <c r="AN227" s="9" t="str">
        <f t="shared" ca="1" si="97"/>
        <v/>
      </c>
      <c r="AO227" s="9" t="str">
        <f t="shared" ca="1" si="98"/>
        <v/>
      </c>
      <c r="AP227" s="9" t="str">
        <f t="shared" ca="1" si="99"/>
        <v/>
      </c>
      <c r="AQ227" s="9"/>
      <c r="AR227" s="9"/>
      <c r="AS227" s="9"/>
      <c r="AT227" s="9"/>
      <c r="AU227" s="9"/>
    </row>
    <row r="228" spans="1:47" x14ac:dyDescent="0.3">
      <c r="A228" s="1">
        <v>43789</v>
      </c>
      <c r="B228" s="6">
        <v>300.10000600000001</v>
      </c>
      <c r="C228" s="6">
        <v>140.83999600000001</v>
      </c>
      <c r="D228" s="6">
        <v>29</v>
      </c>
      <c r="E228" s="6">
        <v>133.740005</v>
      </c>
      <c r="F228" s="6">
        <v>112.66999800000001</v>
      </c>
      <c r="G228" s="6">
        <v>48.779998999999997</v>
      </c>
      <c r="H228" s="6">
        <v>108.57</v>
      </c>
      <c r="I228" s="6">
        <v>158.69000199999999</v>
      </c>
      <c r="J228" s="6">
        <v>22.129999000000002</v>
      </c>
      <c r="K228" s="6">
        <v>32.020000000000003</v>
      </c>
      <c r="N228" s="18">
        <v>224</v>
      </c>
      <c r="O228" s="1">
        <v>43789</v>
      </c>
      <c r="P228" s="5">
        <f t="shared" si="100"/>
        <v>-1.6647248392969709E-3</v>
      </c>
      <c r="Q228" s="5">
        <f t="shared" si="101"/>
        <v>-6.4404767220324491E-3</v>
      </c>
      <c r="R228" s="5">
        <f t="shared" si="102"/>
        <v>-9.6088932596416557E-3</v>
      </c>
      <c r="S228" s="5">
        <f t="shared" si="103"/>
        <v>-6.1869077591815468E-3</v>
      </c>
      <c r="T228" s="5">
        <f t="shared" si="104"/>
        <v>-1.0645170927393113E-3</v>
      </c>
      <c r="U228" s="5">
        <f t="shared" si="105"/>
        <v>-2.0479630340358304E-3</v>
      </c>
      <c r="V228" s="5">
        <f t="shared" si="106"/>
        <v>-4.8697482634585806E-3</v>
      </c>
      <c r="W228" s="5">
        <f t="shared" si="107"/>
        <v>-1.6995110388860528E-2</v>
      </c>
      <c r="X228" s="5">
        <f t="shared" si="108"/>
        <v>-1.2573178937406544E-2</v>
      </c>
      <c r="Y228" s="5">
        <f t="shared" si="109"/>
        <v>1.4153404998668446E-2</v>
      </c>
      <c r="Z228" s="33">
        <v>224</v>
      </c>
      <c r="AE228" s="20" t="str">
        <f t="shared" si="110"/>
        <v/>
      </c>
      <c r="AF228" s="22" t="str">
        <f t="shared" si="111"/>
        <v/>
      </c>
      <c r="AG228" s="9" t="str">
        <f t="shared" ca="1" si="90"/>
        <v/>
      </c>
      <c r="AH228" s="9" t="str">
        <f t="shared" ca="1" si="91"/>
        <v/>
      </c>
      <c r="AI228" s="9" t="str">
        <f t="shared" ca="1" si="92"/>
        <v/>
      </c>
      <c r="AJ228" s="9" t="str">
        <f t="shared" ca="1" si="93"/>
        <v/>
      </c>
      <c r="AK228" s="9" t="str">
        <f t="shared" ca="1" si="94"/>
        <v/>
      </c>
      <c r="AL228" s="9" t="str">
        <f t="shared" ca="1" si="95"/>
        <v/>
      </c>
      <c r="AM228" s="9" t="str">
        <f t="shared" ca="1" si="96"/>
        <v/>
      </c>
      <c r="AN228" s="9" t="str">
        <f t="shared" ca="1" si="97"/>
        <v/>
      </c>
      <c r="AO228" s="9" t="str">
        <f t="shared" ca="1" si="98"/>
        <v/>
      </c>
      <c r="AP228" s="9" t="str">
        <f t="shared" ca="1" si="99"/>
        <v/>
      </c>
      <c r="AQ228" s="9"/>
      <c r="AR228" s="9"/>
      <c r="AS228" s="9"/>
      <c r="AT228" s="9"/>
      <c r="AU228" s="9"/>
    </row>
    <row r="229" spans="1:47" x14ac:dyDescent="0.3">
      <c r="A229" s="1">
        <v>43790</v>
      </c>
      <c r="B229" s="6">
        <v>298.79998799999998</v>
      </c>
      <c r="C229" s="6">
        <v>138.770004</v>
      </c>
      <c r="D229" s="6">
        <v>29.200001</v>
      </c>
      <c r="E229" s="6">
        <v>133.91000399999999</v>
      </c>
      <c r="F229" s="6">
        <v>110.279999</v>
      </c>
      <c r="G229" s="6">
        <v>47.849997999999999</v>
      </c>
      <c r="H229" s="6">
        <v>109.099998</v>
      </c>
      <c r="I229" s="6">
        <v>157.979996</v>
      </c>
      <c r="J229" s="6">
        <v>22.25</v>
      </c>
      <c r="K229" s="6">
        <v>32.139999000000003</v>
      </c>
      <c r="N229" s="19">
        <v>225</v>
      </c>
      <c r="O229" s="1">
        <v>43790</v>
      </c>
      <c r="P229" s="5">
        <f t="shared" si="100"/>
        <v>-4.3413593416380247E-3</v>
      </c>
      <c r="Q229" s="5">
        <f t="shared" si="101"/>
        <v>-1.480655067823646E-2</v>
      </c>
      <c r="R229" s="5">
        <f t="shared" si="102"/>
        <v>6.8729135343368339E-3</v>
      </c>
      <c r="S229" s="5">
        <f t="shared" si="103"/>
        <v>1.2703083664784797E-3</v>
      </c>
      <c r="T229" s="5">
        <f t="shared" si="104"/>
        <v>-2.1440597337351725E-2</v>
      </c>
      <c r="U229" s="5">
        <f t="shared" si="105"/>
        <v>-1.9249296185889792E-2</v>
      </c>
      <c r="V229" s="5">
        <f t="shared" si="106"/>
        <v>4.8697482634586474E-3</v>
      </c>
      <c r="W229" s="5">
        <f t="shared" si="107"/>
        <v>-4.4842087613274698E-3</v>
      </c>
      <c r="X229" s="5">
        <f t="shared" si="108"/>
        <v>5.4078997368201612E-3</v>
      </c>
      <c r="Y229" s="5">
        <f t="shared" si="109"/>
        <v>3.740621626920734E-3</v>
      </c>
      <c r="Z229" s="33">
        <v>225</v>
      </c>
      <c r="AE229" s="20" t="str">
        <f t="shared" si="110"/>
        <v/>
      </c>
      <c r="AF229" s="22" t="str">
        <f t="shared" si="111"/>
        <v/>
      </c>
      <c r="AG229" s="9" t="str">
        <f t="shared" ca="1" si="90"/>
        <v/>
      </c>
      <c r="AH229" s="9" t="str">
        <f t="shared" ca="1" si="91"/>
        <v/>
      </c>
      <c r="AI229" s="9" t="str">
        <f t="shared" ca="1" si="92"/>
        <v/>
      </c>
      <c r="AJ229" s="9" t="str">
        <f t="shared" ca="1" si="93"/>
        <v/>
      </c>
      <c r="AK229" s="9" t="str">
        <f t="shared" ca="1" si="94"/>
        <v/>
      </c>
      <c r="AL229" s="9" t="str">
        <f t="shared" ca="1" si="95"/>
        <v/>
      </c>
      <c r="AM229" s="9" t="str">
        <f t="shared" ca="1" si="96"/>
        <v/>
      </c>
      <c r="AN229" s="9" t="str">
        <f t="shared" ca="1" si="97"/>
        <v/>
      </c>
      <c r="AO229" s="9" t="str">
        <f t="shared" ca="1" si="98"/>
        <v/>
      </c>
      <c r="AP229" s="9" t="str">
        <f t="shared" ca="1" si="99"/>
        <v/>
      </c>
      <c r="AQ229" s="9"/>
      <c r="AR229" s="9"/>
      <c r="AS229" s="9"/>
      <c r="AT229" s="9"/>
      <c r="AU229" s="9"/>
    </row>
    <row r="230" spans="1:47" x14ac:dyDescent="0.3">
      <c r="A230" s="1">
        <v>43791</v>
      </c>
      <c r="B230" s="6">
        <v>299.29998799999998</v>
      </c>
      <c r="C230" s="6">
        <v>135.38000500000001</v>
      </c>
      <c r="D230" s="6">
        <v>29.315000999999999</v>
      </c>
      <c r="E230" s="6">
        <v>134.070007</v>
      </c>
      <c r="F230" s="6">
        <v>109.449997</v>
      </c>
      <c r="G230" s="6">
        <v>47.57</v>
      </c>
      <c r="H230" s="6">
        <v>109.480003</v>
      </c>
      <c r="I230" s="6">
        <v>158.88999899999999</v>
      </c>
      <c r="J230" s="6">
        <v>22.09</v>
      </c>
      <c r="K230" s="6">
        <v>32.529998999999997</v>
      </c>
      <c r="N230" s="18">
        <v>226</v>
      </c>
      <c r="O230" s="1">
        <v>43791</v>
      </c>
      <c r="P230" s="5">
        <f t="shared" si="100"/>
        <v>1.6719616670818934E-3</v>
      </c>
      <c r="Q230" s="5">
        <f t="shared" si="101"/>
        <v>-2.473223919405439E-2</v>
      </c>
      <c r="R230" s="5">
        <f t="shared" si="102"/>
        <v>3.9306210075962002E-3</v>
      </c>
      <c r="S230" s="5">
        <f t="shared" si="103"/>
        <v>1.1941414467168286E-3</v>
      </c>
      <c r="T230" s="5">
        <f t="shared" si="104"/>
        <v>-7.5547805286733027E-3</v>
      </c>
      <c r="U230" s="5">
        <f t="shared" si="105"/>
        <v>-5.8687656574890942E-3</v>
      </c>
      <c r="V230" s="5">
        <f t="shared" si="106"/>
        <v>3.4770370675238334E-3</v>
      </c>
      <c r="W230" s="5">
        <f t="shared" si="107"/>
        <v>5.7437151900012516E-3</v>
      </c>
      <c r="X230" s="5">
        <f t="shared" si="108"/>
        <v>-7.2169911802234714E-3</v>
      </c>
      <c r="Y230" s="5">
        <f t="shared" si="109"/>
        <v>1.2061380548915592E-2</v>
      </c>
      <c r="Z230" s="33">
        <v>226</v>
      </c>
      <c r="AE230" s="20" t="str">
        <f t="shared" si="110"/>
        <v/>
      </c>
      <c r="AF230" s="22" t="str">
        <f t="shared" si="111"/>
        <v/>
      </c>
      <c r="AG230" s="9" t="str">
        <f t="shared" ca="1" si="90"/>
        <v/>
      </c>
      <c r="AH230" s="9" t="str">
        <f t="shared" ca="1" si="91"/>
        <v/>
      </c>
      <c r="AI230" s="9" t="str">
        <f t="shared" ca="1" si="92"/>
        <v/>
      </c>
      <c r="AJ230" s="9" t="str">
        <f t="shared" ca="1" si="93"/>
        <v/>
      </c>
      <c r="AK230" s="9" t="str">
        <f t="shared" ca="1" si="94"/>
        <v/>
      </c>
      <c r="AL230" s="9" t="str">
        <f t="shared" ca="1" si="95"/>
        <v/>
      </c>
      <c r="AM230" s="9" t="str">
        <f t="shared" ca="1" si="96"/>
        <v/>
      </c>
      <c r="AN230" s="9" t="str">
        <f t="shared" ca="1" si="97"/>
        <v/>
      </c>
      <c r="AO230" s="9" t="str">
        <f t="shared" ca="1" si="98"/>
        <v/>
      </c>
      <c r="AP230" s="9" t="str">
        <f t="shared" ca="1" si="99"/>
        <v/>
      </c>
      <c r="AQ230" s="9"/>
      <c r="AR230" s="9"/>
      <c r="AS230" s="9"/>
      <c r="AT230" s="9"/>
      <c r="AU230" s="9"/>
    </row>
    <row r="231" spans="1:47" x14ac:dyDescent="0.3">
      <c r="A231" s="1">
        <v>43794</v>
      </c>
      <c r="B231" s="6">
        <v>305.27999899999998</v>
      </c>
      <c r="C231" s="6">
        <v>138.19000199999999</v>
      </c>
      <c r="D231" s="6">
        <v>29.33</v>
      </c>
      <c r="E231" s="6">
        <v>133.83000200000001</v>
      </c>
      <c r="F231" s="6">
        <v>109.589996</v>
      </c>
      <c r="G231" s="6">
        <v>47.540000999999997</v>
      </c>
      <c r="H231" s="6">
        <v>111.949997</v>
      </c>
      <c r="I231" s="6">
        <v>162.46000699999999</v>
      </c>
      <c r="J231" s="6">
        <v>22.27</v>
      </c>
      <c r="K231" s="6">
        <v>32.330002</v>
      </c>
      <c r="N231" s="19">
        <v>227</v>
      </c>
      <c r="O231" s="1">
        <v>43794</v>
      </c>
      <c r="P231" s="5">
        <f t="shared" si="100"/>
        <v>1.9783010219139405E-2</v>
      </c>
      <c r="Q231" s="5">
        <f t="shared" si="101"/>
        <v>2.0543888274682089E-2</v>
      </c>
      <c r="R231" s="5">
        <f t="shared" si="102"/>
        <v>5.1151846095259963E-4</v>
      </c>
      <c r="S231" s="5">
        <f t="shared" si="103"/>
        <v>-1.791751072384341E-3</v>
      </c>
      <c r="T231" s="5">
        <f t="shared" si="104"/>
        <v>1.2782964165242456E-3</v>
      </c>
      <c r="U231" s="5">
        <f t="shared" si="105"/>
        <v>-6.3082747722460156E-4</v>
      </c>
      <c r="V231" s="5">
        <f t="shared" si="106"/>
        <v>2.2310404672342739E-2</v>
      </c>
      <c r="W231" s="5">
        <f t="shared" si="107"/>
        <v>2.2219728103722889E-2</v>
      </c>
      <c r="X231" s="5">
        <f t="shared" si="108"/>
        <v>8.1154638372504528E-3</v>
      </c>
      <c r="Y231" s="5">
        <f t="shared" si="109"/>
        <v>-6.1670561450175038E-3</v>
      </c>
      <c r="Z231" s="33">
        <v>227</v>
      </c>
      <c r="AE231" s="20" t="str">
        <f t="shared" si="110"/>
        <v/>
      </c>
      <c r="AF231" s="22" t="str">
        <f t="shared" si="111"/>
        <v/>
      </c>
      <c r="AG231" s="9" t="str">
        <f t="shared" ca="1" si="90"/>
        <v/>
      </c>
      <c r="AH231" s="9" t="str">
        <f t="shared" ca="1" si="91"/>
        <v/>
      </c>
      <c r="AI231" s="9" t="str">
        <f t="shared" ca="1" si="92"/>
        <v/>
      </c>
      <c r="AJ231" s="9" t="str">
        <f t="shared" ca="1" si="93"/>
        <v/>
      </c>
      <c r="AK231" s="9" t="str">
        <f t="shared" ca="1" si="94"/>
        <v/>
      </c>
      <c r="AL231" s="9" t="str">
        <f t="shared" ca="1" si="95"/>
        <v/>
      </c>
      <c r="AM231" s="9" t="str">
        <f t="shared" ca="1" si="96"/>
        <v/>
      </c>
      <c r="AN231" s="9" t="str">
        <f t="shared" ca="1" si="97"/>
        <v/>
      </c>
      <c r="AO231" s="9" t="str">
        <f t="shared" ca="1" si="98"/>
        <v/>
      </c>
      <c r="AP231" s="9" t="str">
        <f t="shared" ca="1" si="99"/>
        <v/>
      </c>
      <c r="AQ231" s="9"/>
      <c r="AR231" s="9"/>
      <c r="AS231" s="9"/>
      <c r="AT231" s="9"/>
      <c r="AU231" s="9"/>
    </row>
    <row r="232" spans="1:47" x14ac:dyDescent="0.3">
      <c r="A232" s="1">
        <v>43795</v>
      </c>
      <c r="B232" s="6">
        <v>307.89999399999999</v>
      </c>
      <c r="C232" s="6">
        <v>140.070007</v>
      </c>
      <c r="D232" s="6">
        <v>29.82</v>
      </c>
      <c r="E232" s="6">
        <v>135.699997</v>
      </c>
      <c r="F232" s="6">
        <v>112.089996</v>
      </c>
      <c r="G232" s="6">
        <v>47.959999000000003</v>
      </c>
      <c r="H232" s="6">
        <v>112.480003</v>
      </c>
      <c r="I232" s="6">
        <v>162.89999399999999</v>
      </c>
      <c r="J232" s="6">
        <v>22.309999000000001</v>
      </c>
      <c r="K232" s="6">
        <v>33.360000999999997</v>
      </c>
      <c r="N232" s="18">
        <v>228</v>
      </c>
      <c r="O232" s="1">
        <v>43795</v>
      </c>
      <c r="P232" s="5">
        <f t="shared" si="100"/>
        <v>8.5456504593678251E-3</v>
      </c>
      <c r="Q232" s="5">
        <f t="shared" si="101"/>
        <v>1.3512783337746212E-2</v>
      </c>
      <c r="R232" s="5">
        <f t="shared" si="102"/>
        <v>1.6568426347232705E-2</v>
      </c>
      <c r="S232" s="5">
        <f t="shared" si="103"/>
        <v>1.3876191980617524E-2</v>
      </c>
      <c r="T232" s="5">
        <f t="shared" si="104"/>
        <v>2.2555991371773981E-2</v>
      </c>
      <c r="U232" s="5">
        <f t="shared" si="105"/>
        <v>8.7958263416388557E-3</v>
      </c>
      <c r="V232" s="5">
        <f t="shared" si="106"/>
        <v>4.7231384866766417E-3</v>
      </c>
      <c r="W232" s="5">
        <f t="shared" si="107"/>
        <v>2.7046180652502152E-3</v>
      </c>
      <c r="X232" s="5">
        <f t="shared" si="108"/>
        <v>1.7944823522146407E-3</v>
      </c>
      <c r="Y232" s="5">
        <f t="shared" si="109"/>
        <v>3.1361953867177141E-2</v>
      </c>
      <c r="Z232" s="33">
        <v>228</v>
      </c>
      <c r="AE232" s="20" t="str">
        <f t="shared" si="110"/>
        <v/>
      </c>
      <c r="AF232" s="22" t="str">
        <f t="shared" si="111"/>
        <v/>
      </c>
      <c r="AG232" s="9" t="str">
        <f t="shared" ca="1" si="90"/>
        <v/>
      </c>
      <c r="AH232" s="9" t="str">
        <f t="shared" ca="1" si="91"/>
        <v/>
      </c>
      <c r="AI232" s="9" t="str">
        <f t="shared" ca="1" si="92"/>
        <v/>
      </c>
      <c r="AJ232" s="9" t="str">
        <f t="shared" ca="1" si="93"/>
        <v/>
      </c>
      <c r="AK232" s="9" t="str">
        <f t="shared" ca="1" si="94"/>
        <v/>
      </c>
      <c r="AL232" s="9" t="str">
        <f t="shared" ca="1" si="95"/>
        <v/>
      </c>
      <c r="AM232" s="9" t="str">
        <f t="shared" ca="1" si="96"/>
        <v/>
      </c>
      <c r="AN232" s="9" t="str">
        <f t="shared" ca="1" si="97"/>
        <v/>
      </c>
      <c r="AO232" s="9" t="str">
        <f t="shared" ca="1" si="98"/>
        <v/>
      </c>
      <c r="AP232" s="9" t="str">
        <f t="shared" ca="1" si="99"/>
        <v/>
      </c>
      <c r="AQ232" s="9"/>
      <c r="AR232" s="9"/>
      <c r="AS232" s="9"/>
      <c r="AT232" s="9"/>
      <c r="AU232" s="9"/>
    </row>
    <row r="233" spans="1:47" x14ac:dyDescent="0.3">
      <c r="A233" s="1">
        <v>43796</v>
      </c>
      <c r="B233" s="6">
        <v>309.05999800000001</v>
      </c>
      <c r="C233" s="6">
        <v>141.770004</v>
      </c>
      <c r="D233" s="6">
        <v>30.045000000000002</v>
      </c>
      <c r="E233" s="6">
        <v>135.91000399999999</v>
      </c>
      <c r="F233" s="6">
        <v>112.220001</v>
      </c>
      <c r="G233" s="6">
        <v>48.029998999999997</v>
      </c>
      <c r="H233" s="6">
        <v>112.099998</v>
      </c>
      <c r="I233" s="6">
        <v>162.38000500000001</v>
      </c>
      <c r="J233" s="6">
        <v>22.52</v>
      </c>
      <c r="K233" s="6">
        <v>33.119999</v>
      </c>
      <c r="N233" s="19">
        <v>229</v>
      </c>
      <c r="O233" s="1">
        <v>43796</v>
      </c>
      <c r="P233" s="5">
        <f t="shared" si="100"/>
        <v>3.7603908907054536E-3</v>
      </c>
      <c r="Q233" s="5">
        <f t="shared" si="101"/>
        <v>1.2063706718287071E-2</v>
      </c>
      <c r="R233" s="5">
        <f t="shared" si="102"/>
        <v>7.5169484492990397E-3</v>
      </c>
      <c r="S233" s="5">
        <f t="shared" si="103"/>
        <v>1.5463866652637437E-3</v>
      </c>
      <c r="T233" s="5">
        <f t="shared" si="104"/>
        <v>1.1591548864998207E-3</v>
      </c>
      <c r="U233" s="5">
        <f t="shared" si="105"/>
        <v>1.4584855478076625E-3</v>
      </c>
      <c r="V233" s="5">
        <f t="shared" si="106"/>
        <v>-3.3841424968618036E-3</v>
      </c>
      <c r="W233" s="5">
        <f t="shared" si="107"/>
        <v>-3.197180549316757E-3</v>
      </c>
      <c r="X233" s="5">
        <f t="shared" si="108"/>
        <v>9.3688396499987791E-3</v>
      </c>
      <c r="Y233" s="5">
        <f t="shared" si="109"/>
        <v>-7.2203081427428921E-3</v>
      </c>
      <c r="Z233" s="33">
        <v>229</v>
      </c>
      <c r="AE233" s="20" t="str">
        <f t="shared" si="110"/>
        <v/>
      </c>
      <c r="AF233" s="22" t="str">
        <f t="shared" si="111"/>
        <v/>
      </c>
      <c r="AG233" s="9" t="str">
        <f t="shared" ca="1" si="90"/>
        <v/>
      </c>
      <c r="AH233" s="9" t="str">
        <f t="shared" ca="1" si="91"/>
        <v/>
      </c>
      <c r="AI233" s="9" t="str">
        <f t="shared" ca="1" si="92"/>
        <v/>
      </c>
      <c r="AJ233" s="9" t="str">
        <f t="shared" ca="1" si="93"/>
        <v/>
      </c>
      <c r="AK233" s="9" t="str">
        <f t="shared" ca="1" si="94"/>
        <v/>
      </c>
      <c r="AL233" s="9" t="str">
        <f t="shared" ca="1" si="95"/>
        <v/>
      </c>
      <c r="AM233" s="9" t="str">
        <f t="shared" ca="1" si="96"/>
        <v/>
      </c>
      <c r="AN233" s="9" t="str">
        <f t="shared" ca="1" si="97"/>
        <v/>
      </c>
      <c r="AO233" s="9" t="str">
        <f t="shared" ca="1" si="98"/>
        <v/>
      </c>
      <c r="AP233" s="9" t="str">
        <f t="shared" ca="1" si="99"/>
        <v/>
      </c>
      <c r="AQ233" s="9"/>
      <c r="AR233" s="9"/>
      <c r="AS233" s="9"/>
      <c r="AT233" s="9"/>
      <c r="AU233" s="9"/>
    </row>
    <row r="234" spans="1:47" x14ac:dyDescent="0.3">
      <c r="A234" s="1">
        <v>43798</v>
      </c>
      <c r="B234" s="6">
        <v>309.52999899999998</v>
      </c>
      <c r="C234" s="6">
        <v>141.03999300000001</v>
      </c>
      <c r="D234" s="6">
        <v>29.91</v>
      </c>
      <c r="E234" s="6">
        <v>135.83000200000001</v>
      </c>
      <c r="F234" s="6">
        <v>111.550003</v>
      </c>
      <c r="G234" s="6">
        <v>48.049999</v>
      </c>
      <c r="H234" s="6">
        <v>111.480003</v>
      </c>
      <c r="I234" s="6">
        <v>160.46000699999999</v>
      </c>
      <c r="J234" s="6">
        <v>22.4</v>
      </c>
      <c r="K234" s="6">
        <v>32.939999</v>
      </c>
      <c r="N234" s="18">
        <v>230</v>
      </c>
      <c r="O234" s="1">
        <v>43798</v>
      </c>
      <c r="P234" s="5">
        <f t="shared" si="100"/>
        <v>1.5195883952899426E-3</v>
      </c>
      <c r="Q234" s="5">
        <f t="shared" si="101"/>
        <v>-5.162565885950334E-3</v>
      </c>
      <c r="R234" s="5">
        <f t="shared" si="102"/>
        <v>-4.5033851440346735E-3</v>
      </c>
      <c r="S234" s="5">
        <f t="shared" si="103"/>
        <v>-5.8881283980958665E-4</v>
      </c>
      <c r="T234" s="5">
        <f t="shared" si="104"/>
        <v>-5.9882914615825705E-3</v>
      </c>
      <c r="U234" s="5">
        <f t="shared" si="105"/>
        <v>4.1631974823468874E-4</v>
      </c>
      <c r="V234" s="5">
        <f t="shared" si="106"/>
        <v>-5.5460827124972105E-3</v>
      </c>
      <c r="W234" s="5">
        <f t="shared" si="107"/>
        <v>-1.1894564276181246E-2</v>
      </c>
      <c r="X234" s="5">
        <f t="shared" si="108"/>
        <v>-5.3428444104954695E-3</v>
      </c>
      <c r="Y234" s="5">
        <f t="shared" si="109"/>
        <v>-5.449604932555017E-3</v>
      </c>
      <c r="Z234" s="33">
        <v>230</v>
      </c>
      <c r="AE234" s="20" t="str">
        <f t="shared" si="110"/>
        <v/>
      </c>
      <c r="AF234" s="22" t="str">
        <f t="shared" si="111"/>
        <v/>
      </c>
      <c r="AG234" s="9" t="str">
        <f t="shared" ca="1" si="90"/>
        <v/>
      </c>
      <c r="AH234" s="9" t="str">
        <f t="shared" ca="1" si="91"/>
        <v/>
      </c>
      <c r="AI234" s="9" t="str">
        <f t="shared" ca="1" si="92"/>
        <v/>
      </c>
      <c r="AJ234" s="9" t="str">
        <f t="shared" ca="1" si="93"/>
        <v/>
      </c>
      <c r="AK234" s="9" t="str">
        <f t="shared" ca="1" si="94"/>
        <v/>
      </c>
      <c r="AL234" s="9" t="str">
        <f t="shared" ca="1" si="95"/>
        <v/>
      </c>
      <c r="AM234" s="9" t="str">
        <f t="shared" ca="1" si="96"/>
        <v/>
      </c>
      <c r="AN234" s="9" t="str">
        <f t="shared" ca="1" si="97"/>
        <v/>
      </c>
      <c r="AO234" s="9" t="str">
        <f t="shared" ca="1" si="98"/>
        <v/>
      </c>
      <c r="AP234" s="9" t="str">
        <f t="shared" ca="1" si="99"/>
        <v/>
      </c>
      <c r="AQ234" s="9"/>
      <c r="AR234" s="9"/>
      <c r="AS234" s="9"/>
      <c r="AT234" s="9"/>
      <c r="AU234" s="9"/>
    </row>
    <row r="235" spans="1:47" x14ac:dyDescent="0.3">
      <c r="A235" s="1">
        <v>43801</v>
      </c>
      <c r="B235" s="6">
        <v>302.75</v>
      </c>
      <c r="C235" s="6">
        <v>135.490005</v>
      </c>
      <c r="D235" s="6">
        <v>29.905000999999999</v>
      </c>
      <c r="E235" s="6">
        <v>135.88000500000001</v>
      </c>
      <c r="F235" s="6">
        <v>109.349998</v>
      </c>
      <c r="G235" s="6">
        <v>46.779998999999997</v>
      </c>
      <c r="H235" s="6">
        <v>110.30999799999999</v>
      </c>
      <c r="I235" s="6">
        <v>157.83000200000001</v>
      </c>
      <c r="J235" s="6">
        <v>22.200001</v>
      </c>
      <c r="K235" s="6">
        <v>32.740001999999997</v>
      </c>
      <c r="N235" s="19">
        <v>231</v>
      </c>
      <c r="O235" s="1">
        <v>43801</v>
      </c>
      <c r="P235" s="5">
        <f t="shared" si="100"/>
        <v>-2.2147632296401779E-2</v>
      </c>
      <c r="Q235" s="5">
        <f t="shared" si="101"/>
        <v>-4.0145614696871779E-2</v>
      </c>
      <c r="R235" s="5">
        <f t="shared" si="102"/>
        <v>-1.6714870611272826E-4</v>
      </c>
      <c r="S235" s="5">
        <f t="shared" si="103"/>
        <v>3.6806153086960005E-4</v>
      </c>
      <c r="T235" s="5">
        <f t="shared" si="104"/>
        <v>-1.9919218939428916E-2</v>
      </c>
      <c r="U235" s="5">
        <f t="shared" si="105"/>
        <v>-2.6786374825270722E-2</v>
      </c>
      <c r="V235" s="5">
        <f t="shared" si="106"/>
        <v>-1.0550663673836088E-2</v>
      </c>
      <c r="W235" s="5">
        <f t="shared" si="107"/>
        <v>-1.6526216867400641E-2</v>
      </c>
      <c r="X235" s="5">
        <f t="shared" si="108"/>
        <v>-8.9686249377162984E-3</v>
      </c>
      <c r="Y235" s="5">
        <f t="shared" si="109"/>
        <v>-6.0900613609249201E-3</v>
      </c>
      <c r="Z235" s="33">
        <v>231</v>
      </c>
      <c r="AE235" s="20" t="str">
        <f t="shared" si="110"/>
        <v/>
      </c>
      <c r="AF235" s="22" t="str">
        <f t="shared" si="111"/>
        <v/>
      </c>
      <c r="AG235" s="9" t="str">
        <f t="shared" ca="1" si="90"/>
        <v/>
      </c>
      <c r="AH235" s="9" t="str">
        <f t="shared" ca="1" si="91"/>
        <v/>
      </c>
      <c r="AI235" s="9" t="str">
        <f t="shared" ca="1" si="92"/>
        <v/>
      </c>
      <c r="AJ235" s="9" t="str">
        <f t="shared" ca="1" si="93"/>
        <v/>
      </c>
      <c r="AK235" s="9" t="str">
        <f t="shared" ca="1" si="94"/>
        <v/>
      </c>
      <c r="AL235" s="9" t="str">
        <f t="shared" ca="1" si="95"/>
        <v/>
      </c>
      <c r="AM235" s="9" t="str">
        <f t="shared" ca="1" si="96"/>
        <v/>
      </c>
      <c r="AN235" s="9" t="str">
        <f t="shared" ca="1" si="97"/>
        <v/>
      </c>
      <c r="AO235" s="9" t="str">
        <f t="shared" ca="1" si="98"/>
        <v/>
      </c>
      <c r="AP235" s="9" t="str">
        <f t="shared" ca="1" si="99"/>
        <v/>
      </c>
      <c r="AQ235" s="9"/>
      <c r="AR235" s="9"/>
      <c r="AS235" s="9"/>
      <c r="AT235" s="9"/>
      <c r="AU235" s="9"/>
    </row>
    <row r="236" spans="1:47" x14ac:dyDescent="0.3">
      <c r="A236" s="1">
        <v>43802</v>
      </c>
      <c r="B236" s="6">
        <v>303.91000400000001</v>
      </c>
      <c r="C236" s="6">
        <v>135.21000699999999</v>
      </c>
      <c r="D236" s="6">
        <v>29.495000999999998</v>
      </c>
      <c r="E236" s="6">
        <v>135.46000699999999</v>
      </c>
      <c r="F236" s="6">
        <v>110.260002</v>
      </c>
      <c r="G236" s="6">
        <v>47.119999</v>
      </c>
      <c r="H236" s="6">
        <v>109.029999</v>
      </c>
      <c r="I236" s="6">
        <v>156.570007</v>
      </c>
      <c r="J236" s="6">
        <v>22.280000999999999</v>
      </c>
      <c r="K236" s="6">
        <v>32.130001</v>
      </c>
      <c r="N236" s="18">
        <v>232</v>
      </c>
      <c r="O236" s="1">
        <v>43802</v>
      </c>
      <c r="P236" s="5">
        <f t="shared" si="100"/>
        <v>3.8242356710006848E-3</v>
      </c>
      <c r="Q236" s="5">
        <f t="shared" si="101"/>
        <v>-2.0686966194476708E-3</v>
      </c>
      <c r="R236" s="5">
        <f t="shared" si="102"/>
        <v>-1.3804932576654463E-2</v>
      </c>
      <c r="S236" s="5">
        <f t="shared" si="103"/>
        <v>-3.0957346270289402E-3</v>
      </c>
      <c r="T236" s="5">
        <f t="shared" si="104"/>
        <v>8.2875024675999418E-3</v>
      </c>
      <c r="U236" s="5">
        <f t="shared" si="105"/>
        <v>7.2417783415442902E-3</v>
      </c>
      <c r="V236" s="5">
        <f t="shared" si="106"/>
        <v>-1.16715013040648E-2</v>
      </c>
      <c r="W236" s="5">
        <f t="shared" si="107"/>
        <v>-8.0152780508199115E-3</v>
      </c>
      <c r="X236" s="5">
        <f t="shared" si="108"/>
        <v>3.5971260191077297E-3</v>
      </c>
      <c r="Y236" s="5">
        <f t="shared" si="109"/>
        <v>-1.8807428779014639E-2</v>
      </c>
      <c r="Z236" s="33">
        <v>232</v>
      </c>
      <c r="AE236" s="20" t="str">
        <f t="shared" si="110"/>
        <v/>
      </c>
      <c r="AF236" s="22" t="str">
        <f t="shared" si="111"/>
        <v/>
      </c>
      <c r="AG236" s="9" t="str">
        <f t="shared" ca="1" si="90"/>
        <v/>
      </c>
      <c r="AH236" s="9" t="str">
        <f t="shared" ca="1" si="91"/>
        <v/>
      </c>
      <c r="AI236" s="9" t="str">
        <f t="shared" ca="1" si="92"/>
        <v/>
      </c>
      <c r="AJ236" s="9" t="str">
        <f t="shared" ca="1" si="93"/>
        <v/>
      </c>
      <c r="AK236" s="9" t="str">
        <f t="shared" ca="1" si="94"/>
        <v/>
      </c>
      <c r="AL236" s="9" t="str">
        <f t="shared" ca="1" si="95"/>
        <v/>
      </c>
      <c r="AM236" s="9" t="str">
        <f t="shared" ca="1" si="96"/>
        <v/>
      </c>
      <c r="AN236" s="9" t="str">
        <f t="shared" ca="1" si="97"/>
        <v/>
      </c>
      <c r="AO236" s="9" t="str">
        <f t="shared" ca="1" si="98"/>
        <v/>
      </c>
      <c r="AP236" s="9" t="str">
        <f t="shared" ca="1" si="99"/>
        <v/>
      </c>
      <c r="AQ236" s="9"/>
      <c r="AR236" s="9"/>
      <c r="AS236" s="9"/>
      <c r="AT236" s="9"/>
      <c r="AU236" s="9"/>
    </row>
    <row r="237" spans="1:47" x14ac:dyDescent="0.3">
      <c r="A237" s="1">
        <v>43803</v>
      </c>
      <c r="B237" s="6">
        <v>302.51001000000002</v>
      </c>
      <c r="C237" s="6">
        <v>136.009995</v>
      </c>
      <c r="D237" s="6">
        <v>30.195</v>
      </c>
      <c r="E237" s="6">
        <v>137.300003</v>
      </c>
      <c r="F237" s="6">
        <v>110.599998</v>
      </c>
      <c r="G237" s="6">
        <v>47.48</v>
      </c>
      <c r="H237" s="6">
        <v>110.41999800000001</v>
      </c>
      <c r="I237" s="6">
        <v>159.16999799999999</v>
      </c>
      <c r="J237" s="6">
        <v>22.120000999999998</v>
      </c>
      <c r="K237" s="6">
        <v>32.200001</v>
      </c>
      <c r="N237" s="19">
        <v>233</v>
      </c>
      <c r="O237" s="1">
        <v>43803</v>
      </c>
      <c r="P237" s="5">
        <f t="shared" si="100"/>
        <v>-4.6172502717072694E-3</v>
      </c>
      <c r="Q237" s="5">
        <f t="shared" si="101"/>
        <v>5.8991985406746062E-3</v>
      </c>
      <c r="R237" s="5">
        <f t="shared" si="102"/>
        <v>2.3455556400774923E-2</v>
      </c>
      <c r="S237" s="5">
        <f t="shared" si="103"/>
        <v>1.3491889161361108E-2</v>
      </c>
      <c r="T237" s="5">
        <f t="shared" si="104"/>
        <v>3.0788397045699899E-3</v>
      </c>
      <c r="U237" s="5">
        <f t="shared" si="105"/>
        <v>7.6110516205470571E-3</v>
      </c>
      <c r="V237" s="5">
        <f t="shared" si="106"/>
        <v>1.2668194196734844E-2</v>
      </c>
      <c r="W237" s="5">
        <f t="shared" si="107"/>
        <v>1.6469561844713328E-2</v>
      </c>
      <c r="X237" s="5">
        <f t="shared" si="108"/>
        <v>-7.2072380802961061E-3</v>
      </c>
      <c r="Y237" s="5">
        <f t="shared" si="109"/>
        <v>2.1762793549355403E-3</v>
      </c>
      <c r="Z237" s="33">
        <v>233</v>
      </c>
      <c r="AE237" s="20" t="str">
        <f t="shared" si="110"/>
        <v/>
      </c>
      <c r="AF237" s="22" t="str">
        <f t="shared" si="111"/>
        <v/>
      </c>
      <c r="AG237" s="9" t="str">
        <f t="shared" ca="1" si="90"/>
        <v/>
      </c>
      <c r="AH237" s="9" t="str">
        <f t="shared" ca="1" si="91"/>
        <v/>
      </c>
      <c r="AI237" s="9" t="str">
        <f t="shared" ca="1" si="92"/>
        <v/>
      </c>
      <c r="AJ237" s="9" t="str">
        <f t="shared" ca="1" si="93"/>
        <v/>
      </c>
      <c r="AK237" s="9" t="str">
        <f t="shared" ca="1" si="94"/>
        <v/>
      </c>
      <c r="AL237" s="9" t="str">
        <f t="shared" ca="1" si="95"/>
        <v/>
      </c>
      <c r="AM237" s="9" t="str">
        <f t="shared" ca="1" si="96"/>
        <v/>
      </c>
      <c r="AN237" s="9" t="str">
        <f t="shared" ca="1" si="97"/>
        <v/>
      </c>
      <c r="AO237" s="9" t="str">
        <f t="shared" ca="1" si="98"/>
        <v/>
      </c>
      <c r="AP237" s="9" t="str">
        <f t="shared" ca="1" si="99"/>
        <v/>
      </c>
      <c r="AQ237" s="9"/>
      <c r="AR237" s="9"/>
      <c r="AS237" s="9"/>
      <c r="AT237" s="9"/>
      <c r="AU237" s="9"/>
    </row>
    <row r="238" spans="1:47" x14ac:dyDescent="0.3">
      <c r="A238" s="1">
        <v>43804</v>
      </c>
      <c r="B238" s="6">
        <v>303.02999899999998</v>
      </c>
      <c r="C238" s="6">
        <v>131.88000500000001</v>
      </c>
      <c r="D238" s="6">
        <v>29.959999</v>
      </c>
      <c r="E238" s="6">
        <v>136.33999600000001</v>
      </c>
      <c r="F238" s="6">
        <v>110.69000200000001</v>
      </c>
      <c r="G238" s="6">
        <v>47.810001</v>
      </c>
      <c r="H238" s="6">
        <v>111.33000199999999</v>
      </c>
      <c r="I238" s="6">
        <v>162.19000199999999</v>
      </c>
      <c r="J238" s="6">
        <v>22.280000999999999</v>
      </c>
      <c r="K238" s="6">
        <v>32.080002</v>
      </c>
      <c r="N238" s="18">
        <v>234</v>
      </c>
      <c r="O238" s="1">
        <v>43804</v>
      </c>
      <c r="P238" s="5">
        <f t="shared" si="100"/>
        <v>1.7174393767040003E-3</v>
      </c>
      <c r="Q238" s="5">
        <f t="shared" si="101"/>
        <v>-3.0835919565874382E-2</v>
      </c>
      <c r="R238" s="5">
        <f t="shared" si="102"/>
        <v>-7.8132224886834183E-3</v>
      </c>
      <c r="S238" s="5">
        <f t="shared" si="103"/>
        <v>-7.0165980276685695E-3</v>
      </c>
      <c r="T238" s="5">
        <f t="shared" si="104"/>
        <v>8.1344846096031444E-4</v>
      </c>
      <c r="U238" s="5">
        <f t="shared" si="105"/>
        <v>6.9262738126708778E-3</v>
      </c>
      <c r="V238" s="5">
        <f t="shared" si="106"/>
        <v>8.2075229619877968E-3</v>
      </c>
      <c r="W238" s="5">
        <f t="shared" si="107"/>
        <v>1.8795698954233525E-2</v>
      </c>
      <c r="X238" s="5">
        <f t="shared" si="108"/>
        <v>7.2072380802961555E-3</v>
      </c>
      <c r="Y238" s="5">
        <f t="shared" si="109"/>
        <v>-3.7336382638112585E-3</v>
      </c>
      <c r="Z238" s="33">
        <v>234</v>
      </c>
      <c r="AE238" s="20" t="str">
        <f t="shared" si="110"/>
        <v/>
      </c>
      <c r="AF238" s="22" t="str">
        <f t="shared" si="111"/>
        <v/>
      </c>
      <c r="AG238" s="9" t="str">
        <f t="shared" ca="1" si="90"/>
        <v/>
      </c>
      <c r="AH238" s="9" t="str">
        <f t="shared" ca="1" si="91"/>
        <v/>
      </c>
      <c r="AI238" s="9" t="str">
        <f t="shared" ca="1" si="92"/>
        <v/>
      </c>
      <c r="AJ238" s="9" t="str">
        <f t="shared" ca="1" si="93"/>
        <v/>
      </c>
      <c r="AK238" s="9" t="str">
        <f t="shared" ca="1" si="94"/>
        <v/>
      </c>
      <c r="AL238" s="9" t="str">
        <f t="shared" ca="1" si="95"/>
        <v/>
      </c>
      <c r="AM238" s="9" t="str">
        <f t="shared" ca="1" si="96"/>
        <v/>
      </c>
      <c r="AN238" s="9" t="str">
        <f t="shared" ca="1" si="97"/>
        <v/>
      </c>
      <c r="AO238" s="9" t="str">
        <f t="shared" ca="1" si="98"/>
        <v/>
      </c>
      <c r="AP238" s="9" t="str">
        <f t="shared" ca="1" si="99"/>
        <v/>
      </c>
      <c r="AQ238" s="9"/>
      <c r="AR238" s="9"/>
      <c r="AS238" s="9"/>
      <c r="AT238" s="9"/>
      <c r="AU238" s="9"/>
    </row>
    <row r="239" spans="1:47" x14ac:dyDescent="0.3">
      <c r="A239" s="1">
        <v>43805</v>
      </c>
      <c r="B239" s="6">
        <v>306.23001099999999</v>
      </c>
      <c r="C239" s="6">
        <v>134.21000699999999</v>
      </c>
      <c r="D239" s="6">
        <v>30.02</v>
      </c>
      <c r="E239" s="6">
        <v>137.36000100000001</v>
      </c>
      <c r="F239" s="6">
        <v>110.480003</v>
      </c>
      <c r="G239" s="6">
        <v>47.889999000000003</v>
      </c>
      <c r="H239" s="6">
        <v>112.589996</v>
      </c>
      <c r="I239" s="6">
        <v>164.970001</v>
      </c>
      <c r="J239" s="6">
        <v>22.49</v>
      </c>
      <c r="K239" s="6">
        <v>32.040000999999997</v>
      </c>
      <c r="N239" s="19">
        <v>235</v>
      </c>
      <c r="O239" s="1">
        <v>43805</v>
      </c>
      <c r="P239" s="5">
        <f t="shared" si="100"/>
        <v>1.0504682315463452E-2</v>
      </c>
      <c r="Q239" s="5">
        <f t="shared" si="101"/>
        <v>1.7513333449996206E-2</v>
      </c>
      <c r="R239" s="5">
        <f t="shared" si="102"/>
        <v>2.0007009341348535E-3</v>
      </c>
      <c r="S239" s="5">
        <f t="shared" si="103"/>
        <v>7.4534872731397027E-3</v>
      </c>
      <c r="T239" s="5">
        <f t="shared" si="104"/>
        <v>-1.8989832107396804E-3</v>
      </c>
      <c r="U239" s="5">
        <f t="shared" si="105"/>
        <v>1.6718499191936262E-3</v>
      </c>
      <c r="V239" s="5">
        <f t="shared" si="106"/>
        <v>1.1254084582679302E-2</v>
      </c>
      <c r="W239" s="5">
        <f t="shared" si="107"/>
        <v>1.6995145418726591E-2</v>
      </c>
      <c r="X239" s="5">
        <f t="shared" si="108"/>
        <v>9.3813060288387221E-3</v>
      </c>
      <c r="Y239" s="5">
        <f t="shared" si="109"/>
        <v>-1.2476919313073479E-3</v>
      </c>
      <c r="Z239" s="33">
        <v>235</v>
      </c>
      <c r="AE239" s="20" t="str">
        <f t="shared" si="110"/>
        <v/>
      </c>
      <c r="AF239" s="22" t="str">
        <f t="shared" si="111"/>
        <v/>
      </c>
      <c r="AG239" s="9" t="str">
        <f t="shared" ca="1" si="90"/>
        <v/>
      </c>
      <c r="AH239" s="9" t="str">
        <f t="shared" ca="1" si="91"/>
        <v/>
      </c>
      <c r="AI239" s="9" t="str">
        <f t="shared" ca="1" si="92"/>
        <v/>
      </c>
      <c r="AJ239" s="9" t="str">
        <f t="shared" ca="1" si="93"/>
        <v/>
      </c>
      <c r="AK239" s="9" t="str">
        <f t="shared" ca="1" si="94"/>
        <v/>
      </c>
      <c r="AL239" s="9" t="str">
        <f t="shared" ca="1" si="95"/>
        <v/>
      </c>
      <c r="AM239" s="9" t="str">
        <f t="shared" ca="1" si="96"/>
        <v/>
      </c>
      <c r="AN239" s="9" t="str">
        <f t="shared" ca="1" si="97"/>
        <v/>
      </c>
      <c r="AO239" s="9" t="str">
        <f t="shared" ca="1" si="98"/>
        <v/>
      </c>
      <c r="AP239" s="9" t="str">
        <f t="shared" ca="1" si="99"/>
        <v/>
      </c>
      <c r="AQ239" s="9"/>
      <c r="AR239" s="9"/>
      <c r="AS239" s="9"/>
      <c r="AT239" s="9"/>
      <c r="AU239" s="9"/>
    </row>
    <row r="240" spans="1:47" x14ac:dyDescent="0.3">
      <c r="A240" s="1">
        <v>43808</v>
      </c>
      <c r="B240" s="6">
        <v>307.04998799999998</v>
      </c>
      <c r="C240" s="6">
        <v>132.240005</v>
      </c>
      <c r="D240" s="6">
        <v>30.245000999999998</v>
      </c>
      <c r="E240" s="6">
        <v>137.16000399999999</v>
      </c>
      <c r="F240" s="6">
        <v>110.489998</v>
      </c>
      <c r="G240" s="6">
        <v>47.849997999999999</v>
      </c>
      <c r="H240" s="6">
        <v>112.5</v>
      </c>
      <c r="I240" s="6">
        <v>165.740005</v>
      </c>
      <c r="J240" s="6">
        <v>22.389999</v>
      </c>
      <c r="K240" s="6">
        <v>32.020000000000003</v>
      </c>
      <c r="N240" s="18">
        <v>236</v>
      </c>
      <c r="O240" s="1">
        <v>43808</v>
      </c>
      <c r="P240" s="5">
        <f t="shared" si="100"/>
        <v>2.6740721691620858E-3</v>
      </c>
      <c r="Q240" s="5">
        <f t="shared" si="101"/>
        <v>-1.4787298243970104E-2</v>
      </c>
      <c r="R240" s="5">
        <f t="shared" si="102"/>
        <v>7.4670884168772499E-3</v>
      </c>
      <c r="S240" s="5">
        <f t="shared" si="103"/>
        <v>-1.457067111619529E-3</v>
      </c>
      <c r="T240" s="5">
        <f t="shared" si="104"/>
        <v>9.0464768625401085E-5</v>
      </c>
      <c r="U240" s="5">
        <f t="shared" si="105"/>
        <v>-8.3561737165261404E-4</v>
      </c>
      <c r="V240" s="5">
        <f t="shared" si="106"/>
        <v>-7.9964464342987054E-4</v>
      </c>
      <c r="W240" s="5">
        <f t="shared" si="107"/>
        <v>4.6566803390874116E-3</v>
      </c>
      <c r="X240" s="5">
        <f t="shared" si="108"/>
        <v>-4.4563800233576849E-3</v>
      </c>
      <c r="Y240" s="5">
        <f t="shared" si="109"/>
        <v>-6.244458425754486E-4</v>
      </c>
      <c r="Z240" s="33">
        <v>236</v>
      </c>
      <c r="AE240" s="20" t="str">
        <f t="shared" si="110"/>
        <v/>
      </c>
      <c r="AF240" s="22" t="str">
        <f t="shared" si="111"/>
        <v/>
      </c>
      <c r="AG240" s="9" t="str">
        <f t="shared" ca="1" si="90"/>
        <v/>
      </c>
      <c r="AH240" s="9" t="str">
        <f t="shared" ca="1" si="91"/>
        <v/>
      </c>
      <c r="AI240" s="9" t="str">
        <f t="shared" ca="1" si="92"/>
        <v/>
      </c>
      <c r="AJ240" s="9" t="str">
        <f t="shared" ca="1" si="93"/>
        <v/>
      </c>
      <c r="AK240" s="9" t="str">
        <f t="shared" ca="1" si="94"/>
        <v/>
      </c>
      <c r="AL240" s="9" t="str">
        <f t="shared" ca="1" si="95"/>
        <v/>
      </c>
      <c r="AM240" s="9" t="str">
        <f t="shared" ca="1" si="96"/>
        <v/>
      </c>
      <c r="AN240" s="9" t="str">
        <f t="shared" ca="1" si="97"/>
        <v/>
      </c>
      <c r="AO240" s="9" t="str">
        <f t="shared" ca="1" si="98"/>
        <v/>
      </c>
      <c r="AP240" s="9" t="str">
        <f t="shared" ca="1" si="99"/>
        <v/>
      </c>
      <c r="AQ240" s="9"/>
      <c r="AR240" s="9"/>
      <c r="AS240" s="9"/>
      <c r="AT240" s="9"/>
      <c r="AU240" s="9"/>
    </row>
    <row r="241" spans="1:47" x14ac:dyDescent="0.3">
      <c r="A241" s="1">
        <v>43809</v>
      </c>
      <c r="B241" s="6">
        <v>304.17001299999998</v>
      </c>
      <c r="C241" s="6">
        <v>131.61000100000001</v>
      </c>
      <c r="D241" s="6">
        <v>30.754999000000002</v>
      </c>
      <c r="E241" s="6">
        <v>136.270004</v>
      </c>
      <c r="F241" s="6">
        <v>110.010002</v>
      </c>
      <c r="G241" s="6">
        <v>47.73</v>
      </c>
      <c r="H241" s="6">
        <v>112.860001</v>
      </c>
      <c r="I241" s="6">
        <v>165.16000399999999</v>
      </c>
      <c r="J241" s="6">
        <v>22.389999</v>
      </c>
      <c r="K241" s="6">
        <v>32.240001999999997</v>
      </c>
      <c r="N241" s="19">
        <v>237</v>
      </c>
      <c r="O241" s="1">
        <v>43809</v>
      </c>
      <c r="P241" s="5">
        <f t="shared" si="100"/>
        <v>-9.4237633219697945E-3</v>
      </c>
      <c r="Q241" s="5">
        <f t="shared" si="101"/>
        <v>-4.7754798783711701E-3</v>
      </c>
      <c r="R241" s="5">
        <f t="shared" si="102"/>
        <v>1.6721635523099701E-2</v>
      </c>
      <c r="S241" s="5">
        <f t="shared" si="103"/>
        <v>-6.5099156425220371E-3</v>
      </c>
      <c r="T241" s="5">
        <f t="shared" si="104"/>
        <v>-4.3537120923882056E-3</v>
      </c>
      <c r="U241" s="5">
        <f t="shared" si="105"/>
        <v>-2.5109450838740619E-3</v>
      </c>
      <c r="V241" s="5">
        <f t="shared" si="106"/>
        <v>3.1948997570542732E-3</v>
      </c>
      <c r="W241" s="5">
        <f t="shared" si="107"/>
        <v>-3.5056003518001738E-3</v>
      </c>
      <c r="X241" s="5">
        <f t="shared" si="108"/>
        <v>0</v>
      </c>
      <c r="Y241" s="5">
        <f t="shared" si="109"/>
        <v>6.8472721045963296E-3</v>
      </c>
      <c r="Z241" s="33">
        <v>237</v>
      </c>
      <c r="AE241" s="20" t="str">
        <f t="shared" si="110"/>
        <v/>
      </c>
      <c r="AF241" s="22" t="str">
        <f t="shared" si="111"/>
        <v/>
      </c>
      <c r="AG241" s="9" t="str">
        <f t="shared" ca="1" si="90"/>
        <v/>
      </c>
      <c r="AH241" s="9" t="str">
        <f t="shared" ca="1" si="91"/>
        <v/>
      </c>
      <c r="AI241" s="9" t="str">
        <f t="shared" ca="1" si="92"/>
        <v/>
      </c>
      <c r="AJ241" s="9" t="str">
        <f t="shared" ca="1" si="93"/>
        <v/>
      </c>
      <c r="AK241" s="9" t="str">
        <f t="shared" ca="1" si="94"/>
        <v/>
      </c>
      <c r="AL241" s="9" t="str">
        <f t="shared" ca="1" si="95"/>
        <v/>
      </c>
      <c r="AM241" s="9" t="str">
        <f t="shared" ca="1" si="96"/>
        <v/>
      </c>
      <c r="AN241" s="9" t="str">
        <f t="shared" ca="1" si="97"/>
        <v/>
      </c>
      <c r="AO241" s="9" t="str">
        <f t="shared" ca="1" si="98"/>
        <v/>
      </c>
      <c r="AP241" s="9" t="str">
        <f t="shared" ca="1" si="99"/>
        <v/>
      </c>
      <c r="AQ241" s="9"/>
      <c r="AR241" s="9"/>
      <c r="AS241" s="9"/>
      <c r="AT241" s="9"/>
      <c r="AU241" s="9"/>
    </row>
    <row r="242" spans="1:47" x14ac:dyDescent="0.3">
      <c r="A242" s="1">
        <v>43810</v>
      </c>
      <c r="B242" s="6">
        <v>303.73998999999998</v>
      </c>
      <c r="C242" s="6">
        <v>132.08000200000001</v>
      </c>
      <c r="D242" s="6">
        <v>31.215</v>
      </c>
      <c r="E242" s="6">
        <v>137.10000600000001</v>
      </c>
      <c r="F242" s="6">
        <v>108.199997</v>
      </c>
      <c r="G242" s="6">
        <v>46.810001</v>
      </c>
      <c r="H242" s="6">
        <v>113.16999800000001</v>
      </c>
      <c r="I242" s="6">
        <v>167.679993</v>
      </c>
      <c r="J242" s="6">
        <v>22.690000999999999</v>
      </c>
      <c r="K242" s="6">
        <v>32.090000000000003</v>
      </c>
      <c r="N242" s="18">
        <v>238</v>
      </c>
      <c r="O242" s="1">
        <v>43810</v>
      </c>
      <c r="P242" s="5">
        <f t="shared" si="100"/>
        <v>-1.4147589926260433E-3</v>
      </c>
      <c r="Q242" s="5">
        <f t="shared" si="101"/>
        <v>3.5648033097712712E-3</v>
      </c>
      <c r="R242" s="5">
        <f t="shared" si="102"/>
        <v>1.4846198368414495E-2</v>
      </c>
      <c r="S242" s="5">
        <f t="shared" si="103"/>
        <v>6.0723892167254771E-3</v>
      </c>
      <c r="T242" s="5">
        <f t="shared" si="104"/>
        <v>-1.6589950245561404E-2</v>
      </c>
      <c r="U242" s="5">
        <f t="shared" si="105"/>
        <v>-1.9463254342869465E-2</v>
      </c>
      <c r="V242" s="5">
        <f t="shared" si="106"/>
        <v>2.7429739037930336E-3</v>
      </c>
      <c r="W242" s="5">
        <f t="shared" si="107"/>
        <v>1.5142634149664904E-2</v>
      </c>
      <c r="X242" s="5">
        <f t="shared" si="108"/>
        <v>1.3309956916161422E-2</v>
      </c>
      <c r="Y242" s="5">
        <f t="shared" si="109"/>
        <v>-4.6635245513993659E-3</v>
      </c>
      <c r="Z242" s="33">
        <v>238</v>
      </c>
      <c r="AE242" s="20" t="str">
        <f t="shared" si="110"/>
        <v/>
      </c>
      <c r="AF242" s="22" t="str">
        <f t="shared" si="111"/>
        <v/>
      </c>
      <c r="AG242" s="9" t="str">
        <f t="shared" ca="1" si="90"/>
        <v/>
      </c>
      <c r="AH242" s="9" t="str">
        <f t="shared" ca="1" si="91"/>
        <v/>
      </c>
      <c r="AI242" s="9" t="str">
        <f t="shared" ca="1" si="92"/>
        <v/>
      </c>
      <c r="AJ242" s="9" t="str">
        <f t="shared" ca="1" si="93"/>
        <v/>
      </c>
      <c r="AK242" s="9" t="str">
        <f t="shared" ca="1" si="94"/>
        <v/>
      </c>
      <c r="AL242" s="9" t="str">
        <f t="shared" ca="1" si="95"/>
        <v/>
      </c>
      <c r="AM242" s="9" t="str">
        <f t="shared" ca="1" si="96"/>
        <v/>
      </c>
      <c r="AN242" s="9" t="str">
        <f t="shared" ca="1" si="97"/>
        <v/>
      </c>
      <c r="AO242" s="9" t="str">
        <f t="shared" ca="1" si="98"/>
        <v/>
      </c>
      <c r="AP242" s="9" t="str">
        <f t="shared" ca="1" si="99"/>
        <v/>
      </c>
      <c r="AQ242" s="9"/>
      <c r="AR242" s="9"/>
      <c r="AS242" s="9"/>
      <c r="AT242" s="9"/>
      <c r="AU242" s="9"/>
    </row>
    <row r="243" spans="1:47" x14ac:dyDescent="0.3">
      <c r="A243" s="1">
        <v>43811</v>
      </c>
      <c r="B243" s="6">
        <v>305.959991</v>
      </c>
      <c r="C243" s="6">
        <v>135.88000500000001</v>
      </c>
      <c r="D243" s="6">
        <v>31.120000999999998</v>
      </c>
      <c r="E243" s="6">
        <v>137.179993</v>
      </c>
      <c r="F243" s="6">
        <v>107.160004</v>
      </c>
      <c r="G243" s="6">
        <v>46.380001</v>
      </c>
      <c r="H243" s="6">
        <v>114.480003</v>
      </c>
      <c r="I243" s="6">
        <v>170.41999799999999</v>
      </c>
      <c r="J243" s="6">
        <v>23.059999000000001</v>
      </c>
      <c r="K243" s="6">
        <v>32.360000999999997</v>
      </c>
      <c r="N243" s="19">
        <v>239</v>
      </c>
      <c r="O243" s="1">
        <v>43811</v>
      </c>
      <c r="P243" s="5">
        <f t="shared" si="100"/>
        <v>7.2823056588262221E-3</v>
      </c>
      <c r="Q243" s="5">
        <f t="shared" si="101"/>
        <v>2.8364365335346028E-2</v>
      </c>
      <c r="R243" s="5">
        <f t="shared" si="102"/>
        <v>-3.0480170698410987E-3</v>
      </c>
      <c r="S243" s="5">
        <f t="shared" si="103"/>
        <v>5.8325071138345442E-4</v>
      </c>
      <c r="T243" s="5">
        <f t="shared" si="104"/>
        <v>-9.6582566821799398E-3</v>
      </c>
      <c r="U243" s="5">
        <f t="shared" si="105"/>
        <v>-9.2285232865325917E-3</v>
      </c>
      <c r="V243" s="5">
        <f t="shared" si="106"/>
        <v>1.1509066148323862E-2</v>
      </c>
      <c r="W243" s="5">
        <f t="shared" si="107"/>
        <v>1.6208607277604856E-2</v>
      </c>
      <c r="X243" s="5">
        <f t="shared" si="108"/>
        <v>1.6175128611749811E-2</v>
      </c>
      <c r="Y243" s="5">
        <f t="shared" si="109"/>
        <v>8.3786679708733568E-3</v>
      </c>
      <c r="Z243" s="33">
        <v>239</v>
      </c>
      <c r="AE243" s="20" t="str">
        <f t="shared" si="110"/>
        <v/>
      </c>
      <c r="AF243" s="22" t="str">
        <f t="shared" si="111"/>
        <v/>
      </c>
      <c r="AG243" s="9" t="str">
        <f t="shared" ca="1" si="90"/>
        <v/>
      </c>
      <c r="AH243" s="9" t="str">
        <f t="shared" ca="1" si="91"/>
        <v/>
      </c>
      <c r="AI243" s="9" t="str">
        <f t="shared" ca="1" si="92"/>
        <v/>
      </c>
      <c r="AJ243" s="9" t="str">
        <f t="shared" ca="1" si="93"/>
        <v/>
      </c>
      <c r="AK243" s="9" t="str">
        <f t="shared" ca="1" si="94"/>
        <v/>
      </c>
      <c r="AL243" s="9" t="str">
        <f t="shared" ca="1" si="95"/>
        <v/>
      </c>
      <c r="AM243" s="9" t="str">
        <f t="shared" ca="1" si="96"/>
        <v/>
      </c>
      <c r="AN243" s="9" t="str">
        <f t="shared" ca="1" si="97"/>
        <v/>
      </c>
      <c r="AO243" s="9" t="str">
        <f t="shared" ca="1" si="98"/>
        <v/>
      </c>
      <c r="AP243" s="9" t="str">
        <f t="shared" ca="1" si="99"/>
        <v/>
      </c>
      <c r="AQ243" s="9"/>
      <c r="AR243" s="9"/>
      <c r="AS243" s="9"/>
      <c r="AT243" s="9"/>
      <c r="AU243" s="9"/>
    </row>
    <row r="244" spans="1:47" x14ac:dyDescent="0.3">
      <c r="A244" s="1">
        <v>43812</v>
      </c>
      <c r="B244" s="6">
        <v>317.94000199999999</v>
      </c>
      <c r="C244" s="6">
        <v>136.699997</v>
      </c>
      <c r="D244" s="6">
        <v>31.105</v>
      </c>
      <c r="E244" s="6">
        <v>137.94000199999999</v>
      </c>
      <c r="F244" s="6">
        <v>105.25</v>
      </c>
      <c r="G244" s="6">
        <v>46.259998000000003</v>
      </c>
      <c r="H244" s="6">
        <v>113.650002</v>
      </c>
      <c r="I244" s="6">
        <v>170.38000500000001</v>
      </c>
      <c r="J244" s="6">
        <v>23.030000999999999</v>
      </c>
      <c r="K244" s="6">
        <v>32.340000000000003</v>
      </c>
      <c r="N244" s="18">
        <v>240</v>
      </c>
      <c r="O244" s="1">
        <v>43812</v>
      </c>
      <c r="P244" s="5">
        <f t="shared" si="100"/>
        <v>3.8408346985165834E-2</v>
      </c>
      <c r="Q244" s="5">
        <f t="shared" si="101"/>
        <v>6.0165416944802973E-3</v>
      </c>
      <c r="R244" s="5">
        <f t="shared" si="102"/>
        <v>-4.8215347688332203E-4</v>
      </c>
      <c r="S244" s="5">
        <f t="shared" si="103"/>
        <v>5.5249414588752072E-3</v>
      </c>
      <c r="T244" s="5">
        <f t="shared" si="104"/>
        <v>-1.7984609441277496E-2</v>
      </c>
      <c r="U244" s="5">
        <f t="shared" si="105"/>
        <v>-2.5907398190061189E-3</v>
      </c>
      <c r="V244" s="5">
        <f t="shared" si="106"/>
        <v>-7.2765935572054671E-3</v>
      </c>
      <c r="W244" s="5">
        <f t="shared" si="107"/>
        <v>-2.3470070323660479E-4</v>
      </c>
      <c r="X244" s="5">
        <f t="shared" si="108"/>
        <v>-1.3017142215608797E-3</v>
      </c>
      <c r="Y244" s="5">
        <f t="shared" si="109"/>
        <v>-6.1826894367804895E-4</v>
      </c>
      <c r="Z244" s="33">
        <v>240</v>
      </c>
      <c r="AE244" s="20" t="str">
        <f t="shared" si="110"/>
        <v/>
      </c>
      <c r="AF244" s="22" t="str">
        <f t="shared" si="111"/>
        <v/>
      </c>
      <c r="AG244" s="9" t="str">
        <f t="shared" ca="1" si="90"/>
        <v/>
      </c>
      <c r="AH244" s="9" t="str">
        <f t="shared" ca="1" si="91"/>
        <v/>
      </c>
      <c r="AI244" s="9" t="str">
        <f t="shared" ca="1" si="92"/>
        <v/>
      </c>
      <c r="AJ244" s="9" t="str">
        <f t="shared" ca="1" si="93"/>
        <v/>
      </c>
      <c r="AK244" s="9" t="str">
        <f t="shared" ca="1" si="94"/>
        <v/>
      </c>
      <c r="AL244" s="9" t="str">
        <f t="shared" ca="1" si="95"/>
        <v/>
      </c>
      <c r="AM244" s="9" t="str">
        <f t="shared" ca="1" si="96"/>
        <v/>
      </c>
      <c r="AN244" s="9" t="str">
        <f t="shared" ca="1" si="97"/>
        <v/>
      </c>
      <c r="AO244" s="9" t="str">
        <f t="shared" ca="1" si="98"/>
        <v/>
      </c>
      <c r="AP244" s="9" t="str">
        <f t="shared" ca="1" si="99"/>
        <v/>
      </c>
      <c r="AQ244" s="9"/>
      <c r="AR244" s="9"/>
      <c r="AS244" s="9"/>
      <c r="AT244" s="9"/>
      <c r="AU244" s="9"/>
    </row>
    <row r="245" spans="1:47" x14ac:dyDescent="0.3">
      <c r="A245" s="1">
        <v>43815</v>
      </c>
      <c r="B245" s="6">
        <v>323.79998799999998</v>
      </c>
      <c r="C245" s="6">
        <v>136.60000600000001</v>
      </c>
      <c r="D245" s="6">
        <v>31.245000999999998</v>
      </c>
      <c r="E245" s="6">
        <v>137.05999800000001</v>
      </c>
      <c r="F245" s="6">
        <v>105.629997</v>
      </c>
      <c r="G245" s="6">
        <v>46.32</v>
      </c>
      <c r="H245" s="6">
        <v>113.129997</v>
      </c>
      <c r="I245" s="6">
        <v>171.13999899999999</v>
      </c>
      <c r="J245" s="6">
        <v>22.889999</v>
      </c>
      <c r="K245" s="6">
        <v>32.349997999999999</v>
      </c>
      <c r="N245" s="19">
        <v>241</v>
      </c>
      <c r="O245" s="1">
        <v>43815</v>
      </c>
      <c r="P245" s="5">
        <f t="shared" si="100"/>
        <v>1.8263312160399687E-2</v>
      </c>
      <c r="Q245" s="5">
        <f t="shared" si="101"/>
        <v>-7.3173072348268369E-4</v>
      </c>
      <c r="R245" s="5">
        <f t="shared" si="102"/>
        <v>4.4908174191821623E-3</v>
      </c>
      <c r="S245" s="5">
        <f t="shared" si="103"/>
        <v>-6.4000509366744463E-3</v>
      </c>
      <c r="T245" s="5">
        <f t="shared" si="104"/>
        <v>3.6039208715572387E-3</v>
      </c>
      <c r="U245" s="5">
        <f t="shared" si="105"/>
        <v>1.2962196953429216E-3</v>
      </c>
      <c r="V245" s="5">
        <f t="shared" si="106"/>
        <v>-4.5859944762301017E-3</v>
      </c>
      <c r="W245" s="5">
        <f t="shared" si="107"/>
        <v>4.4506631858780071E-3</v>
      </c>
      <c r="X245" s="5">
        <f t="shared" si="108"/>
        <v>-6.0976669769421035E-3</v>
      </c>
      <c r="Y245" s="5">
        <f t="shared" si="109"/>
        <v>3.091049741446369E-4</v>
      </c>
      <c r="Z245" s="33">
        <v>241</v>
      </c>
      <c r="AE245" s="20" t="str">
        <f t="shared" si="110"/>
        <v/>
      </c>
      <c r="AF245" s="22" t="str">
        <f t="shared" si="111"/>
        <v/>
      </c>
      <c r="AG245" s="9" t="str">
        <f t="shared" ca="1" si="90"/>
        <v/>
      </c>
      <c r="AH245" s="9" t="str">
        <f t="shared" ca="1" si="91"/>
        <v/>
      </c>
      <c r="AI245" s="9" t="str">
        <f t="shared" ca="1" si="92"/>
        <v/>
      </c>
      <c r="AJ245" s="9" t="str">
        <f t="shared" ca="1" si="93"/>
        <v/>
      </c>
      <c r="AK245" s="9" t="str">
        <f t="shared" ca="1" si="94"/>
        <v/>
      </c>
      <c r="AL245" s="9" t="str">
        <f t="shared" ca="1" si="95"/>
        <v/>
      </c>
      <c r="AM245" s="9" t="str">
        <f t="shared" ca="1" si="96"/>
        <v/>
      </c>
      <c r="AN245" s="9" t="str">
        <f t="shared" ca="1" si="97"/>
        <v/>
      </c>
      <c r="AO245" s="9" t="str">
        <f t="shared" ca="1" si="98"/>
        <v/>
      </c>
      <c r="AP245" s="9" t="str">
        <f t="shared" ca="1" si="99"/>
        <v/>
      </c>
      <c r="AQ245" s="9"/>
      <c r="AR245" s="9"/>
      <c r="AS245" s="9"/>
      <c r="AT245" s="9"/>
      <c r="AU245" s="9"/>
    </row>
    <row r="246" spans="1:47" x14ac:dyDescent="0.3">
      <c r="A246" s="1">
        <v>43816</v>
      </c>
      <c r="B246" s="6">
        <v>322.85000600000001</v>
      </c>
      <c r="C246" s="6">
        <v>136.94000199999999</v>
      </c>
      <c r="D246" s="6">
        <v>31.385000000000002</v>
      </c>
      <c r="E246" s="6">
        <v>136.16999799999999</v>
      </c>
      <c r="F246" s="6">
        <v>104.529999</v>
      </c>
      <c r="G246" s="6">
        <v>45.709999000000003</v>
      </c>
      <c r="H246" s="6">
        <v>114.260002</v>
      </c>
      <c r="I246" s="6">
        <v>171.85000600000001</v>
      </c>
      <c r="J246" s="6">
        <v>22.549999</v>
      </c>
      <c r="K246" s="6">
        <v>32.369999</v>
      </c>
      <c r="N246" s="18">
        <v>242</v>
      </c>
      <c r="O246" s="1">
        <v>43816</v>
      </c>
      <c r="P246" s="5">
        <f t="shared" si="100"/>
        <v>-2.9381665266627181E-3</v>
      </c>
      <c r="Q246" s="5">
        <f t="shared" si="101"/>
        <v>2.4858972372990501E-3</v>
      </c>
      <c r="R246" s="5">
        <f t="shared" si="102"/>
        <v>4.4706763833297462E-3</v>
      </c>
      <c r="S246" s="5">
        <f t="shared" si="103"/>
        <v>-6.5146811165673786E-3</v>
      </c>
      <c r="T246" s="5">
        <f t="shared" si="104"/>
        <v>-1.0468291456063792E-2</v>
      </c>
      <c r="U246" s="5">
        <f t="shared" si="105"/>
        <v>-1.3256762798137938E-2</v>
      </c>
      <c r="V246" s="5">
        <f t="shared" si="106"/>
        <v>9.9389973800444991E-3</v>
      </c>
      <c r="W246" s="5">
        <f t="shared" si="107"/>
        <v>4.1401090632722428E-3</v>
      </c>
      <c r="X246" s="5">
        <f t="shared" si="108"/>
        <v>-1.4965068674486316E-2</v>
      </c>
      <c r="Y246" s="5">
        <f t="shared" si="109"/>
        <v>6.1807792224497285E-4</v>
      </c>
      <c r="Z246" s="33">
        <v>242</v>
      </c>
      <c r="AE246" s="20" t="str">
        <f t="shared" si="110"/>
        <v/>
      </c>
      <c r="AF246" s="22" t="str">
        <f t="shared" si="111"/>
        <v/>
      </c>
      <c r="AG246" s="9" t="str">
        <f t="shared" ca="1" si="90"/>
        <v/>
      </c>
      <c r="AH246" s="9" t="str">
        <f t="shared" ca="1" si="91"/>
        <v/>
      </c>
      <c r="AI246" s="9" t="str">
        <f t="shared" ca="1" si="92"/>
        <v/>
      </c>
      <c r="AJ246" s="9" t="str">
        <f t="shared" ca="1" si="93"/>
        <v/>
      </c>
      <c r="AK246" s="9" t="str">
        <f t="shared" ca="1" si="94"/>
        <v/>
      </c>
      <c r="AL246" s="9" t="str">
        <f t="shared" ca="1" si="95"/>
        <v/>
      </c>
      <c r="AM246" s="9" t="str">
        <f t="shared" ca="1" si="96"/>
        <v/>
      </c>
      <c r="AN246" s="9" t="str">
        <f t="shared" ca="1" si="97"/>
        <v/>
      </c>
      <c r="AO246" s="9" t="str">
        <f t="shared" ca="1" si="98"/>
        <v/>
      </c>
      <c r="AP246" s="9" t="str">
        <f t="shared" ca="1" si="99"/>
        <v/>
      </c>
      <c r="AQ246" s="9"/>
      <c r="AR246" s="9"/>
      <c r="AS246" s="9"/>
      <c r="AT246" s="9"/>
      <c r="AU246" s="9"/>
    </row>
    <row r="247" spans="1:47" x14ac:dyDescent="0.3">
      <c r="A247" s="1">
        <v>43817</v>
      </c>
      <c r="B247" s="6">
        <v>324.38000499999998</v>
      </c>
      <c r="C247" s="6">
        <v>138.10000600000001</v>
      </c>
      <c r="D247" s="6">
        <v>31.43</v>
      </c>
      <c r="E247" s="6">
        <v>135.970001</v>
      </c>
      <c r="F247" s="6">
        <v>104.959999</v>
      </c>
      <c r="G247" s="6">
        <v>45.889999000000003</v>
      </c>
      <c r="H247" s="6">
        <v>113.599998</v>
      </c>
      <c r="I247" s="6">
        <v>171.61999499999999</v>
      </c>
      <c r="J247" s="6">
        <v>22.5</v>
      </c>
      <c r="K247" s="6">
        <v>32.349997999999999</v>
      </c>
      <c r="N247" s="19">
        <v>243</v>
      </c>
      <c r="O247" s="1">
        <v>43817</v>
      </c>
      <c r="P247" s="5">
        <f t="shared" si="100"/>
        <v>4.7278458166060428E-3</v>
      </c>
      <c r="Q247" s="5">
        <f t="shared" si="101"/>
        <v>8.4352155641701284E-3</v>
      </c>
      <c r="R247" s="5">
        <f t="shared" si="102"/>
        <v>1.4327790399810126E-3</v>
      </c>
      <c r="S247" s="5">
        <f t="shared" si="103"/>
        <v>-1.4698099268026998E-3</v>
      </c>
      <c r="T247" s="5">
        <f t="shared" si="104"/>
        <v>4.1052136903555999E-3</v>
      </c>
      <c r="U247" s="5">
        <f t="shared" si="105"/>
        <v>3.93013614890011E-3</v>
      </c>
      <c r="V247" s="5">
        <f t="shared" si="106"/>
        <v>-5.7930821188377068E-3</v>
      </c>
      <c r="W247" s="5">
        <f t="shared" si="107"/>
        <v>-1.3393369651708341E-3</v>
      </c>
      <c r="X247" s="5">
        <f t="shared" si="108"/>
        <v>-2.2197123924138831E-3</v>
      </c>
      <c r="Y247" s="5">
        <f t="shared" si="109"/>
        <v>-6.1807792224506479E-4</v>
      </c>
      <c r="Z247" s="33">
        <v>243</v>
      </c>
      <c r="AE247" s="20" t="str">
        <f t="shared" si="110"/>
        <v/>
      </c>
      <c r="AF247" s="22" t="str">
        <f t="shared" si="111"/>
        <v/>
      </c>
      <c r="AG247" s="9" t="str">
        <f t="shared" ca="1" si="90"/>
        <v/>
      </c>
      <c r="AH247" s="9" t="str">
        <f t="shared" ca="1" si="91"/>
        <v/>
      </c>
      <c r="AI247" s="9" t="str">
        <f t="shared" ca="1" si="92"/>
        <v/>
      </c>
      <c r="AJ247" s="9" t="str">
        <f t="shared" ca="1" si="93"/>
        <v/>
      </c>
      <c r="AK247" s="9" t="str">
        <f t="shared" ca="1" si="94"/>
        <v/>
      </c>
      <c r="AL247" s="9" t="str">
        <f t="shared" ca="1" si="95"/>
        <v/>
      </c>
      <c r="AM247" s="9" t="str">
        <f t="shared" ca="1" si="96"/>
        <v/>
      </c>
      <c r="AN247" s="9" t="str">
        <f t="shared" ca="1" si="97"/>
        <v/>
      </c>
      <c r="AO247" s="9" t="str">
        <f t="shared" ca="1" si="98"/>
        <v/>
      </c>
      <c r="AP247" s="9" t="str">
        <f t="shared" ca="1" si="99"/>
        <v/>
      </c>
      <c r="AQ247" s="9"/>
      <c r="AR247" s="9"/>
      <c r="AS247" s="9"/>
      <c r="AT247" s="9"/>
      <c r="AU247" s="9"/>
    </row>
    <row r="248" spans="1:47" x14ac:dyDescent="0.3">
      <c r="A248" s="1">
        <v>43818</v>
      </c>
      <c r="B248" s="6">
        <v>327.63000499999998</v>
      </c>
      <c r="C248" s="6">
        <v>139.5</v>
      </c>
      <c r="D248" s="6">
        <v>31.735001</v>
      </c>
      <c r="E248" s="6">
        <v>136.470001</v>
      </c>
      <c r="F248" s="6">
        <v>105.41999800000001</v>
      </c>
      <c r="G248" s="6">
        <v>46.18</v>
      </c>
      <c r="H248" s="6">
        <v>113.470001</v>
      </c>
      <c r="I248" s="6">
        <v>167.75</v>
      </c>
      <c r="J248" s="6">
        <v>22.790001</v>
      </c>
      <c r="K248" s="6">
        <v>32.759998000000003</v>
      </c>
      <c r="N248" s="18">
        <v>244</v>
      </c>
      <c r="O248" s="1">
        <v>43818</v>
      </c>
      <c r="P248" s="5">
        <f t="shared" si="100"/>
        <v>9.9692546653004505E-3</v>
      </c>
      <c r="Q248" s="5">
        <f t="shared" si="101"/>
        <v>1.0086497399397066E-2</v>
      </c>
      <c r="R248" s="5">
        <f t="shared" si="102"/>
        <v>9.6573534599068613E-3</v>
      </c>
      <c r="S248" s="5">
        <f t="shared" si="103"/>
        <v>3.670537055482035E-3</v>
      </c>
      <c r="T248" s="5">
        <f t="shared" si="104"/>
        <v>4.3730367869888511E-3</v>
      </c>
      <c r="U248" s="5">
        <f t="shared" si="105"/>
        <v>6.2995973108472166E-3</v>
      </c>
      <c r="V248" s="5">
        <f t="shared" si="106"/>
        <v>-1.1449950656169969E-3</v>
      </c>
      <c r="W248" s="5">
        <f t="shared" si="107"/>
        <v>-2.2807925393049686E-2</v>
      </c>
      <c r="X248" s="5">
        <f t="shared" si="108"/>
        <v>1.2806577926111694E-2</v>
      </c>
      <c r="Y248" s="5">
        <f t="shared" si="109"/>
        <v>1.2594238811700357E-2</v>
      </c>
      <c r="Z248" s="33">
        <v>244</v>
      </c>
      <c r="AE248" s="20" t="str">
        <f t="shared" si="110"/>
        <v/>
      </c>
      <c r="AF248" s="22" t="str">
        <f t="shared" si="111"/>
        <v/>
      </c>
      <c r="AG248" s="9" t="str">
        <f t="shared" ca="1" si="90"/>
        <v/>
      </c>
      <c r="AH248" s="9" t="str">
        <f t="shared" ca="1" si="91"/>
        <v/>
      </c>
      <c r="AI248" s="9" t="str">
        <f t="shared" ca="1" si="92"/>
        <v/>
      </c>
      <c r="AJ248" s="9" t="str">
        <f t="shared" ca="1" si="93"/>
        <v/>
      </c>
      <c r="AK248" s="9" t="str">
        <f t="shared" ca="1" si="94"/>
        <v/>
      </c>
      <c r="AL248" s="9" t="str">
        <f t="shared" ca="1" si="95"/>
        <v/>
      </c>
      <c r="AM248" s="9" t="str">
        <f t="shared" ca="1" si="96"/>
        <v/>
      </c>
      <c r="AN248" s="9" t="str">
        <f t="shared" ca="1" si="97"/>
        <v/>
      </c>
      <c r="AO248" s="9" t="str">
        <f t="shared" ca="1" si="98"/>
        <v/>
      </c>
      <c r="AP248" s="9" t="str">
        <f t="shared" ca="1" si="99"/>
        <v/>
      </c>
      <c r="AQ248" s="9"/>
      <c r="AR248" s="9"/>
      <c r="AS248" s="9"/>
      <c r="AT248" s="9"/>
      <c r="AU248" s="9"/>
    </row>
    <row r="249" spans="1:47" x14ac:dyDescent="0.3">
      <c r="A249" s="1">
        <v>43819</v>
      </c>
      <c r="B249" s="6">
        <v>327.60998499999999</v>
      </c>
      <c r="C249" s="6">
        <v>139.88000500000001</v>
      </c>
      <c r="D249" s="6">
        <v>31.959999</v>
      </c>
      <c r="E249" s="6">
        <v>137.91999799999999</v>
      </c>
      <c r="F249" s="6">
        <v>105.769997</v>
      </c>
      <c r="G249" s="6">
        <v>46.32</v>
      </c>
      <c r="H249" s="6">
        <v>114.989998</v>
      </c>
      <c r="I249" s="6">
        <v>169.679993</v>
      </c>
      <c r="J249" s="6">
        <v>23.040001</v>
      </c>
      <c r="K249" s="6">
        <v>32.950001</v>
      </c>
      <c r="N249" s="19">
        <v>245</v>
      </c>
      <c r="O249" s="1">
        <v>43819</v>
      </c>
      <c r="P249" s="5">
        <f t="shared" si="100"/>
        <v>-6.1107381453393242E-5</v>
      </c>
      <c r="Q249" s="5">
        <f t="shared" si="101"/>
        <v>2.720346678678509E-3</v>
      </c>
      <c r="R249" s="5">
        <f t="shared" si="102"/>
        <v>7.0648853395791286E-3</v>
      </c>
      <c r="S249" s="5">
        <f t="shared" si="103"/>
        <v>1.0568974836582548E-2</v>
      </c>
      <c r="T249" s="5">
        <f t="shared" si="104"/>
        <v>3.3145445212024284E-3</v>
      </c>
      <c r="U249" s="5">
        <f t="shared" si="105"/>
        <v>3.0270293383906207E-3</v>
      </c>
      <c r="V249" s="5">
        <f t="shared" si="106"/>
        <v>1.3306657051956409E-2</v>
      </c>
      <c r="W249" s="5">
        <f t="shared" si="107"/>
        <v>1.1439493150509602E-2</v>
      </c>
      <c r="X249" s="5">
        <f t="shared" si="108"/>
        <v>1.0909992093981058E-2</v>
      </c>
      <c r="Y249" s="5">
        <f t="shared" si="109"/>
        <v>5.7830933627235053E-3</v>
      </c>
      <c r="Z249" s="33">
        <v>245</v>
      </c>
      <c r="AE249" s="20" t="str">
        <f t="shared" si="110"/>
        <v/>
      </c>
      <c r="AF249" s="22" t="str">
        <f t="shared" si="111"/>
        <v/>
      </c>
      <c r="AG249" s="9" t="str">
        <f t="shared" ca="1" si="90"/>
        <v/>
      </c>
      <c r="AH249" s="9" t="str">
        <f t="shared" ca="1" si="91"/>
        <v/>
      </c>
      <c r="AI249" s="9" t="str">
        <f t="shared" ca="1" si="92"/>
        <v/>
      </c>
      <c r="AJ249" s="9" t="str">
        <f t="shared" ca="1" si="93"/>
        <v/>
      </c>
      <c r="AK249" s="9" t="str">
        <f t="shared" ca="1" si="94"/>
        <v/>
      </c>
      <c r="AL249" s="9" t="str">
        <f t="shared" ca="1" si="95"/>
        <v/>
      </c>
      <c r="AM249" s="9" t="str">
        <f t="shared" ca="1" si="96"/>
        <v/>
      </c>
      <c r="AN249" s="9" t="str">
        <f t="shared" ca="1" si="97"/>
        <v/>
      </c>
      <c r="AO249" s="9" t="str">
        <f t="shared" ca="1" si="98"/>
        <v/>
      </c>
      <c r="AP249" s="9" t="str">
        <f t="shared" ca="1" si="99"/>
        <v/>
      </c>
      <c r="AQ249" s="9"/>
      <c r="AR249" s="9"/>
      <c r="AS249" s="9"/>
      <c r="AT249" s="9"/>
      <c r="AU249" s="9"/>
    </row>
    <row r="250" spans="1:47" x14ac:dyDescent="0.3">
      <c r="A250" s="1">
        <v>43822</v>
      </c>
      <c r="B250" s="6">
        <v>328.95001200000002</v>
      </c>
      <c r="C250" s="6">
        <v>139.91000399999999</v>
      </c>
      <c r="D250" s="6">
        <v>31.68</v>
      </c>
      <c r="E250" s="6">
        <v>137.03999300000001</v>
      </c>
      <c r="F250" s="6">
        <v>104.910004</v>
      </c>
      <c r="G250" s="6">
        <v>45.860000999999997</v>
      </c>
      <c r="H250" s="6">
        <v>115.849998</v>
      </c>
      <c r="I250" s="6">
        <v>169.820007</v>
      </c>
      <c r="J250" s="6">
        <v>23.030000999999999</v>
      </c>
      <c r="K250" s="6">
        <v>32.900002000000001</v>
      </c>
      <c r="N250" s="18">
        <v>246</v>
      </c>
      <c r="O250" s="1">
        <v>43822</v>
      </c>
      <c r="P250" s="5">
        <f t="shared" si="100"/>
        <v>4.0819692543035474E-3</v>
      </c>
      <c r="Q250" s="5">
        <f t="shared" si="101"/>
        <v>2.1443939490290475E-4</v>
      </c>
      <c r="R250" s="5">
        <f t="shared" si="102"/>
        <v>-8.7995226627368937E-3</v>
      </c>
      <c r="S250" s="5">
        <f t="shared" si="103"/>
        <v>-6.4009894783360784E-3</v>
      </c>
      <c r="T250" s="5">
        <f t="shared" si="104"/>
        <v>-8.1640191052184449E-3</v>
      </c>
      <c r="U250" s="5">
        <f t="shared" si="105"/>
        <v>-9.9805340294867994E-3</v>
      </c>
      <c r="V250" s="5">
        <f t="shared" si="106"/>
        <v>7.4510829469255253E-3</v>
      </c>
      <c r="W250" s="5">
        <f t="shared" si="107"/>
        <v>8.2482478903117356E-4</v>
      </c>
      <c r="X250" s="5">
        <f t="shared" si="108"/>
        <v>-4.3412197625056247E-4</v>
      </c>
      <c r="Y250" s="5">
        <f t="shared" si="109"/>
        <v>-1.5185727359314615E-3</v>
      </c>
      <c r="Z250" s="33">
        <v>246</v>
      </c>
      <c r="AE250" s="20" t="str">
        <f t="shared" si="110"/>
        <v/>
      </c>
      <c r="AF250" s="22" t="str">
        <f t="shared" si="111"/>
        <v/>
      </c>
      <c r="AG250" s="9" t="str">
        <f t="shared" ca="1" si="90"/>
        <v/>
      </c>
      <c r="AH250" s="9" t="str">
        <f t="shared" ca="1" si="91"/>
        <v/>
      </c>
      <c r="AI250" s="9" t="str">
        <f t="shared" ca="1" si="92"/>
        <v/>
      </c>
      <c r="AJ250" s="9" t="str">
        <f t="shared" ca="1" si="93"/>
        <v/>
      </c>
      <c r="AK250" s="9" t="str">
        <f t="shared" ca="1" si="94"/>
        <v/>
      </c>
      <c r="AL250" s="9" t="str">
        <f t="shared" ca="1" si="95"/>
        <v/>
      </c>
      <c r="AM250" s="9" t="str">
        <f t="shared" ca="1" si="96"/>
        <v/>
      </c>
      <c r="AN250" s="9" t="str">
        <f t="shared" ca="1" si="97"/>
        <v/>
      </c>
      <c r="AO250" s="9" t="str">
        <f t="shared" ca="1" si="98"/>
        <v/>
      </c>
      <c r="AP250" s="9" t="str">
        <f t="shared" ca="1" si="99"/>
        <v/>
      </c>
      <c r="AQ250" s="9"/>
      <c r="AR250" s="9"/>
      <c r="AS250" s="9"/>
      <c r="AT250" s="9"/>
      <c r="AU250" s="9"/>
    </row>
    <row r="251" spans="1:47" x14ac:dyDescent="0.3">
      <c r="A251" s="1">
        <v>43823</v>
      </c>
      <c r="B251" s="6">
        <v>329.64001500000001</v>
      </c>
      <c r="C251" s="6">
        <v>138.21000699999999</v>
      </c>
      <c r="D251" s="6">
        <v>31.735001</v>
      </c>
      <c r="E251" s="6">
        <v>136.88999899999999</v>
      </c>
      <c r="F251" s="6">
        <v>105.18</v>
      </c>
      <c r="G251" s="6">
        <v>46.049999</v>
      </c>
      <c r="H251" s="6">
        <v>115.260002</v>
      </c>
      <c r="I251" s="6">
        <v>168.91999799999999</v>
      </c>
      <c r="J251" s="6">
        <v>23.02</v>
      </c>
      <c r="K251" s="6">
        <v>33.029998999999997</v>
      </c>
      <c r="N251" s="19">
        <v>247</v>
      </c>
      <c r="O251" s="1">
        <v>43823</v>
      </c>
      <c r="P251" s="5">
        <f t="shared" si="100"/>
        <v>2.0953953876537874E-3</v>
      </c>
      <c r="Q251" s="5">
        <f t="shared" si="101"/>
        <v>-1.2225069071502453E-2</v>
      </c>
      <c r="R251" s="5">
        <f t="shared" si="102"/>
        <v>1.7346373231578976E-3</v>
      </c>
      <c r="S251" s="5">
        <f t="shared" si="103"/>
        <v>-1.0951266336013089E-3</v>
      </c>
      <c r="T251" s="5">
        <f t="shared" si="104"/>
        <v>2.5702902898855004E-3</v>
      </c>
      <c r="U251" s="5">
        <f t="shared" si="105"/>
        <v>4.1344417505360231E-3</v>
      </c>
      <c r="V251" s="5">
        <f t="shared" si="106"/>
        <v>-5.1057702540882955E-3</v>
      </c>
      <c r="W251" s="5">
        <f t="shared" si="107"/>
        <v>-5.3138755655134972E-3</v>
      </c>
      <c r="X251" s="5">
        <f t="shared" si="108"/>
        <v>-4.3435396048022157E-4</v>
      </c>
      <c r="Y251" s="5">
        <f t="shared" si="109"/>
        <v>3.9434905655926613E-3</v>
      </c>
      <c r="Z251" s="33">
        <v>247</v>
      </c>
      <c r="AE251" s="20" t="str">
        <f t="shared" si="110"/>
        <v/>
      </c>
      <c r="AF251" s="22" t="str">
        <f t="shared" si="111"/>
        <v/>
      </c>
      <c r="AG251" s="9" t="str">
        <f t="shared" ca="1" si="90"/>
        <v/>
      </c>
      <c r="AH251" s="9" t="str">
        <f t="shared" ca="1" si="91"/>
        <v/>
      </c>
      <c r="AI251" s="9" t="str">
        <f t="shared" ca="1" si="92"/>
        <v/>
      </c>
      <c r="AJ251" s="9" t="str">
        <f t="shared" ca="1" si="93"/>
        <v/>
      </c>
      <c r="AK251" s="9" t="str">
        <f t="shared" ca="1" si="94"/>
        <v/>
      </c>
      <c r="AL251" s="9" t="str">
        <f t="shared" ca="1" si="95"/>
        <v/>
      </c>
      <c r="AM251" s="9" t="str">
        <f t="shared" ca="1" si="96"/>
        <v/>
      </c>
      <c r="AN251" s="9" t="str">
        <f t="shared" ca="1" si="97"/>
        <v/>
      </c>
      <c r="AO251" s="9" t="str">
        <f t="shared" ca="1" si="98"/>
        <v/>
      </c>
      <c r="AP251" s="9" t="str">
        <f t="shared" ca="1" si="99"/>
        <v/>
      </c>
      <c r="AQ251" s="9"/>
      <c r="AR251" s="9"/>
      <c r="AS251" s="9"/>
      <c r="AT251" s="9"/>
      <c r="AU251" s="9"/>
    </row>
    <row r="252" spans="1:47" x14ac:dyDescent="0.3">
      <c r="A252" s="1">
        <v>43825</v>
      </c>
      <c r="B252" s="6">
        <v>331.20001200000002</v>
      </c>
      <c r="C252" s="6">
        <v>140.070007</v>
      </c>
      <c r="D252" s="6">
        <v>31.940000999999999</v>
      </c>
      <c r="E252" s="6">
        <v>136.69000199999999</v>
      </c>
      <c r="F252" s="6">
        <v>105.05999799999999</v>
      </c>
      <c r="G252" s="6">
        <v>46.200001</v>
      </c>
      <c r="H252" s="6">
        <v>115.800003</v>
      </c>
      <c r="I252" s="6">
        <v>169.779999</v>
      </c>
      <c r="J252" s="6">
        <v>23.139999</v>
      </c>
      <c r="K252" s="6">
        <v>33.279998999999997</v>
      </c>
      <c r="N252" s="18">
        <v>248</v>
      </c>
      <c r="O252" s="1">
        <v>43825</v>
      </c>
      <c r="P252" s="5">
        <f t="shared" si="100"/>
        <v>4.7212633436199561E-3</v>
      </c>
      <c r="Q252" s="5">
        <f t="shared" si="101"/>
        <v>1.3368029362467459E-2</v>
      </c>
      <c r="R252" s="5">
        <f t="shared" si="102"/>
        <v>6.4389698261867424E-3</v>
      </c>
      <c r="S252" s="5">
        <f t="shared" si="103"/>
        <v>-1.4620735060755768E-3</v>
      </c>
      <c r="T252" s="5">
        <f t="shared" si="104"/>
        <v>-1.1415716721238439E-3</v>
      </c>
      <c r="U252" s="5">
        <f t="shared" si="105"/>
        <v>3.2520787469256397E-3</v>
      </c>
      <c r="V252" s="5">
        <f t="shared" si="106"/>
        <v>4.6741276850367115E-3</v>
      </c>
      <c r="W252" s="5">
        <f t="shared" si="107"/>
        <v>5.0782571940279631E-3</v>
      </c>
      <c r="X252" s="5">
        <f t="shared" si="108"/>
        <v>5.199275256581197E-3</v>
      </c>
      <c r="Y252" s="5">
        <f t="shared" si="109"/>
        <v>7.5403767777398262E-3</v>
      </c>
      <c r="Z252" s="33">
        <v>248</v>
      </c>
      <c r="AE252" s="20" t="str">
        <f t="shared" si="110"/>
        <v/>
      </c>
      <c r="AF252" s="22" t="str">
        <f t="shared" si="111"/>
        <v/>
      </c>
      <c r="AG252" s="9" t="str">
        <f t="shared" ca="1" si="90"/>
        <v/>
      </c>
      <c r="AH252" s="9" t="str">
        <f t="shared" ca="1" si="91"/>
        <v/>
      </c>
      <c r="AI252" s="9" t="str">
        <f t="shared" ca="1" si="92"/>
        <v/>
      </c>
      <c r="AJ252" s="9" t="str">
        <f t="shared" ca="1" si="93"/>
        <v/>
      </c>
      <c r="AK252" s="9" t="str">
        <f t="shared" ca="1" si="94"/>
        <v/>
      </c>
      <c r="AL252" s="9" t="str">
        <f t="shared" ca="1" si="95"/>
        <v/>
      </c>
      <c r="AM252" s="9" t="str">
        <f t="shared" ca="1" si="96"/>
        <v/>
      </c>
      <c r="AN252" s="9" t="str">
        <f t="shared" ca="1" si="97"/>
        <v/>
      </c>
      <c r="AO252" s="9" t="str">
        <f t="shared" ca="1" si="98"/>
        <v/>
      </c>
      <c r="AP252" s="9" t="str">
        <f t="shared" ca="1" si="99"/>
        <v/>
      </c>
      <c r="AQ252" s="9"/>
      <c r="AR252" s="9"/>
      <c r="AS252" s="9"/>
      <c r="AT252" s="9"/>
      <c r="AU252" s="9"/>
    </row>
    <row r="253" spans="1:47" x14ac:dyDescent="0.3">
      <c r="A253" s="1">
        <v>43826</v>
      </c>
      <c r="B253" s="6">
        <v>330.790009</v>
      </c>
      <c r="C253" s="6">
        <v>140.61999499999999</v>
      </c>
      <c r="D253" s="6">
        <v>31.785</v>
      </c>
      <c r="E253" s="6">
        <v>137.53999300000001</v>
      </c>
      <c r="F253" s="6">
        <v>105.18</v>
      </c>
      <c r="G253" s="6">
        <v>46.34</v>
      </c>
      <c r="H253" s="6">
        <v>115.470001</v>
      </c>
      <c r="I253" s="6">
        <v>169.199997</v>
      </c>
      <c r="J253" s="6">
        <v>23.059999000000001</v>
      </c>
      <c r="K253" s="6">
        <v>33.130001</v>
      </c>
      <c r="N253" s="19">
        <v>249</v>
      </c>
      <c r="O253" s="1">
        <v>43826</v>
      </c>
      <c r="P253" s="5">
        <f t="shared" si="100"/>
        <v>-1.2386985888563477E-3</v>
      </c>
      <c r="Q253" s="5">
        <f t="shared" si="101"/>
        <v>3.9188335882280557E-3</v>
      </c>
      <c r="R253" s="5">
        <f t="shared" si="102"/>
        <v>-4.864693707197631E-3</v>
      </c>
      <c r="S253" s="5">
        <f t="shared" si="103"/>
        <v>6.199130201193925E-3</v>
      </c>
      <c r="T253" s="5">
        <f t="shared" si="104"/>
        <v>1.1415716721239278E-3</v>
      </c>
      <c r="U253" s="5">
        <f t="shared" si="105"/>
        <v>3.0256992715156539E-3</v>
      </c>
      <c r="V253" s="5">
        <f t="shared" si="106"/>
        <v>-2.8538264216078713E-3</v>
      </c>
      <c r="W253" s="5">
        <f t="shared" si="107"/>
        <v>-3.4220459782201575E-3</v>
      </c>
      <c r="X253" s="5">
        <f t="shared" si="108"/>
        <v>-3.4632070745401729E-3</v>
      </c>
      <c r="Y253" s="5">
        <f t="shared" si="109"/>
        <v>-4.5173394090031928E-3</v>
      </c>
      <c r="Z253" s="33">
        <v>249</v>
      </c>
      <c r="AE253" s="20" t="str">
        <f t="shared" si="110"/>
        <v/>
      </c>
      <c r="AF253" s="22" t="str">
        <f t="shared" si="111"/>
        <v/>
      </c>
      <c r="AG253" s="9" t="str">
        <f t="shared" ca="1" si="90"/>
        <v/>
      </c>
      <c r="AH253" s="9" t="str">
        <f t="shared" ca="1" si="91"/>
        <v/>
      </c>
      <c r="AI253" s="9" t="str">
        <f t="shared" ca="1" si="92"/>
        <v/>
      </c>
      <c r="AJ253" s="9" t="str">
        <f t="shared" ca="1" si="93"/>
        <v/>
      </c>
      <c r="AK253" s="9" t="str">
        <f t="shared" ca="1" si="94"/>
        <v/>
      </c>
      <c r="AL253" s="9" t="str">
        <f t="shared" ca="1" si="95"/>
        <v/>
      </c>
      <c r="AM253" s="9" t="str">
        <f t="shared" ca="1" si="96"/>
        <v/>
      </c>
      <c r="AN253" s="9" t="str">
        <f t="shared" ca="1" si="97"/>
        <v/>
      </c>
      <c r="AO253" s="9" t="str">
        <f t="shared" ca="1" si="98"/>
        <v/>
      </c>
      <c r="AP253" s="9" t="str">
        <f t="shared" ca="1" si="99"/>
        <v/>
      </c>
      <c r="AQ253" s="9"/>
      <c r="AR253" s="9"/>
      <c r="AS253" s="9"/>
      <c r="AT253" s="9"/>
      <c r="AU253" s="9"/>
    </row>
    <row r="254" spans="1:47" x14ac:dyDescent="0.3">
      <c r="A254" s="1">
        <v>43829</v>
      </c>
      <c r="B254" s="6">
        <v>328.33999599999999</v>
      </c>
      <c r="C254" s="6">
        <v>139.10000600000001</v>
      </c>
      <c r="D254" s="6">
        <v>31.68</v>
      </c>
      <c r="E254" s="6">
        <v>136.80999800000001</v>
      </c>
      <c r="F254" s="6">
        <v>105.30999799999999</v>
      </c>
      <c r="G254" s="6">
        <v>46.330002</v>
      </c>
      <c r="H254" s="6">
        <v>115.239998</v>
      </c>
      <c r="I254" s="6">
        <v>168.83999600000001</v>
      </c>
      <c r="J254" s="6">
        <v>23.08</v>
      </c>
      <c r="K254" s="6">
        <v>32.759998000000003</v>
      </c>
      <c r="N254" s="18">
        <v>250</v>
      </c>
      <c r="O254" s="1">
        <v>43829</v>
      </c>
      <c r="P254" s="5">
        <f t="shared" si="100"/>
        <v>-7.4341154702534723E-3</v>
      </c>
      <c r="Q254" s="5">
        <f t="shared" si="101"/>
        <v>-1.0868039150362732E-2</v>
      </c>
      <c r="R254" s="5">
        <f t="shared" si="102"/>
        <v>-3.3089134421470192E-3</v>
      </c>
      <c r="S254" s="5">
        <f t="shared" si="103"/>
        <v>-5.3216456841953244E-3</v>
      </c>
      <c r="T254" s="5">
        <f t="shared" si="104"/>
        <v>1.2351942397586827E-3</v>
      </c>
      <c r="U254" s="5">
        <f t="shared" si="105"/>
        <v>-2.1577640710081892E-4</v>
      </c>
      <c r="V254" s="5">
        <f t="shared" si="106"/>
        <v>-1.9938717627798518E-3</v>
      </c>
      <c r="W254" s="5">
        <f t="shared" si="107"/>
        <v>-2.129932218396898E-3</v>
      </c>
      <c r="X254" s="5">
        <f t="shared" si="108"/>
        <v>8.6697016412114994E-4</v>
      </c>
      <c r="Y254" s="5">
        <f t="shared" si="109"/>
        <v>-1.1231048561121313E-2</v>
      </c>
      <c r="Z254" s="33">
        <v>250</v>
      </c>
      <c r="AE254" s="20" t="str">
        <f t="shared" si="110"/>
        <v/>
      </c>
      <c r="AF254" s="22" t="str">
        <f t="shared" si="111"/>
        <v/>
      </c>
      <c r="AG254" s="9" t="str">
        <f t="shared" ca="1" si="90"/>
        <v/>
      </c>
      <c r="AH254" s="9" t="str">
        <f t="shared" ca="1" si="91"/>
        <v/>
      </c>
      <c r="AI254" s="9" t="str">
        <f t="shared" ca="1" si="92"/>
        <v/>
      </c>
      <c r="AJ254" s="9" t="str">
        <f t="shared" ca="1" si="93"/>
        <v/>
      </c>
      <c r="AK254" s="9" t="str">
        <f t="shared" ca="1" si="94"/>
        <v/>
      </c>
      <c r="AL254" s="9" t="str">
        <f t="shared" ca="1" si="95"/>
        <v/>
      </c>
      <c r="AM254" s="9" t="str">
        <f t="shared" ca="1" si="96"/>
        <v/>
      </c>
      <c r="AN254" s="9" t="str">
        <f t="shared" ca="1" si="97"/>
        <v/>
      </c>
      <c r="AO254" s="9" t="str">
        <f t="shared" ca="1" si="98"/>
        <v/>
      </c>
      <c r="AP254" s="9" t="str">
        <f t="shared" ca="1" si="99"/>
        <v/>
      </c>
      <c r="AQ254" s="9"/>
      <c r="AR254" s="9"/>
      <c r="AS254" s="9"/>
      <c r="AT254" s="9"/>
      <c r="AU254" s="9"/>
    </row>
    <row r="255" spans="1:47" x14ac:dyDescent="0.3">
      <c r="A255" s="1">
        <v>43830</v>
      </c>
      <c r="B255" s="6">
        <v>329.80999800000001</v>
      </c>
      <c r="C255" s="6">
        <v>139.199997</v>
      </c>
      <c r="D255" s="6">
        <v>31.774999999999999</v>
      </c>
      <c r="E255" s="6">
        <v>136.66999799999999</v>
      </c>
      <c r="F255" s="6">
        <v>106.099998</v>
      </c>
      <c r="G255" s="6">
        <v>46.700001</v>
      </c>
      <c r="H255" s="6">
        <v>115.260002</v>
      </c>
      <c r="I255" s="6">
        <v>169.39999399999999</v>
      </c>
      <c r="J255" s="6">
        <v>23.1</v>
      </c>
      <c r="K255" s="6">
        <v>32.740001999999997</v>
      </c>
      <c r="N255" s="19">
        <v>251</v>
      </c>
      <c r="O255" s="1">
        <v>43830</v>
      </c>
      <c r="P255" s="5">
        <f t="shared" si="100"/>
        <v>4.4670803247515425E-3</v>
      </c>
      <c r="Q255" s="5">
        <f t="shared" si="101"/>
        <v>7.1858428476286572E-4</v>
      </c>
      <c r="R255" s="5">
        <f t="shared" si="102"/>
        <v>2.9942501292925046E-3</v>
      </c>
      <c r="S255" s="5">
        <f t="shared" si="103"/>
        <v>-1.0238409702886995E-3</v>
      </c>
      <c r="T255" s="5">
        <f t="shared" si="104"/>
        <v>7.4736643688391264E-3</v>
      </c>
      <c r="U255" s="5">
        <f t="shared" si="105"/>
        <v>7.9544434909983603E-3</v>
      </c>
      <c r="V255" s="5">
        <f t="shared" si="106"/>
        <v>1.735704993511454E-4</v>
      </c>
      <c r="W255" s="5">
        <f t="shared" si="107"/>
        <v>3.3112495755977822E-3</v>
      </c>
      <c r="X255" s="5">
        <f t="shared" si="108"/>
        <v>8.661758878492588E-4</v>
      </c>
      <c r="Y255" s="5">
        <f t="shared" si="109"/>
        <v>-6.1056490446404973E-4</v>
      </c>
      <c r="Z255" s="33">
        <v>251</v>
      </c>
      <c r="AE255" s="20" t="str">
        <f t="shared" si="110"/>
        <v/>
      </c>
      <c r="AF255" s="22" t="str">
        <f t="shared" si="111"/>
        <v/>
      </c>
      <c r="AG255" s="9" t="str">
        <f t="shared" ca="1" si="90"/>
        <v/>
      </c>
      <c r="AH255" s="9" t="str">
        <f t="shared" ca="1" si="91"/>
        <v/>
      </c>
      <c r="AI255" s="9" t="str">
        <f t="shared" ca="1" si="92"/>
        <v/>
      </c>
      <c r="AJ255" s="9" t="str">
        <f t="shared" ca="1" si="93"/>
        <v/>
      </c>
      <c r="AK255" s="9" t="str">
        <f t="shared" ca="1" si="94"/>
        <v/>
      </c>
      <c r="AL255" s="9" t="str">
        <f t="shared" ca="1" si="95"/>
        <v/>
      </c>
      <c r="AM255" s="9" t="str">
        <f t="shared" ca="1" si="96"/>
        <v/>
      </c>
      <c r="AN255" s="9" t="str">
        <f t="shared" ca="1" si="97"/>
        <v/>
      </c>
      <c r="AO255" s="9" t="str">
        <f t="shared" ca="1" si="98"/>
        <v/>
      </c>
      <c r="AP255" s="9" t="str">
        <f t="shared" ca="1" si="99"/>
        <v/>
      </c>
      <c r="AQ255" s="9"/>
      <c r="AR255" s="9"/>
      <c r="AS255" s="9"/>
      <c r="AT255" s="9"/>
      <c r="AU255" s="9"/>
    </row>
    <row r="256" spans="1:47" x14ac:dyDescent="0.3">
      <c r="A256" s="1">
        <v>43832</v>
      </c>
      <c r="B256" s="6">
        <v>334.42999300000002</v>
      </c>
      <c r="C256" s="6">
        <v>142.86999499999999</v>
      </c>
      <c r="D256" s="6">
        <v>31.85</v>
      </c>
      <c r="E256" s="6">
        <v>135.820007</v>
      </c>
      <c r="F256" s="6">
        <v>105.05999799999999</v>
      </c>
      <c r="G256" s="6">
        <v>46.119999</v>
      </c>
      <c r="H256" s="6">
        <v>116.870003</v>
      </c>
      <c r="I256" s="6">
        <v>169</v>
      </c>
      <c r="J256" s="6">
        <v>22.709999</v>
      </c>
      <c r="K256" s="6">
        <v>32.220001000000003</v>
      </c>
      <c r="N256" s="18">
        <v>252</v>
      </c>
      <c r="O256" s="1">
        <v>43832</v>
      </c>
      <c r="P256" s="5">
        <f t="shared" si="100"/>
        <v>1.3910844165477282E-2</v>
      </c>
      <c r="Q256" s="5">
        <f t="shared" si="101"/>
        <v>2.6023364531620932E-2</v>
      </c>
      <c r="R256" s="5">
        <f t="shared" si="102"/>
        <v>2.3575649426546795E-3</v>
      </c>
      <c r="S256" s="5">
        <f t="shared" si="103"/>
        <v>-6.238715118474074E-3</v>
      </c>
      <c r="T256" s="5">
        <f t="shared" si="104"/>
        <v>-9.8504302807215973E-3</v>
      </c>
      <c r="U256" s="5">
        <f t="shared" si="105"/>
        <v>-1.2497512369836858E-2</v>
      </c>
      <c r="V256" s="5">
        <f t="shared" si="106"/>
        <v>1.3871768254018993E-2</v>
      </c>
      <c r="W256" s="5">
        <f t="shared" si="107"/>
        <v>-2.3640318757535213E-3</v>
      </c>
      <c r="X256" s="5">
        <f t="shared" si="108"/>
        <v>-1.7027305443747261E-2</v>
      </c>
      <c r="Y256" s="5">
        <f t="shared" si="109"/>
        <v>-1.6010224244890622E-2</v>
      </c>
      <c r="Z256" s="33">
        <v>252</v>
      </c>
      <c r="AE256" s="20" t="str">
        <f t="shared" si="110"/>
        <v/>
      </c>
      <c r="AF256" s="22" t="str">
        <f t="shared" si="111"/>
        <v/>
      </c>
      <c r="AG256" s="9" t="str">
        <f t="shared" ca="1" si="90"/>
        <v/>
      </c>
      <c r="AH256" s="9" t="str">
        <f t="shared" ca="1" si="91"/>
        <v/>
      </c>
      <c r="AI256" s="9" t="str">
        <f t="shared" ca="1" si="92"/>
        <v/>
      </c>
      <c r="AJ256" s="9" t="str">
        <f t="shared" ca="1" si="93"/>
        <v/>
      </c>
      <c r="AK256" s="9" t="str">
        <f t="shared" ca="1" si="94"/>
        <v/>
      </c>
      <c r="AL256" s="9" t="str">
        <f t="shared" ca="1" si="95"/>
        <v/>
      </c>
      <c r="AM256" s="9" t="str">
        <f t="shared" ca="1" si="96"/>
        <v/>
      </c>
      <c r="AN256" s="9" t="str">
        <f t="shared" ca="1" si="97"/>
        <v/>
      </c>
      <c r="AO256" s="9" t="str">
        <f t="shared" ca="1" si="98"/>
        <v/>
      </c>
      <c r="AP256" s="9" t="str">
        <f t="shared" ca="1" si="99"/>
        <v/>
      </c>
      <c r="AQ256" s="9"/>
      <c r="AR256" s="9"/>
      <c r="AS256" s="9"/>
      <c r="AT256" s="9"/>
      <c r="AU256" s="9"/>
    </row>
    <row r="257" spans="1:47" x14ac:dyDescent="0.3">
      <c r="A257" s="1">
        <v>43833</v>
      </c>
      <c r="B257" s="6">
        <v>331.80999800000001</v>
      </c>
      <c r="C257" s="6">
        <v>141.759995</v>
      </c>
      <c r="D257" s="6">
        <v>31.639999</v>
      </c>
      <c r="E257" s="6">
        <v>135.63000500000001</v>
      </c>
      <c r="F257" s="6">
        <v>105.900002</v>
      </c>
      <c r="G257" s="6">
        <v>46.490001999999997</v>
      </c>
      <c r="H257" s="6">
        <v>115.779999</v>
      </c>
      <c r="I257" s="6">
        <v>167.08999600000001</v>
      </c>
      <c r="J257" s="6">
        <v>22.73</v>
      </c>
      <c r="K257" s="6">
        <v>32.029998999999997</v>
      </c>
      <c r="N257" s="19">
        <v>253</v>
      </c>
      <c r="O257" s="1">
        <v>43833</v>
      </c>
      <c r="P257" s="5">
        <f t="shared" si="100"/>
        <v>-7.8650592617347092E-3</v>
      </c>
      <c r="Q257" s="5">
        <f t="shared" si="101"/>
        <v>-7.7996392943259088E-3</v>
      </c>
      <c r="R257" s="5">
        <f t="shared" si="102"/>
        <v>-6.6152707242823341E-3</v>
      </c>
      <c r="S257" s="5">
        <f t="shared" si="103"/>
        <v>-1.3999043848221054E-3</v>
      </c>
      <c r="T257" s="5">
        <f t="shared" si="104"/>
        <v>7.9636750040275716E-3</v>
      </c>
      <c r="U257" s="5">
        <f t="shared" si="105"/>
        <v>7.9906050042057811E-3</v>
      </c>
      <c r="V257" s="5">
        <f t="shared" si="106"/>
        <v>-9.3704016008244479E-3</v>
      </c>
      <c r="W257" s="5">
        <f t="shared" si="107"/>
        <v>-1.1366149456216135E-2</v>
      </c>
      <c r="X257" s="5">
        <f t="shared" si="108"/>
        <v>8.8032578045124654E-4</v>
      </c>
      <c r="Y257" s="5">
        <f t="shared" si="109"/>
        <v>-5.914476385115522E-3</v>
      </c>
      <c r="Z257" s="33">
        <v>253</v>
      </c>
      <c r="AE257" s="20" t="str">
        <f t="shared" si="110"/>
        <v/>
      </c>
      <c r="AF257" s="22" t="str">
        <f t="shared" si="111"/>
        <v/>
      </c>
      <c r="AG257" s="9" t="str">
        <f t="shared" ca="1" si="90"/>
        <v/>
      </c>
      <c r="AH257" s="9" t="str">
        <f t="shared" ca="1" si="91"/>
        <v/>
      </c>
      <c r="AI257" s="9" t="str">
        <f t="shared" ca="1" si="92"/>
        <v/>
      </c>
      <c r="AJ257" s="9" t="str">
        <f t="shared" ca="1" si="93"/>
        <v/>
      </c>
      <c r="AK257" s="9" t="str">
        <f t="shared" ca="1" si="94"/>
        <v/>
      </c>
      <c r="AL257" s="9" t="str">
        <f t="shared" ca="1" si="95"/>
        <v/>
      </c>
      <c r="AM257" s="9" t="str">
        <f t="shared" ca="1" si="96"/>
        <v/>
      </c>
      <c r="AN257" s="9" t="str">
        <f t="shared" ca="1" si="97"/>
        <v/>
      </c>
      <c r="AO257" s="9" t="str">
        <f t="shared" ca="1" si="98"/>
        <v/>
      </c>
      <c r="AP257" s="9" t="str">
        <f t="shared" ca="1" si="99"/>
        <v/>
      </c>
      <c r="AQ257" s="9"/>
      <c r="AR257" s="9"/>
      <c r="AS257" s="9"/>
      <c r="AT257" s="9"/>
      <c r="AU257" s="9"/>
    </row>
    <row r="258" spans="1:47" x14ac:dyDescent="0.3">
      <c r="A258" s="1">
        <v>43836</v>
      </c>
      <c r="B258" s="6">
        <v>333.709991</v>
      </c>
      <c r="C258" s="6">
        <v>141.979996</v>
      </c>
      <c r="D258" s="6">
        <v>31.690000999999999</v>
      </c>
      <c r="E258" s="6">
        <v>136.14999399999999</v>
      </c>
      <c r="F258" s="6">
        <v>106.400002</v>
      </c>
      <c r="G258" s="6">
        <v>46.389999000000003</v>
      </c>
      <c r="H258" s="6">
        <v>115.790001</v>
      </c>
      <c r="I258" s="6">
        <v>165.86000100000001</v>
      </c>
      <c r="J258" s="6">
        <v>22.93</v>
      </c>
      <c r="K258" s="6">
        <v>31.959999</v>
      </c>
      <c r="N258" s="18">
        <v>254</v>
      </c>
      <c r="O258" s="1">
        <v>43836</v>
      </c>
      <c r="P258" s="5">
        <f t="shared" si="100"/>
        <v>5.7098154626887658E-3</v>
      </c>
      <c r="Q258" s="5">
        <f t="shared" si="101"/>
        <v>1.5507228523675522E-3</v>
      </c>
      <c r="R258" s="5">
        <f t="shared" si="102"/>
        <v>1.5790939646347034E-3</v>
      </c>
      <c r="S258" s="5">
        <f t="shared" si="103"/>
        <v>3.8265482111027806E-3</v>
      </c>
      <c r="T258" s="5">
        <f t="shared" si="104"/>
        <v>4.710324211434371E-3</v>
      </c>
      <c r="U258" s="5">
        <f t="shared" si="105"/>
        <v>-2.153381515214452E-3</v>
      </c>
      <c r="V258" s="5">
        <f t="shared" si="106"/>
        <v>8.6384246717767233E-5</v>
      </c>
      <c r="W258" s="5">
        <f t="shared" si="107"/>
        <v>-7.3885004146184222E-3</v>
      </c>
      <c r="X258" s="5">
        <f t="shared" si="108"/>
        <v>8.7604590053611178E-3</v>
      </c>
      <c r="Y258" s="5">
        <f t="shared" si="109"/>
        <v>-2.1878427913735381E-3</v>
      </c>
      <c r="Z258" s="33">
        <v>254</v>
      </c>
      <c r="AE258" s="20" t="str">
        <f t="shared" si="110"/>
        <v/>
      </c>
      <c r="AF258" s="22" t="str">
        <f t="shared" si="111"/>
        <v/>
      </c>
      <c r="AG258" s="9" t="str">
        <f t="shared" ca="1" si="90"/>
        <v/>
      </c>
      <c r="AH258" s="9" t="str">
        <f t="shared" ca="1" si="91"/>
        <v/>
      </c>
      <c r="AI258" s="9" t="str">
        <f t="shared" ca="1" si="92"/>
        <v/>
      </c>
      <c r="AJ258" s="9" t="str">
        <f t="shared" ca="1" si="93"/>
        <v/>
      </c>
      <c r="AK258" s="9" t="str">
        <f t="shared" ca="1" si="94"/>
        <v/>
      </c>
      <c r="AL258" s="9" t="str">
        <f t="shared" ca="1" si="95"/>
        <v/>
      </c>
      <c r="AM258" s="9" t="str">
        <f t="shared" ca="1" si="96"/>
        <v/>
      </c>
      <c r="AN258" s="9" t="str">
        <f t="shared" ca="1" si="97"/>
        <v/>
      </c>
      <c r="AO258" s="9" t="str">
        <f t="shared" ca="1" si="98"/>
        <v/>
      </c>
      <c r="AP258" s="9" t="str">
        <f t="shared" ca="1" si="99"/>
        <v/>
      </c>
      <c r="AQ258" s="9"/>
      <c r="AR258" s="9"/>
      <c r="AS258" s="9"/>
      <c r="AT258" s="9"/>
      <c r="AU258" s="9"/>
    </row>
    <row r="259" spans="1:47" x14ac:dyDescent="0.3">
      <c r="A259" s="1">
        <v>43837</v>
      </c>
      <c r="B259" s="6">
        <v>333.39001500000001</v>
      </c>
      <c r="C259" s="6">
        <v>142.96000699999999</v>
      </c>
      <c r="D259" s="6">
        <v>31.844999000000001</v>
      </c>
      <c r="E259" s="6">
        <v>134.009995</v>
      </c>
      <c r="F259" s="6">
        <v>105.089996</v>
      </c>
      <c r="G259" s="6">
        <v>45.82</v>
      </c>
      <c r="H259" s="6">
        <v>116.110001</v>
      </c>
      <c r="I259" s="6">
        <v>164.78999300000001</v>
      </c>
      <c r="J259" s="6">
        <v>22.98</v>
      </c>
      <c r="K259" s="6">
        <v>32.07</v>
      </c>
      <c r="N259" s="19">
        <v>255</v>
      </c>
      <c r="O259" s="1">
        <v>43837</v>
      </c>
      <c r="P259" s="5">
        <f t="shared" si="100"/>
        <v>-9.5930451704587607E-4</v>
      </c>
      <c r="Q259" s="5">
        <f t="shared" si="101"/>
        <v>6.8787453776594804E-3</v>
      </c>
      <c r="R259" s="5">
        <f t="shared" si="102"/>
        <v>4.879147162700115E-3</v>
      </c>
      <c r="S259" s="5">
        <f t="shared" si="103"/>
        <v>-1.5842788329238213E-2</v>
      </c>
      <c r="T259" s="5">
        <f t="shared" si="104"/>
        <v>-1.2388507889644908E-2</v>
      </c>
      <c r="U259" s="5">
        <f t="shared" si="105"/>
        <v>-1.236322018193272E-2</v>
      </c>
      <c r="V259" s="5">
        <f t="shared" si="106"/>
        <v>2.7598119909312329E-3</v>
      </c>
      <c r="W259" s="5">
        <f t="shared" si="107"/>
        <v>-6.4721715079068187E-3</v>
      </c>
      <c r="X259" s="5">
        <f t="shared" si="108"/>
        <v>2.1781755507966176E-3</v>
      </c>
      <c r="Y259" s="5">
        <f t="shared" si="109"/>
        <v>3.4359240961015472E-3</v>
      </c>
      <c r="Z259" s="33">
        <v>255</v>
      </c>
      <c r="AE259" s="20" t="str">
        <f t="shared" si="110"/>
        <v/>
      </c>
      <c r="AF259" s="22" t="str">
        <f t="shared" si="111"/>
        <v/>
      </c>
      <c r="AG259" s="9" t="str">
        <f t="shared" ca="1" si="90"/>
        <v/>
      </c>
      <c r="AH259" s="9" t="str">
        <f t="shared" ca="1" si="91"/>
        <v/>
      </c>
      <c r="AI259" s="9" t="str">
        <f t="shared" ca="1" si="92"/>
        <v/>
      </c>
      <c r="AJ259" s="9" t="str">
        <f t="shared" ca="1" si="93"/>
        <v/>
      </c>
      <c r="AK259" s="9" t="str">
        <f t="shared" ca="1" si="94"/>
        <v/>
      </c>
      <c r="AL259" s="9" t="str">
        <f t="shared" ca="1" si="95"/>
        <v/>
      </c>
      <c r="AM259" s="9" t="str">
        <f t="shared" ca="1" si="96"/>
        <v/>
      </c>
      <c r="AN259" s="9" t="str">
        <f t="shared" ca="1" si="97"/>
        <v/>
      </c>
      <c r="AO259" s="9" t="str">
        <f t="shared" ca="1" si="98"/>
        <v/>
      </c>
      <c r="AP259" s="9" t="str">
        <f t="shared" ca="1" si="99"/>
        <v/>
      </c>
      <c r="AQ259" s="9"/>
      <c r="AR259" s="9"/>
      <c r="AS259" s="9"/>
      <c r="AT259" s="9"/>
      <c r="AU259" s="9"/>
    </row>
    <row r="260" spans="1:47" x14ac:dyDescent="0.3">
      <c r="A260" s="1">
        <v>43838</v>
      </c>
      <c r="B260" s="6">
        <v>337.86999500000002</v>
      </c>
      <c r="C260" s="6">
        <v>145.86000100000001</v>
      </c>
      <c r="D260" s="6">
        <v>31.91</v>
      </c>
      <c r="E260" s="6">
        <v>134.699997</v>
      </c>
      <c r="F260" s="6">
        <v>105.30999799999999</v>
      </c>
      <c r="G260" s="6">
        <v>45.880001</v>
      </c>
      <c r="H260" s="6">
        <v>116.379997</v>
      </c>
      <c r="I260" s="6">
        <v>166.61000100000001</v>
      </c>
      <c r="J260" s="6">
        <v>23.040001</v>
      </c>
      <c r="K260" s="6">
        <v>32.110000999999997</v>
      </c>
      <c r="N260" s="18">
        <v>256</v>
      </c>
      <c r="O260" s="1">
        <v>43838</v>
      </c>
      <c r="P260" s="5">
        <f t="shared" si="100"/>
        <v>1.3348170458329233E-2</v>
      </c>
      <c r="Q260" s="5">
        <f t="shared" si="101"/>
        <v>2.0082344596059492E-2</v>
      </c>
      <c r="R260" s="5">
        <f t="shared" si="102"/>
        <v>2.0390878689274389E-3</v>
      </c>
      <c r="S260" s="5">
        <f t="shared" si="103"/>
        <v>5.1356744231153056E-3</v>
      </c>
      <c r="T260" s="5">
        <f t="shared" si="104"/>
        <v>2.0912745860654325E-3</v>
      </c>
      <c r="U260" s="5">
        <f t="shared" si="105"/>
        <v>1.3086370318098775E-3</v>
      </c>
      <c r="V260" s="5">
        <f t="shared" si="106"/>
        <v>2.3226471994611526E-3</v>
      </c>
      <c r="W260" s="5">
        <f t="shared" si="107"/>
        <v>1.0983864398685955E-2</v>
      </c>
      <c r="X260" s="5">
        <f t="shared" si="108"/>
        <v>2.607606809857593E-3</v>
      </c>
      <c r="Y260" s="5">
        <f t="shared" si="109"/>
        <v>1.2465255393045067E-3</v>
      </c>
      <c r="Z260" s="33">
        <v>256</v>
      </c>
      <c r="AE260" s="20" t="str">
        <f t="shared" si="110"/>
        <v/>
      </c>
      <c r="AF260" s="22" t="str">
        <f t="shared" si="111"/>
        <v/>
      </c>
      <c r="AG260" s="9" t="str">
        <f t="shared" ca="1" si="90"/>
        <v/>
      </c>
      <c r="AH260" s="9" t="str">
        <f t="shared" ca="1" si="91"/>
        <v/>
      </c>
      <c r="AI260" s="9" t="str">
        <f t="shared" ca="1" si="92"/>
        <v/>
      </c>
      <c r="AJ260" s="9" t="str">
        <f t="shared" ca="1" si="93"/>
        <v/>
      </c>
      <c r="AK260" s="9" t="str">
        <f t="shared" ca="1" si="94"/>
        <v/>
      </c>
      <c r="AL260" s="9" t="str">
        <f t="shared" ca="1" si="95"/>
        <v/>
      </c>
      <c r="AM260" s="9" t="str">
        <f t="shared" ca="1" si="96"/>
        <v/>
      </c>
      <c r="AN260" s="9" t="str">
        <f t="shared" ca="1" si="97"/>
        <v/>
      </c>
      <c r="AO260" s="9" t="str">
        <f t="shared" ca="1" si="98"/>
        <v/>
      </c>
      <c r="AP260" s="9" t="str">
        <f t="shared" ca="1" si="99"/>
        <v/>
      </c>
      <c r="AQ260" s="9"/>
      <c r="AR260" s="9"/>
      <c r="AS260" s="9"/>
      <c r="AT260" s="9"/>
      <c r="AU260" s="9"/>
    </row>
    <row r="261" spans="1:47" x14ac:dyDescent="0.3">
      <c r="A261" s="1">
        <v>43839</v>
      </c>
      <c r="B261" s="6">
        <v>340.45001200000002</v>
      </c>
      <c r="C261" s="6">
        <v>148.66999799999999</v>
      </c>
      <c r="D261" s="6">
        <v>32.125</v>
      </c>
      <c r="E261" s="6">
        <v>134.78999300000001</v>
      </c>
      <c r="F261" s="6">
        <v>105.470001</v>
      </c>
      <c r="G261" s="6">
        <v>45.66</v>
      </c>
      <c r="H261" s="6">
        <v>117.120003</v>
      </c>
      <c r="I261" s="6">
        <v>166.66000399999999</v>
      </c>
      <c r="J261" s="6">
        <v>23.16</v>
      </c>
      <c r="K261" s="6">
        <v>32.25</v>
      </c>
      <c r="N261" s="19">
        <v>257</v>
      </c>
      <c r="O261" s="1">
        <v>43839</v>
      </c>
      <c r="P261" s="5">
        <f t="shared" si="100"/>
        <v>7.6071158600972211E-3</v>
      </c>
      <c r="Q261" s="5">
        <f t="shared" si="101"/>
        <v>1.9081806760669881E-2</v>
      </c>
      <c r="R261" s="5">
        <f t="shared" si="102"/>
        <v>6.7151029252316878E-3</v>
      </c>
      <c r="S261" s="5">
        <f t="shared" si="103"/>
        <v>6.6789867293804166E-4</v>
      </c>
      <c r="T261" s="5">
        <f t="shared" si="104"/>
        <v>1.518199368934987E-3</v>
      </c>
      <c r="U261" s="5">
        <f t="shared" si="105"/>
        <v>-4.8066729555098862E-3</v>
      </c>
      <c r="V261" s="5">
        <f t="shared" si="106"/>
        <v>6.3384023768566604E-3</v>
      </c>
      <c r="W261" s="5">
        <f t="shared" si="107"/>
        <v>3.000750120023464E-4</v>
      </c>
      <c r="X261" s="5">
        <f t="shared" si="108"/>
        <v>5.1947734743272318E-3</v>
      </c>
      <c r="Y261" s="5">
        <f t="shared" si="109"/>
        <v>4.3505039974134491E-3</v>
      </c>
      <c r="Z261" s="33">
        <v>257</v>
      </c>
      <c r="AE261" s="20" t="str">
        <f t="shared" si="110"/>
        <v/>
      </c>
      <c r="AF261" s="22" t="str">
        <f t="shared" si="111"/>
        <v/>
      </c>
      <c r="AG261" s="9" t="str">
        <f t="shared" ref="AG261:AG324" ca="1" si="112">IF($AE261="","",OFFSET(P$4,$AE261,0))</f>
        <v/>
      </c>
      <c r="AH261" s="9" t="str">
        <f t="shared" ref="AH261:AH324" ca="1" si="113">IF($AE261="","",OFFSET(Q$4,$AE261,0))</f>
        <v/>
      </c>
      <c r="AI261" s="9" t="str">
        <f t="shared" ref="AI261:AI324" ca="1" si="114">IF($AE261="","",OFFSET(R$4,$AE261,0))</f>
        <v/>
      </c>
      <c r="AJ261" s="9" t="str">
        <f t="shared" ref="AJ261:AJ324" ca="1" si="115">IF($AE261="","",OFFSET(S$4,$AE261,0))</f>
        <v/>
      </c>
      <c r="AK261" s="9" t="str">
        <f t="shared" ref="AK261:AK324" ca="1" si="116">IF($AE261="","",OFFSET(T$4,$AE261,0))</f>
        <v/>
      </c>
      <c r="AL261" s="9" t="str">
        <f t="shared" ref="AL261:AL324" ca="1" si="117">IF($AE261="","",OFFSET(U$4,$AE261,0))</f>
        <v/>
      </c>
      <c r="AM261" s="9" t="str">
        <f t="shared" ref="AM261:AM324" ca="1" si="118">IF($AE261="","",OFFSET(V$4,$AE261,0))</f>
        <v/>
      </c>
      <c r="AN261" s="9" t="str">
        <f t="shared" ref="AN261:AN324" ca="1" si="119">IF($AE261="","",OFFSET(W$4,$AE261,0))</f>
        <v/>
      </c>
      <c r="AO261" s="9" t="str">
        <f t="shared" ref="AO261:AO324" ca="1" si="120">IF($AE261="","",OFFSET(X$4,$AE261,0))</f>
        <v/>
      </c>
      <c r="AP261" s="9" t="str">
        <f t="shared" ref="AP261:AP324" ca="1" si="121">IF($AE261="","",OFFSET(Y$4,$AE261,0))</f>
        <v/>
      </c>
      <c r="AQ261" s="9"/>
      <c r="AR261" s="9"/>
      <c r="AS261" s="9"/>
      <c r="AT261" s="9"/>
      <c r="AU261" s="9"/>
    </row>
    <row r="262" spans="1:47" x14ac:dyDescent="0.3">
      <c r="A262" s="1">
        <v>43840</v>
      </c>
      <c r="B262" s="6">
        <v>339.80999800000001</v>
      </c>
      <c r="C262" s="6">
        <v>148.46000699999999</v>
      </c>
      <c r="D262" s="6">
        <v>32.669998</v>
      </c>
      <c r="E262" s="6">
        <v>134.529999</v>
      </c>
      <c r="F262" s="6">
        <v>106.220001</v>
      </c>
      <c r="G262" s="6">
        <v>46.049999</v>
      </c>
      <c r="H262" s="6">
        <v>115.769997</v>
      </c>
      <c r="I262" s="6">
        <v>166.550003</v>
      </c>
      <c r="J262" s="6">
        <v>23.120000999999998</v>
      </c>
      <c r="K262" s="6">
        <v>31.85</v>
      </c>
      <c r="N262" s="18">
        <v>258</v>
      </c>
      <c r="O262" s="1">
        <v>43840</v>
      </c>
      <c r="P262" s="5">
        <f t="shared" ref="P262:P325" si="122">LN(B262/B261)</f>
        <v>-1.8816751813517856E-3</v>
      </c>
      <c r="Q262" s="5">
        <f t="shared" ref="Q262:Q325" si="123">LN(C262/C261)</f>
        <v>-1.4134623324986804E-3</v>
      </c>
      <c r="R262" s="5">
        <f t="shared" ref="R262:R325" si="124">LN(D262/D261)</f>
        <v>1.6822621179349941E-2</v>
      </c>
      <c r="S262" s="5">
        <f t="shared" ref="S262:S325" si="125">LN(E262/E261)</f>
        <v>-1.9307447533757907E-3</v>
      </c>
      <c r="T262" s="5">
        <f t="shared" ref="T262:T325" si="126">LN(F262/F261)</f>
        <v>7.0858626387839138E-3</v>
      </c>
      <c r="U262" s="5">
        <f t="shared" ref="U262:U325" si="127">LN(G262/G261)</f>
        <v>8.5050998841395813E-3</v>
      </c>
      <c r="V262" s="5">
        <f t="shared" ref="V262:V325" si="128">LN(H262/H261)</f>
        <v>-1.1593637523567429E-2</v>
      </c>
      <c r="W262" s="5">
        <f t="shared" ref="W262:W325" si="129">LN(I262/I261)</f>
        <v>-6.6025030272303764E-4</v>
      </c>
      <c r="X262" s="5">
        <f t="shared" ref="X262:X325" si="130">LN(J262/J261)</f>
        <v>-1.7285656480236244E-3</v>
      </c>
      <c r="Y262" s="5">
        <f t="shared" ref="Y262:Y325" si="131">LN(K262/K261)</f>
        <v>-1.2480661223609144E-2</v>
      </c>
      <c r="Z262" s="33">
        <v>258</v>
      </c>
      <c r="AE262" s="20" t="str">
        <f t="shared" ref="AE262:AE325" si="132">IF(AE261="","",IF(AE261+1&lt;=$AC$5,AE261+1,""))</f>
        <v/>
      </c>
      <c r="AF262" s="22" t="str">
        <f t="shared" ref="AF262:AF325" si="133">IF(AE262="","",VLOOKUP(AE262,N261:O1518,2))</f>
        <v/>
      </c>
      <c r="AG262" s="9" t="str">
        <f t="shared" ca="1" si="112"/>
        <v/>
      </c>
      <c r="AH262" s="9" t="str">
        <f t="shared" ca="1" si="113"/>
        <v/>
      </c>
      <c r="AI262" s="9" t="str">
        <f t="shared" ca="1" si="114"/>
        <v/>
      </c>
      <c r="AJ262" s="9" t="str">
        <f t="shared" ca="1" si="115"/>
        <v/>
      </c>
      <c r="AK262" s="9" t="str">
        <f t="shared" ca="1" si="116"/>
        <v/>
      </c>
      <c r="AL262" s="9" t="str">
        <f t="shared" ca="1" si="117"/>
        <v/>
      </c>
      <c r="AM262" s="9" t="str">
        <f t="shared" ca="1" si="118"/>
        <v/>
      </c>
      <c r="AN262" s="9" t="str">
        <f t="shared" ca="1" si="119"/>
        <v/>
      </c>
      <c r="AO262" s="9" t="str">
        <f t="shared" ca="1" si="120"/>
        <v/>
      </c>
      <c r="AP262" s="9" t="str">
        <f t="shared" ca="1" si="121"/>
        <v/>
      </c>
      <c r="AQ262" s="9"/>
      <c r="AR262" s="9"/>
      <c r="AS262" s="9"/>
      <c r="AT262" s="9"/>
      <c r="AU262" s="9"/>
    </row>
    <row r="263" spans="1:47" x14ac:dyDescent="0.3">
      <c r="A263" s="1">
        <v>43843</v>
      </c>
      <c r="B263" s="6">
        <v>345.63000499999998</v>
      </c>
      <c r="C263" s="6">
        <v>149.929993</v>
      </c>
      <c r="D263" s="6">
        <v>32.764999000000003</v>
      </c>
      <c r="E263" s="6">
        <v>136.529999</v>
      </c>
      <c r="F263" s="6">
        <v>107</v>
      </c>
      <c r="G263" s="6">
        <v>46.59</v>
      </c>
      <c r="H263" s="6">
        <v>117.129997</v>
      </c>
      <c r="I263" s="6">
        <v>167.479996</v>
      </c>
      <c r="J263" s="6">
        <v>23.360001</v>
      </c>
      <c r="K263" s="6">
        <v>31.790001</v>
      </c>
      <c r="N263" s="19">
        <v>259</v>
      </c>
      <c r="O263" s="1">
        <v>43843</v>
      </c>
      <c r="P263" s="5">
        <f t="shared" si="122"/>
        <v>1.698222118931865E-2</v>
      </c>
      <c r="Q263" s="5">
        <f t="shared" si="123"/>
        <v>9.8528629782087627E-3</v>
      </c>
      <c r="R263" s="5">
        <f t="shared" si="124"/>
        <v>2.9036775763535199E-3</v>
      </c>
      <c r="S263" s="5">
        <f t="shared" si="125"/>
        <v>1.4757148308097526E-2</v>
      </c>
      <c r="T263" s="5">
        <f t="shared" si="126"/>
        <v>7.3164100532303218E-3</v>
      </c>
      <c r="U263" s="5">
        <f t="shared" si="127"/>
        <v>1.1658184842916508E-2</v>
      </c>
      <c r="V263" s="5">
        <f t="shared" si="128"/>
        <v>1.1678965165027977E-2</v>
      </c>
      <c r="W263" s="5">
        <f t="shared" si="129"/>
        <v>5.5683346151962814E-3</v>
      </c>
      <c r="X263" s="5">
        <f t="shared" si="130"/>
        <v>1.0327113711473797E-2</v>
      </c>
      <c r="Y263" s="5">
        <f t="shared" si="131"/>
        <v>-1.8855756390286768E-3</v>
      </c>
      <c r="Z263" s="33">
        <v>259</v>
      </c>
      <c r="AE263" s="20" t="str">
        <f t="shared" si="132"/>
        <v/>
      </c>
      <c r="AF263" s="22" t="str">
        <f t="shared" si="133"/>
        <v/>
      </c>
      <c r="AG263" s="9" t="str">
        <f t="shared" ca="1" si="112"/>
        <v/>
      </c>
      <c r="AH263" s="9" t="str">
        <f t="shared" ca="1" si="113"/>
        <v/>
      </c>
      <c r="AI263" s="9" t="str">
        <f t="shared" ca="1" si="114"/>
        <v/>
      </c>
      <c r="AJ263" s="9" t="str">
        <f t="shared" ca="1" si="115"/>
        <v/>
      </c>
      <c r="AK263" s="9" t="str">
        <f t="shared" ca="1" si="116"/>
        <v/>
      </c>
      <c r="AL263" s="9" t="str">
        <f t="shared" ca="1" si="117"/>
        <v/>
      </c>
      <c r="AM263" s="9" t="str">
        <f t="shared" ca="1" si="118"/>
        <v/>
      </c>
      <c r="AN263" s="9" t="str">
        <f t="shared" ca="1" si="119"/>
        <v/>
      </c>
      <c r="AO263" s="9" t="str">
        <f t="shared" ca="1" si="120"/>
        <v/>
      </c>
      <c r="AP263" s="9" t="str">
        <f t="shared" ca="1" si="121"/>
        <v/>
      </c>
      <c r="AQ263" s="9"/>
      <c r="AR263" s="9"/>
      <c r="AS263" s="9"/>
      <c r="AT263" s="9"/>
      <c r="AU263" s="9"/>
    </row>
    <row r="264" spans="1:47" x14ac:dyDescent="0.3">
      <c r="A264" s="1">
        <v>43844</v>
      </c>
      <c r="B264" s="6">
        <v>344.63000499999998</v>
      </c>
      <c r="C264" s="6">
        <v>148.19000199999999</v>
      </c>
      <c r="D264" s="6">
        <v>32.790000999999997</v>
      </c>
      <c r="E264" s="6">
        <v>136.85000600000001</v>
      </c>
      <c r="F264" s="6">
        <v>107.139999</v>
      </c>
      <c r="G264" s="6">
        <v>46.43</v>
      </c>
      <c r="H264" s="6">
        <v>117.120003</v>
      </c>
      <c r="I264" s="6">
        <v>168.470001</v>
      </c>
      <c r="J264" s="6">
        <v>23.629999000000002</v>
      </c>
      <c r="K264" s="6">
        <v>31.9</v>
      </c>
      <c r="N264" s="18">
        <v>260</v>
      </c>
      <c r="O264" s="1">
        <v>43844</v>
      </c>
      <c r="P264" s="5">
        <f t="shared" si="122"/>
        <v>-2.8974609136245733E-3</v>
      </c>
      <c r="Q264" s="5">
        <f t="shared" si="123"/>
        <v>-1.1673224120081729E-2</v>
      </c>
      <c r="R264" s="5">
        <f t="shared" si="124"/>
        <v>7.6277938257161718E-4</v>
      </c>
      <c r="S264" s="5">
        <f t="shared" si="125"/>
        <v>2.3411159580488681E-3</v>
      </c>
      <c r="T264" s="5">
        <f t="shared" si="126"/>
        <v>1.3075466573258779E-3</v>
      </c>
      <c r="U264" s="5">
        <f t="shared" si="127"/>
        <v>-3.4401237968751872E-3</v>
      </c>
      <c r="V264" s="5">
        <f t="shared" si="128"/>
        <v>-8.5327641460560916E-5</v>
      </c>
      <c r="W264" s="5">
        <f t="shared" si="129"/>
        <v>5.8937810663939761E-3</v>
      </c>
      <c r="X264" s="5">
        <f t="shared" si="130"/>
        <v>1.1491848111485174E-2</v>
      </c>
      <c r="Y264" s="5">
        <f t="shared" si="131"/>
        <v>3.454203411655169E-3</v>
      </c>
      <c r="Z264" s="33">
        <v>260</v>
      </c>
      <c r="AE264" s="20" t="str">
        <f t="shared" si="132"/>
        <v/>
      </c>
      <c r="AF264" s="22" t="str">
        <f t="shared" si="133"/>
        <v/>
      </c>
      <c r="AG264" s="9" t="str">
        <f t="shared" ca="1" si="112"/>
        <v/>
      </c>
      <c r="AH264" s="9" t="str">
        <f t="shared" ca="1" si="113"/>
        <v/>
      </c>
      <c r="AI264" s="9" t="str">
        <f t="shared" ca="1" si="114"/>
        <v/>
      </c>
      <c r="AJ264" s="9" t="str">
        <f t="shared" ca="1" si="115"/>
        <v/>
      </c>
      <c r="AK264" s="9" t="str">
        <f t="shared" ca="1" si="116"/>
        <v/>
      </c>
      <c r="AL264" s="9" t="str">
        <f t="shared" ca="1" si="117"/>
        <v/>
      </c>
      <c r="AM264" s="9" t="str">
        <f t="shared" ca="1" si="118"/>
        <v/>
      </c>
      <c r="AN264" s="9" t="str">
        <f t="shared" ca="1" si="119"/>
        <v/>
      </c>
      <c r="AO264" s="9" t="str">
        <f t="shared" ca="1" si="120"/>
        <v/>
      </c>
      <c r="AP264" s="9" t="str">
        <f t="shared" ca="1" si="121"/>
        <v/>
      </c>
      <c r="AQ264" s="9"/>
      <c r="AR264" s="9"/>
      <c r="AS264" s="9"/>
      <c r="AT264" s="9"/>
      <c r="AU264" s="9"/>
    </row>
    <row r="265" spans="1:47" x14ac:dyDescent="0.3">
      <c r="A265" s="1">
        <v>43845</v>
      </c>
      <c r="B265" s="6">
        <v>342.94000199999999</v>
      </c>
      <c r="C265" s="6">
        <v>147.91000399999999</v>
      </c>
      <c r="D265" s="6">
        <v>32.939999</v>
      </c>
      <c r="E265" s="6">
        <v>139.199997</v>
      </c>
      <c r="F265" s="6">
        <v>107.949997</v>
      </c>
      <c r="G265" s="6">
        <v>46.869999</v>
      </c>
      <c r="H265" s="6">
        <v>117.610001</v>
      </c>
      <c r="I265" s="6">
        <v>167.16999799999999</v>
      </c>
      <c r="J265" s="6">
        <v>23.799999</v>
      </c>
      <c r="K265" s="6">
        <v>32.240001999999997</v>
      </c>
      <c r="N265" s="19">
        <v>261</v>
      </c>
      <c r="O265" s="1">
        <v>43845</v>
      </c>
      <c r="P265" s="5">
        <f t="shared" si="122"/>
        <v>-4.9158816881548382E-3</v>
      </c>
      <c r="Q265" s="5">
        <f t="shared" si="123"/>
        <v>-1.8912399715237645E-3</v>
      </c>
      <c r="R265" s="5">
        <f t="shared" si="124"/>
        <v>4.5640730376076445E-3</v>
      </c>
      <c r="S265" s="5">
        <f t="shared" si="125"/>
        <v>1.7026247018283189E-2</v>
      </c>
      <c r="T265" s="5">
        <f t="shared" si="126"/>
        <v>7.5317480509401345E-3</v>
      </c>
      <c r="U265" s="5">
        <f t="shared" si="127"/>
        <v>9.4319885671750609E-3</v>
      </c>
      <c r="V265" s="5">
        <f t="shared" si="128"/>
        <v>4.1749985378683749E-3</v>
      </c>
      <c r="W265" s="5">
        <f t="shared" si="129"/>
        <v>-7.7464515832173777E-3</v>
      </c>
      <c r="X265" s="5">
        <f t="shared" si="130"/>
        <v>7.1684897808916223E-3</v>
      </c>
      <c r="Y265" s="5">
        <f t="shared" si="131"/>
        <v>1.0601969882366216E-2</v>
      </c>
      <c r="Z265" s="33">
        <v>261</v>
      </c>
      <c r="AE265" s="20" t="str">
        <f t="shared" si="132"/>
        <v/>
      </c>
      <c r="AF265" s="22" t="str">
        <f t="shared" si="133"/>
        <v/>
      </c>
      <c r="AG265" s="9" t="str">
        <f t="shared" ca="1" si="112"/>
        <v/>
      </c>
      <c r="AH265" s="9" t="str">
        <f t="shared" ca="1" si="113"/>
        <v/>
      </c>
      <c r="AI265" s="9" t="str">
        <f t="shared" ca="1" si="114"/>
        <v/>
      </c>
      <c r="AJ265" s="9" t="str">
        <f t="shared" ca="1" si="115"/>
        <v/>
      </c>
      <c r="AK265" s="9" t="str">
        <f t="shared" ca="1" si="116"/>
        <v/>
      </c>
      <c r="AL265" s="9" t="str">
        <f t="shared" ca="1" si="117"/>
        <v/>
      </c>
      <c r="AM265" s="9" t="str">
        <f t="shared" ca="1" si="118"/>
        <v/>
      </c>
      <c r="AN265" s="9" t="str">
        <f t="shared" ca="1" si="119"/>
        <v/>
      </c>
      <c r="AO265" s="9" t="str">
        <f t="shared" ca="1" si="120"/>
        <v/>
      </c>
      <c r="AP265" s="9" t="str">
        <f t="shared" ca="1" si="121"/>
        <v/>
      </c>
      <c r="AQ265" s="9"/>
      <c r="AR265" s="9"/>
      <c r="AS265" s="9"/>
      <c r="AT265" s="9"/>
      <c r="AU265" s="9"/>
    </row>
    <row r="266" spans="1:47" x14ac:dyDescent="0.3">
      <c r="A266" s="1">
        <v>43846</v>
      </c>
      <c r="B266" s="6">
        <v>345.38000499999998</v>
      </c>
      <c r="C266" s="6">
        <v>149.69000199999999</v>
      </c>
      <c r="D266" s="6">
        <v>33.549999</v>
      </c>
      <c r="E266" s="6">
        <v>139.61000100000001</v>
      </c>
      <c r="F266" s="6">
        <v>109.07</v>
      </c>
      <c r="G266" s="6">
        <v>47.330002</v>
      </c>
      <c r="H266" s="6">
        <v>119.599998</v>
      </c>
      <c r="I266" s="6">
        <v>168.66999799999999</v>
      </c>
      <c r="J266" s="6">
        <v>23.74</v>
      </c>
      <c r="K266" s="6">
        <v>32.770000000000003</v>
      </c>
      <c r="N266" s="18">
        <v>262</v>
      </c>
      <c r="O266" s="1">
        <v>43846</v>
      </c>
      <c r="P266" s="5">
        <f t="shared" si="122"/>
        <v>7.0897640507028483E-3</v>
      </c>
      <c r="Q266" s="5">
        <f t="shared" si="123"/>
        <v>1.1962494561339628E-2</v>
      </c>
      <c r="R266" s="5">
        <f t="shared" si="124"/>
        <v>1.8349139220164398E-2</v>
      </c>
      <c r="S266" s="5">
        <f t="shared" si="125"/>
        <v>2.9411018147724368E-3</v>
      </c>
      <c r="T266" s="5">
        <f t="shared" si="126"/>
        <v>1.0321748770479399E-2</v>
      </c>
      <c r="U266" s="5">
        <f t="shared" si="127"/>
        <v>9.7665955756473591E-3</v>
      </c>
      <c r="V266" s="5">
        <f t="shared" si="128"/>
        <v>1.6778750428499634E-2</v>
      </c>
      <c r="W266" s="5">
        <f t="shared" si="129"/>
        <v>8.9328846617797025E-3</v>
      </c>
      <c r="X266" s="5">
        <f t="shared" si="130"/>
        <v>-2.5241494790995264E-3</v>
      </c>
      <c r="Y266" s="5">
        <f t="shared" si="131"/>
        <v>1.6305483037558299E-2</v>
      </c>
      <c r="Z266" s="33">
        <v>262</v>
      </c>
      <c r="AE266" s="20" t="str">
        <f t="shared" si="132"/>
        <v/>
      </c>
      <c r="AF266" s="22" t="str">
        <f t="shared" si="133"/>
        <v/>
      </c>
      <c r="AG266" s="9" t="str">
        <f t="shared" ca="1" si="112"/>
        <v/>
      </c>
      <c r="AH266" s="9" t="str">
        <f t="shared" ca="1" si="113"/>
        <v/>
      </c>
      <c r="AI266" s="9" t="str">
        <f t="shared" ca="1" si="114"/>
        <v/>
      </c>
      <c r="AJ266" s="9" t="str">
        <f t="shared" ca="1" si="115"/>
        <v/>
      </c>
      <c r="AK266" s="9" t="str">
        <f t="shared" ca="1" si="116"/>
        <v/>
      </c>
      <c r="AL266" s="9" t="str">
        <f t="shared" ca="1" si="117"/>
        <v/>
      </c>
      <c r="AM266" s="9" t="str">
        <f t="shared" ca="1" si="118"/>
        <v/>
      </c>
      <c r="AN266" s="9" t="str">
        <f t="shared" ca="1" si="119"/>
        <v/>
      </c>
      <c r="AO266" s="9" t="str">
        <f t="shared" ca="1" si="120"/>
        <v/>
      </c>
      <c r="AP266" s="9" t="str">
        <f t="shared" ca="1" si="121"/>
        <v/>
      </c>
      <c r="AQ266" s="9"/>
      <c r="AR266" s="9"/>
      <c r="AS266" s="9"/>
      <c r="AT266" s="9"/>
      <c r="AU266" s="9"/>
    </row>
    <row r="267" spans="1:47" x14ac:dyDescent="0.3">
      <c r="A267" s="1">
        <v>43847</v>
      </c>
      <c r="B267" s="6">
        <v>349.73998999999998</v>
      </c>
      <c r="C267" s="6">
        <v>151.86000100000001</v>
      </c>
      <c r="D267" s="6">
        <v>33.654998999999997</v>
      </c>
      <c r="E267" s="6">
        <v>141.259995</v>
      </c>
      <c r="F267" s="6">
        <v>109.970001</v>
      </c>
      <c r="G267" s="6">
        <v>47.450001</v>
      </c>
      <c r="H267" s="6">
        <v>119.529999</v>
      </c>
      <c r="I267" s="6">
        <v>170</v>
      </c>
      <c r="J267" s="6">
        <v>24.15</v>
      </c>
      <c r="K267" s="6">
        <v>32.43</v>
      </c>
      <c r="N267" s="19">
        <v>263</v>
      </c>
      <c r="O267" s="1">
        <v>43847</v>
      </c>
      <c r="P267" s="5">
        <f t="shared" si="122"/>
        <v>1.2544718059512253E-2</v>
      </c>
      <c r="Q267" s="5">
        <f t="shared" si="123"/>
        <v>1.4392548082009963E-2</v>
      </c>
      <c r="R267" s="5">
        <f t="shared" si="124"/>
        <v>3.1247701379778178E-3</v>
      </c>
      <c r="S267" s="5">
        <f t="shared" si="125"/>
        <v>1.1749300421683982E-2</v>
      </c>
      <c r="T267" s="5">
        <f t="shared" si="126"/>
        <v>8.2177324755806618E-3</v>
      </c>
      <c r="U267" s="5">
        <f t="shared" si="127"/>
        <v>2.5321599560996664E-3</v>
      </c>
      <c r="V267" s="5">
        <f t="shared" si="128"/>
        <v>-5.8544727033415969E-4</v>
      </c>
      <c r="W267" s="5">
        <f t="shared" si="129"/>
        <v>7.8543056378117711E-3</v>
      </c>
      <c r="X267" s="5">
        <f t="shared" si="130"/>
        <v>1.7122990917059665E-2</v>
      </c>
      <c r="Y267" s="5">
        <f t="shared" si="131"/>
        <v>-1.0429542391496767E-2</v>
      </c>
      <c r="Z267" s="33">
        <v>263</v>
      </c>
      <c r="AE267" s="20" t="str">
        <f t="shared" si="132"/>
        <v/>
      </c>
      <c r="AF267" s="22" t="str">
        <f t="shared" si="133"/>
        <v/>
      </c>
      <c r="AG267" s="9" t="str">
        <f t="shared" ca="1" si="112"/>
        <v/>
      </c>
      <c r="AH267" s="9" t="str">
        <f t="shared" ca="1" si="113"/>
        <v/>
      </c>
      <c r="AI267" s="9" t="str">
        <f t="shared" ca="1" si="114"/>
        <v/>
      </c>
      <c r="AJ267" s="9" t="str">
        <f t="shared" ca="1" si="115"/>
        <v/>
      </c>
      <c r="AK267" s="9" t="str">
        <f t="shared" ca="1" si="116"/>
        <v/>
      </c>
      <c r="AL267" s="9" t="str">
        <f t="shared" ca="1" si="117"/>
        <v/>
      </c>
      <c r="AM267" s="9" t="str">
        <f t="shared" ca="1" si="118"/>
        <v/>
      </c>
      <c r="AN267" s="9" t="str">
        <f t="shared" ca="1" si="119"/>
        <v/>
      </c>
      <c r="AO267" s="9" t="str">
        <f t="shared" ca="1" si="120"/>
        <v/>
      </c>
      <c r="AP267" s="9" t="str">
        <f t="shared" ca="1" si="121"/>
        <v/>
      </c>
      <c r="AQ267" s="9"/>
      <c r="AR267" s="9"/>
      <c r="AS267" s="9"/>
      <c r="AT267" s="9"/>
      <c r="AU267" s="9"/>
    </row>
    <row r="268" spans="1:47" x14ac:dyDescent="0.3">
      <c r="A268" s="1">
        <v>43851</v>
      </c>
      <c r="B268" s="6">
        <v>350</v>
      </c>
      <c r="C268" s="6">
        <v>153.58000200000001</v>
      </c>
      <c r="D268" s="6">
        <v>33.409999999999997</v>
      </c>
      <c r="E268" s="6">
        <v>141.86000100000001</v>
      </c>
      <c r="F268" s="6">
        <v>111.41999800000001</v>
      </c>
      <c r="G268" s="6">
        <v>48</v>
      </c>
      <c r="H268" s="6">
        <v>117.959999</v>
      </c>
      <c r="I268" s="6">
        <v>168.80999800000001</v>
      </c>
      <c r="J268" s="6">
        <v>24.049999</v>
      </c>
      <c r="K268" s="6">
        <v>31.969999000000001</v>
      </c>
      <c r="N268" s="18">
        <v>264</v>
      </c>
      <c r="O268" s="1">
        <v>43851</v>
      </c>
      <c r="P268" s="5">
        <f t="shared" si="122"/>
        <v>7.4316179061534988E-4</v>
      </c>
      <c r="Q268" s="5">
        <f t="shared" si="123"/>
        <v>1.1262566554826124E-2</v>
      </c>
      <c r="R268" s="5">
        <f t="shared" si="124"/>
        <v>-7.3063473807438994E-3</v>
      </c>
      <c r="S268" s="5">
        <f t="shared" si="125"/>
        <v>4.2385342380928505E-3</v>
      </c>
      <c r="T268" s="5">
        <f t="shared" si="126"/>
        <v>1.3099216226338532E-2</v>
      </c>
      <c r="U268" s="5">
        <f t="shared" si="127"/>
        <v>1.152446477713874E-2</v>
      </c>
      <c r="V268" s="5">
        <f t="shared" si="128"/>
        <v>-1.3221802054163552E-2</v>
      </c>
      <c r="W268" s="5">
        <f t="shared" si="129"/>
        <v>-7.0246267846038879E-3</v>
      </c>
      <c r="X268" s="5">
        <f t="shared" si="130"/>
        <v>-4.1494251268538954E-3</v>
      </c>
      <c r="Y268" s="5">
        <f t="shared" si="131"/>
        <v>-1.4285988526801316E-2</v>
      </c>
      <c r="Z268" s="33">
        <v>264</v>
      </c>
      <c r="AE268" s="20" t="str">
        <f t="shared" si="132"/>
        <v/>
      </c>
      <c r="AF268" s="22" t="str">
        <f t="shared" si="133"/>
        <v/>
      </c>
      <c r="AG268" s="9" t="str">
        <f t="shared" ca="1" si="112"/>
        <v/>
      </c>
      <c r="AH268" s="9" t="str">
        <f t="shared" ca="1" si="113"/>
        <v/>
      </c>
      <c r="AI268" s="9" t="str">
        <f t="shared" ca="1" si="114"/>
        <v/>
      </c>
      <c r="AJ268" s="9" t="str">
        <f t="shared" ca="1" si="115"/>
        <v/>
      </c>
      <c r="AK268" s="9" t="str">
        <f t="shared" ca="1" si="116"/>
        <v/>
      </c>
      <c r="AL268" s="9" t="str">
        <f t="shared" ca="1" si="117"/>
        <v/>
      </c>
      <c r="AM268" s="9" t="str">
        <f t="shared" ca="1" si="118"/>
        <v/>
      </c>
      <c r="AN268" s="9" t="str">
        <f t="shared" ca="1" si="119"/>
        <v/>
      </c>
      <c r="AO268" s="9" t="str">
        <f t="shared" ca="1" si="120"/>
        <v/>
      </c>
      <c r="AP268" s="9" t="str">
        <f t="shared" ca="1" si="121"/>
        <v/>
      </c>
      <c r="AQ268" s="9"/>
      <c r="AR268" s="9"/>
      <c r="AS268" s="9"/>
      <c r="AT268" s="9"/>
      <c r="AU268" s="9"/>
    </row>
    <row r="269" spans="1:47" x14ac:dyDescent="0.3">
      <c r="A269" s="1">
        <v>43852</v>
      </c>
      <c r="B269" s="6">
        <v>350.05999800000001</v>
      </c>
      <c r="C269" s="6">
        <v>153.429993</v>
      </c>
      <c r="D269" s="6">
        <v>33.744999</v>
      </c>
      <c r="E269" s="6">
        <v>143.38000500000001</v>
      </c>
      <c r="F269" s="6">
        <v>110.230003</v>
      </c>
      <c r="G269" s="6">
        <v>47.790000999999997</v>
      </c>
      <c r="H269" s="6">
        <v>117.870003</v>
      </c>
      <c r="I269" s="6">
        <v>167.64999399999999</v>
      </c>
      <c r="J269" s="6">
        <v>23.700001</v>
      </c>
      <c r="K269" s="6">
        <v>32.029998999999997</v>
      </c>
      <c r="N269" s="19">
        <v>265</v>
      </c>
      <c r="O269" s="1">
        <v>43852</v>
      </c>
      <c r="P269" s="5">
        <f t="shared" si="122"/>
        <v>1.7140816592371884E-4</v>
      </c>
      <c r="Q269" s="5">
        <f t="shared" si="123"/>
        <v>-9.7722559122451224E-4</v>
      </c>
      <c r="R269" s="5">
        <f t="shared" si="124"/>
        <v>9.9769721926844367E-3</v>
      </c>
      <c r="S269" s="5">
        <f t="shared" si="125"/>
        <v>1.0657820473948556E-2</v>
      </c>
      <c r="T269" s="5">
        <f t="shared" si="126"/>
        <v>-1.0737707451525432E-2</v>
      </c>
      <c r="U269" s="5">
        <f t="shared" si="127"/>
        <v>-4.3845773929446887E-3</v>
      </c>
      <c r="V269" s="5">
        <f t="shared" si="128"/>
        <v>-7.6322777937885779E-4</v>
      </c>
      <c r="W269" s="5">
        <f t="shared" si="129"/>
        <v>-6.8953731422668925E-3</v>
      </c>
      <c r="X269" s="5">
        <f t="shared" si="130"/>
        <v>-1.4659864636550255E-2</v>
      </c>
      <c r="Y269" s="5">
        <f t="shared" si="131"/>
        <v>1.8750006079103205E-3</v>
      </c>
      <c r="Z269" s="33">
        <v>265</v>
      </c>
      <c r="AE269" s="20" t="str">
        <f t="shared" si="132"/>
        <v/>
      </c>
      <c r="AF269" s="22" t="str">
        <f t="shared" si="133"/>
        <v/>
      </c>
      <c r="AG269" s="9" t="str">
        <f t="shared" ca="1" si="112"/>
        <v/>
      </c>
      <c r="AH269" s="9" t="str">
        <f t="shared" ca="1" si="113"/>
        <v/>
      </c>
      <c r="AI269" s="9" t="str">
        <f t="shared" ca="1" si="114"/>
        <v/>
      </c>
      <c r="AJ269" s="9" t="str">
        <f t="shared" ca="1" si="115"/>
        <v/>
      </c>
      <c r="AK269" s="9" t="str">
        <f t="shared" ca="1" si="116"/>
        <v/>
      </c>
      <c r="AL269" s="9" t="str">
        <f t="shared" ca="1" si="117"/>
        <v/>
      </c>
      <c r="AM269" s="9" t="str">
        <f t="shared" ca="1" si="118"/>
        <v/>
      </c>
      <c r="AN269" s="9" t="str">
        <f t="shared" ca="1" si="119"/>
        <v/>
      </c>
      <c r="AO269" s="9" t="str">
        <f t="shared" ca="1" si="120"/>
        <v/>
      </c>
      <c r="AP269" s="9" t="str">
        <f t="shared" ca="1" si="121"/>
        <v/>
      </c>
      <c r="AQ269" s="9"/>
      <c r="AR269" s="9"/>
      <c r="AS269" s="9"/>
      <c r="AT269" s="9"/>
      <c r="AU269" s="9"/>
    </row>
    <row r="270" spans="1:47" x14ac:dyDescent="0.3">
      <c r="A270" s="1">
        <v>43853</v>
      </c>
      <c r="B270" s="6">
        <v>351.76001000000002</v>
      </c>
      <c r="C270" s="6">
        <v>154.96000699999999</v>
      </c>
      <c r="D270" s="6">
        <v>33.884998000000003</v>
      </c>
      <c r="E270" s="6">
        <v>143.64999399999999</v>
      </c>
      <c r="F270" s="6">
        <v>111.18</v>
      </c>
      <c r="G270" s="6">
        <v>48.18</v>
      </c>
      <c r="H270" s="6">
        <v>118.650002</v>
      </c>
      <c r="I270" s="6">
        <v>168.44000199999999</v>
      </c>
      <c r="J270" s="6">
        <v>23.540001</v>
      </c>
      <c r="K270" s="6">
        <v>30.450001</v>
      </c>
      <c r="N270" s="18">
        <v>266</v>
      </c>
      <c r="O270" s="1">
        <v>43853</v>
      </c>
      <c r="P270" s="5">
        <f t="shared" si="122"/>
        <v>4.8445906516450827E-3</v>
      </c>
      <c r="Q270" s="5">
        <f t="shared" si="123"/>
        <v>9.9226729379851778E-3</v>
      </c>
      <c r="R270" s="5">
        <f t="shared" si="124"/>
        <v>4.1401510035585691E-3</v>
      </c>
      <c r="S270" s="5">
        <f t="shared" si="125"/>
        <v>1.8812603600182783E-3</v>
      </c>
      <c r="T270" s="5">
        <f t="shared" si="126"/>
        <v>8.5813903342782487E-3</v>
      </c>
      <c r="U270" s="5">
        <f t="shared" si="127"/>
        <v>8.1275636717790378E-3</v>
      </c>
      <c r="V270" s="5">
        <f t="shared" si="128"/>
        <v>6.595652047825867E-3</v>
      </c>
      <c r="W270" s="5">
        <f t="shared" si="129"/>
        <v>4.7011780439999932E-3</v>
      </c>
      <c r="X270" s="5">
        <f t="shared" si="130"/>
        <v>-6.7739460221640799E-3</v>
      </c>
      <c r="Y270" s="5">
        <f t="shared" si="131"/>
        <v>-5.0586905403707624E-2</v>
      </c>
      <c r="Z270" s="33">
        <v>266</v>
      </c>
      <c r="AE270" s="20" t="str">
        <f t="shared" si="132"/>
        <v/>
      </c>
      <c r="AF270" s="22" t="str">
        <f t="shared" si="133"/>
        <v/>
      </c>
      <c r="AG270" s="9" t="str">
        <f t="shared" ca="1" si="112"/>
        <v/>
      </c>
      <c r="AH270" s="9" t="str">
        <f t="shared" ca="1" si="113"/>
        <v/>
      </c>
      <c r="AI270" s="9" t="str">
        <f t="shared" ca="1" si="114"/>
        <v/>
      </c>
      <c r="AJ270" s="9" t="str">
        <f t="shared" ca="1" si="115"/>
        <v/>
      </c>
      <c r="AK270" s="9" t="str">
        <f t="shared" ca="1" si="116"/>
        <v/>
      </c>
      <c r="AL270" s="9" t="str">
        <f t="shared" ca="1" si="117"/>
        <v/>
      </c>
      <c r="AM270" s="9" t="str">
        <f t="shared" ca="1" si="118"/>
        <v/>
      </c>
      <c r="AN270" s="9" t="str">
        <f t="shared" ca="1" si="119"/>
        <v/>
      </c>
      <c r="AO270" s="9" t="str">
        <f t="shared" ca="1" si="120"/>
        <v/>
      </c>
      <c r="AP270" s="9" t="str">
        <f t="shared" ca="1" si="121"/>
        <v/>
      </c>
      <c r="AQ270" s="9"/>
      <c r="AR270" s="9"/>
      <c r="AS270" s="9"/>
      <c r="AT270" s="9"/>
      <c r="AU270" s="9"/>
    </row>
    <row r="271" spans="1:47" x14ac:dyDescent="0.3">
      <c r="A271" s="1">
        <v>43854</v>
      </c>
      <c r="B271" s="6">
        <v>351.36999500000002</v>
      </c>
      <c r="C271" s="6">
        <v>154.050003</v>
      </c>
      <c r="D271" s="6">
        <v>33.549999</v>
      </c>
      <c r="E271" s="6">
        <v>142.91999799999999</v>
      </c>
      <c r="F271" s="6">
        <v>111.040001</v>
      </c>
      <c r="G271" s="6">
        <v>48.18</v>
      </c>
      <c r="H271" s="6">
        <v>117.110001</v>
      </c>
      <c r="I271" s="6">
        <v>165.970001</v>
      </c>
      <c r="J271" s="6">
        <v>23.41</v>
      </c>
      <c r="K271" s="6">
        <v>30.32</v>
      </c>
      <c r="N271" s="19">
        <v>267</v>
      </c>
      <c r="O271" s="1">
        <v>43854</v>
      </c>
      <c r="P271" s="5">
        <f t="shared" si="122"/>
        <v>-1.1093682170460601E-3</v>
      </c>
      <c r="Q271" s="5">
        <f t="shared" si="123"/>
        <v>-5.8898197548138097E-3</v>
      </c>
      <c r="R271" s="5">
        <f t="shared" si="124"/>
        <v>-9.9355459534770218E-3</v>
      </c>
      <c r="S271" s="5">
        <f t="shared" si="125"/>
        <v>-5.0947244957448611E-3</v>
      </c>
      <c r="T271" s="5">
        <f t="shared" si="126"/>
        <v>-1.2600037610654635E-3</v>
      </c>
      <c r="U271" s="5">
        <f t="shared" si="127"/>
        <v>0</v>
      </c>
      <c r="V271" s="5">
        <f t="shared" si="128"/>
        <v>-1.306432714504621E-2</v>
      </c>
      <c r="W271" s="5">
        <f t="shared" si="129"/>
        <v>-1.4772560009578516E-2</v>
      </c>
      <c r="X271" s="5">
        <f t="shared" si="130"/>
        <v>-5.5378628101939139E-3</v>
      </c>
      <c r="Y271" s="5">
        <f t="shared" si="131"/>
        <v>-4.2784662224570448E-3</v>
      </c>
      <c r="Z271" s="33">
        <v>267</v>
      </c>
      <c r="AE271" s="20" t="str">
        <f t="shared" si="132"/>
        <v/>
      </c>
      <c r="AF271" s="22" t="str">
        <f t="shared" si="133"/>
        <v/>
      </c>
      <c r="AG271" s="9" t="str">
        <f t="shared" ca="1" si="112"/>
        <v/>
      </c>
      <c r="AH271" s="9" t="str">
        <f t="shared" ca="1" si="113"/>
        <v/>
      </c>
      <c r="AI271" s="9" t="str">
        <f t="shared" ca="1" si="114"/>
        <v/>
      </c>
      <c r="AJ271" s="9" t="str">
        <f t="shared" ca="1" si="115"/>
        <v/>
      </c>
      <c r="AK271" s="9" t="str">
        <f t="shared" ca="1" si="116"/>
        <v/>
      </c>
      <c r="AL271" s="9" t="str">
        <f t="shared" ca="1" si="117"/>
        <v/>
      </c>
      <c r="AM271" s="9" t="str">
        <f t="shared" ca="1" si="118"/>
        <v/>
      </c>
      <c r="AN271" s="9" t="str">
        <f t="shared" ca="1" si="119"/>
        <v/>
      </c>
      <c r="AO271" s="9" t="str">
        <f t="shared" ca="1" si="120"/>
        <v/>
      </c>
      <c r="AP271" s="9" t="str">
        <f t="shared" ca="1" si="121"/>
        <v/>
      </c>
      <c r="AQ271" s="9"/>
      <c r="AR271" s="9"/>
      <c r="AS271" s="9"/>
      <c r="AT271" s="9"/>
      <c r="AU271" s="9"/>
    </row>
    <row r="272" spans="1:47" x14ac:dyDescent="0.3">
      <c r="A272" s="1">
        <v>43857</v>
      </c>
      <c r="B272" s="6">
        <v>346.89999399999999</v>
      </c>
      <c r="C272" s="6">
        <v>150.38000500000001</v>
      </c>
      <c r="D272" s="6">
        <v>33.299999</v>
      </c>
      <c r="E272" s="6">
        <v>142.13999899999999</v>
      </c>
      <c r="F272" s="6">
        <v>110.57</v>
      </c>
      <c r="G272" s="6">
        <v>48.049999</v>
      </c>
      <c r="H272" s="6">
        <v>115.43</v>
      </c>
      <c r="I272" s="6">
        <v>162.89999399999999</v>
      </c>
      <c r="J272" s="6">
        <v>23.16</v>
      </c>
      <c r="K272" s="6">
        <v>30.200001</v>
      </c>
      <c r="N272" s="18">
        <v>268</v>
      </c>
      <c r="O272" s="1">
        <v>43857</v>
      </c>
      <c r="P272" s="5">
        <f t="shared" si="122"/>
        <v>-1.2803248404329157E-2</v>
      </c>
      <c r="Q272" s="5">
        <f t="shared" si="123"/>
        <v>-2.4111787317890866E-2</v>
      </c>
      <c r="R272" s="5">
        <f t="shared" si="124"/>
        <v>-7.4794666550634017E-3</v>
      </c>
      <c r="S272" s="5">
        <f t="shared" si="125"/>
        <v>-5.4725387979344701E-3</v>
      </c>
      <c r="T272" s="5">
        <f t="shared" si="126"/>
        <v>-4.2417012099476908E-3</v>
      </c>
      <c r="U272" s="5">
        <f t="shared" si="127"/>
        <v>-2.7018825820785985E-3</v>
      </c>
      <c r="V272" s="5">
        <f t="shared" si="128"/>
        <v>-1.4449386966205341E-2</v>
      </c>
      <c r="W272" s="5">
        <f t="shared" si="129"/>
        <v>-1.8670576382226502E-2</v>
      </c>
      <c r="X272" s="5">
        <f t="shared" si="130"/>
        <v>-1.0736628798024849E-2</v>
      </c>
      <c r="Y272" s="5">
        <f t="shared" si="131"/>
        <v>-3.9656032807646683E-3</v>
      </c>
      <c r="Z272" s="33">
        <v>268</v>
      </c>
      <c r="AE272" s="20" t="str">
        <f t="shared" si="132"/>
        <v/>
      </c>
      <c r="AF272" s="22" t="str">
        <f t="shared" si="133"/>
        <v/>
      </c>
      <c r="AG272" s="9" t="str">
        <f t="shared" ca="1" si="112"/>
        <v/>
      </c>
      <c r="AH272" s="9" t="str">
        <f t="shared" ca="1" si="113"/>
        <v/>
      </c>
      <c r="AI272" s="9" t="str">
        <f t="shared" ca="1" si="114"/>
        <v/>
      </c>
      <c r="AJ272" s="9" t="str">
        <f t="shared" ca="1" si="115"/>
        <v/>
      </c>
      <c r="AK272" s="9" t="str">
        <f t="shared" ca="1" si="116"/>
        <v/>
      </c>
      <c r="AL272" s="9" t="str">
        <f t="shared" ca="1" si="117"/>
        <v/>
      </c>
      <c r="AM272" s="9" t="str">
        <f t="shared" ca="1" si="118"/>
        <v/>
      </c>
      <c r="AN272" s="9" t="str">
        <f t="shared" ca="1" si="119"/>
        <v/>
      </c>
      <c r="AO272" s="9" t="str">
        <f t="shared" ca="1" si="120"/>
        <v/>
      </c>
      <c r="AP272" s="9" t="str">
        <f t="shared" ca="1" si="121"/>
        <v/>
      </c>
      <c r="AQ272" s="9"/>
      <c r="AR272" s="9"/>
      <c r="AS272" s="9"/>
      <c r="AT272" s="9"/>
      <c r="AU272" s="9"/>
    </row>
    <row r="273" spans="1:47" x14ac:dyDescent="0.3">
      <c r="A273" s="1">
        <v>43858</v>
      </c>
      <c r="B273" s="6">
        <v>354.63000499999998</v>
      </c>
      <c r="C273" s="6">
        <v>152.050003</v>
      </c>
      <c r="D273" s="6">
        <v>33.439999</v>
      </c>
      <c r="E273" s="6">
        <v>142.44000199999999</v>
      </c>
      <c r="F273" s="6">
        <v>110.959999</v>
      </c>
      <c r="G273" s="6">
        <v>48.200001</v>
      </c>
      <c r="H273" s="6">
        <v>116.449997</v>
      </c>
      <c r="I273" s="6">
        <v>164.800003</v>
      </c>
      <c r="J273" s="6">
        <v>23.23</v>
      </c>
      <c r="K273" s="6">
        <v>30.52</v>
      </c>
      <c r="N273" s="19">
        <v>269</v>
      </c>
      <c r="O273" s="1">
        <v>43858</v>
      </c>
      <c r="P273" s="5">
        <f t="shared" si="122"/>
        <v>2.2038469849944075E-2</v>
      </c>
      <c r="Q273" s="5">
        <f t="shared" si="123"/>
        <v>1.1043976654742688E-2</v>
      </c>
      <c r="R273" s="5">
        <f t="shared" si="124"/>
        <v>4.1953913558266083E-3</v>
      </c>
      <c r="S273" s="5">
        <f t="shared" si="125"/>
        <v>2.1083920871448488E-3</v>
      </c>
      <c r="T273" s="5">
        <f t="shared" si="126"/>
        <v>3.5209624400089944E-3</v>
      </c>
      <c r="U273" s="5">
        <f t="shared" si="127"/>
        <v>3.1169271987955848E-3</v>
      </c>
      <c r="V273" s="5">
        <f t="shared" si="128"/>
        <v>8.7976849413990438E-3</v>
      </c>
      <c r="W273" s="5">
        <f t="shared" si="129"/>
        <v>1.1596156903668374E-2</v>
      </c>
      <c r="X273" s="5">
        <f t="shared" si="130"/>
        <v>3.0178940775233642E-3</v>
      </c>
      <c r="Y273" s="5">
        <f t="shared" si="131"/>
        <v>1.0540248922849941E-2</v>
      </c>
      <c r="Z273" s="33">
        <v>269</v>
      </c>
      <c r="AE273" s="20" t="str">
        <f t="shared" si="132"/>
        <v/>
      </c>
      <c r="AF273" s="22" t="str">
        <f t="shared" si="133"/>
        <v/>
      </c>
      <c r="AG273" s="9" t="str">
        <f t="shared" ca="1" si="112"/>
        <v/>
      </c>
      <c r="AH273" s="9" t="str">
        <f t="shared" ca="1" si="113"/>
        <v/>
      </c>
      <c r="AI273" s="9" t="str">
        <f t="shared" ca="1" si="114"/>
        <v/>
      </c>
      <c r="AJ273" s="9" t="str">
        <f t="shared" ca="1" si="115"/>
        <v/>
      </c>
      <c r="AK273" s="9" t="str">
        <f t="shared" ca="1" si="116"/>
        <v/>
      </c>
      <c r="AL273" s="9" t="str">
        <f t="shared" ca="1" si="117"/>
        <v/>
      </c>
      <c r="AM273" s="9" t="str">
        <f t="shared" ca="1" si="118"/>
        <v/>
      </c>
      <c r="AN273" s="9" t="str">
        <f t="shared" ca="1" si="119"/>
        <v/>
      </c>
      <c r="AO273" s="9" t="str">
        <f t="shared" ca="1" si="120"/>
        <v/>
      </c>
      <c r="AP273" s="9" t="str">
        <f t="shared" ca="1" si="121"/>
        <v/>
      </c>
      <c r="AQ273" s="9"/>
      <c r="AR273" s="9"/>
      <c r="AS273" s="9"/>
      <c r="AT273" s="9"/>
      <c r="AU273" s="9"/>
    </row>
    <row r="274" spans="1:47" x14ac:dyDescent="0.3">
      <c r="A274" s="1">
        <v>43859</v>
      </c>
      <c r="B274" s="6">
        <v>351.66000400000001</v>
      </c>
      <c r="C274" s="6">
        <v>150.44000199999999</v>
      </c>
      <c r="D274" s="6">
        <v>33.275002000000001</v>
      </c>
      <c r="E274" s="6">
        <v>141.729996</v>
      </c>
      <c r="F274" s="6">
        <v>110.44000200000001</v>
      </c>
      <c r="G274" s="6">
        <v>47.880001</v>
      </c>
      <c r="H274" s="6">
        <v>116.379997</v>
      </c>
      <c r="I274" s="6">
        <v>164.929993</v>
      </c>
      <c r="J274" s="6">
        <v>23.02</v>
      </c>
      <c r="K274" s="6">
        <v>29.700001</v>
      </c>
      <c r="N274" s="18">
        <v>270</v>
      </c>
      <c r="O274" s="1">
        <v>43859</v>
      </c>
      <c r="P274" s="5">
        <f t="shared" si="122"/>
        <v>-8.4101954385810019E-3</v>
      </c>
      <c r="Q274" s="5">
        <f t="shared" si="123"/>
        <v>-1.0645086957253207E-2</v>
      </c>
      <c r="R274" s="5">
        <f t="shared" si="124"/>
        <v>-4.9463339258366025E-3</v>
      </c>
      <c r="S274" s="5">
        <f t="shared" si="125"/>
        <v>-4.9970614944398889E-3</v>
      </c>
      <c r="T274" s="5">
        <f t="shared" si="126"/>
        <v>-4.6973618229851893E-3</v>
      </c>
      <c r="U274" s="5">
        <f t="shared" si="127"/>
        <v>-6.6611402281230416E-3</v>
      </c>
      <c r="V274" s="5">
        <f t="shared" si="128"/>
        <v>-6.0129711732138024E-4</v>
      </c>
      <c r="W274" s="5">
        <f t="shared" si="129"/>
        <v>7.8846333855709988E-4</v>
      </c>
      <c r="X274" s="5">
        <f t="shared" si="130"/>
        <v>-9.0811434885811875E-3</v>
      </c>
      <c r="Y274" s="5">
        <f t="shared" si="131"/>
        <v>-2.7235126937569163E-2</v>
      </c>
      <c r="Z274" s="33">
        <v>270</v>
      </c>
      <c r="AE274" s="20" t="str">
        <f t="shared" si="132"/>
        <v/>
      </c>
      <c r="AF274" s="22" t="str">
        <f t="shared" si="133"/>
        <v/>
      </c>
      <c r="AG274" s="9" t="str">
        <f t="shared" ca="1" si="112"/>
        <v/>
      </c>
      <c r="AH274" s="9" t="str">
        <f t="shared" ca="1" si="113"/>
        <v/>
      </c>
      <c r="AI274" s="9" t="str">
        <f t="shared" ca="1" si="114"/>
        <v/>
      </c>
      <c r="AJ274" s="9" t="str">
        <f t="shared" ca="1" si="115"/>
        <v/>
      </c>
      <c r="AK274" s="9" t="str">
        <f t="shared" ca="1" si="116"/>
        <v/>
      </c>
      <c r="AL274" s="9" t="str">
        <f t="shared" ca="1" si="117"/>
        <v/>
      </c>
      <c r="AM274" s="9" t="str">
        <f t="shared" ca="1" si="118"/>
        <v/>
      </c>
      <c r="AN274" s="9" t="str">
        <f t="shared" ca="1" si="119"/>
        <v/>
      </c>
      <c r="AO274" s="9" t="str">
        <f t="shared" ca="1" si="120"/>
        <v/>
      </c>
      <c r="AP274" s="9" t="str">
        <f t="shared" ca="1" si="121"/>
        <v/>
      </c>
      <c r="AQ274" s="9"/>
      <c r="AR274" s="9"/>
      <c r="AS274" s="9"/>
      <c r="AT274" s="9"/>
      <c r="AU274" s="9"/>
    </row>
    <row r="275" spans="1:47" x14ac:dyDescent="0.3">
      <c r="A275" s="1">
        <v>43860</v>
      </c>
      <c r="B275" s="6">
        <v>356.73998999999998</v>
      </c>
      <c r="C275" s="6">
        <v>150.820007</v>
      </c>
      <c r="D275" s="6">
        <v>33.505001</v>
      </c>
      <c r="E275" s="6">
        <v>143.83000200000001</v>
      </c>
      <c r="F275" s="6">
        <v>110.849998</v>
      </c>
      <c r="G275" s="6">
        <v>48.18</v>
      </c>
      <c r="H275" s="6">
        <v>118.91999800000001</v>
      </c>
      <c r="I275" s="6">
        <v>163.33999600000001</v>
      </c>
      <c r="J275" s="6">
        <v>23.200001</v>
      </c>
      <c r="K275" s="6">
        <v>29.92</v>
      </c>
      <c r="N275" s="19">
        <v>271</v>
      </c>
      <c r="O275" s="1">
        <v>43860</v>
      </c>
      <c r="P275" s="5">
        <f t="shared" si="122"/>
        <v>1.4342386007521173E-2</v>
      </c>
      <c r="Q275" s="5">
        <f t="shared" si="123"/>
        <v>2.5227722909704504E-3</v>
      </c>
      <c r="R275" s="5">
        <f t="shared" si="124"/>
        <v>6.8882868850675925E-3</v>
      </c>
      <c r="S275" s="5">
        <f t="shared" si="125"/>
        <v>1.4708249564966035E-2</v>
      </c>
      <c r="T275" s="5">
        <f t="shared" si="126"/>
        <v>3.7055128485863997E-3</v>
      </c>
      <c r="U275" s="5">
        <f t="shared" si="127"/>
        <v>6.2460956114059798E-3</v>
      </c>
      <c r="V275" s="5">
        <f t="shared" si="128"/>
        <v>2.1590307860969382E-2</v>
      </c>
      <c r="W275" s="5">
        <f t="shared" si="129"/>
        <v>-9.6872055764786746E-3</v>
      </c>
      <c r="X275" s="5">
        <f t="shared" si="130"/>
        <v>7.7889184819749848E-3</v>
      </c>
      <c r="Y275" s="5">
        <f t="shared" si="131"/>
        <v>7.3800736275893963E-3</v>
      </c>
      <c r="Z275" s="33">
        <v>271</v>
      </c>
      <c r="AE275" s="20" t="str">
        <f t="shared" si="132"/>
        <v/>
      </c>
      <c r="AF275" s="22" t="str">
        <f t="shared" si="133"/>
        <v/>
      </c>
      <c r="AG275" s="9" t="str">
        <f t="shared" ca="1" si="112"/>
        <v/>
      </c>
      <c r="AH275" s="9" t="str">
        <f t="shared" ca="1" si="113"/>
        <v/>
      </c>
      <c r="AI275" s="9" t="str">
        <f t="shared" ca="1" si="114"/>
        <v/>
      </c>
      <c r="AJ275" s="9" t="str">
        <f t="shared" ca="1" si="115"/>
        <v/>
      </c>
      <c r="AK275" s="9" t="str">
        <f t="shared" ca="1" si="116"/>
        <v/>
      </c>
      <c r="AL275" s="9" t="str">
        <f t="shared" ca="1" si="117"/>
        <v/>
      </c>
      <c r="AM275" s="9" t="str">
        <f t="shared" ca="1" si="118"/>
        <v/>
      </c>
      <c r="AN275" s="9" t="str">
        <f t="shared" ca="1" si="119"/>
        <v/>
      </c>
      <c r="AO275" s="9" t="str">
        <f t="shared" ca="1" si="120"/>
        <v/>
      </c>
      <c r="AP275" s="9" t="str">
        <f t="shared" ca="1" si="121"/>
        <v/>
      </c>
      <c r="AQ275" s="9"/>
      <c r="AR275" s="9"/>
      <c r="AS275" s="9"/>
      <c r="AT275" s="9"/>
      <c r="AU275" s="9"/>
    </row>
    <row r="276" spans="1:47" x14ac:dyDescent="0.3">
      <c r="A276" s="1">
        <v>43861</v>
      </c>
      <c r="B276" s="6">
        <v>351.14001500000001</v>
      </c>
      <c r="C276" s="6">
        <v>147.509995</v>
      </c>
      <c r="D276" s="6">
        <v>33.299999</v>
      </c>
      <c r="E276" s="6">
        <v>142.020004</v>
      </c>
      <c r="F276" s="6">
        <v>112.43</v>
      </c>
      <c r="G276" s="6">
        <v>47.91</v>
      </c>
      <c r="H276" s="6">
        <v>113.849998</v>
      </c>
      <c r="I276" s="6">
        <v>159.63000500000001</v>
      </c>
      <c r="J276" s="6">
        <v>22.700001</v>
      </c>
      <c r="K276" s="6">
        <v>29.26</v>
      </c>
      <c r="N276" s="18">
        <v>272</v>
      </c>
      <c r="O276" s="1">
        <v>43861</v>
      </c>
      <c r="P276" s="5">
        <f t="shared" si="122"/>
        <v>-1.5822150039471319E-2</v>
      </c>
      <c r="Q276" s="5">
        <f t="shared" si="123"/>
        <v>-2.2191182991492434E-2</v>
      </c>
      <c r="R276" s="5">
        <f t="shared" si="124"/>
        <v>-6.1373443150575663E-3</v>
      </c>
      <c r="S276" s="5">
        <f t="shared" si="125"/>
        <v>-1.2664139602108325E-2</v>
      </c>
      <c r="T276" s="5">
        <f t="shared" si="126"/>
        <v>1.4152887741747729E-2</v>
      </c>
      <c r="U276" s="5">
        <f t="shared" si="127"/>
        <v>-5.6197462916945714E-3</v>
      </c>
      <c r="V276" s="5">
        <f t="shared" si="128"/>
        <v>-4.3569206369093519E-2</v>
      </c>
      <c r="W276" s="5">
        <f t="shared" si="129"/>
        <v>-2.2975224842512756E-2</v>
      </c>
      <c r="X276" s="5">
        <f t="shared" si="130"/>
        <v>-2.1787353235492184E-2</v>
      </c>
      <c r="Y276" s="5">
        <f t="shared" si="131"/>
        <v>-2.2305757514298277E-2</v>
      </c>
      <c r="Z276" s="33">
        <v>272</v>
      </c>
      <c r="AE276" s="20" t="str">
        <f t="shared" si="132"/>
        <v/>
      </c>
      <c r="AF276" s="22" t="str">
        <f t="shared" si="133"/>
        <v/>
      </c>
      <c r="AG276" s="9" t="str">
        <f t="shared" ca="1" si="112"/>
        <v/>
      </c>
      <c r="AH276" s="9" t="str">
        <f t="shared" ca="1" si="113"/>
        <v/>
      </c>
      <c r="AI276" s="9" t="str">
        <f t="shared" ca="1" si="114"/>
        <v/>
      </c>
      <c r="AJ276" s="9" t="str">
        <f t="shared" ca="1" si="115"/>
        <v/>
      </c>
      <c r="AK276" s="9" t="str">
        <f t="shared" ca="1" si="116"/>
        <v/>
      </c>
      <c r="AL276" s="9" t="str">
        <f t="shared" ca="1" si="117"/>
        <v/>
      </c>
      <c r="AM276" s="9" t="str">
        <f t="shared" ca="1" si="118"/>
        <v/>
      </c>
      <c r="AN276" s="9" t="str">
        <f t="shared" ca="1" si="119"/>
        <v/>
      </c>
      <c r="AO276" s="9" t="str">
        <f t="shared" ca="1" si="120"/>
        <v/>
      </c>
      <c r="AP276" s="9" t="str">
        <f t="shared" ca="1" si="121"/>
        <v/>
      </c>
      <c r="AQ276" s="9"/>
      <c r="AR276" s="9"/>
      <c r="AS276" s="9"/>
      <c r="AT276" s="9"/>
      <c r="AU276" s="9"/>
    </row>
    <row r="277" spans="1:47" x14ac:dyDescent="0.3">
      <c r="A277" s="1">
        <v>43864</v>
      </c>
      <c r="B277" s="6">
        <v>358</v>
      </c>
      <c r="C277" s="6">
        <v>150.259995</v>
      </c>
      <c r="D277" s="6">
        <v>33.709999000000003</v>
      </c>
      <c r="E277" s="6">
        <v>142.509995</v>
      </c>
      <c r="F277" s="6">
        <v>111.599998</v>
      </c>
      <c r="G277" s="6">
        <v>48.060001</v>
      </c>
      <c r="H277" s="6">
        <v>113.68</v>
      </c>
      <c r="I277" s="6">
        <v>161.820007</v>
      </c>
      <c r="J277" s="6">
        <v>22.780000999999999</v>
      </c>
      <c r="K277" s="6">
        <v>29.15</v>
      </c>
      <c r="N277" s="19">
        <v>273</v>
      </c>
      <c r="O277" s="1">
        <v>43864</v>
      </c>
      <c r="P277" s="5">
        <f t="shared" si="122"/>
        <v>1.9347939341634451E-2</v>
      </c>
      <c r="Q277" s="5">
        <f t="shared" si="123"/>
        <v>1.847115746940841E-2</v>
      </c>
      <c r="R277" s="5">
        <f t="shared" si="124"/>
        <v>1.223713262481339E-2</v>
      </c>
      <c r="S277" s="5">
        <f t="shared" si="125"/>
        <v>3.4442166808686088E-3</v>
      </c>
      <c r="T277" s="5">
        <f t="shared" si="126"/>
        <v>-7.4097737356048389E-3</v>
      </c>
      <c r="U277" s="5">
        <f t="shared" si="127"/>
        <v>3.1260002206161003E-3</v>
      </c>
      <c r="V277" s="5">
        <f t="shared" si="128"/>
        <v>-1.4942911539291188E-3</v>
      </c>
      <c r="W277" s="5">
        <f t="shared" si="129"/>
        <v>1.3625981038813196E-2</v>
      </c>
      <c r="X277" s="5">
        <f t="shared" si="130"/>
        <v>3.5180333769717752E-3</v>
      </c>
      <c r="Y277" s="5">
        <f t="shared" si="131"/>
        <v>-3.7664827954770048E-3</v>
      </c>
      <c r="Z277" s="33">
        <v>273</v>
      </c>
      <c r="AE277" s="20" t="str">
        <f t="shared" si="132"/>
        <v/>
      </c>
      <c r="AF277" s="22" t="str">
        <f t="shared" si="133"/>
        <v/>
      </c>
      <c r="AG277" s="9" t="str">
        <f t="shared" ca="1" si="112"/>
        <v/>
      </c>
      <c r="AH277" s="9" t="str">
        <f t="shared" ca="1" si="113"/>
        <v/>
      </c>
      <c r="AI277" s="9" t="str">
        <f t="shared" ca="1" si="114"/>
        <v/>
      </c>
      <c r="AJ277" s="9" t="str">
        <f t="shared" ca="1" si="115"/>
        <v/>
      </c>
      <c r="AK277" s="9" t="str">
        <f t="shared" ca="1" si="116"/>
        <v/>
      </c>
      <c r="AL277" s="9" t="str">
        <f t="shared" ca="1" si="117"/>
        <v/>
      </c>
      <c r="AM277" s="9" t="str">
        <f t="shared" ca="1" si="118"/>
        <v/>
      </c>
      <c r="AN277" s="9" t="str">
        <f t="shared" ca="1" si="119"/>
        <v/>
      </c>
      <c r="AO277" s="9" t="str">
        <f t="shared" ca="1" si="120"/>
        <v/>
      </c>
      <c r="AP277" s="9" t="str">
        <f t="shared" ca="1" si="121"/>
        <v/>
      </c>
      <c r="AQ277" s="9"/>
      <c r="AR277" s="9"/>
      <c r="AS277" s="9"/>
      <c r="AT277" s="9"/>
      <c r="AU277" s="9"/>
    </row>
    <row r="278" spans="1:47" x14ac:dyDescent="0.3">
      <c r="A278" s="1">
        <v>43865</v>
      </c>
      <c r="B278" s="6">
        <v>366.73998999999998</v>
      </c>
      <c r="C278" s="6">
        <v>155.80999800000001</v>
      </c>
      <c r="D278" s="6">
        <v>34.439999</v>
      </c>
      <c r="E278" s="6">
        <v>143.220001</v>
      </c>
      <c r="F278" s="6">
        <v>112.260002</v>
      </c>
      <c r="G278" s="6">
        <v>48.48</v>
      </c>
      <c r="H278" s="6">
        <v>116.459999</v>
      </c>
      <c r="I278" s="6">
        <v>162.61999499999999</v>
      </c>
      <c r="J278" s="6">
        <v>22.870000999999998</v>
      </c>
      <c r="K278" s="6">
        <v>29.74</v>
      </c>
      <c r="N278" s="18">
        <v>274</v>
      </c>
      <c r="O278" s="1">
        <v>43865</v>
      </c>
      <c r="P278" s="5">
        <f t="shared" si="122"/>
        <v>2.412013645304403E-2</v>
      </c>
      <c r="Q278" s="5">
        <f t="shared" si="123"/>
        <v>3.6270209727758011E-2</v>
      </c>
      <c r="R278" s="5">
        <f t="shared" si="124"/>
        <v>2.1424150942343921E-2</v>
      </c>
      <c r="S278" s="5">
        <f t="shared" si="125"/>
        <v>4.9697789611957517E-3</v>
      </c>
      <c r="T278" s="5">
        <f t="shared" si="126"/>
        <v>5.8965953037744554E-3</v>
      </c>
      <c r="U278" s="5">
        <f t="shared" si="127"/>
        <v>8.7010906454121194E-3</v>
      </c>
      <c r="V278" s="5">
        <f t="shared" si="128"/>
        <v>2.4160374033489477E-2</v>
      </c>
      <c r="W278" s="5">
        <f t="shared" si="129"/>
        <v>4.9315103955316405E-3</v>
      </c>
      <c r="X278" s="5">
        <f t="shared" si="130"/>
        <v>3.9430498429017663E-3</v>
      </c>
      <c r="Y278" s="5">
        <f t="shared" si="131"/>
        <v>2.0038028235507606E-2</v>
      </c>
      <c r="Z278" s="33">
        <v>274</v>
      </c>
      <c r="AE278" s="20" t="str">
        <f t="shared" si="132"/>
        <v/>
      </c>
      <c r="AF278" s="22" t="str">
        <f t="shared" si="133"/>
        <v/>
      </c>
      <c r="AG278" s="9" t="str">
        <f t="shared" ca="1" si="112"/>
        <v/>
      </c>
      <c r="AH278" s="9" t="str">
        <f t="shared" ca="1" si="113"/>
        <v/>
      </c>
      <c r="AI278" s="9" t="str">
        <f t="shared" ca="1" si="114"/>
        <v/>
      </c>
      <c r="AJ278" s="9" t="str">
        <f t="shared" ca="1" si="115"/>
        <v/>
      </c>
      <c r="AK278" s="9" t="str">
        <f t="shared" ca="1" si="116"/>
        <v/>
      </c>
      <c r="AL278" s="9" t="str">
        <f t="shared" ca="1" si="117"/>
        <v/>
      </c>
      <c r="AM278" s="9" t="str">
        <f t="shared" ca="1" si="118"/>
        <v/>
      </c>
      <c r="AN278" s="9" t="str">
        <f t="shared" ca="1" si="119"/>
        <v/>
      </c>
      <c r="AO278" s="9" t="str">
        <f t="shared" ca="1" si="120"/>
        <v/>
      </c>
      <c r="AP278" s="9" t="str">
        <f t="shared" ca="1" si="121"/>
        <v/>
      </c>
      <c r="AQ278" s="9"/>
      <c r="AR278" s="9"/>
      <c r="AS278" s="9"/>
      <c r="AT278" s="9"/>
      <c r="AU278" s="9"/>
    </row>
    <row r="279" spans="1:47" x14ac:dyDescent="0.3">
      <c r="A279" s="1">
        <v>43866</v>
      </c>
      <c r="B279" s="6">
        <v>365.54998799999998</v>
      </c>
      <c r="C279" s="6">
        <v>154.21000699999999</v>
      </c>
      <c r="D279" s="6">
        <v>34.474997999999999</v>
      </c>
      <c r="E279" s="6">
        <v>144.300003</v>
      </c>
      <c r="F279" s="6">
        <v>112.089996</v>
      </c>
      <c r="G279" s="6">
        <v>48.450001</v>
      </c>
      <c r="H279" s="6">
        <v>119.209999</v>
      </c>
      <c r="I279" s="6">
        <v>163.740005</v>
      </c>
      <c r="J279" s="6">
        <v>23.52</v>
      </c>
      <c r="K279" s="6">
        <v>30.629999000000002</v>
      </c>
      <c r="N279" s="19">
        <v>275</v>
      </c>
      <c r="O279" s="1">
        <v>43866</v>
      </c>
      <c r="P279" s="5">
        <f t="shared" si="122"/>
        <v>-3.2500869416665534E-3</v>
      </c>
      <c r="Q279" s="5">
        <f t="shared" si="123"/>
        <v>-1.0321948130906273E-2</v>
      </c>
      <c r="R279" s="5">
        <f t="shared" si="124"/>
        <v>1.0157151427857966E-3</v>
      </c>
      <c r="S279" s="5">
        <f t="shared" si="125"/>
        <v>7.5125700087871616E-3</v>
      </c>
      <c r="T279" s="5">
        <f t="shared" si="126"/>
        <v>-1.5155429824442661E-3</v>
      </c>
      <c r="U279" s="5">
        <f t="shared" si="127"/>
        <v>-6.1898278444903212E-4</v>
      </c>
      <c r="V279" s="5">
        <f t="shared" si="128"/>
        <v>2.3338777519017501E-2</v>
      </c>
      <c r="W279" s="5">
        <f t="shared" si="129"/>
        <v>6.8636744513523064E-3</v>
      </c>
      <c r="X279" s="5">
        <f t="shared" si="130"/>
        <v>2.8025071270332873E-2</v>
      </c>
      <c r="Y279" s="5">
        <f t="shared" si="131"/>
        <v>2.9486947164943555E-2</v>
      </c>
      <c r="Z279" s="33">
        <v>275</v>
      </c>
      <c r="AE279" s="20" t="str">
        <f t="shared" si="132"/>
        <v/>
      </c>
      <c r="AF279" s="22" t="str">
        <f t="shared" si="133"/>
        <v/>
      </c>
      <c r="AG279" s="9" t="str">
        <f t="shared" ca="1" si="112"/>
        <v/>
      </c>
      <c r="AH279" s="9" t="str">
        <f t="shared" ca="1" si="113"/>
        <v/>
      </c>
      <c r="AI279" s="9" t="str">
        <f t="shared" ca="1" si="114"/>
        <v/>
      </c>
      <c r="AJ279" s="9" t="str">
        <f t="shared" ca="1" si="115"/>
        <v/>
      </c>
      <c r="AK279" s="9" t="str">
        <f t="shared" ca="1" si="116"/>
        <v/>
      </c>
      <c r="AL279" s="9" t="str">
        <f t="shared" ca="1" si="117"/>
        <v/>
      </c>
      <c r="AM279" s="9" t="str">
        <f t="shared" ca="1" si="118"/>
        <v/>
      </c>
      <c r="AN279" s="9" t="str">
        <f t="shared" ca="1" si="119"/>
        <v/>
      </c>
      <c r="AO279" s="9" t="str">
        <f t="shared" ca="1" si="120"/>
        <v/>
      </c>
      <c r="AP279" s="9" t="str">
        <f t="shared" ca="1" si="121"/>
        <v/>
      </c>
      <c r="AQ279" s="9"/>
      <c r="AR279" s="9"/>
      <c r="AS279" s="9"/>
      <c r="AT279" s="9"/>
      <c r="AU279" s="9"/>
    </row>
    <row r="280" spans="1:47" x14ac:dyDescent="0.3">
      <c r="A280" s="1">
        <v>43867</v>
      </c>
      <c r="B280" s="6">
        <v>367.459991</v>
      </c>
      <c r="C280" s="6">
        <v>154.770004</v>
      </c>
      <c r="D280" s="6">
        <v>34.724997999999999</v>
      </c>
      <c r="E280" s="6">
        <v>144.33000200000001</v>
      </c>
      <c r="F280" s="6">
        <v>113</v>
      </c>
      <c r="G280" s="6">
        <v>48.630001</v>
      </c>
      <c r="H280" s="6">
        <v>118.230003</v>
      </c>
      <c r="I280" s="6">
        <v>160.05999800000001</v>
      </c>
      <c r="J280" s="6">
        <v>23.209999</v>
      </c>
      <c r="K280" s="6">
        <v>30.049999</v>
      </c>
      <c r="N280" s="18">
        <v>276</v>
      </c>
      <c r="O280" s="1">
        <v>43867</v>
      </c>
      <c r="P280" s="5">
        <f t="shared" si="122"/>
        <v>5.2114087870490395E-3</v>
      </c>
      <c r="Q280" s="5">
        <f t="shared" si="123"/>
        <v>3.6248145072595747E-3</v>
      </c>
      <c r="R280" s="5">
        <f t="shared" si="124"/>
        <v>7.2254653787024847E-3</v>
      </c>
      <c r="S280" s="5">
        <f t="shared" si="125"/>
        <v>2.0787166675913758E-4</v>
      </c>
      <c r="T280" s="5">
        <f t="shared" si="126"/>
        <v>8.0857343649471027E-3</v>
      </c>
      <c r="U280" s="5">
        <f t="shared" si="127"/>
        <v>3.7082860025225727E-3</v>
      </c>
      <c r="V280" s="5">
        <f t="shared" si="128"/>
        <v>-8.2547300920600367E-3</v>
      </c>
      <c r="W280" s="5">
        <f t="shared" si="129"/>
        <v>-2.2731102040931744E-2</v>
      </c>
      <c r="X280" s="5">
        <f t="shared" si="130"/>
        <v>-1.3267945828958638E-2</v>
      </c>
      <c r="Y280" s="5">
        <f t="shared" si="131"/>
        <v>-1.9117260493606621E-2</v>
      </c>
      <c r="Z280" s="33">
        <v>276</v>
      </c>
      <c r="AE280" s="20" t="str">
        <f t="shared" si="132"/>
        <v/>
      </c>
      <c r="AF280" s="22" t="str">
        <f t="shared" si="133"/>
        <v/>
      </c>
      <c r="AG280" s="9" t="str">
        <f t="shared" ca="1" si="112"/>
        <v/>
      </c>
      <c r="AH280" s="9" t="str">
        <f t="shared" ca="1" si="113"/>
        <v/>
      </c>
      <c r="AI280" s="9" t="str">
        <f t="shared" ca="1" si="114"/>
        <v/>
      </c>
      <c r="AJ280" s="9" t="str">
        <f t="shared" ca="1" si="115"/>
        <v/>
      </c>
      <c r="AK280" s="9" t="str">
        <f t="shared" ca="1" si="116"/>
        <v/>
      </c>
      <c r="AL280" s="9" t="str">
        <f t="shared" ca="1" si="117"/>
        <v/>
      </c>
      <c r="AM280" s="9" t="str">
        <f t="shared" ca="1" si="118"/>
        <v/>
      </c>
      <c r="AN280" s="9" t="str">
        <f t="shared" ca="1" si="119"/>
        <v/>
      </c>
      <c r="AO280" s="9" t="str">
        <f t="shared" ca="1" si="120"/>
        <v/>
      </c>
      <c r="AP280" s="9" t="str">
        <f t="shared" ca="1" si="121"/>
        <v/>
      </c>
      <c r="AQ280" s="9"/>
      <c r="AR280" s="9"/>
      <c r="AS280" s="9"/>
      <c r="AT280" s="9"/>
      <c r="AU280" s="9"/>
    </row>
    <row r="281" spans="1:47" x14ac:dyDescent="0.3">
      <c r="A281" s="1">
        <v>43868</v>
      </c>
      <c r="B281" s="6">
        <v>366.08999599999999</v>
      </c>
      <c r="C281" s="6">
        <v>154.279999</v>
      </c>
      <c r="D281" s="6">
        <v>34.455002</v>
      </c>
      <c r="E281" s="6">
        <v>145.36999499999999</v>
      </c>
      <c r="F281" s="6">
        <v>112.860001</v>
      </c>
      <c r="G281" s="6">
        <v>48.830002</v>
      </c>
      <c r="H281" s="6">
        <v>117.30999799999999</v>
      </c>
      <c r="I281" s="6">
        <v>155.740005</v>
      </c>
      <c r="J281" s="6">
        <v>23.02</v>
      </c>
      <c r="K281" s="6">
        <v>29.790001</v>
      </c>
      <c r="N281" s="19">
        <v>277</v>
      </c>
      <c r="O281" s="1">
        <v>43868</v>
      </c>
      <c r="P281" s="5">
        <f t="shared" si="122"/>
        <v>-3.7352508135439248E-3</v>
      </c>
      <c r="Q281" s="5">
        <f t="shared" si="123"/>
        <v>-3.1710429111644145E-3</v>
      </c>
      <c r="R281" s="5">
        <f t="shared" si="124"/>
        <v>-7.8056481891162236E-3</v>
      </c>
      <c r="S281" s="5">
        <f t="shared" si="125"/>
        <v>7.1798238066357939E-3</v>
      </c>
      <c r="T281" s="5">
        <f t="shared" si="126"/>
        <v>-1.2396973108114403E-3</v>
      </c>
      <c r="U281" s="5">
        <f t="shared" si="127"/>
        <v>4.10427405286274E-3</v>
      </c>
      <c r="V281" s="5">
        <f t="shared" si="128"/>
        <v>-7.8119187805083491E-3</v>
      </c>
      <c r="W281" s="5">
        <f t="shared" si="129"/>
        <v>-2.7360750189956328E-2</v>
      </c>
      <c r="X281" s="5">
        <f t="shared" si="130"/>
        <v>-8.2197739077309474E-3</v>
      </c>
      <c r="Y281" s="5">
        <f t="shared" si="131"/>
        <v>-8.6898274098439268E-3</v>
      </c>
      <c r="Z281" s="33">
        <v>277</v>
      </c>
      <c r="AE281" s="20" t="str">
        <f t="shared" si="132"/>
        <v/>
      </c>
      <c r="AF281" s="22" t="str">
        <f t="shared" si="133"/>
        <v/>
      </c>
      <c r="AG281" s="9" t="str">
        <f t="shared" ca="1" si="112"/>
        <v/>
      </c>
      <c r="AH281" s="9" t="str">
        <f t="shared" ca="1" si="113"/>
        <v/>
      </c>
      <c r="AI281" s="9" t="str">
        <f t="shared" ca="1" si="114"/>
        <v/>
      </c>
      <c r="AJ281" s="9" t="str">
        <f t="shared" ca="1" si="115"/>
        <v/>
      </c>
      <c r="AK281" s="9" t="str">
        <f t="shared" ca="1" si="116"/>
        <v/>
      </c>
      <c r="AL281" s="9" t="str">
        <f t="shared" ca="1" si="117"/>
        <v/>
      </c>
      <c r="AM281" s="9" t="str">
        <f t="shared" ca="1" si="118"/>
        <v/>
      </c>
      <c r="AN281" s="9" t="str">
        <f t="shared" ca="1" si="119"/>
        <v/>
      </c>
      <c r="AO281" s="9" t="str">
        <f t="shared" ca="1" si="120"/>
        <v/>
      </c>
      <c r="AP281" s="9" t="str">
        <f t="shared" ca="1" si="121"/>
        <v/>
      </c>
      <c r="AQ281" s="9"/>
      <c r="AR281" s="9"/>
      <c r="AS281" s="9"/>
      <c r="AT281" s="9"/>
      <c r="AU281" s="9"/>
    </row>
    <row r="282" spans="1:47" x14ac:dyDescent="0.3">
      <c r="A282" s="1">
        <v>43871</v>
      </c>
      <c r="B282" s="6">
        <v>370</v>
      </c>
      <c r="C282" s="6">
        <v>156.91999799999999</v>
      </c>
      <c r="D282" s="6">
        <v>34.584999000000003</v>
      </c>
      <c r="E282" s="6">
        <v>145.66000399999999</v>
      </c>
      <c r="F282" s="6">
        <v>114.010002</v>
      </c>
      <c r="G282" s="6">
        <v>49.400002000000001</v>
      </c>
      <c r="H282" s="6">
        <v>118.220001</v>
      </c>
      <c r="I282" s="6">
        <v>155.60000600000001</v>
      </c>
      <c r="J282" s="6">
        <v>23.16</v>
      </c>
      <c r="K282" s="6">
        <v>29.83</v>
      </c>
      <c r="N282" s="18">
        <v>278</v>
      </c>
      <c r="O282" s="1">
        <v>43871</v>
      </c>
      <c r="P282" s="5">
        <f t="shared" si="122"/>
        <v>1.0623811752687395E-2</v>
      </c>
      <c r="Q282" s="5">
        <f t="shared" si="123"/>
        <v>1.6966981737698252E-2</v>
      </c>
      <c r="R282" s="5">
        <f t="shared" si="124"/>
        <v>3.7658502823813811E-3</v>
      </c>
      <c r="S282" s="5">
        <f t="shared" si="125"/>
        <v>1.9929842077389738E-3</v>
      </c>
      <c r="T282" s="5">
        <f t="shared" si="126"/>
        <v>1.0138059986419999E-2</v>
      </c>
      <c r="U282" s="5">
        <f t="shared" si="127"/>
        <v>1.1605545647710817E-2</v>
      </c>
      <c r="V282" s="5">
        <f t="shared" si="128"/>
        <v>7.7273173862451288E-3</v>
      </c>
      <c r="W282" s="5">
        <f t="shared" si="129"/>
        <v>-8.9933194892764172E-4</v>
      </c>
      <c r="X282" s="5">
        <f t="shared" si="130"/>
        <v>6.0632494110579383E-3</v>
      </c>
      <c r="Y282" s="5">
        <f t="shared" si="131"/>
        <v>1.3417982331551147E-3</v>
      </c>
      <c r="Z282" s="33">
        <v>278</v>
      </c>
      <c r="AE282" s="20" t="str">
        <f t="shared" si="132"/>
        <v/>
      </c>
      <c r="AF282" s="22" t="str">
        <f t="shared" si="133"/>
        <v/>
      </c>
      <c r="AG282" s="9" t="str">
        <f t="shared" ca="1" si="112"/>
        <v/>
      </c>
      <c r="AH282" s="9" t="str">
        <f t="shared" ca="1" si="113"/>
        <v/>
      </c>
      <c r="AI282" s="9" t="str">
        <f t="shared" ca="1" si="114"/>
        <v/>
      </c>
      <c r="AJ282" s="9" t="str">
        <f t="shared" ca="1" si="115"/>
        <v/>
      </c>
      <c r="AK282" s="9" t="str">
        <f t="shared" ca="1" si="116"/>
        <v/>
      </c>
      <c r="AL282" s="9" t="str">
        <f t="shared" ca="1" si="117"/>
        <v/>
      </c>
      <c r="AM282" s="9" t="str">
        <f t="shared" ca="1" si="118"/>
        <v/>
      </c>
      <c r="AN282" s="9" t="str">
        <f t="shared" ca="1" si="119"/>
        <v/>
      </c>
      <c r="AO282" s="9" t="str">
        <f t="shared" ca="1" si="120"/>
        <v/>
      </c>
      <c r="AP282" s="9" t="str">
        <f t="shared" ca="1" si="121"/>
        <v/>
      </c>
      <c r="AQ282" s="9"/>
      <c r="AR282" s="9"/>
      <c r="AS282" s="9"/>
      <c r="AT282" s="9"/>
      <c r="AU282" s="9"/>
    </row>
    <row r="283" spans="1:47" x14ac:dyDescent="0.3">
      <c r="A283" s="1">
        <v>43872</v>
      </c>
      <c r="B283" s="6">
        <v>369.27999899999998</v>
      </c>
      <c r="C283" s="6">
        <v>158.220001</v>
      </c>
      <c r="D283" s="6">
        <v>34.575001</v>
      </c>
      <c r="E283" s="6">
        <v>146.08000200000001</v>
      </c>
      <c r="F283" s="6">
        <v>114.69000200000001</v>
      </c>
      <c r="G283" s="6">
        <v>49.459999000000003</v>
      </c>
      <c r="H283" s="6">
        <v>118.989998</v>
      </c>
      <c r="I283" s="6">
        <v>155.520004</v>
      </c>
      <c r="J283" s="6">
        <v>23.25</v>
      </c>
      <c r="K283" s="6">
        <v>30.209999</v>
      </c>
      <c r="N283" s="19">
        <v>279</v>
      </c>
      <c r="O283" s="1">
        <v>43872</v>
      </c>
      <c r="P283" s="5">
        <f t="shared" si="122"/>
        <v>-1.947844466562425E-3</v>
      </c>
      <c r="Q283" s="5">
        <f t="shared" si="123"/>
        <v>8.2503673175599885E-3</v>
      </c>
      <c r="R283" s="5">
        <f t="shared" si="124"/>
        <v>-2.8912666482507028E-4</v>
      </c>
      <c r="S283" s="5">
        <f t="shared" si="125"/>
        <v>2.8792642868067358E-3</v>
      </c>
      <c r="T283" s="5">
        <f t="shared" si="126"/>
        <v>5.9466724267938998E-3</v>
      </c>
      <c r="U283" s="5">
        <f t="shared" si="127"/>
        <v>1.2137771952057627E-3</v>
      </c>
      <c r="V283" s="5">
        <f t="shared" si="128"/>
        <v>6.4921353038977737E-3</v>
      </c>
      <c r="W283" s="5">
        <f t="shared" si="129"/>
        <v>-5.1428387240865252E-4</v>
      </c>
      <c r="X283" s="5">
        <f t="shared" si="130"/>
        <v>3.8784793285708383E-3</v>
      </c>
      <c r="Y283" s="5">
        <f t="shared" si="131"/>
        <v>1.2658363770301048E-2</v>
      </c>
      <c r="Z283" s="33">
        <v>279</v>
      </c>
      <c r="AE283" s="20" t="str">
        <f t="shared" si="132"/>
        <v/>
      </c>
      <c r="AF283" s="22" t="str">
        <f t="shared" si="133"/>
        <v/>
      </c>
      <c r="AG283" s="9" t="str">
        <f t="shared" ca="1" si="112"/>
        <v/>
      </c>
      <c r="AH283" s="9" t="str">
        <f t="shared" ca="1" si="113"/>
        <v/>
      </c>
      <c r="AI283" s="9" t="str">
        <f t="shared" ca="1" si="114"/>
        <v/>
      </c>
      <c r="AJ283" s="9" t="str">
        <f t="shared" ca="1" si="115"/>
        <v/>
      </c>
      <c r="AK283" s="9" t="str">
        <f t="shared" ca="1" si="116"/>
        <v/>
      </c>
      <c r="AL283" s="9" t="str">
        <f t="shared" ca="1" si="117"/>
        <v/>
      </c>
      <c r="AM283" s="9" t="str">
        <f t="shared" ca="1" si="118"/>
        <v/>
      </c>
      <c r="AN283" s="9" t="str">
        <f t="shared" ca="1" si="119"/>
        <v/>
      </c>
      <c r="AO283" s="9" t="str">
        <f t="shared" ca="1" si="120"/>
        <v/>
      </c>
      <c r="AP283" s="9" t="str">
        <f t="shared" ca="1" si="121"/>
        <v/>
      </c>
      <c r="AQ283" s="9"/>
      <c r="AR283" s="9"/>
      <c r="AS283" s="9"/>
      <c r="AT283" s="9"/>
      <c r="AU283" s="9"/>
    </row>
    <row r="284" spans="1:47" x14ac:dyDescent="0.3">
      <c r="A284" s="1">
        <v>43873</v>
      </c>
      <c r="B284" s="6">
        <v>374.290009</v>
      </c>
      <c r="C284" s="6">
        <v>159.520004</v>
      </c>
      <c r="D284" s="6">
        <v>34.625</v>
      </c>
      <c r="E284" s="6">
        <v>146.08000200000001</v>
      </c>
      <c r="F284" s="6">
        <v>115.989998</v>
      </c>
      <c r="G284" s="6">
        <v>49.290000999999997</v>
      </c>
      <c r="H284" s="6">
        <v>119.849998</v>
      </c>
      <c r="I284" s="6">
        <v>157</v>
      </c>
      <c r="J284" s="6">
        <v>24.98</v>
      </c>
      <c r="K284" s="6">
        <v>30.35</v>
      </c>
      <c r="N284" s="18">
        <v>280</v>
      </c>
      <c r="O284" s="1">
        <v>43873</v>
      </c>
      <c r="P284" s="5">
        <f t="shared" si="122"/>
        <v>1.3475760889771687E-2</v>
      </c>
      <c r="Q284" s="5">
        <f t="shared" si="123"/>
        <v>8.1828553751897466E-3</v>
      </c>
      <c r="R284" s="5">
        <f t="shared" si="124"/>
        <v>1.4450580340491705E-3</v>
      </c>
      <c r="S284" s="5">
        <f t="shared" si="125"/>
        <v>0</v>
      </c>
      <c r="T284" s="5">
        <f t="shared" si="126"/>
        <v>1.1271109436176027E-2</v>
      </c>
      <c r="U284" s="5">
        <f t="shared" si="127"/>
        <v>-3.4430008695347267E-3</v>
      </c>
      <c r="V284" s="5">
        <f t="shared" si="128"/>
        <v>7.2015050339403362E-3</v>
      </c>
      <c r="W284" s="5">
        <f t="shared" si="129"/>
        <v>9.4714389160147922E-3</v>
      </c>
      <c r="X284" s="5">
        <f t="shared" si="130"/>
        <v>7.1770372664066343E-2</v>
      </c>
      <c r="Y284" s="5">
        <f t="shared" si="131"/>
        <v>4.623555208549195E-3</v>
      </c>
      <c r="Z284" s="33">
        <v>280</v>
      </c>
      <c r="AE284" s="20" t="str">
        <f t="shared" si="132"/>
        <v/>
      </c>
      <c r="AF284" s="22" t="str">
        <f t="shared" si="133"/>
        <v/>
      </c>
      <c r="AG284" s="9" t="str">
        <f t="shared" ca="1" si="112"/>
        <v/>
      </c>
      <c r="AH284" s="9" t="str">
        <f t="shared" ca="1" si="113"/>
        <v/>
      </c>
      <c r="AI284" s="9" t="str">
        <f t="shared" ca="1" si="114"/>
        <v/>
      </c>
      <c r="AJ284" s="9" t="str">
        <f t="shared" ca="1" si="115"/>
        <v/>
      </c>
      <c r="AK284" s="9" t="str">
        <f t="shared" ca="1" si="116"/>
        <v/>
      </c>
      <c r="AL284" s="9" t="str">
        <f t="shared" ca="1" si="117"/>
        <v/>
      </c>
      <c r="AM284" s="9" t="str">
        <f t="shared" ca="1" si="118"/>
        <v/>
      </c>
      <c r="AN284" s="9" t="str">
        <f t="shared" ca="1" si="119"/>
        <v/>
      </c>
      <c r="AO284" s="9" t="str">
        <f t="shared" ca="1" si="120"/>
        <v/>
      </c>
      <c r="AP284" s="9" t="str">
        <f t="shared" ca="1" si="121"/>
        <v/>
      </c>
      <c r="AQ284" s="9"/>
      <c r="AR284" s="9"/>
      <c r="AS284" s="9"/>
      <c r="AT284" s="9"/>
      <c r="AU284" s="9"/>
    </row>
    <row r="285" spans="1:47" x14ac:dyDescent="0.3">
      <c r="A285" s="1">
        <v>43874</v>
      </c>
      <c r="B285" s="6">
        <v>374.83999599999999</v>
      </c>
      <c r="C285" s="6">
        <v>161.36999499999999</v>
      </c>
      <c r="D285" s="6">
        <v>34.845001000000003</v>
      </c>
      <c r="E285" s="6">
        <v>146.470001</v>
      </c>
      <c r="F285" s="6">
        <v>117.57</v>
      </c>
      <c r="G285" s="6">
        <v>49.610000999999997</v>
      </c>
      <c r="H285" s="6">
        <v>119.55999799999999</v>
      </c>
      <c r="I285" s="6">
        <v>155.33999600000001</v>
      </c>
      <c r="J285" s="6">
        <v>25.059999000000001</v>
      </c>
      <c r="K285" s="6">
        <v>30.33</v>
      </c>
      <c r="N285" s="19">
        <v>281</v>
      </c>
      <c r="O285" s="1">
        <v>43874</v>
      </c>
      <c r="P285" s="5">
        <f t="shared" si="122"/>
        <v>1.468335522923678E-3</v>
      </c>
      <c r="Q285" s="5">
        <f t="shared" si="123"/>
        <v>1.1530502679813238E-2</v>
      </c>
      <c r="R285" s="5">
        <f t="shared" si="124"/>
        <v>6.3337190815012717E-3</v>
      </c>
      <c r="S285" s="5">
        <f t="shared" si="125"/>
        <v>2.6662056197658585E-3</v>
      </c>
      <c r="T285" s="5">
        <f t="shared" si="126"/>
        <v>1.3529937628730889E-2</v>
      </c>
      <c r="U285" s="5">
        <f t="shared" si="127"/>
        <v>6.4712054648065715E-3</v>
      </c>
      <c r="V285" s="5">
        <f t="shared" si="128"/>
        <v>-2.4226235051329589E-3</v>
      </c>
      <c r="W285" s="5">
        <f t="shared" si="129"/>
        <v>-1.0629568106774845E-2</v>
      </c>
      <c r="X285" s="5">
        <f t="shared" si="130"/>
        <v>3.1974048662600629E-3</v>
      </c>
      <c r="Y285" s="5">
        <f t="shared" si="131"/>
        <v>-6.5919580501767373E-4</v>
      </c>
      <c r="Z285" s="33">
        <v>281</v>
      </c>
      <c r="AE285" s="20" t="str">
        <f t="shared" si="132"/>
        <v/>
      </c>
      <c r="AF285" s="22" t="str">
        <f t="shared" si="133"/>
        <v/>
      </c>
      <c r="AG285" s="9" t="str">
        <f t="shared" ca="1" si="112"/>
        <v/>
      </c>
      <c r="AH285" s="9" t="str">
        <f t="shared" ca="1" si="113"/>
        <v/>
      </c>
      <c r="AI285" s="9" t="str">
        <f t="shared" ca="1" si="114"/>
        <v/>
      </c>
      <c r="AJ285" s="9" t="str">
        <f t="shared" ca="1" si="115"/>
        <v/>
      </c>
      <c r="AK285" s="9" t="str">
        <f t="shared" ca="1" si="116"/>
        <v/>
      </c>
      <c r="AL285" s="9" t="str">
        <f t="shared" ca="1" si="117"/>
        <v/>
      </c>
      <c r="AM285" s="9" t="str">
        <f t="shared" ca="1" si="118"/>
        <v/>
      </c>
      <c r="AN285" s="9" t="str">
        <f t="shared" ca="1" si="119"/>
        <v/>
      </c>
      <c r="AO285" s="9" t="str">
        <f t="shared" ca="1" si="120"/>
        <v/>
      </c>
      <c r="AP285" s="9" t="str">
        <f t="shared" ca="1" si="121"/>
        <v/>
      </c>
      <c r="AQ285" s="9"/>
      <c r="AR285" s="9"/>
      <c r="AS285" s="9"/>
      <c r="AT285" s="9"/>
      <c r="AU285" s="9"/>
    </row>
    <row r="286" spans="1:47" x14ac:dyDescent="0.3">
      <c r="A286" s="1">
        <v>43875</v>
      </c>
      <c r="B286" s="6">
        <v>379.67001299999998</v>
      </c>
      <c r="C286" s="6">
        <v>163.35000600000001</v>
      </c>
      <c r="D286" s="6">
        <v>34.93</v>
      </c>
      <c r="E286" s="6">
        <v>146.990005</v>
      </c>
      <c r="F286" s="6">
        <v>118.889999</v>
      </c>
      <c r="G286" s="6">
        <v>50.32</v>
      </c>
      <c r="H286" s="6">
        <v>119.860001</v>
      </c>
      <c r="I286" s="6">
        <v>156.259995</v>
      </c>
      <c r="J286" s="6">
        <v>24.469999000000001</v>
      </c>
      <c r="K286" s="6">
        <v>30.209999</v>
      </c>
      <c r="N286" s="18">
        <v>282</v>
      </c>
      <c r="O286" s="1">
        <v>43875</v>
      </c>
      <c r="P286" s="5">
        <f t="shared" si="122"/>
        <v>1.280323102764485E-2</v>
      </c>
      <c r="Q286" s="5">
        <f t="shared" si="123"/>
        <v>1.2195340809457613E-2</v>
      </c>
      <c r="R286" s="5">
        <f t="shared" si="124"/>
        <v>2.4363752297368304E-3</v>
      </c>
      <c r="S286" s="5">
        <f t="shared" si="125"/>
        <v>3.54395511226276E-3</v>
      </c>
      <c r="T286" s="5">
        <f t="shared" si="126"/>
        <v>1.1164786579667177E-2</v>
      </c>
      <c r="U286" s="5">
        <f t="shared" si="127"/>
        <v>1.4210165922001413E-2</v>
      </c>
      <c r="V286" s="5">
        <f t="shared" si="128"/>
        <v>2.5060826853717786E-3</v>
      </c>
      <c r="W286" s="5">
        <f t="shared" si="129"/>
        <v>5.9050173291124251E-3</v>
      </c>
      <c r="X286" s="5">
        <f t="shared" si="130"/>
        <v>-2.3825072975479165E-2</v>
      </c>
      <c r="Y286" s="5">
        <f t="shared" si="131"/>
        <v>-3.9643594035316159E-3</v>
      </c>
      <c r="Z286" s="33">
        <v>282</v>
      </c>
      <c r="AE286" s="20" t="str">
        <f t="shared" si="132"/>
        <v/>
      </c>
      <c r="AF286" s="22" t="str">
        <f t="shared" si="133"/>
        <v/>
      </c>
      <c r="AG286" s="9" t="str">
        <f t="shared" ca="1" si="112"/>
        <v/>
      </c>
      <c r="AH286" s="9" t="str">
        <f t="shared" ca="1" si="113"/>
        <v/>
      </c>
      <c r="AI286" s="9" t="str">
        <f t="shared" ca="1" si="114"/>
        <v/>
      </c>
      <c r="AJ286" s="9" t="str">
        <f t="shared" ca="1" si="115"/>
        <v/>
      </c>
      <c r="AK286" s="9" t="str">
        <f t="shared" ca="1" si="116"/>
        <v/>
      </c>
      <c r="AL286" s="9" t="str">
        <f t="shared" ca="1" si="117"/>
        <v/>
      </c>
      <c r="AM286" s="9" t="str">
        <f t="shared" ca="1" si="118"/>
        <v/>
      </c>
      <c r="AN286" s="9" t="str">
        <f t="shared" ca="1" si="119"/>
        <v/>
      </c>
      <c r="AO286" s="9" t="str">
        <f t="shared" ca="1" si="120"/>
        <v/>
      </c>
      <c r="AP286" s="9" t="str">
        <f t="shared" ca="1" si="121"/>
        <v/>
      </c>
      <c r="AQ286" s="9"/>
      <c r="AR286" s="9"/>
      <c r="AS286" s="9"/>
      <c r="AT286" s="9"/>
      <c r="AU286" s="9"/>
    </row>
    <row r="287" spans="1:47" x14ac:dyDescent="0.3">
      <c r="A287" s="1">
        <v>43879</v>
      </c>
      <c r="B287" s="6">
        <v>378.85000600000001</v>
      </c>
      <c r="C287" s="6">
        <v>162.91999799999999</v>
      </c>
      <c r="D287" s="6">
        <v>34.799999</v>
      </c>
      <c r="E287" s="6">
        <v>145.60000600000001</v>
      </c>
      <c r="F287" s="6">
        <v>118.709999</v>
      </c>
      <c r="G287" s="6">
        <v>50.43</v>
      </c>
      <c r="H287" s="6">
        <v>119.91999800000001</v>
      </c>
      <c r="I287" s="6">
        <v>157.53999300000001</v>
      </c>
      <c r="J287" s="6">
        <v>24.860001</v>
      </c>
      <c r="K287" s="6">
        <v>30.299999</v>
      </c>
      <c r="N287" s="19">
        <v>283</v>
      </c>
      <c r="O287" s="1">
        <v>43879</v>
      </c>
      <c r="P287" s="5">
        <f t="shared" si="122"/>
        <v>-2.162124397262918E-3</v>
      </c>
      <c r="Q287" s="5">
        <f t="shared" si="123"/>
        <v>-2.6359042737763676E-3</v>
      </c>
      <c r="R287" s="5">
        <f t="shared" si="124"/>
        <v>-3.7287007739445202E-3</v>
      </c>
      <c r="S287" s="5">
        <f t="shared" si="125"/>
        <v>-9.5014142984391845E-3</v>
      </c>
      <c r="T287" s="5">
        <f t="shared" si="126"/>
        <v>-1.5151518177645531E-3</v>
      </c>
      <c r="U287" s="5">
        <f t="shared" si="127"/>
        <v>2.1836236964488925E-3</v>
      </c>
      <c r="V287" s="5">
        <f t="shared" si="128"/>
        <v>5.0043374345096041E-4</v>
      </c>
      <c r="W287" s="5">
        <f t="shared" si="129"/>
        <v>8.158095271371759E-3</v>
      </c>
      <c r="X287" s="5">
        <f t="shared" si="130"/>
        <v>1.5812289719613126E-2</v>
      </c>
      <c r="Y287" s="5">
        <f t="shared" si="131"/>
        <v>2.9747172150644107E-3</v>
      </c>
      <c r="Z287" s="33">
        <v>283</v>
      </c>
      <c r="AE287" s="20" t="str">
        <f t="shared" si="132"/>
        <v/>
      </c>
      <c r="AF287" s="22" t="str">
        <f t="shared" si="133"/>
        <v/>
      </c>
      <c r="AG287" s="9" t="str">
        <f t="shared" ca="1" si="112"/>
        <v/>
      </c>
      <c r="AH287" s="9" t="str">
        <f t="shared" ca="1" si="113"/>
        <v/>
      </c>
      <c r="AI287" s="9" t="str">
        <f t="shared" ca="1" si="114"/>
        <v/>
      </c>
      <c r="AJ287" s="9" t="str">
        <f t="shared" ca="1" si="115"/>
        <v/>
      </c>
      <c r="AK287" s="9" t="str">
        <f t="shared" ca="1" si="116"/>
        <v/>
      </c>
      <c r="AL287" s="9" t="str">
        <f t="shared" ca="1" si="117"/>
        <v/>
      </c>
      <c r="AM287" s="9" t="str">
        <f t="shared" ca="1" si="118"/>
        <v/>
      </c>
      <c r="AN287" s="9" t="str">
        <f t="shared" ca="1" si="119"/>
        <v/>
      </c>
      <c r="AO287" s="9" t="str">
        <f t="shared" ca="1" si="120"/>
        <v/>
      </c>
      <c r="AP287" s="9" t="str">
        <f t="shared" ca="1" si="121"/>
        <v/>
      </c>
      <c r="AQ287" s="9"/>
      <c r="AR287" s="9"/>
      <c r="AS287" s="9"/>
      <c r="AT287" s="9"/>
      <c r="AU287" s="9"/>
    </row>
    <row r="288" spans="1:47" x14ac:dyDescent="0.3">
      <c r="A288" s="1">
        <v>43880</v>
      </c>
      <c r="B288" s="6">
        <v>383.27999899999998</v>
      </c>
      <c r="C288" s="6">
        <v>164.990005</v>
      </c>
      <c r="D288" s="6">
        <v>35.040000999999997</v>
      </c>
      <c r="E288" s="6">
        <v>145.529999</v>
      </c>
      <c r="F288" s="6">
        <v>117.80999799999999</v>
      </c>
      <c r="G288" s="6">
        <v>50.18</v>
      </c>
      <c r="H288" s="6">
        <v>117.25</v>
      </c>
      <c r="I288" s="6">
        <v>158</v>
      </c>
      <c r="J288" s="6">
        <v>24.99</v>
      </c>
      <c r="K288" s="6">
        <v>30.48</v>
      </c>
      <c r="N288" s="18">
        <v>284</v>
      </c>
      <c r="O288" s="1">
        <v>43880</v>
      </c>
      <c r="P288" s="5">
        <f t="shared" si="122"/>
        <v>1.1625425751022989E-2</v>
      </c>
      <c r="Q288" s="5">
        <f t="shared" si="123"/>
        <v>1.2625625803971585E-2</v>
      </c>
      <c r="R288" s="5">
        <f t="shared" si="124"/>
        <v>6.8729365622070037E-3</v>
      </c>
      <c r="S288" s="5">
        <f t="shared" si="125"/>
        <v>-4.8093291757656214E-4</v>
      </c>
      <c r="T288" s="5">
        <f t="shared" si="126"/>
        <v>-7.6103953600122273E-3</v>
      </c>
      <c r="U288" s="5">
        <f t="shared" si="127"/>
        <v>-4.9696951503577155E-3</v>
      </c>
      <c r="V288" s="5">
        <f t="shared" si="128"/>
        <v>-2.2516429790168258E-2</v>
      </c>
      <c r="W288" s="5">
        <f t="shared" si="129"/>
        <v>2.9156831849492968E-3</v>
      </c>
      <c r="X288" s="5">
        <f t="shared" si="130"/>
        <v>5.2156185390352721E-3</v>
      </c>
      <c r="Y288" s="5">
        <f t="shared" si="131"/>
        <v>5.9230513064229048E-3</v>
      </c>
      <c r="Z288" s="33">
        <v>284</v>
      </c>
      <c r="AE288" s="20" t="str">
        <f t="shared" si="132"/>
        <v/>
      </c>
      <c r="AF288" s="22" t="str">
        <f t="shared" si="133"/>
        <v/>
      </c>
      <c r="AG288" s="9" t="str">
        <f t="shared" ca="1" si="112"/>
        <v/>
      </c>
      <c r="AH288" s="9" t="str">
        <f t="shared" ca="1" si="113"/>
        <v/>
      </c>
      <c r="AI288" s="9" t="str">
        <f t="shared" ca="1" si="114"/>
        <v/>
      </c>
      <c r="AJ288" s="9" t="str">
        <f t="shared" ca="1" si="115"/>
        <v/>
      </c>
      <c r="AK288" s="9" t="str">
        <f t="shared" ca="1" si="116"/>
        <v/>
      </c>
      <c r="AL288" s="9" t="str">
        <f t="shared" ca="1" si="117"/>
        <v/>
      </c>
      <c r="AM288" s="9" t="str">
        <f t="shared" ca="1" si="118"/>
        <v/>
      </c>
      <c r="AN288" s="9" t="str">
        <f t="shared" ca="1" si="119"/>
        <v/>
      </c>
      <c r="AO288" s="9" t="str">
        <f t="shared" ca="1" si="120"/>
        <v/>
      </c>
      <c r="AP288" s="9" t="str">
        <f t="shared" ca="1" si="121"/>
        <v/>
      </c>
      <c r="AQ288" s="9"/>
      <c r="AR288" s="9"/>
      <c r="AS288" s="9"/>
      <c r="AT288" s="9"/>
      <c r="AU288" s="9"/>
    </row>
    <row r="289" spans="1:47" x14ac:dyDescent="0.3">
      <c r="A289" s="1">
        <v>43881</v>
      </c>
      <c r="B289" s="6">
        <v>378.959991</v>
      </c>
      <c r="C289" s="6">
        <v>155.08000200000001</v>
      </c>
      <c r="D289" s="6">
        <v>35.200001</v>
      </c>
      <c r="E289" s="6">
        <v>145.16000399999999</v>
      </c>
      <c r="F289" s="6">
        <v>119.699997</v>
      </c>
      <c r="G289" s="6">
        <v>50.73</v>
      </c>
      <c r="H289" s="6">
        <v>119.019997</v>
      </c>
      <c r="I289" s="6">
        <v>159.949997</v>
      </c>
      <c r="J289" s="6">
        <v>24.93</v>
      </c>
      <c r="K289" s="6">
        <v>29.98</v>
      </c>
      <c r="N289" s="19">
        <v>285</v>
      </c>
      <c r="O289" s="1">
        <v>43881</v>
      </c>
      <c r="P289" s="5">
        <f t="shared" si="122"/>
        <v>-1.1335155099520206E-2</v>
      </c>
      <c r="Q289" s="5">
        <f t="shared" si="123"/>
        <v>-6.1943770608921637E-2</v>
      </c>
      <c r="R289" s="5">
        <f t="shared" si="124"/>
        <v>4.5558164061390164E-3</v>
      </c>
      <c r="S289" s="5">
        <f t="shared" si="125"/>
        <v>-2.5456341531297747E-3</v>
      </c>
      <c r="T289" s="5">
        <f t="shared" si="126"/>
        <v>1.5915447219730226E-2</v>
      </c>
      <c r="U289" s="5">
        <f t="shared" si="127"/>
        <v>1.0900910640322397E-2</v>
      </c>
      <c r="V289" s="5">
        <f t="shared" si="128"/>
        <v>1.4983113684469244E-2</v>
      </c>
      <c r="W289" s="5">
        <f t="shared" si="129"/>
        <v>1.2266214612698743E-2</v>
      </c>
      <c r="X289" s="5">
        <f t="shared" si="130"/>
        <v>-2.403847311394443E-3</v>
      </c>
      <c r="Y289" s="5">
        <f t="shared" si="131"/>
        <v>-1.6540238143993923E-2</v>
      </c>
      <c r="Z289" s="33">
        <v>285</v>
      </c>
      <c r="AE289" s="20" t="str">
        <f t="shared" si="132"/>
        <v/>
      </c>
      <c r="AF289" s="22" t="str">
        <f t="shared" si="133"/>
        <v/>
      </c>
      <c r="AG289" s="9" t="str">
        <f t="shared" ca="1" si="112"/>
        <v/>
      </c>
      <c r="AH289" s="9" t="str">
        <f t="shared" ca="1" si="113"/>
        <v/>
      </c>
      <c r="AI289" s="9" t="str">
        <f t="shared" ca="1" si="114"/>
        <v/>
      </c>
      <c r="AJ289" s="9" t="str">
        <f t="shared" ca="1" si="115"/>
        <v/>
      </c>
      <c r="AK289" s="9" t="str">
        <f t="shared" ca="1" si="116"/>
        <v/>
      </c>
      <c r="AL289" s="9" t="str">
        <f t="shared" ca="1" si="117"/>
        <v/>
      </c>
      <c r="AM289" s="9" t="str">
        <f t="shared" ca="1" si="118"/>
        <v/>
      </c>
      <c r="AN289" s="9" t="str">
        <f t="shared" ca="1" si="119"/>
        <v/>
      </c>
      <c r="AO289" s="9" t="str">
        <f t="shared" ca="1" si="120"/>
        <v/>
      </c>
      <c r="AP289" s="9" t="str">
        <f t="shared" ca="1" si="121"/>
        <v/>
      </c>
      <c r="AQ289" s="9"/>
      <c r="AR289" s="9"/>
      <c r="AS289" s="9"/>
      <c r="AT289" s="9"/>
      <c r="AU289" s="9"/>
    </row>
    <row r="290" spans="1:47" x14ac:dyDescent="0.3">
      <c r="A290" s="1">
        <v>43882</v>
      </c>
      <c r="B290" s="6">
        <v>372.95001200000002</v>
      </c>
      <c r="C290" s="6">
        <v>149.33000200000001</v>
      </c>
      <c r="D290" s="6">
        <v>34.869999</v>
      </c>
      <c r="E290" s="6">
        <v>145.85000600000001</v>
      </c>
      <c r="F290" s="6">
        <v>120.41999800000001</v>
      </c>
      <c r="G290" s="6">
        <v>50.93</v>
      </c>
      <c r="H290" s="6">
        <v>119.44000200000001</v>
      </c>
      <c r="I290" s="6">
        <v>160.070007</v>
      </c>
      <c r="J290" s="6">
        <v>24.41</v>
      </c>
      <c r="K290" s="6">
        <v>29.209999</v>
      </c>
      <c r="N290" s="18">
        <v>286</v>
      </c>
      <c r="O290" s="1">
        <v>43882</v>
      </c>
      <c r="P290" s="5">
        <f t="shared" si="122"/>
        <v>-1.5986240289221028E-2</v>
      </c>
      <c r="Q290" s="5">
        <f t="shared" si="123"/>
        <v>-3.778249023696454E-2</v>
      </c>
      <c r="R290" s="5">
        <f t="shared" si="124"/>
        <v>-9.419279003529216E-3</v>
      </c>
      <c r="S290" s="5">
        <f t="shared" si="125"/>
        <v>4.7421275512157654E-3</v>
      </c>
      <c r="T290" s="5">
        <f t="shared" si="126"/>
        <v>5.9970279264944396E-3</v>
      </c>
      <c r="U290" s="5">
        <f t="shared" si="127"/>
        <v>3.9346893179146728E-3</v>
      </c>
      <c r="V290" s="5">
        <f t="shared" si="128"/>
        <v>3.5226489648859847E-3</v>
      </c>
      <c r="W290" s="5">
        <f t="shared" si="129"/>
        <v>7.5001564980733211E-4</v>
      </c>
      <c r="X290" s="5">
        <f t="shared" si="130"/>
        <v>-2.1079013130597801E-2</v>
      </c>
      <c r="Y290" s="5">
        <f t="shared" si="131"/>
        <v>-2.601941050965368E-2</v>
      </c>
      <c r="Z290" s="33">
        <v>286</v>
      </c>
      <c r="AE290" s="20" t="str">
        <f t="shared" si="132"/>
        <v/>
      </c>
      <c r="AF290" s="22" t="str">
        <f t="shared" si="133"/>
        <v/>
      </c>
      <c r="AG290" s="9" t="str">
        <f t="shared" ca="1" si="112"/>
        <v/>
      </c>
      <c r="AH290" s="9" t="str">
        <f t="shared" ca="1" si="113"/>
        <v/>
      </c>
      <c r="AI290" s="9" t="str">
        <f t="shared" ca="1" si="114"/>
        <v/>
      </c>
      <c r="AJ290" s="9" t="str">
        <f t="shared" ca="1" si="115"/>
        <v/>
      </c>
      <c r="AK290" s="9" t="str">
        <f t="shared" ca="1" si="116"/>
        <v/>
      </c>
      <c r="AL290" s="9" t="str">
        <f t="shared" ca="1" si="117"/>
        <v/>
      </c>
      <c r="AM290" s="9" t="str">
        <f t="shared" ca="1" si="118"/>
        <v/>
      </c>
      <c r="AN290" s="9" t="str">
        <f t="shared" ca="1" si="119"/>
        <v/>
      </c>
      <c r="AO290" s="9" t="str">
        <f t="shared" ca="1" si="120"/>
        <v/>
      </c>
      <c r="AP290" s="9" t="str">
        <f t="shared" ca="1" si="121"/>
        <v/>
      </c>
      <c r="AQ290" s="9"/>
      <c r="AR290" s="9"/>
      <c r="AS290" s="9"/>
      <c r="AT290" s="9"/>
      <c r="AU290" s="9"/>
    </row>
    <row r="291" spans="1:47" x14ac:dyDescent="0.3">
      <c r="A291" s="1">
        <v>43885</v>
      </c>
      <c r="B291" s="6">
        <v>357.41000400000001</v>
      </c>
      <c r="C291" s="6">
        <v>145.94000199999999</v>
      </c>
      <c r="D291" s="6">
        <v>34.095001000000003</v>
      </c>
      <c r="E291" s="6">
        <v>142.63999899999999</v>
      </c>
      <c r="F291" s="6">
        <v>119.230003</v>
      </c>
      <c r="G291" s="6">
        <v>50.52</v>
      </c>
      <c r="H291" s="6">
        <v>114.949997</v>
      </c>
      <c r="I291" s="6">
        <v>159.10000600000001</v>
      </c>
      <c r="J291" s="6">
        <v>23.959999</v>
      </c>
      <c r="K291" s="6">
        <v>28.309999000000001</v>
      </c>
      <c r="N291" s="19">
        <v>287</v>
      </c>
      <c r="O291" s="1">
        <v>43885</v>
      </c>
      <c r="P291" s="5">
        <f t="shared" si="122"/>
        <v>-4.2560801197034447E-2</v>
      </c>
      <c r="Q291" s="5">
        <f t="shared" si="123"/>
        <v>-2.2963043420597365E-2</v>
      </c>
      <c r="R291" s="5">
        <f t="shared" si="124"/>
        <v>-2.2476056707183112E-2</v>
      </c>
      <c r="S291" s="5">
        <f t="shared" si="125"/>
        <v>-2.2254770907656582E-2</v>
      </c>
      <c r="T291" s="5">
        <f t="shared" si="126"/>
        <v>-9.9311894482720011E-3</v>
      </c>
      <c r="U291" s="5">
        <f t="shared" si="127"/>
        <v>-8.0828434142227856E-3</v>
      </c>
      <c r="V291" s="5">
        <f t="shared" si="128"/>
        <v>-3.8316944864857372E-2</v>
      </c>
      <c r="W291" s="5">
        <f t="shared" si="129"/>
        <v>-6.078290233601691E-3</v>
      </c>
      <c r="X291" s="5">
        <f t="shared" si="130"/>
        <v>-1.8607152893848053E-2</v>
      </c>
      <c r="Y291" s="5">
        <f t="shared" si="131"/>
        <v>-3.1296018364197646E-2</v>
      </c>
      <c r="Z291" s="33">
        <v>287</v>
      </c>
      <c r="AE291" s="20" t="str">
        <f t="shared" si="132"/>
        <v/>
      </c>
      <c r="AF291" s="22" t="str">
        <f t="shared" si="133"/>
        <v/>
      </c>
      <c r="AG291" s="9" t="str">
        <f t="shared" ca="1" si="112"/>
        <v/>
      </c>
      <c r="AH291" s="9" t="str">
        <f t="shared" ca="1" si="113"/>
        <v/>
      </c>
      <c r="AI291" s="9" t="str">
        <f t="shared" ca="1" si="114"/>
        <v/>
      </c>
      <c r="AJ291" s="9" t="str">
        <f t="shared" ca="1" si="115"/>
        <v/>
      </c>
      <c r="AK291" s="9" t="str">
        <f t="shared" ca="1" si="116"/>
        <v/>
      </c>
      <c r="AL291" s="9" t="str">
        <f t="shared" ca="1" si="117"/>
        <v/>
      </c>
      <c r="AM291" s="9" t="str">
        <f t="shared" ca="1" si="118"/>
        <v/>
      </c>
      <c r="AN291" s="9" t="str">
        <f t="shared" ca="1" si="119"/>
        <v/>
      </c>
      <c r="AO291" s="9" t="str">
        <f t="shared" ca="1" si="120"/>
        <v/>
      </c>
      <c r="AP291" s="9" t="str">
        <f t="shared" ca="1" si="121"/>
        <v/>
      </c>
      <c r="AQ291" s="9"/>
      <c r="AR291" s="9"/>
      <c r="AS291" s="9"/>
      <c r="AT291" s="9"/>
      <c r="AU291" s="9"/>
    </row>
    <row r="292" spans="1:47" x14ac:dyDescent="0.3">
      <c r="A292" s="1">
        <v>43886</v>
      </c>
      <c r="B292" s="6">
        <v>347.79998799999998</v>
      </c>
      <c r="C292" s="6">
        <v>142.16000399999999</v>
      </c>
      <c r="D292" s="6">
        <v>33.310001</v>
      </c>
      <c r="E292" s="6">
        <v>141.10000600000001</v>
      </c>
      <c r="F292" s="6">
        <v>116.550003</v>
      </c>
      <c r="G292" s="6">
        <v>49.490001999999997</v>
      </c>
      <c r="H292" s="6">
        <v>110.05999799999999</v>
      </c>
      <c r="I292" s="6">
        <v>153.63000500000001</v>
      </c>
      <c r="J292" s="6">
        <v>23.15</v>
      </c>
      <c r="K292" s="6">
        <v>27.42</v>
      </c>
      <c r="N292" s="18">
        <v>288</v>
      </c>
      <c r="O292" s="1">
        <v>43886</v>
      </c>
      <c r="P292" s="5">
        <f t="shared" si="122"/>
        <v>-2.7256025962437945E-2</v>
      </c>
      <c r="Q292" s="5">
        <f t="shared" si="123"/>
        <v>-2.624238005803043E-2</v>
      </c>
      <c r="R292" s="5">
        <f t="shared" si="124"/>
        <v>-2.3293093075827151E-2</v>
      </c>
      <c r="S292" s="5">
        <f t="shared" si="125"/>
        <v>-1.0855065162427881E-2</v>
      </c>
      <c r="T292" s="5">
        <f t="shared" si="126"/>
        <v>-2.2734034757701284E-2</v>
      </c>
      <c r="U292" s="5">
        <f t="shared" si="127"/>
        <v>-2.0598628106292156E-2</v>
      </c>
      <c r="V292" s="5">
        <f t="shared" si="128"/>
        <v>-4.3471571651180298E-2</v>
      </c>
      <c r="W292" s="5">
        <f t="shared" si="129"/>
        <v>-3.4985826367576328E-2</v>
      </c>
      <c r="X292" s="5">
        <f t="shared" si="130"/>
        <v>-3.4390950978777611E-2</v>
      </c>
      <c r="Y292" s="5">
        <f t="shared" si="131"/>
        <v>-3.1942389666431925E-2</v>
      </c>
      <c r="Z292" s="33">
        <v>288</v>
      </c>
      <c r="AE292" s="20" t="str">
        <f t="shared" si="132"/>
        <v/>
      </c>
      <c r="AF292" s="22" t="str">
        <f t="shared" si="133"/>
        <v/>
      </c>
      <c r="AG292" s="9" t="str">
        <f t="shared" ca="1" si="112"/>
        <v/>
      </c>
      <c r="AH292" s="9" t="str">
        <f t="shared" ca="1" si="113"/>
        <v/>
      </c>
      <c r="AI292" s="9" t="str">
        <f t="shared" ca="1" si="114"/>
        <v/>
      </c>
      <c r="AJ292" s="9" t="str">
        <f t="shared" ca="1" si="115"/>
        <v/>
      </c>
      <c r="AK292" s="9" t="str">
        <f t="shared" ca="1" si="116"/>
        <v/>
      </c>
      <c r="AL292" s="9" t="str">
        <f t="shared" ca="1" si="117"/>
        <v/>
      </c>
      <c r="AM292" s="9" t="str">
        <f t="shared" ca="1" si="118"/>
        <v/>
      </c>
      <c r="AN292" s="9" t="str">
        <f t="shared" ca="1" si="119"/>
        <v/>
      </c>
      <c r="AO292" s="9" t="str">
        <f t="shared" ca="1" si="120"/>
        <v/>
      </c>
      <c r="AP292" s="9" t="str">
        <f t="shared" ca="1" si="121"/>
        <v/>
      </c>
      <c r="AQ292" s="9"/>
      <c r="AR292" s="9"/>
      <c r="AS292" s="9"/>
      <c r="AT292" s="9"/>
      <c r="AU292" s="9"/>
    </row>
    <row r="293" spans="1:47" x14ac:dyDescent="0.3">
      <c r="A293" s="1">
        <v>43887</v>
      </c>
      <c r="B293" s="6">
        <v>351.33999599999999</v>
      </c>
      <c r="C293" s="6">
        <v>142.03999300000001</v>
      </c>
      <c r="D293" s="6">
        <v>32.939999</v>
      </c>
      <c r="E293" s="6">
        <v>141.979996</v>
      </c>
      <c r="F293" s="6">
        <v>116.41999800000001</v>
      </c>
      <c r="G293" s="6">
        <v>49.279998999999997</v>
      </c>
      <c r="H293" s="6">
        <v>108.300003</v>
      </c>
      <c r="I293" s="6">
        <v>149.449997</v>
      </c>
      <c r="J293" s="6">
        <v>22.99</v>
      </c>
      <c r="K293" s="6">
        <v>26.469999000000001</v>
      </c>
      <c r="N293" s="19">
        <v>289</v>
      </c>
      <c r="O293" s="1">
        <v>43887</v>
      </c>
      <c r="P293" s="5">
        <f t="shared" si="122"/>
        <v>1.0126836782659382E-2</v>
      </c>
      <c r="Q293" s="5">
        <f t="shared" si="123"/>
        <v>-8.4455319071192634E-4</v>
      </c>
      <c r="R293" s="5">
        <f t="shared" si="124"/>
        <v>-1.1169987835335841E-2</v>
      </c>
      <c r="S293" s="5">
        <f t="shared" si="125"/>
        <v>6.2172730564566316E-3</v>
      </c>
      <c r="T293" s="5">
        <f t="shared" si="126"/>
        <v>-1.1160665573810866E-3</v>
      </c>
      <c r="U293" s="5">
        <f t="shared" si="127"/>
        <v>-4.2523704429420104E-3</v>
      </c>
      <c r="V293" s="5">
        <f t="shared" si="128"/>
        <v>-1.6120471751930664E-2</v>
      </c>
      <c r="W293" s="5">
        <f t="shared" si="129"/>
        <v>-2.7585278031951481E-2</v>
      </c>
      <c r="X293" s="5">
        <f t="shared" si="130"/>
        <v>-6.9354417571529416E-3</v>
      </c>
      <c r="Y293" s="5">
        <f t="shared" si="131"/>
        <v>-3.5260695673776446E-2</v>
      </c>
      <c r="Z293" s="33">
        <v>289</v>
      </c>
      <c r="AE293" s="20" t="str">
        <f t="shared" si="132"/>
        <v/>
      </c>
      <c r="AF293" s="22" t="str">
        <f t="shared" si="133"/>
        <v/>
      </c>
      <c r="AG293" s="9" t="str">
        <f t="shared" ca="1" si="112"/>
        <v/>
      </c>
      <c r="AH293" s="9" t="str">
        <f t="shared" ca="1" si="113"/>
        <v/>
      </c>
      <c r="AI293" s="9" t="str">
        <f t="shared" ca="1" si="114"/>
        <v/>
      </c>
      <c r="AJ293" s="9" t="str">
        <f t="shared" ca="1" si="115"/>
        <v/>
      </c>
      <c r="AK293" s="9" t="str">
        <f t="shared" ca="1" si="116"/>
        <v/>
      </c>
      <c r="AL293" s="9" t="str">
        <f t="shared" ca="1" si="117"/>
        <v/>
      </c>
      <c r="AM293" s="9" t="str">
        <f t="shared" ca="1" si="118"/>
        <v/>
      </c>
      <c r="AN293" s="9" t="str">
        <f t="shared" ca="1" si="119"/>
        <v/>
      </c>
      <c r="AO293" s="9" t="str">
        <f t="shared" ca="1" si="120"/>
        <v/>
      </c>
      <c r="AP293" s="9" t="str">
        <f t="shared" ca="1" si="121"/>
        <v/>
      </c>
      <c r="AQ293" s="9"/>
      <c r="AR293" s="9"/>
      <c r="AS293" s="9"/>
      <c r="AT293" s="9"/>
      <c r="AU293" s="9"/>
    </row>
    <row r="294" spans="1:47" x14ac:dyDescent="0.3">
      <c r="A294" s="1">
        <v>43888</v>
      </c>
      <c r="B294" s="6">
        <v>337.51998900000001</v>
      </c>
      <c r="C294" s="6">
        <v>136.83000200000001</v>
      </c>
      <c r="D294" s="6">
        <v>31.870000999999998</v>
      </c>
      <c r="E294" s="6">
        <v>136.36999499999999</v>
      </c>
      <c r="F294" s="6">
        <v>110.760002</v>
      </c>
      <c r="G294" s="6">
        <v>47.009998000000003</v>
      </c>
      <c r="H294" s="6">
        <v>105.239998</v>
      </c>
      <c r="I294" s="6">
        <v>147.009995</v>
      </c>
      <c r="J294" s="6">
        <v>21.799999</v>
      </c>
      <c r="K294" s="6">
        <v>24.67</v>
      </c>
      <c r="N294" s="18">
        <v>290</v>
      </c>
      <c r="O294" s="1">
        <v>43888</v>
      </c>
      <c r="P294" s="5">
        <f t="shared" si="122"/>
        <v>-4.0129668974832208E-2</v>
      </c>
      <c r="Q294" s="5">
        <f t="shared" si="123"/>
        <v>-3.7369364784597292E-2</v>
      </c>
      <c r="R294" s="5">
        <f t="shared" si="124"/>
        <v>-3.3022534584551226E-2</v>
      </c>
      <c r="S294" s="5">
        <f t="shared" si="125"/>
        <v>-4.0314431233471171E-2</v>
      </c>
      <c r="T294" s="5">
        <f t="shared" si="126"/>
        <v>-4.9838608304589298E-2</v>
      </c>
      <c r="U294" s="5">
        <f t="shared" si="127"/>
        <v>-4.7157996441157542E-2</v>
      </c>
      <c r="V294" s="5">
        <f t="shared" si="128"/>
        <v>-2.8661744539864725E-2</v>
      </c>
      <c r="W294" s="5">
        <f t="shared" si="129"/>
        <v>-1.6461290991760857E-2</v>
      </c>
      <c r="X294" s="5">
        <f t="shared" si="130"/>
        <v>-5.3149414851607533E-2</v>
      </c>
      <c r="Y294" s="5">
        <f t="shared" si="131"/>
        <v>-7.042404791912657E-2</v>
      </c>
      <c r="Z294" s="33">
        <v>290</v>
      </c>
      <c r="AE294" s="20" t="str">
        <f t="shared" si="132"/>
        <v/>
      </c>
      <c r="AF294" s="22" t="str">
        <f t="shared" si="133"/>
        <v/>
      </c>
      <c r="AG294" s="9" t="str">
        <f t="shared" ca="1" si="112"/>
        <v/>
      </c>
      <c r="AH294" s="9" t="str">
        <f t="shared" ca="1" si="113"/>
        <v/>
      </c>
      <c r="AI294" s="9" t="str">
        <f t="shared" ca="1" si="114"/>
        <v/>
      </c>
      <c r="AJ294" s="9" t="str">
        <f t="shared" ca="1" si="115"/>
        <v/>
      </c>
      <c r="AK294" s="9" t="str">
        <f t="shared" ca="1" si="116"/>
        <v/>
      </c>
      <c r="AL294" s="9" t="str">
        <f t="shared" ca="1" si="117"/>
        <v/>
      </c>
      <c r="AM294" s="9" t="str">
        <f t="shared" ca="1" si="118"/>
        <v/>
      </c>
      <c r="AN294" s="9" t="str">
        <f t="shared" ca="1" si="119"/>
        <v/>
      </c>
      <c r="AO294" s="9" t="str">
        <f t="shared" ca="1" si="120"/>
        <v/>
      </c>
      <c r="AP294" s="9" t="str">
        <f t="shared" ca="1" si="121"/>
        <v/>
      </c>
      <c r="AQ294" s="9"/>
      <c r="AR294" s="9"/>
      <c r="AS294" s="9"/>
      <c r="AT294" s="9"/>
      <c r="AU294" s="9"/>
    </row>
    <row r="295" spans="1:47" x14ac:dyDescent="0.3">
      <c r="A295" s="1">
        <v>43889</v>
      </c>
      <c r="B295" s="6">
        <v>345.11999500000002</v>
      </c>
      <c r="C295" s="6">
        <v>137.929993</v>
      </c>
      <c r="D295" s="6">
        <v>31.204999999999998</v>
      </c>
      <c r="E295" s="6">
        <v>132.029999</v>
      </c>
      <c r="F295" s="6">
        <v>105.980003</v>
      </c>
      <c r="G295" s="6">
        <v>44.98</v>
      </c>
      <c r="H295" s="6">
        <v>102.739998</v>
      </c>
      <c r="I295" s="6">
        <v>144.75</v>
      </c>
      <c r="J295" s="6">
        <v>21.360001</v>
      </c>
      <c r="K295" s="6">
        <v>25.700001</v>
      </c>
      <c r="N295" s="19">
        <v>291</v>
      </c>
      <c r="O295" s="1">
        <v>43889</v>
      </c>
      <c r="P295" s="5">
        <f t="shared" si="122"/>
        <v>2.2267432927710436E-2</v>
      </c>
      <c r="Q295" s="5">
        <f t="shared" si="123"/>
        <v>8.0069653286502212E-3</v>
      </c>
      <c r="R295" s="5">
        <f t="shared" si="124"/>
        <v>-2.1086821420709233E-2</v>
      </c>
      <c r="S295" s="5">
        <f t="shared" si="125"/>
        <v>-3.2342581287712668E-2</v>
      </c>
      <c r="T295" s="5">
        <f t="shared" si="126"/>
        <v>-4.4115290987977888E-2</v>
      </c>
      <c r="U295" s="5">
        <f t="shared" si="127"/>
        <v>-4.4142355960729233E-2</v>
      </c>
      <c r="V295" s="5">
        <f t="shared" si="128"/>
        <v>-2.404193159540401E-2</v>
      </c>
      <c r="W295" s="5">
        <f t="shared" si="129"/>
        <v>-1.5492461211477959E-2</v>
      </c>
      <c r="X295" s="5">
        <f t="shared" si="130"/>
        <v>-2.0389863015010265E-2</v>
      </c>
      <c r="Y295" s="5">
        <f t="shared" si="131"/>
        <v>4.0903100270413856E-2</v>
      </c>
      <c r="Z295" s="33">
        <v>291</v>
      </c>
      <c r="AE295" s="20" t="str">
        <f t="shared" si="132"/>
        <v/>
      </c>
      <c r="AF295" s="22" t="str">
        <f t="shared" si="133"/>
        <v/>
      </c>
      <c r="AG295" s="9" t="str">
        <f t="shared" ca="1" si="112"/>
        <v/>
      </c>
      <c r="AH295" s="9" t="str">
        <f t="shared" ca="1" si="113"/>
        <v/>
      </c>
      <c r="AI295" s="9" t="str">
        <f t="shared" ca="1" si="114"/>
        <v/>
      </c>
      <c r="AJ295" s="9" t="str">
        <f t="shared" ca="1" si="115"/>
        <v/>
      </c>
      <c r="AK295" s="9" t="str">
        <f t="shared" ca="1" si="116"/>
        <v/>
      </c>
      <c r="AL295" s="9" t="str">
        <f t="shared" ca="1" si="117"/>
        <v/>
      </c>
      <c r="AM295" s="9" t="str">
        <f t="shared" ca="1" si="118"/>
        <v/>
      </c>
      <c r="AN295" s="9" t="str">
        <f t="shared" ca="1" si="119"/>
        <v/>
      </c>
      <c r="AO295" s="9" t="str">
        <f t="shared" ca="1" si="120"/>
        <v/>
      </c>
      <c r="AP295" s="9" t="str">
        <f t="shared" ca="1" si="121"/>
        <v/>
      </c>
      <c r="AQ295" s="9"/>
      <c r="AR295" s="9"/>
      <c r="AS295" s="9"/>
      <c r="AT295" s="9"/>
      <c r="AU295" s="9"/>
    </row>
    <row r="296" spans="1:47" x14ac:dyDescent="0.3">
      <c r="A296" s="1">
        <v>43892</v>
      </c>
      <c r="B296" s="6">
        <v>360.27999899999998</v>
      </c>
      <c r="C296" s="6">
        <v>141.63000500000001</v>
      </c>
      <c r="D296" s="6">
        <v>32.384998000000003</v>
      </c>
      <c r="E296" s="6">
        <v>137.58000200000001</v>
      </c>
      <c r="F296" s="6">
        <v>110.290001</v>
      </c>
      <c r="G296" s="6">
        <v>47.080002</v>
      </c>
      <c r="H296" s="6">
        <v>107.400002</v>
      </c>
      <c r="I296" s="6">
        <v>148.71000699999999</v>
      </c>
      <c r="J296" s="6">
        <v>21.790001</v>
      </c>
      <c r="K296" s="6">
        <v>26.4</v>
      </c>
      <c r="N296" s="18">
        <v>292</v>
      </c>
      <c r="O296" s="1">
        <v>43892</v>
      </c>
      <c r="P296" s="5">
        <f t="shared" si="122"/>
        <v>4.2989335986791256E-2</v>
      </c>
      <c r="Q296" s="5">
        <f t="shared" si="123"/>
        <v>2.6471799192512965E-2</v>
      </c>
      <c r="R296" s="5">
        <f t="shared" si="124"/>
        <v>3.7116952491886054E-2</v>
      </c>
      <c r="S296" s="5">
        <f t="shared" si="125"/>
        <v>4.1176418717791104E-2</v>
      </c>
      <c r="T296" s="5">
        <f t="shared" si="126"/>
        <v>3.9862844013217276E-2</v>
      </c>
      <c r="U296" s="5">
        <f t="shared" si="127"/>
        <v>4.5630378341789062E-2</v>
      </c>
      <c r="V296" s="5">
        <f t="shared" si="128"/>
        <v>4.4358695124231309E-2</v>
      </c>
      <c r="W296" s="5">
        <f t="shared" si="129"/>
        <v>2.6990031318967753E-2</v>
      </c>
      <c r="X296" s="5">
        <f t="shared" si="130"/>
        <v>1.9931133940666302E-2</v>
      </c>
      <c r="Y296" s="5">
        <f t="shared" si="131"/>
        <v>2.6872979340591203E-2</v>
      </c>
      <c r="Z296" s="33">
        <v>292</v>
      </c>
      <c r="AE296" s="20" t="str">
        <f t="shared" si="132"/>
        <v/>
      </c>
      <c r="AF296" s="22" t="str">
        <f t="shared" si="133"/>
        <v/>
      </c>
      <c r="AG296" s="9" t="str">
        <f t="shared" ca="1" si="112"/>
        <v/>
      </c>
      <c r="AH296" s="9" t="str">
        <f t="shared" ca="1" si="113"/>
        <v/>
      </c>
      <c r="AI296" s="9" t="str">
        <f t="shared" ca="1" si="114"/>
        <v/>
      </c>
      <c r="AJ296" s="9" t="str">
        <f t="shared" ca="1" si="115"/>
        <v/>
      </c>
      <c r="AK296" s="9" t="str">
        <f t="shared" ca="1" si="116"/>
        <v/>
      </c>
      <c r="AL296" s="9" t="str">
        <f t="shared" ca="1" si="117"/>
        <v/>
      </c>
      <c r="AM296" s="9" t="str">
        <f t="shared" ca="1" si="118"/>
        <v/>
      </c>
      <c r="AN296" s="9" t="str">
        <f t="shared" ca="1" si="119"/>
        <v/>
      </c>
      <c r="AO296" s="9" t="str">
        <f t="shared" ca="1" si="120"/>
        <v/>
      </c>
      <c r="AP296" s="9" t="str">
        <f t="shared" ca="1" si="121"/>
        <v/>
      </c>
      <c r="AQ296" s="9"/>
      <c r="AR296" s="9"/>
      <c r="AS296" s="9"/>
      <c r="AT296" s="9"/>
      <c r="AU296" s="9"/>
    </row>
    <row r="297" spans="1:47" x14ac:dyDescent="0.3">
      <c r="A297" s="1">
        <v>43893</v>
      </c>
      <c r="B297" s="6">
        <v>348.33999599999999</v>
      </c>
      <c r="C297" s="6">
        <v>140.11999499999999</v>
      </c>
      <c r="D297" s="6">
        <v>31.889999</v>
      </c>
      <c r="E297" s="6">
        <v>135.58000200000001</v>
      </c>
      <c r="F297" s="6">
        <v>109.510002</v>
      </c>
      <c r="G297" s="6">
        <v>47.369999</v>
      </c>
      <c r="H297" s="6">
        <v>105.720001</v>
      </c>
      <c r="I297" s="6">
        <v>144.13999899999999</v>
      </c>
      <c r="J297" s="6">
        <v>21.209999</v>
      </c>
      <c r="K297" s="6">
        <v>26.24</v>
      </c>
      <c r="N297" s="19">
        <v>293</v>
      </c>
      <c r="O297" s="1">
        <v>43893</v>
      </c>
      <c r="P297" s="5">
        <f t="shared" si="122"/>
        <v>-3.3702501319318033E-2</v>
      </c>
      <c r="Q297" s="5">
        <f t="shared" si="123"/>
        <v>-1.0718895883973836E-2</v>
      </c>
      <c r="R297" s="5">
        <f t="shared" si="124"/>
        <v>-1.540284121371901E-2</v>
      </c>
      <c r="S297" s="5">
        <f t="shared" si="125"/>
        <v>-1.4643693880606897E-2</v>
      </c>
      <c r="T297" s="5">
        <f t="shared" si="126"/>
        <v>-7.0973818342207175E-3</v>
      </c>
      <c r="U297" s="5">
        <f t="shared" si="127"/>
        <v>6.1407709522940659E-3</v>
      </c>
      <c r="V297" s="5">
        <f t="shared" si="128"/>
        <v>-1.576610150170157E-2</v>
      </c>
      <c r="W297" s="5">
        <f t="shared" si="129"/>
        <v>-3.1213105213477078E-2</v>
      </c>
      <c r="X297" s="5">
        <f t="shared" si="130"/>
        <v>-2.6978473420120722E-2</v>
      </c>
      <c r="Y297" s="5">
        <f t="shared" si="131"/>
        <v>-6.0790460763822263E-3</v>
      </c>
      <c r="Z297" s="33">
        <v>293</v>
      </c>
      <c r="AE297" s="20" t="str">
        <f t="shared" si="132"/>
        <v/>
      </c>
      <c r="AF297" s="22" t="str">
        <f t="shared" si="133"/>
        <v/>
      </c>
      <c r="AG297" s="9" t="str">
        <f t="shared" ca="1" si="112"/>
        <v/>
      </c>
      <c r="AH297" s="9" t="str">
        <f t="shared" ca="1" si="113"/>
        <v/>
      </c>
      <c r="AI297" s="9" t="str">
        <f t="shared" ca="1" si="114"/>
        <v/>
      </c>
      <c r="AJ297" s="9" t="str">
        <f t="shared" ca="1" si="115"/>
        <v/>
      </c>
      <c r="AK297" s="9" t="str">
        <f t="shared" ca="1" si="116"/>
        <v/>
      </c>
      <c r="AL297" s="9" t="str">
        <f t="shared" ca="1" si="117"/>
        <v/>
      </c>
      <c r="AM297" s="9" t="str">
        <f t="shared" ca="1" si="118"/>
        <v/>
      </c>
      <c r="AN297" s="9" t="str">
        <f t="shared" ca="1" si="119"/>
        <v/>
      </c>
      <c r="AO297" s="9" t="str">
        <f t="shared" ca="1" si="120"/>
        <v/>
      </c>
      <c r="AP297" s="9" t="str">
        <f t="shared" ca="1" si="121"/>
        <v/>
      </c>
      <c r="AQ297" s="9"/>
      <c r="AR297" s="9"/>
      <c r="AS297" s="9"/>
      <c r="AT297" s="9"/>
      <c r="AU297" s="9"/>
    </row>
    <row r="298" spans="1:47" x14ac:dyDescent="0.3">
      <c r="A298" s="1">
        <v>43894</v>
      </c>
      <c r="B298" s="6">
        <v>363.85000600000001</v>
      </c>
      <c r="C298" s="6">
        <v>146.820007</v>
      </c>
      <c r="D298" s="6">
        <v>34.025002000000001</v>
      </c>
      <c r="E298" s="6">
        <v>142.38999899999999</v>
      </c>
      <c r="F298" s="6">
        <v>115.019997</v>
      </c>
      <c r="G298" s="6">
        <v>49.349997999999999</v>
      </c>
      <c r="H298" s="6">
        <v>110.699997</v>
      </c>
      <c r="I298" s="6">
        <v>149.550003</v>
      </c>
      <c r="J298" s="6">
        <v>21.559999000000001</v>
      </c>
      <c r="K298" s="6">
        <v>26.51</v>
      </c>
      <c r="N298" s="18">
        <v>294</v>
      </c>
      <c r="O298" s="1">
        <v>43894</v>
      </c>
      <c r="P298" s="5">
        <f t="shared" si="122"/>
        <v>4.3562708462802337E-2</v>
      </c>
      <c r="Q298" s="5">
        <f t="shared" si="123"/>
        <v>4.6708231714476689E-2</v>
      </c>
      <c r="R298" s="5">
        <f t="shared" si="124"/>
        <v>6.4803157653663304E-2</v>
      </c>
      <c r="S298" s="5">
        <f t="shared" si="125"/>
        <v>4.9007878015680371E-2</v>
      </c>
      <c r="T298" s="5">
        <f t="shared" si="126"/>
        <v>4.9090112652347341E-2</v>
      </c>
      <c r="U298" s="5">
        <f t="shared" si="127"/>
        <v>4.0948629527388029E-2</v>
      </c>
      <c r="V298" s="5">
        <f t="shared" si="128"/>
        <v>4.6029713419283247E-2</v>
      </c>
      <c r="W298" s="5">
        <f t="shared" si="129"/>
        <v>3.6845762577541998E-2</v>
      </c>
      <c r="X298" s="5">
        <f t="shared" si="130"/>
        <v>1.6366978229588099E-2</v>
      </c>
      <c r="Y298" s="5">
        <f t="shared" si="131"/>
        <v>1.0237056225046066E-2</v>
      </c>
      <c r="Z298" s="33">
        <v>294</v>
      </c>
      <c r="AE298" s="20" t="str">
        <f t="shared" si="132"/>
        <v/>
      </c>
      <c r="AF298" s="22" t="str">
        <f t="shared" si="133"/>
        <v/>
      </c>
      <c r="AG298" s="9" t="str">
        <f t="shared" ca="1" si="112"/>
        <v/>
      </c>
      <c r="AH298" s="9" t="str">
        <f t="shared" ca="1" si="113"/>
        <v/>
      </c>
      <c r="AI298" s="9" t="str">
        <f t="shared" ca="1" si="114"/>
        <v/>
      </c>
      <c r="AJ298" s="9" t="str">
        <f t="shared" ca="1" si="115"/>
        <v/>
      </c>
      <c r="AK298" s="9" t="str">
        <f t="shared" ca="1" si="116"/>
        <v/>
      </c>
      <c r="AL298" s="9" t="str">
        <f t="shared" ca="1" si="117"/>
        <v/>
      </c>
      <c r="AM298" s="9" t="str">
        <f t="shared" ca="1" si="118"/>
        <v/>
      </c>
      <c r="AN298" s="9" t="str">
        <f t="shared" ca="1" si="119"/>
        <v/>
      </c>
      <c r="AO298" s="9" t="str">
        <f t="shared" ca="1" si="120"/>
        <v/>
      </c>
      <c r="AP298" s="9" t="str">
        <f t="shared" ca="1" si="121"/>
        <v/>
      </c>
      <c r="AQ298" s="9"/>
      <c r="AR298" s="9"/>
      <c r="AS298" s="9"/>
      <c r="AT298" s="9"/>
      <c r="AU298" s="9"/>
    </row>
    <row r="299" spans="1:47" x14ac:dyDescent="0.3">
      <c r="A299" s="1">
        <v>43895</v>
      </c>
      <c r="B299" s="6">
        <v>351.02999899999998</v>
      </c>
      <c r="C299" s="6">
        <v>142.63999899999999</v>
      </c>
      <c r="D299" s="6">
        <v>33.564999</v>
      </c>
      <c r="E299" s="6">
        <v>138.10000600000001</v>
      </c>
      <c r="F299" s="6">
        <v>114.800003</v>
      </c>
      <c r="G299" s="6">
        <v>48.740001999999997</v>
      </c>
      <c r="H299" s="6">
        <v>105.779999</v>
      </c>
      <c r="I299" s="6">
        <v>141.529999</v>
      </c>
      <c r="J299" s="6">
        <v>20.709999</v>
      </c>
      <c r="K299" s="6">
        <v>25.23</v>
      </c>
      <c r="N299" s="19">
        <v>295</v>
      </c>
      <c r="O299" s="1">
        <v>43895</v>
      </c>
      <c r="P299" s="5">
        <f t="shared" si="122"/>
        <v>-3.5870024233190481E-2</v>
      </c>
      <c r="Q299" s="5">
        <f t="shared" si="123"/>
        <v>-2.8883427815833671E-2</v>
      </c>
      <c r="R299" s="5">
        <f t="shared" si="124"/>
        <v>-1.3611779720061263E-2</v>
      </c>
      <c r="S299" s="5">
        <f t="shared" si="125"/>
        <v>-3.0591660907914826E-2</v>
      </c>
      <c r="T299" s="5">
        <f t="shared" si="126"/>
        <v>-1.9144901853175068E-3</v>
      </c>
      <c r="U299" s="5">
        <f t="shared" si="127"/>
        <v>-1.2437636121523212E-2</v>
      </c>
      <c r="V299" s="5">
        <f t="shared" si="128"/>
        <v>-4.5462356430068795E-2</v>
      </c>
      <c r="W299" s="5">
        <f t="shared" si="129"/>
        <v>-5.5119103456029592E-2</v>
      </c>
      <c r="X299" s="5">
        <f t="shared" si="130"/>
        <v>-4.0223072536966803E-2</v>
      </c>
      <c r="Y299" s="5">
        <f t="shared" si="131"/>
        <v>-4.9488257647967812E-2</v>
      </c>
      <c r="Z299" s="33">
        <v>295</v>
      </c>
      <c r="AE299" s="20" t="str">
        <f t="shared" si="132"/>
        <v/>
      </c>
      <c r="AF299" s="22" t="str">
        <f t="shared" si="133"/>
        <v/>
      </c>
      <c r="AG299" s="9" t="str">
        <f t="shared" ca="1" si="112"/>
        <v/>
      </c>
      <c r="AH299" s="9" t="str">
        <f t="shared" ca="1" si="113"/>
        <v/>
      </c>
      <c r="AI299" s="9" t="str">
        <f t="shared" ca="1" si="114"/>
        <v/>
      </c>
      <c r="AJ299" s="9" t="str">
        <f t="shared" ca="1" si="115"/>
        <v/>
      </c>
      <c r="AK299" s="9" t="str">
        <f t="shared" ca="1" si="116"/>
        <v/>
      </c>
      <c r="AL299" s="9" t="str">
        <f t="shared" ca="1" si="117"/>
        <v/>
      </c>
      <c r="AM299" s="9" t="str">
        <f t="shared" ca="1" si="118"/>
        <v/>
      </c>
      <c r="AN299" s="9" t="str">
        <f t="shared" ca="1" si="119"/>
        <v/>
      </c>
      <c r="AO299" s="9" t="str">
        <f t="shared" ca="1" si="120"/>
        <v/>
      </c>
      <c r="AP299" s="9" t="str">
        <f t="shared" ca="1" si="121"/>
        <v/>
      </c>
      <c r="AQ299" s="9"/>
      <c r="AR299" s="9"/>
      <c r="AS299" s="9"/>
      <c r="AT299" s="9"/>
      <c r="AU299" s="9"/>
    </row>
    <row r="300" spans="1:47" x14ac:dyDescent="0.3">
      <c r="A300" s="1">
        <v>43896</v>
      </c>
      <c r="B300" s="6">
        <v>336.76998900000001</v>
      </c>
      <c r="C300" s="6">
        <v>137.720001</v>
      </c>
      <c r="D300" s="6">
        <v>33.095001000000003</v>
      </c>
      <c r="E300" s="6">
        <v>137.259995</v>
      </c>
      <c r="F300" s="6">
        <v>113.949997</v>
      </c>
      <c r="G300" s="6">
        <v>48.310001</v>
      </c>
      <c r="H300" s="6">
        <v>101.489998</v>
      </c>
      <c r="I300" s="6">
        <v>141.770004</v>
      </c>
      <c r="J300" s="6">
        <v>20.040001</v>
      </c>
      <c r="K300" s="6">
        <v>25.440000999999999</v>
      </c>
      <c r="N300" s="18">
        <v>296</v>
      </c>
      <c r="O300" s="1">
        <v>43896</v>
      </c>
      <c r="P300" s="5">
        <f t="shared" si="122"/>
        <v>-4.1471514946783604E-2</v>
      </c>
      <c r="Q300" s="5">
        <f t="shared" si="123"/>
        <v>-3.5101320812796155E-2</v>
      </c>
      <c r="R300" s="5">
        <f t="shared" si="124"/>
        <v>-1.4101583810844821E-2</v>
      </c>
      <c r="S300" s="5">
        <f t="shared" si="125"/>
        <v>-6.1012028087536734E-3</v>
      </c>
      <c r="T300" s="5">
        <f t="shared" si="126"/>
        <v>-7.4317806535136293E-3</v>
      </c>
      <c r="U300" s="5">
        <f t="shared" si="127"/>
        <v>-8.8614899651543386E-3</v>
      </c>
      <c r="V300" s="5">
        <f t="shared" si="128"/>
        <v>-4.1401204429899335E-2</v>
      </c>
      <c r="W300" s="5">
        <f t="shared" si="129"/>
        <v>1.6943526641460154E-3</v>
      </c>
      <c r="X300" s="5">
        <f t="shared" si="130"/>
        <v>-3.2886301004776942E-2</v>
      </c>
      <c r="Y300" s="5">
        <f t="shared" si="131"/>
        <v>8.2890151271302268E-3</v>
      </c>
      <c r="Z300" s="33">
        <v>296</v>
      </c>
      <c r="AE300" s="20" t="str">
        <f t="shared" si="132"/>
        <v/>
      </c>
      <c r="AF300" s="22" t="str">
        <f t="shared" si="133"/>
        <v/>
      </c>
      <c r="AG300" s="9" t="str">
        <f t="shared" ca="1" si="112"/>
        <v/>
      </c>
      <c r="AH300" s="9" t="str">
        <f t="shared" ca="1" si="113"/>
        <v/>
      </c>
      <c r="AI300" s="9" t="str">
        <f t="shared" ca="1" si="114"/>
        <v/>
      </c>
      <c r="AJ300" s="9" t="str">
        <f t="shared" ca="1" si="115"/>
        <v/>
      </c>
      <c r="AK300" s="9" t="str">
        <f t="shared" ca="1" si="116"/>
        <v/>
      </c>
      <c r="AL300" s="9" t="str">
        <f t="shared" ca="1" si="117"/>
        <v/>
      </c>
      <c r="AM300" s="9" t="str">
        <f t="shared" ca="1" si="118"/>
        <v/>
      </c>
      <c r="AN300" s="9" t="str">
        <f t="shared" ca="1" si="119"/>
        <v/>
      </c>
      <c r="AO300" s="9" t="str">
        <f t="shared" ca="1" si="120"/>
        <v/>
      </c>
      <c r="AP300" s="9" t="str">
        <f t="shared" ca="1" si="121"/>
        <v/>
      </c>
      <c r="AQ300" s="9"/>
      <c r="AR300" s="9"/>
      <c r="AS300" s="9"/>
      <c r="AT300" s="9"/>
      <c r="AU300" s="9"/>
    </row>
    <row r="301" spans="1:47" x14ac:dyDescent="0.3">
      <c r="A301" s="1">
        <v>43899</v>
      </c>
      <c r="B301" s="6">
        <v>305.790009</v>
      </c>
      <c r="C301" s="6">
        <v>127.699997</v>
      </c>
      <c r="D301" s="6">
        <v>30.93</v>
      </c>
      <c r="E301" s="6">
        <v>130.16000399999999</v>
      </c>
      <c r="F301" s="6">
        <v>102.370003</v>
      </c>
      <c r="G301" s="6">
        <v>45.580002</v>
      </c>
      <c r="H301" s="6">
        <v>93.75</v>
      </c>
      <c r="I301" s="6">
        <v>131.94000199999999</v>
      </c>
      <c r="J301" s="6">
        <v>18.23</v>
      </c>
      <c r="K301" s="6">
        <v>23.65</v>
      </c>
      <c r="N301" s="19">
        <v>297</v>
      </c>
      <c r="O301" s="1">
        <v>43899</v>
      </c>
      <c r="P301" s="5">
        <f t="shared" si="122"/>
        <v>-9.650155082303935E-2</v>
      </c>
      <c r="Q301" s="5">
        <f t="shared" si="123"/>
        <v>-7.5538906185499896E-2</v>
      </c>
      <c r="R301" s="5">
        <f t="shared" si="124"/>
        <v>-6.7655657089952234E-2</v>
      </c>
      <c r="S301" s="5">
        <f t="shared" si="125"/>
        <v>-5.3112407411080212E-2</v>
      </c>
      <c r="T301" s="5">
        <f t="shared" si="126"/>
        <v>-0.10716599912721676</v>
      </c>
      <c r="U301" s="5">
        <f t="shared" si="127"/>
        <v>-5.8169531569531654E-2</v>
      </c>
      <c r="V301" s="5">
        <f t="shared" si="128"/>
        <v>-7.9328586903831405E-2</v>
      </c>
      <c r="W301" s="5">
        <f t="shared" si="129"/>
        <v>-7.1858765391123708E-2</v>
      </c>
      <c r="X301" s="5">
        <f t="shared" si="130"/>
        <v>-9.4661737426290721E-2</v>
      </c>
      <c r="Y301" s="5">
        <f t="shared" si="131"/>
        <v>-7.2959662842154813E-2</v>
      </c>
      <c r="Z301" s="33">
        <v>297</v>
      </c>
      <c r="AE301" s="20" t="str">
        <f t="shared" si="132"/>
        <v/>
      </c>
      <c r="AF301" s="22" t="str">
        <f t="shared" si="133"/>
        <v/>
      </c>
      <c r="AG301" s="9" t="str">
        <f t="shared" ca="1" si="112"/>
        <v/>
      </c>
      <c r="AH301" s="9" t="str">
        <f t="shared" ca="1" si="113"/>
        <v/>
      </c>
      <c r="AI301" s="9" t="str">
        <f t="shared" ca="1" si="114"/>
        <v/>
      </c>
      <c r="AJ301" s="9" t="str">
        <f t="shared" ca="1" si="115"/>
        <v/>
      </c>
      <c r="AK301" s="9" t="str">
        <f t="shared" ca="1" si="116"/>
        <v/>
      </c>
      <c r="AL301" s="9" t="str">
        <f t="shared" ca="1" si="117"/>
        <v/>
      </c>
      <c r="AM301" s="9" t="str">
        <f t="shared" ca="1" si="118"/>
        <v/>
      </c>
      <c r="AN301" s="9" t="str">
        <f t="shared" ca="1" si="119"/>
        <v/>
      </c>
      <c r="AO301" s="9" t="str">
        <f t="shared" ca="1" si="120"/>
        <v/>
      </c>
      <c r="AP301" s="9" t="str">
        <f t="shared" ca="1" si="121"/>
        <v/>
      </c>
      <c r="AQ301" s="9"/>
      <c r="AR301" s="9"/>
      <c r="AS301" s="9"/>
      <c r="AT301" s="9"/>
      <c r="AU301" s="9"/>
    </row>
    <row r="302" spans="1:47" x14ac:dyDescent="0.3">
      <c r="A302" s="1">
        <v>43900</v>
      </c>
      <c r="B302" s="6">
        <v>332.38000499999998</v>
      </c>
      <c r="C302" s="6">
        <v>135.19000199999999</v>
      </c>
      <c r="D302" s="6">
        <v>33.064999</v>
      </c>
      <c r="E302" s="6">
        <v>134.13999899999999</v>
      </c>
      <c r="F302" s="6">
        <v>102.41999800000001</v>
      </c>
      <c r="G302" s="6">
        <v>46.98</v>
      </c>
      <c r="H302" s="6">
        <v>100.529999</v>
      </c>
      <c r="I302" s="6">
        <v>140.38000500000001</v>
      </c>
      <c r="J302" s="6">
        <v>18.84</v>
      </c>
      <c r="K302" s="6">
        <v>25.08</v>
      </c>
      <c r="N302" s="18">
        <v>298</v>
      </c>
      <c r="O302" s="1">
        <v>43900</v>
      </c>
      <c r="P302" s="5">
        <f t="shared" si="122"/>
        <v>8.3380286462006389E-2</v>
      </c>
      <c r="Q302" s="5">
        <f t="shared" si="123"/>
        <v>5.6997471624374817E-2</v>
      </c>
      <c r="R302" s="5">
        <f t="shared" si="124"/>
        <v>6.6748704186187224E-2</v>
      </c>
      <c r="S302" s="5">
        <f t="shared" si="125"/>
        <v>3.0119529574503822E-2</v>
      </c>
      <c r="T302" s="5">
        <f t="shared" si="126"/>
        <v>4.8825626982850964E-4</v>
      </c>
      <c r="U302" s="5">
        <f t="shared" si="127"/>
        <v>3.0252911534335115E-2</v>
      </c>
      <c r="V302" s="5">
        <f t="shared" si="128"/>
        <v>6.9824515619529001E-2</v>
      </c>
      <c r="W302" s="5">
        <f t="shared" si="129"/>
        <v>6.2005777966754154E-2</v>
      </c>
      <c r="X302" s="5">
        <f t="shared" si="130"/>
        <v>3.2913680457645318E-2</v>
      </c>
      <c r="Y302" s="5">
        <f t="shared" si="131"/>
        <v>5.8707600826777909E-2</v>
      </c>
      <c r="Z302" s="33">
        <v>298</v>
      </c>
      <c r="AE302" s="20" t="str">
        <f t="shared" si="132"/>
        <v/>
      </c>
      <c r="AF302" s="22" t="str">
        <f t="shared" si="133"/>
        <v/>
      </c>
      <c r="AG302" s="9" t="str">
        <f t="shared" ca="1" si="112"/>
        <v/>
      </c>
      <c r="AH302" s="9" t="str">
        <f t="shared" ca="1" si="113"/>
        <v/>
      </c>
      <c r="AI302" s="9" t="str">
        <f t="shared" ca="1" si="114"/>
        <v/>
      </c>
      <c r="AJ302" s="9" t="str">
        <f t="shared" ca="1" si="115"/>
        <v/>
      </c>
      <c r="AK302" s="9" t="str">
        <f t="shared" ca="1" si="116"/>
        <v/>
      </c>
      <c r="AL302" s="9" t="str">
        <f t="shared" ca="1" si="117"/>
        <v/>
      </c>
      <c r="AM302" s="9" t="str">
        <f t="shared" ca="1" si="118"/>
        <v/>
      </c>
      <c r="AN302" s="9" t="str">
        <f t="shared" ca="1" si="119"/>
        <v/>
      </c>
      <c r="AO302" s="9" t="str">
        <f t="shared" ca="1" si="120"/>
        <v/>
      </c>
      <c r="AP302" s="9" t="str">
        <f t="shared" ca="1" si="121"/>
        <v/>
      </c>
      <c r="AQ302" s="9"/>
      <c r="AR302" s="9"/>
      <c r="AS302" s="9"/>
      <c r="AT302" s="9"/>
      <c r="AU302" s="9"/>
    </row>
    <row r="303" spans="1:47" x14ac:dyDescent="0.3">
      <c r="A303" s="1">
        <v>43901</v>
      </c>
      <c r="B303" s="6">
        <v>315.23001099999999</v>
      </c>
      <c r="C303" s="6">
        <v>131.740005</v>
      </c>
      <c r="D303" s="6">
        <v>30.905000999999999</v>
      </c>
      <c r="E303" s="6">
        <v>129.75</v>
      </c>
      <c r="F303" s="6">
        <v>95.360000999999997</v>
      </c>
      <c r="G303" s="6">
        <v>44.52</v>
      </c>
      <c r="H303" s="6">
        <v>95.550003000000004</v>
      </c>
      <c r="I303" s="6">
        <v>129.46000699999999</v>
      </c>
      <c r="J303" s="6">
        <v>18.010000000000002</v>
      </c>
      <c r="K303" s="6">
        <v>24.059999000000001</v>
      </c>
      <c r="N303" s="19">
        <v>299</v>
      </c>
      <c r="O303" s="1">
        <v>43901</v>
      </c>
      <c r="P303" s="5">
        <f t="shared" si="122"/>
        <v>-5.2976341727652677E-2</v>
      </c>
      <c r="Q303" s="5">
        <f t="shared" si="123"/>
        <v>-2.5850890004216479E-2</v>
      </c>
      <c r="R303" s="5">
        <f t="shared" si="124"/>
        <v>-6.755727541470552E-2</v>
      </c>
      <c r="S303" s="5">
        <f t="shared" si="125"/>
        <v>-3.327450117069513E-2</v>
      </c>
      <c r="T303" s="5">
        <f t="shared" si="126"/>
        <v>-7.1422772703351387E-2</v>
      </c>
      <c r="U303" s="5">
        <f t="shared" si="127"/>
        <v>-5.3783452823422492E-2</v>
      </c>
      <c r="V303" s="5">
        <f t="shared" si="128"/>
        <v>-5.0806478386593475E-2</v>
      </c>
      <c r="W303" s="5">
        <f t="shared" si="129"/>
        <v>-8.0981059731766197E-2</v>
      </c>
      <c r="X303" s="5">
        <f t="shared" si="130"/>
        <v>-4.5055109960352224E-2</v>
      </c>
      <c r="Y303" s="5">
        <f t="shared" si="131"/>
        <v>-4.1520046780947659E-2</v>
      </c>
      <c r="Z303" s="33">
        <v>299</v>
      </c>
      <c r="AE303" s="20" t="str">
        <f t="shared" si="132"/>
        <v/>
      </c>
      <c r="AF303" s="22" t="str">
        <f t="shared" si="133"/>
        <v/>
      </c>
      <c r="AG303" s="9" t="str">
        <f t="shared" ca="1" si="112"/>
        <v/>
      </c>
      <c r="AH303" s="9" t="str">
        <f t="shared" ca="1" si="113"/>
        <v/>
      </c>
      <c r="AI303" s="9" t="str">
        <f t="shared" ca="1" si="114"/>
        <v/>
      </c>
      <c r="AJ303" s="9" t="str">
        <f t="shared" ca="1" si="115"/>
        <v/>
      </c>
      <c r="AK303" s="9" t="str">
        <f t="shared" ca="1" si="116"/>
        <v/>
      </c>
      <c r="AL303" s="9" t="str">
        <f t="shared" ca="1" si="117"/>
        <v/>
      </c>
      <c r="AM303" s="9" t="str">
        <f t="shared" ca="1" si="118"/>
        <v/>
      </c>
      <c r="AN303" s="9" t="str">
        <f t="shared" ca="1" si="119"/>
        <v/>
      </c>
      <c r="AO303" s="9" t="str">
        <f t="shared" ca="1" si="120"/>
        <v/>
      </c>
      <c r="AP303" s="9" t="str">
        <f t="shared" ca="1" si="121"/>
        <v/>
      </c>
      <c r="AQ303" s="9"/>
      <c r="AR303" s="9"/>
      <c r="AS303" s="9"/>
      <c r="AT303" s="9"/>
      <c r="AU303" s="9"/>
    </row>
    <row r="304" spans="1:47" x14ac:dyDescent="0.3">
      <c r="A304" s="1">
        <v>43902</v>
      </c>
      <c r="B304" s="6">
        <v>285</v>
      </c>
      <c r="C304" s="6">
        <v>119.150002</v>
      </c>
      <c r="D304" s="6">
        <v>28.695</v>
      </c>
      <c r="E304" s="6">
        <v>115.339996</v>
      </c>
      <c r="F304" s="6">
        <v>87.5</v>
      </c>
      <c r="G304" s="6">
        <v>41.27</v>
      </c>
      <c r="H304" s="6">
        <v>85.580001999999993</v>
      </c>
      <c r="I304" s="6">
        <v>118.82</v>
      </c>
      <c r="J304" s="6">
        <v>15.26</v>
      </c>
      <c r="K304" s="6">
        <v>22.280000999999999</v>
      </c>
      <c r="N304" s="18">
        <v>300</v>
      </c>
      <c r="O304" s="1">
        <v>43902</v>
      </c>
      <c r="P304" s="5">
        <f t="shared" si="122"/>
        <v>-0.10081338574609681</v>
      </c>
      <c r="Q304" s="5">
        <f t="shared" si="123"/>
        <v>-0.10044710083577553</v>
      </c>
      <c r="R304" s="5">
        <f t="shared" si="124"/>
        <v>-7.4195123908133945E-2</v>
      </c>
      <c r="S304" s="5">
        <f t="shared" si="125"/>
        <v>-0.11772526853880834</v>
      </c>
      <c r="T304" s="5">
        <f t="shared" si="126"/>
        <v>-8.6020420440048012E-2</v>
      </c>
      <c r="U304" s="5">
        <f t="shared" si="127"/>
        <v>-7.5802682642853655E-2</v>
      </c>
      <c r="V304" s="5">
        <f t="shared" si="128"/>
        <v>-0.11019806772483923</v>
      </c>
      <c r="W304" s="5">
        <f t="shared" si="129"/>
        <v>-8.5762264260522678E-2</v>
      </c>
      <c r="X304" s="5">
        <f t="shared" si="130"/>
        <v>-0.16569213333155386</v>
      </c>
      <c r="Y304" s="5">
        <f t="shared" si="131"/>
        <v>-7.6861209041386658E-2</v>
      </c>
      <c r="Z304" s="33">
        <v>300</v>
      </c>
      <c r="AE304" s="20" t="str">
        <f t="shared" si="132"/>
        <v/>
      </c>
      <c r="AF304" s="22" t="str">
        <f t="shared" si="133"/>
        <v/>
      </c>
      <c r="AG304" s="9" t="str">
        <f t="shared" ca="1" si="112"/>
        <v/>
      </c>
      <c r="AH304" s="9" t="str">
        <f t="shared" ca="1" si="113"/>
        <v/>
      </c>
      <c r="AI304" s="9" t="str">
        <f t="shared" ca="1" si="114"/>
        <v/>
      </c>
      <c r="AJ304" s="9" t="str">
        <f t="shared" ca="1" si="115"/>
        <v/>
      </c>
      <c r="AK304" s="9" t="str">
        <f t="shared" ca="1" si="116"/>
        <v/>
      </c>
      <c r="AL304" s="9" t="str">
        <f t="shared" ca="1" si="117"/>
        <v/>
      </c>
      <c r="AM304" s="9" t="str">
        <f t="shared" ca="1" si="118"/>
        <v/>
      </c>
      <c r="AN304" s="9" t="str">
        <f t="shared" ca="1" si="119"/>
        <v/>
      </c>
      <c r="AO304" s="9" t="str">
        <f t="shared" ca="1" si="120"/>
        <v/>
      </c>
      <c r="AP304" s="9" t="str">
        <f t="shared" ca="1" si="121"/>
        <v/>
      </c>
      <c r="AQ304" s="9"/>
      <c r="AR304" s="9"/>
      <c r="AS304" s="9"/>
      <c r="AT304" s="9"/>
      <c r="AU304" s="9"/>
    </row>
    <row r="305" spans="1:47" x14ac:dyDescent="0.3">
      <c r="A305" s="1">
        <v>43903</v>
      </c>
      <c r="B305" s="6">
        <v>335.5</v>
      </c>
      <c r="C305" s="6">
        <v>129.88000500000001</v>
      </c>
      <c r="D305" s="6">
        <v>31.195</v>
      </c>
      <c r="E305" s="6">
        <v>127.449997</v>
      </c>
      <c r="F305" s="6">
        <v>95.970000999999996</v>
      </c>
      <c r="G305" s="6">
        <v>44.66</v>
      </c>
      <c r="H305" s="6">
        <v>90.75</v>
      </c>
      <c r="I305" s="6">
        <v>126.220001</v>
      </c>
      <c r="J305" s="6">
        <v>17.110001</v>
      </c>
      <c r="K305" s="6">
        <v>22.889999</v>
      </c>
      <c r="N305" s="19">
        <v>301</v>
      </c>
      <c r="O305" s="1">
        <v>43903</v>
      </c>
      <c r="P305" s="5">
        <f t="shared" si="122"/>
        <v>0.16313277614308605</v>
      </c>
      <c r="Q305" s="5">
        <f t="shared" si="123"/>
        <v>8.6227765401403297E-2</v>
      </c>
      <c r="R305" s="5">
        <f t="shared" si="124"/>
        <v>8.3534934002423872E-2</v>
      </c>
      <c r="S305" s="5">
        <f t="shared" si="125"/>
        <v>9.9839853776291954E-2</v>
      </c>
      <c r="T305" s="5">
        <f t="shared" si="126"/>
        <v>9.2396859685890412E-2</v>
      </c>
      <c r="U305" s="5">
        <f t="shared" si="127"/>
        <v>7.8942402647521226E-2</v>
      </c>
      <c r="V305" s="5">
        <f t="shared" si="128"/>
        <v>5.86568387863435E-2</v>
      </c>
      <c r="W305" s="5">
        <f t="shared" si="129"/>
        <v>6.0416681151172741E-2</v>
      </c>
      <c r="X305" s="5">
        <f t="shared" si="130"/>
        <v>0.11442812049314302</v>
      </c>
      <c r="Y305" s="5">
        <f t="shared" si="131"/>
        <v>2.7010630334889096E-2</v>
      </c>
      <c r="Z305" s="33">
        <v>301</v>
      </c>
      <c r="AE305" s="20" t="str">
        <f t="shared" si="132"/>
        <v/>
      </c>
      <c r="AF305" s="22" t="str">
        <f t="shared" si="133"/>
        <v/>
      </c>
      <c r="AG305" s="9" t="str">
        <f t="shared" ca="1" si="112"/>
        <v/>
      </c>
      <c r="AH305" s="9" t="str">
        <f t="shared" ca="1" si="113"/>
        <v/>
      </c>
      <c r="AI305" s="9" t="str">
        <f t="shared" ca="1" si="114"/>
        <v/>
      </c>
      <c r="AJ305" s="9" t="str">
        <f t="shared" ca="1" si="115"/>
        <v/>
      </c>
      <c r="AK305" s="9" t="str">
        <f t="shared" ca="1" si="116"/>
        <v/>
      </c>
      <c r="AL305" s="9" t="str">
        <f t="shared" ca="1" si="117"/>
        <v/>
      </c>
      <c r="AM305" s="9" t="str">
        <f t="shared" ca="1" si="118"/>
        <v/>
      </c>
      <c r="AN305" s="9" t="str">
        <f t="shared" ca="1" si="119"/>
        <v/>
      </c>
      <c r="AO305" s="9" t="str">
        <f t="shared" ca="1" si="120"/>
        <v/>
      </c>
      <c r="AP305" s="9" t="str">
        <f t="shared" ca="1" si="121"/>
        <v/>
      </c>
      <c r="AQ305" s="9"/>
      <c r="AR305" s="9"/>
      <c r="AS305" s="9"/>
      <c r="AT305" s="9"/>
      <c r="AU305" s="9"/>
    </row>
    <row r="306" spans="1:47" x14ac:dyDescent="0.3">
      <c r="A306" s="1">
        <v>43906</v>
      </c>
      <c r="B306" s="6">
        <v>286.02999899999998</v>
      </c>
      <c r="C306" s="6">
        <v>112.75</v>
      </c>
      <c r="D306" s="6">
        <v>28.719999000000001</v>
      </c>
      <c r="E306" s="6">
        <v>113.089996</v>
      </c>
      <c r="F306" s="6">
        <v>78.800003000000004</v>
      </c>
      <c r="G306" s="6">
        <v>36.82</v>
      </c>
      <c r="H306" s="6">
        <v>75.949996999999996</v>
      </c>
      <c r="I306" s="6">
        <v>116.480003</v>
      </c>
      <c r="J306" s="6">
        <v>15.17</v>
      </c>
      <c r="K306" s="6">
        <v>20.629999000000002</v>
      </c>
      <c r="N306" s="18">
        <v>302</v>
      </c>
      <c r="O306" s="1">
        <v>43906</v>
      </c>
      <c r="P306" s="5">
        <f t="shared" si="122"/>
        <v>-0.15952525948423255</v>
      </c>
      <c r="Q306" s="5">
        <f t="shared" si="123"/>
        <v>-0.14143800734893111</v>
      </c>
      <c r="R306" s="5">
        <f t="shared" si="124"/>
        <v>-8.2664116201668303E-2</v>
      </c>
      <c r="S306" s="5">
        <f t="shared" si="125"/>
        <v>-0.1195401807703058</v>
      </c>
      <c r="T306" s="5">
        <f t="shared" si="126"/>
        <v>-0.19712261811456042</v>
      </c>
      <c r="U306" s="5">
        <f t="shared" si="127"/>
        <v>-0.19303707060707992</v>
      </c>
      <c r="V306" s="5">
        <f t="shared" si="128"/>
        <v>-0.17803328360284998</v>
      </c>
      <c r="W306" s="5">
        <f t="shared" si="129"/>
        <v>-8.0306813874898131E-2</v>
      </c>
      <c r="X306" s="5">
        <f t="shared" si="130"/>
        <v>-0.12034335298901316</v>
      </c>
      <c r="Y306" s="5">
        <f t="shared" si="131"/>
        <v>-0.10395381166721282</v>
      </c>
      <c r="Z306" s="33">
        <v>302</v>
      </c>
      <c r="AE306" s="20" t="str">
        <f t="shared" si="132"/>
        <v/>
      </c>
      <c r="AF306" s="22" t="str">
        <f t="shared" si="133"/>
        <v/>
      </c>
      <c r="AG306" s="9" t="str">
        <f t="shared" ca="1" si="112"/>
        <v/>
      </c>
      <c r="AH306" s="9" t="str">
        <f t="shared" ca="1" si="113"/>
        <v/>
      </c>
      <c r="AI306" s="9" t="str">
        <f t="shared" ca="1" si="114"/>
        <v/>
      </c>
      <c r="AJ306" s="9" t="str">
        <f t="shared" ca="1" si="115"/>
        <v/>
      </c>
      <c r="AK306" s="9" t="str">
        <f t="shared" ca="1" si="116"/>
        <v/>
      </c>
      <c r="AL306" s="9" t="str">
        <f t="shared" ca="1" si="117"/>
        <v/>
      </c>
      <c r="AM306" s="9" t="str">
        <f t="shared" ca="1" si="118"/>
        <v/>
      </c>
      <c r="AN306" s="9" t="str">
        <f t="shared" ca="1" si="119"/>
        <v/>
      </c>
      <c r="AO306" s="9" t="str">
        <f t="shared" ca="1" si="120"/>
        <v/>
      </c>
      <c r="AP306" s="9" t="str">
        <f t="shared" ca="1" si="121"/>
        <v/>
      </c>
      <c r="AQ306" s="9"/>
      <c r="AR306" s="9"/>
      <c r="AS306" s="9"/>
      <c r="AT306" s="9"/>
      <c r="AU306" s="9"/>
    </row>
    <row r="307" spans="1:47" x14ac:dyDescent="0.3">
      <c r="A307" s="1">
        <v>43907</v>
      </c>
      <c r="B307" s="6">
        <v>311.80999800000001</v>
      </c>
      <c r="C307" s="6">
        <v>119.620003</v>
      </c>
      <c r="D307" s="6">
        <v>29.870000999999998</v>
      </c>
      <c r="E307" s="6">
        <v>127.720001</v>
      </c>
      <c r="F307" s="6">
        <v>86.199996999999996</v>
      </c>
      <c r="G307" s="6">
        <v>38.840000000000003</v>
      </c>
      <c r="H307" s="6">
        <v>81.129997000000003</v>
      </c>
      <c r="I307" s="6">
        <v>125.44000200000001</v>
      </c>
      <c r="J307" s="6">
        <v>15.47</v>
      </c>
      <c r="K307" s="6">
        <v>21.51</v>
      </c>
      <c r="N307" s="19">
        <v>303</v>
      </c>
      <c r="O307" s="1">
        <v>43907</v>
      </c>
      <c r="P307" s="5">
        <f t="shared" si="122"/>
        <v>8.6297324608642784E-2</v>
      </c>
      <c r="Q307" s="5">
        <f t="shared" si="123"/>
        <v>5.9147098313040984E-2</v>
      </c>
      <c r="R307" s="5">
        <f t="shared" si="124"/>
        <v>3.9260956345342934E-2</v>
      </c>
      <c r="S307" s="5">
        <f t="shared" si="125"/>
        <v>0.1216564491630328</v>
      </c>
      <c r="T307" s="5">
        <f t="shared" si="126"/>
        <v>8.9757107931963828E-2</v>
      </c>
      <c r="U307" s="5">
        <f t="shared" si="127"/>
        <v>5.340946761819234E-2</v>
      </c>
      <c r="V307" s="5">
        <f t="shared" si="128"/>
        <v>6.5977579887172746E-2</v>
      </c>
      <c r="W307" s="5">
        <f t="shared" si="129"/>
        <v>7.4107962342105274E-2</v>
      </c>
      <c r="X307" s="5">
        <f t="shared" si="130"/>
        <v>1.9582871224533862E-2</v>
      </c>
      <c r="Y307" s="5">
        <f t="shared" si="131"/>
        <v>4.1771664669576727E-2</v>
      </c>
      <c r="Z307" s="33">
        <v>303</v>
      </c>
      <c r="AE307" s="20" t="str">
        <f t="shared" si="132"/>
        <v/>
      </c>
      <c r="AF307" s="22" t="str">
        <f t="shared" si="133"/>
        <v/>
      </c>
      <c r="AG307" s="9" t="str">
        <f t="shared" ca="1" si="112"/>
        <v/>
      </c>
      <c r="AH307" s="9" t="str">
        <f t="shared" ca="1" si="113"/>
        <v/>
      </c>
      <c r="AI307" s="9" t="str">
        <f t="shared" ca="1" si="114"/>
        <v/>
      </c>
      <c r="AJ307" s="9" t="str">
        <f t="shared" ca="1" si="115"/>
        <v/>
      </c>
      <c r="AK307" s="9" t="str">
        <f t="shared" ca="1" si="116"/>
        <v/>
      </c>
      <c r="AL307" s="9" t="str">
        <f t="shared" ca="1" si="117"/>
        <v/>
      </c>
      <c r="AM307" s="9" t="str">
        <f t="shared" ca="1" si="118"/>
        <v/>
      </c>
      <c r="AN307" s="9" t="str">
        <f t="shared" ca="1" si="119"/>
        <v/>
      </c>
      <c r="AO307" s="9" t="str">
        <f t="shared" ca="1" si="120"/>
        <v/>
      </c>
      <c r="AP307" s="9" t="str">
        <f t="shared" ca="1" si="121"/>
        <v/>
      </c>
      <c r="AQ307" s="9"/>
      <c r="AR307" s="9"/>
      <c r="AS307" s="9"/>
      <c r="AT307" s="9"/>
      <c r="AU307" s="9"/>
    </row>
    <row r="308" spans="1:47" x14ac:dyDescent="0.3">
      <c r="A308" s="1">
        <v>43908</v>
      </c>
      <c r="B308" s="6">
        <v>294.60998499999999</v>
      </c>
      <c r="C308" s="6">
        <v>114.230003</v>
      </c>
      <c r="D308" s="6">
        <v>27.945</v>
      </c>
      <c r="E308" s="6">
        <v>120.91999800000001</v>
      </c>
      <c r="F308" s="6">
        <v>77.139999000000003</v>
      </c>
      <c r="G308" s="6">
        <v>35.529998999999997</v>
      </c>
      <c r="H308" s="6">
        <v>69.860000999999997</v>
      </c>
      <c r="I308" s="6">
        <v>111.019997</v>
      </c>
      <c r="J308" s="6">
        <v>14.7</v>
      </c>
      <c r="K308" s="6">
        <v>19.879999000000002</v>
      </c>
      <c r="N308" s="18">
        <v>304</v>
      </c>
      <c r="O308" s="1">
        <v>43908</v>
      </c>
      <c r="P308" s="5">
        <f t="shared" si="122"/>
        <v>-5.6741624667186033E-2</v>
      </c>
      <c r="Q308" s="5">
        <f t="shared" si="123"/>
        <v>-4.6106090687170274E-2</v>
      </c>
      <c r="R308" s="5">
        <f t="shared" si="124"/>
        <v>-6.6616372984762737E-2</v>
      </c>
      <c r="S308" s="5">
        <f t="shared" si="125"/>
        <v>-5.4711222304812332E-2</v>
      </c>
      <c r="T308" s="5">
        <f t="shared" si="126"/>
        <v>-0.11104820305022399</v>
      </c>
      <c r="U308" s="5">
        <f t="shared" si="127"/>
        <v>-8.9073261535418446E-2</v>
      </c>
      <c r="V308" s="5">
        <f t="shared" si="128"/>
        <v>-0.14955951573625409</v>
      </c>
      <c r="W308" s="5">
        <f t="shared" si="129"/>
        <v>-0.12211723430611848</v>
      </c>
      <c r="X308" s="5">
        <f t="shared" si="130"/>
        <v>-5.1055170800284183E-2</v>
      </c>
      <c r="Y308" s="5">
        <f t="shared" si="131"/>
        <v>-7.8803792353022803E-2</v>
      </c>
      <c r="Z308" s="33">
        <v>304</v>
      </c>
      <c r="AE308" s="20" t="str">
        <f t="shared" si="132"/>
        <v/>
      </c>
      <c r="AF308" s="22" t="str">
        <f t="shared" si="133"/>
        <v/>
      </c>
      <c r="AG308" s="9" t="str">
        <f t="shared" ca="1" si="112"/>
        <v/>
      </c>
      <c r="AH308" s="9" t="str">
        <f t="shared" ca="1" si="113"/>
        <v/>
      </c>
      <c r="AI308" s="9" t="str">
        <f t="shared" ca="1" si="114"/>
        <v/>
      </c>
      <c r="AJ308" s="9" t="str">
        <f t="shared" ca="1" si="115"/>
        <v/>
      </c>
      <c r="AK308" s="9" t="str">
        <f t="shared" ca="1" si="116"/>
        <v/>
      </c>
      <c r="AL308" s="9" t="str">
        <f t="shared" ca="1" si="117"/>
        <v/>
      </c>
      <c r="AM308" s="9" t="str">
        <f t="shared" ca="1" si="118"/>
        <v/>
      </c>
      <c r="AN308" s="9" t="str">
        <f t="shared" ca="1" si="119"/>
        <v/>
      </c>
      <c r="AO308" s="9" t="str">
        <f t="shared" ca="1" si="120"/>
        <v/>
      </c>
      <c r="AP308" s="9" t="str">
        <f t="shared" ca="1" si="121"/>
        <v/>
      </c>
      <c r="AQ308" s="9"/>
      <c r="AR308" s="9"/>
      <c r="AS308" s="9"/>
      <c r="AT308" s="9"/>
      <c r="AU308" s="9"/>
    </row>
    <row r="309" spans="1:47" x14ac:dyDescent="0.3">
      <c r="A309" s="1">
        <v>43909</v>
      </c>
      <c r="B309" s="6">
        <v>307.51001000000002</v>
      </c>
      <c r="C309" s="6">
        <v>114.959999</v>
      </c>
      <c r="D309" s="6">
        <v>27.16</v>
      </c>
      <c r="E309" s="6">
        <v>117.339996</v>
      </c>
      <c r="F309" s="6">
        <v>77.650002000000001</v>
      </c>
      <c r="G309" s="6">
        <v>33.759998000000003</v>
      </c>
      <c r="H309" s="6">
        <v>70.800003000000004</v>
      </c>
      <c r="I309" s="6">
        <v>107.029999</v>
      </c>
      <c r="J309" s="6">
        <v>14.1</v>
      </c>
      <c r="K309" s="6">
        <v>21.219999000000001</v>
      </c>
      <c r="N309" s="19">
        <v>305</v>
      </c>
      <c r="O309" s="1">
        <v>43909</v>
      </c>
      <c r="P309" s="5">
        <f t="shared" si="122"/>
        <v>4.2855242693307878E-2</v>
      </c>
      <c r="Q309" s="5">
        <f t="shared" si="123"/>
        <v>6.3702470634331232E-3</v>
      </c>
      <c r="R309" s="5">
        <f t="shared" si="124"/>
        <v>-2.8492990031166145E-2</v>
      </c>
      <c r="S309" s="5">
        <f t="shared" si="125"/>
        <v>-3.0053483962655107E-2</v>
      </c>
      <c r="T309" s="5">
        <f t="shared" si="126"/>
        <v>6.5896355346572169E-3</v>
      </c>
      <c r="U309" s="5">
        <f t="shared" si="127"/>
        <v>-5.1100771401657329E-2</v>
      </c>
      <c r="V309" s="5">
        <f t="shared" si="128"/>
        <v>1.3365789379525872E-2</v>
      </c>
      <c r="W309" s="5">
        <f t="shared" si="129"/>
        <v>-3.6601178586747322E-2</v>
      </c>
      <c r="X309" s="5">
        <f t="shared" si="130"/>
        <v>-4.1672696400567956E-2</v>
      </c>
      <c r="Y309" s="5">
        <f t="shared" si="131"/>
        <v>6.5229935133866671E-2</v>
      </c>
      <c r="Z309" s="33">
        <v>305</v>
      </c>
      <c r="AE309" s="20" t="str">
        <f t="shared" si="132"/>
        <v/>
      </c>
      <c r="AF309" s="22" t="str">
        <f t="shared" si="133"/>
        <v/>
      </c>
      <c r="AG309" s="9" t="str">
        <f t="shared" ca="1" si="112"/>
        <v/>
      </c>
      <c r="AH309" s="9" t="str">
        <f t="shared" ca="1" si="113"/>
        <v/>
      </c>
      <c r="AI309" s="9" t="str">
        <f t="shared" ca="1" si="114"/>
        <v/>
      </c>
      <c r="AJ309" s="9" t="str">
        <f t="shared" ca="1" si="115"/>
        <v/>
      </c>
      <c r="AK309" s="9" t="str">
        <f t="shared" ca="1" si="116"/>
        <v/>
      </c>
      <c r="AL309" s="9" t="str">
        <f t="shared" ca="1" si="117"/>
        <v/>
      </c>
      <c r="AM309" s="9" t="str">
        <f t="shared" ca="1" si="118"/>
        <v/>
      </c>
      <c r="AN309" s="9" t="str">
        <f t="shared" ca="1" si="119"/>
        <v/>
      </c>
      <c r="AO309" s="9" t="str">
        <f t="shared" ca="1" si="120"/>
        <v/>
      </c>
      <c r="AP309" s="9" t="str">
        <f t="shared" ca="1" si="121"/>
        <v/>
      </c>
      <c r="AQ309" s="9"/>
      <c r="AR309" s="9"/>
      <c r="AS309" s="9"/>
      <c r="AT309" s="9"/>
      <c r="AU309" s="9"/>
    </row>
    <row r="310" spans="1:47" x14ac:dyDescent="0.3">
      <c r="A310" s="1">
        <v>43910</v>
      </c>
      <c r="B310" s="6">
        <v>295.33999599999999</v>
      </c>
      <c r="C310" s="6">
        <v>110</v>
      </c>
      <c r="D310" s="6">
        <v>26.049999</v>
      </c>
      <c r="E310" s="6">
        <v>103.93</v>
      </c>
      <c r="F310" s="6">
        <v>71.040001000000004</v>
      </c>
      <c r="G310" s="6">
        <v>32.029998999999997</v>
      </c>
      <c r="H310" s="6">
        <v>66.129997000000003</v>
      </c>
      <c r="I310" s="6">
        <v>99.870002999999997</v>
      </c>
      <c r="J310" s="6">
        <v>12.52</v>
      </c>
      <c r="K310" s="6">
        <v>18.760000000000002</v>
      </c>
      <c r="N310" s="18">
        <v>306</v>
      </c>
      <c r="O310" s="1">
        <v>43910</v>
      </c>
      <c r="P310" s="5">
        <f t="shared" si="122"/>
        <v>-4.0380418060353272E-2</v>
      </c>
      <c r="Q310" s="5">
        <f t="shared" si="123"/>
        <v>-4.4103867279675357E-2</v>
      </c>
      <c r="R310" s="5">
        <f t="shared" si="124"/>
        <v>-4.172757287883614E-2</v>
      </c>
      <c r="S310" s="5">
        <f t="shared" si="125"/>
        <v>-0.12135807380841067</v>
      </c>
      <c r="T310" s="5">
        <f t="shared" si="126"/>
        <v>-8.8968462590804695E-2</v>
      </c>
      <c r="U310" s="5">
        <f t="shared" si="127"/>
        <v>-5.2603678085712938E-2</v>
      </c>
      <c r="V310" s="5">
        <f t="shared" si="128"/>
        <v>-6.8236586751174361E-2</v>
      </c>
      <c r="W310" s="5">
        <f t="shared" si="129"/>
        <v>-6.9239789359015869E-2</v>
      </c>
      <c r="X310" s="5">
        <f t="shared" si="130"/>
        <v>-0.11884743171217019</v>
      </c>
      <c r="Y310" s="5">
        <f t="shared" si="131"/>
        <v>-0.12321714248240388</v>
      </c>
      <c r="Z310" s="33">
        <v>306</v>
      </c>
      <c r="AE310" s="20" t="str">
        <f t="shared" si="132"/>
        <v/>
      </c>
      <c r="AF310" s="22" t="str">
        <f t="shared" si="133"/>
        <v/>
      </c>
      <c r="AG310" s="9" t="str">
        <f t="shared" ca="1" si="112"/>
        <v/>
      </c>
      <c r="AH310" s="9" t="str">
        <f t="shared" ca="1" si="113"/>
        <v/>
      </c>
      <c r="AI310" s="9" t="str">
        <f t="shared" ca="1" si="114"/>
        <v/>
      </c>
      <c r="AJ310" s="9" t="str">
        <f t="shared" ca="1" si="115"/>
        <v/>
      </c>
      <c r="AK310" s="9" t="str">
        <f t="shared" ca="1" si="116"/>
        <v/>
      </c>
      <c r="AL310" s="9" t="str">
        <f t="shared" ca="1" si="117"/>
        <v/>
      </c>
      <c r="AM310" s="9" t="str">
        <f t="shared" ca="1" si="118"/>
        <v/>
      </c>
      <c r="AN310" s="9" t="str">
        <f t="shared" ca="1" si="119"/>
        <v/>
      </c>
      <c r="AO310" s="9" t="str">
        <f t="shared" ca="1" si="120"/>
        <v/>
      </c>
      <c r="AP310" s="9" t="str">
        <f t="shared" ca="1" si="121"/>
        <v/>
      </c>
      <c r="AQ310" s="9"/>
      <c r="AR310" s="9"/>
      <c r="AS310" s="9"/>
      <c r="AT310" s="9"/>
      <c r="AU310" s="9"/>
    </row>
    <row r="311" spans="1:47" x14ac:dyDescent="0.3">
      <c r="A311" s="1">
        <v>43913</v>
      </c>
      <c r="B311" s="6">
        <v>307.26998900000001</v>
      </c>
      <c r="C311" s="6">
        <v>108.480003</v>
      </c>
      <c r="D311" s="6">
        <v>25.485001</v>
      </c>
      <c r="E311" s="6">
        <v>105.18</v>
      </c>
      <c r="F311" s="6">
        <v>67.300003000000004</v>
      </c>
      <c r="G311" s="6">
        <v>30.040001</v>
      </c>
      <c r="H311" s="6">
        <v>65.370002999999997</v>
      </c>
      <c r="I311" s="6">
        <v>95.57</v>
      </c>
      <c r="J311" s="6">
        <v>12.88</v>
      </c>
      <c r="K311" s="6">
        <v>18.489999999999998</v>
      </c>
      <c r="N311" s="19">
        <v>307</v>
      </c>
      <c r="O311" s="1">
        <v>43913</v>
      </c>
      <c r="P311" s="5">
        <f t="shared" si="122"/>
        <v>3.9599582598608928E-2</v>
      </c>
      <c r="Q311" s="5">
        <f t="shared" si="123"/>
        <v>-1.3914513945463912E-2</v>
      </c>
      <c r="R311" s="5">
        <f t="shared" si="124"/>
        <v>-2.1927646780887038E-2</v>
      </c>
      <c r="S311" s="5">
        <f t="shared" si="125"/>
        <v>1.1955572560867917E-2</v>
      </c>
      <c r="T311" s="5">
        <f t="shared" si="126"/>
        <v>-5.4082831533286885E-2</v>
      </c>
      <c r="U311" s="5">
        <f t="shared" si="127"/>
        <v>-6.4143072215454136E-2</v>
      </c>
      <c r="V311" s="5">
        <f t="shared" si="128"/>
        <v>-1.1558972804131882E-2</v>
      </c>
      <c r="W311" s="5">
        <f t="shared" si="129"/>
        <v>-4.4010407016005289E-2</v>
      </c>
      <c r="X311" s="5">
        <f t="shared" si="130"/>
        <v>2.834835500425513E-2</v>
      </c>
      <c r="Y311" s="5">
        <f t="shared" si="131"/>
        <v>-1.4496898179045252E-2</v>
      </c>
      <c r="Z311" s="33">
        <v>307</v>
      </c>
      <c r="AE311" s="20" t="str">
        <f t="shared" si="132"/>
        <v/>
      </c>
      <c r="AF311" s="22" t="str">
        <f t="shared" si="133"/>
        <v/>
      </c>
      <c r="AG311" s="9" t="str">
        <f t="shared" ca="1" si="112"/>
        <v/>
      </c>
      <c r="AH311" s="9" t="str">
        <f t="shared" ca="1" si="113"/>
        <v/>
      </c>
      <c r="AI311" s="9" t="str">
        <f t="shared" ca="1" si="114"/>
        <v/>
      </c>
      <c r="AJ311" s="9" t="str">
        <f t="shared" ca="1" si="115"/>
        <v/>
      </c>
      <c r="AK311" s="9" t="str">
        <f t="shared" ca="1" si="116"/>
        <v/>
      </c>
      <c r="AL311" s="9" t="str">
        <f t="shared" ca="1" si="117"/>
        <v/>
      </c>
      <c r="AM311" s="9" t="str">
        <f t="shared" ca="1" si="118"/>
        <v/>
      </c>
      <c r="AN311" s="9" t="str">
        <f t="shared" ca="1" si="119"/>
        <v/>
      </c>
      <c r="AO311" s="9" t="str">
        <f t="shared" ca="1" si="120"/>
        <v/>
      </c>
      <c r="AP311" s="9" t="str">
        <f t="shared" ca="1" si="121"/>
        <v/>
      </c>
      <c r="AQ311" s="9"/>
      <c r="AR311" s="9"/>
      <c r="AS311" s="9"/>
      <c r="AT311" s="9"/>
      <c r="AU311" s="9"/>
    </row>
    <row r="312" spans="1:47" x14ac:dyDescent="0.3">
      <c r="A312" s="1">
        <v>43914</v>
      </c>
      <c r="B312" s="6">
        <v>310</v>
      </c>
      <c r="C312" s="6">
        <v>120.629997</v>
      </c>
      <c r="D312" s="6">
        <v>26.864999999999998</v>
      </c>
      <c r="E312" s="6">
        <v>113.839996</v>
      </c>
      <c r="F312" s="6">
        <v>70.230002999999996</v>
      </c>
      <c r="G312" s="6">
        <v>30.91</v>
      </c>
      <c r="H312" s="6">
        <v>74.739998</v>
      </c>
      <c r="I312" s="6">
        <v>106.589996</v>
      </c>
      <c r="J312" s="6">
        <v>14.77</v>
      </c>
      <c r="K312" s="6">
        <v>20.030000999999999</v>
      </c>
      <c r="N312" s="18">
        <v>308</v>
      </c>
      <c r="O312" s="1">
        <v>43914</v>
      </c>
      <c r="P312" s="5">
        <f t="shared" si="122"/>
        <v>8.8454933786675967E-3</v>
      </c>
      <c r="Q312" s="5">
        <f t="shared" si="123"/>
        <v>0.10616213286090427</v>
      </c>
      <c r="R312" s="5">
        <f t="shared" si="124"/>
        <v>5.2734241150012635E-2</v>
      </c>
      <c r="S312" s="5">
        <f t="shared" si="125"/>
        <v>7.9120750483363603E-2</v>
      </c>
      <c r="T312" s="5">
        <f t="shared" si="126"/>
        <v>4.2615331660511624E-2</v>
      </c>
      <c r="U312" s="5">
        <f t="shared" si="127"/>
        <v>2.8549895959143336E-2</v>
      </c>
      <c r="V312" s="5">
        <f t="shared" si="128"/>
        <v>0.13395191378065638</v>
      </c>
      <c r="W312" s="5">
        <f t="shared" si="129"/>
        <v>0.10913069789598398</v>
      </c>
      <c r="X312" s="5">
        <f t="shared" si="130"/>
        <v>0.13692237586708078</v>
      </c>
      <c r="Y312" s="5">
        <f t="shared" si="131"/>
        <v>8.000115420380452E-2</v>
      </c>
      <c r="Z312" s="33">
        <v>308</v>
      </c>
      <c r="AE312" s="20" t="str">
        <f t="shared" si="132"/>
        <v/>
      </c>
      <c r="AF312" s="22" t="str">
        <f t="shared" si="133"/>
        <v/>
      </c>
      <c r="AG312" s="9" t="str">
        <f t="shared" ca="1" si="112"/>
        <v/>
      </c>
      <c r="AH312" s="9" t="str">
        <f t="shared" ca="1" si="113"/>
        <v/>
      </c>
      <c r="AI312" s="9" t="str">
        <f t="shared" ca="1" si="114"/>
        <v/>
      </c>
      <c r="AJ312" s="9" t="str">
        <f t="shared" ca="1" si="115"/>
        <v/>
      </c>
      <c r="AK312" s="9" t="str">
        <f t="shared" ca="1" si="116"/>
        <v/>
      </c>
      <c r="AL312" s="9" t="str">
        <f t="shared" ca="1" si="117"/>
        <v/>
      </c>
      <c r="AM312" s="9" t="str">
        <f t="shared" ca="1" si="118"/>
        <v/>
      </c>
      <c r="AN312" s="9" t="str">
        <f t="shared" ca="1" si="119"/>
        <v/>
      </c>
      <c r="AO312" s="9" t="str">
        <f t="shared" ca="1" si="120"/>
        <v/>
      </c>
      <c r="AP312" s="9" t="str">
        <f t="shared" ca="1" si="121"/>
        <v/>
      </c>
      <c r="AQ312" s="9"/>
      <c r="AR312" s="9"/>
      <c r="AS312" s="9"/>
      <c r="AT312" s="9"/>
      <c r="AU312" s="9"/>
    </row>
    <row r="313" spans="1:47" x14ac:dyDescent="0.3">
      <c r="A313" s="1">
        <v>43915</v>
      </c>
      <c r="B313" s="6">
        <v>305.91000400000001</v>
      </c>
      <c r="C313" s="6">
        <v>121.32</v>
      </c>
      <c r="D313" s="6">
        <v>26.83</v>
      </c>
      <c r="E313" s="6">
        <v>112.5</v>
      </c>
      <c r="F313" s="6">
        <v>74.25</v>
      </c>
      <c r="G313" s="6">
        <v>32.889999000000003</v>
      </c>
      <c r="H313" s="6">
        <v>80.589995999999999</v>
      </c>
      <c r="I313" s="6">
        <v>109.94000200000001</v>
      </c>
      <c r="J313" s="6">
        <v>15.05</v>
      </c>
      <c r="K313" s="6">
        <v>21.059999000000001</v>
      </c>
      <c r="N313" s="19">
        <v>309</v>
      </c>
      <c r="O313" s="1">
        <v>43915</v>
      </c>
      <c r="P313" s="5">
        <f t="shared" si="122"/>
        <v>-1.3281343359206717E-2</v>
      </c>
      <c r="Q313" s="5">
        <f t="shared" si="123"/>
        <v>5.7036981125237942E-3</v>
      </c>
      <c r="R313" s="5">
        <f t="shared" si="124"/>
        <v>-1.3036597432520187E-3</v>
      </c>
      <c r="S313" s="5">
        <f t="shared" si="125"/>
        <v>-1.1840697000087058E-2</v>
      </c>
      <c r="T313" s="5">
        <f t="shared" si="126"/>
        <v>5.566216479509313E-2</v>
      </c>
      <c r="U313" s="5">
        <f t="shared" si="127"/>
        <v>6.208887365256209E-2</v>
      </c>
      <c r="V313" s="5">
        <f t="shared" si="128"/>
        <v>7.5359125404564326E-2</v>
      </c>
      <c r="W313" s="5">
        <f t="shared" si="129"/>
        <v>3.0945119450182919E-2</v>
      </c>
      <c r="X313" s="5">
        <f t="shared" si="130"/>
        <v>1.8779894651596275E-2</v>
      </c>
      <c r="Y313" s="5">
        <f t="shared" si="131"/>
        <v>5.0144259619609721E-2</v>
      </c>
      <c r="Z313" s="33">
        <v>309</v>
      </c>
      <c r="AE313" s="20" t="str">
        <f t="shared" si="132"/>
        <v/>
      </c>
      <c r="AF313" s="22" t="str">
        <f t="shared" si="133"/>
        <v/>
      </c>
      <c r="AG313" s="9" t="str">
        <f t="shared" ca="1" si="112"/>
        <v/>
      </c>
      <c r="AH313" s="9" t="str">
        <f t="shared" ca="1" si="113"/>
        <v/>
      </c>
      <c r="AI313" s="9" t="str">
        <f t="shared" ca="1" si="114"/>
        <v/>
      </c>
      <c r="AJ313" s="9" t="str">
        <f t="shared" ca="1" si="115"/>
        <v/>
      </c>
      <c r="AK313" s="9" t="str">
        <f t="shared" ca="1" si="116"/>
        <v/>
      </c>
      <c r="AL313" s="9" t="str">
        <f t="shared" ca="1" si="117"/>
        <v/>
      </c>
      <c r="AM313" s="9" t="str">
        <f t="shared" ca="1" si="118"/>
        <v/>
      </c>
      <c r="AN313" s="9" t="str">
        <f t="shared" ca="1" si="119"/>
        <v/>
      </c>
      <c r="AO313" s="9" t="str">
        <f t="shared" ca="1" si="120"/>
        <v/>
      </c>
      <c r="AP313" s="9" t="str">
        <f t="shared" ca="1" si="121"/>
        <v/>
      </c>
      <c r="AQ313" s="9"/>
      <c r="AR313" s="9"/>
      <c r="AS313" s="9"/>
      <c r="AT313" s="9"/>
      <c r="AU313" s="9"/>
    </row>
    <row r="314" spans="1:47" x14ac:dyDescent="0.3">
      <c r="A314" s="1">
        <v>43916</v>
      </c>
      <c r="B314" s="6">
        <v>322.67001299999998</v>
      </c>
      <c r="C314" s="6">
        <v>127.970001</v>
      </c>
      <c r="D314" s="6">
        <v>28.92</v>
      </c>
      <c r="E314" s="6">
        <v>120.260002</v>
      </c>
      <c r="F314" s="6">
        <v>81.660004000000001</v>
      </c>
      <c r="G314" s="6">
        <v>35.779998999999997</v>
      </c>
      <c r="H314" s="6">
        <v>84.610000999999997</v>
      </c>
      <c r="I314" s="6">
        <v>113.540001</v>
      </c>
      <c r="J314" s="6">
        <v>16.639999</v>
      </c>
      <c r="K314" s="6">
        <v>20.93</v>
      </c>
      <c r="N314" s="18">
        <v>310</v>
      </c>
      <c r="O314" s="1">
        <v>43916</v>
      </c>
      <c r="P314" s="5">
        <f t="shared" si="122"/>
        <v>5.3339215302473535E-2</v>
      </c>
      <c r="Q314" s="5">
        <f t="shared" si="123"/>
        <v>5.3364186443455704E-2</v>
      </c>
      <c r="R314" s="5">
        <f t="shared" si="124"/>
        <v>7.5012732853031297E-2</v>
      </c>
      <c r="S314" s="5">
        <f t="shared" si="125"/>
        <v>6.6702860597581237E-2</v>
      </c>
      <c r="T314" s="5">
        <f t="shared" si="126"/>
        <v>9.5126557192210026E-2</v>
      </c>
      <c r="U314" s="5">
        <f t="shared" si="127"/>
        <v>8.4220420335410981E-2</v>
      </c>
      <c r="V314" s="5">
        <f t="shared" si="128"/>
        <v>4.8677952052874361E-2</v>
      </c>
      <c r="W314" s="5">
        <f t="shared" si="129"/>
        <v>3.222042592579364E-2</v>
      </c>
      <c r="X314" s="5">
        <f t="shared" si="130"/>
        <v>0.10043138410202201</v>
      </c>
      <c r="Y314" s="5">
        <f t="shared" si="131"/>
        <v>-6.1919227645392443E-3</v>
      </c>
      <c r="Z314" s="33">
        <v>310</v>
      </c>
      <c r="AE314" s="20" t="str">
        <f t="shared" si="132"/>
        <v/>
      </c>
      <c r="AF314" s="22" t="str">
        <f t="shared" si="133"/>
        <v/>
      </c>
      <c r="AG314" s="9" t="str">
        <f t="shared" ca="1" si="112"/>
        <v/>
      </c>
      <c r="AH314" s="9" t="str">
        <f t="shared" ca="1" si="113"/>
        <v/>
      </c>
      <c r="AI314" s="9" t="str">
        <f t="shared" ca="1" si="114"/>
        <v/>
      </c>
      <c r="AJ314" s="9" t="str">
        <f t="shared" ca="1" si="115"/>
        <v/>
      </c>
      <c r="AK314" s="9" t="str">
        <f t="shared" ca="1" si="116"/>
        <v/>
      </c>
      <c r="AL314" s="9" t="str">
        <f t="shared" ca="1" si="117"/>
        <v/>
      </c>
      <c r="AM314" s="9" t="str">
        <f t="shared" ca="1" si="118"/>
        <v/>
      </c>
      <c r="AN314" s="9" t="str">
        <f t="shared" ca="1" si="119"/>
        <v/>
      </c>
      <c r="AO314" s="9" t="str">
        <f t="shared" ca="1" si="120"/>
        <v/>
      </c>
      <c r="AP314" s="9" t="str">
        <f t="shared" ca="1" si="121"/>
        <v/>
      </c>
      <c r="AQ314" s="9"/>
      <c r="AR314" s="9"/>
      <c r="AS314" s="9"/>
      <c r="AT314" s="9"/>
      <c r="AU314" s="9"/>
    </row>
    <row r="315" spans="1:47" x14ac:dyDescent="0.3">
      <c r="A315" s="1">
        <v>43917</v>
      </c>
      <c r="B315" s="6">
        <v>305.82998700000002</v>
      </c>
      <c r="C315" s="6">
        <v>124.379997</v>
      </c>
      <c r="D315" s="6">
        <v>28.195</v>
      </c>
      <c r="E315" s="6">
        <v>120.459999</v>
      </c>
      <c r="F315" s="6">
        <v>85.690002000000007</v>
      </c>
      <c r="G315" s="6">
        <v>37.939999</v>
      </c>
      <c r="H315" s="6">
        <v>81.949996999999996</v>
      </c>
      <c r="I315" s="6">
        <v>107.849998</v>
      </c>
      <c r="J315" s="6">
        <v>15.21</v>
      </c>
      <c r="K315" s="6">
        <v>19.030000999999999</v>
      </c>
      <c r="N315" s="19">
        <v>311</v>
      </c>
      <c r="O315" s="1">
        <v>43917</v>
      </c>
      <c r="P315" s="5">
        <f t="shared" si="122"/>
        <v>-5.3600819911077104E-2</v>
      </c>
      <c r="Q315" s="5">
        <f t="shared" si="123"/>
        <v>-2.8454497707726369E-2</v>
      </c>
      <c r="R315" s="5">
        <f t="shared" si="124"/>
        <v>-2.5388740031418517E-2</v>
      </c>
      <c r="S315" s="5">
        <f t="shared" si="125"/>
        <v>1.6616570720080113E-3</v>
      </c>
      <c r="T315" s="5">
        <f t="shared" si="126"/>
        <v>4.8171821145954613E-2</v>
      </c>
      <c r="U315" s="5">
        <f t="shared" si="127"/>
        <v>5.8616888017463405E-2</v>
      </c>
      <c r="V315" s="5">
        <f t="shared" si="128"/>
        <v>-3.1943206173193003E-2</v>
      </c>
      <c r="W315" s="5">
        <f t="shared" si="129"/>
        <v>-5.1413852259158115E-2</v>
      </c>
      <c r="X315" s="5">
        <f t="shared" si="130"/>
        <v>-8.9856269025705302E-2</v>
      </c>
      <c r="Y315" s="5">
        <f t="shared" si="131"/>
        <v>-9.5166802601244202E-2</v>
      </c>
      <c r="Z315" s="33">
        <v>311</v>
      </c>
      <c r="AE315" s="20" t="str">
        <f t="shared" si="132"/>
        <v/>
      </c>
      <c r="AF315" s="22" t="str">
        <f t="shared" si="133"/>
        <v/>
      </c>
      <c r="AG315" s="9" t="str">
        <f t="shared" ca="1" si="112"/>
        <v/>
      </c>
      <c r="AH315" s="9" t="str">
        <f t="shared" ca="1" si="113"/>
        <v/>
      </c>
      <c r="AI315" s="9" t="str">
        <f t="shared" ca="1" si="114"/>
        <v/>
      </c>
      <c r="AJ315" s="9" t="str">
        <f t="shared" ca="1" si="115"/>
        <v/>
      </c>
      <c r="AK315" s="9" t="str">
        <f t="shared" ca="1" si="116"/>
        <v/>
      </c>
      <c r="AL315" s="9" t="str">
        <f t="shared" ca="1" si="117"/>
        <v/>
      </c>
      <c r="AM315" s="9" t="str">
        <f t="shared" ca="1" si="118"/>
        <v/>
      </c>
      <c r="AN315" s="9" t="str">
        <f t="shared" ca="1" si="119"/>
        <v/>
      </c>
      <c r="AO315" s="9" t="str">
        <f t="shared" ca="1" si="120"/>
        <v/>
      </c>
      <c r="AP315" s="9" t="str">
        <f t="shared" ca="1" si="121"/>
        <v/>
      </c>
      <c r="AQ315" s="9"/>
      <c r="AR315" s="9"/>
      <c r="AS315" s="9"/>
      <c r="AT315" s="9"/>
      <c r="AU315" s="9"/>
    </row>
    <row r="316" spans="1:47" x14ac:dyDescent="0.3">
      <c r="A316" s="1">
        <v>43920</v>
      </c>
      <c r="B316" s="6">
        <v>318.39001500000001</v>
      </c>
      <c r="C316" s="6">
        <v>129.30999800000001</v>
      </c>
      <c r="D316" s="6">
        <v>29</v>
      </c>
      <c r="E316" s="6">
        <v>125.480003</v>
      </c>
      <c r="F316" s="6">
        <v>83.339995999999999</v>
      </c>
      <c r="G316" s="6">
        <v>37.720001000000003</v>
      </c>
      <c r="H316" s="6">
        <v>85.639999000000003</v>
      </c>
      <c r="I316" s="6">
        <v>113.029999</v>
      </c>
      <c r="J316" s="6">
        <v>16.200001</v>
      </c>
      <c r="K316" s="6">
        <v>20.010000000000002</v>
      </c>
      <c r="N316" s="18">
        <v>312</v>
      </c>
      <c r="O316" s="1">
        <v>43920</v>
      </c>
      <c r="P316" s="5">
        <f t="shared" si="122"/>
        <v>4.0247744042490388E-2</v>
      </c>
      <c r="Q316" s="5">
        <f t="shared" si="123"/>
        <v>3.8871235284942685E-2</v>
      </c>
      <c r="R316" s="5">
        <f t="shared" si="124"/>
        <v>2.8151172727328481E-2</v>
      </c>
      <c r="S316" s="5">
        <f t="shared" si="125"/>
        <v>4.0828667916605541E-2</v>
      </c>
      <c r="T316" s="5">
        <f t="shared" si="126"/>
        <v>-2.7807578022827673E-2</v>
      </c>
      <c r="U316" s="5">
        <f t="shared" si="127"/>
        <v>-5.8154538730702289E-3</v>
      </c>
      <c r="V316" s="5">
        <f t="shared" si="128"/>
        <v>4.4043183462545182E-2</v>
      </c>
      <c r="W316" s="5">
        <f t="shared" si="129"/>
        <v>4.6911907064540383E-2</v>
      </c>
      <c r="X316" s="5">
        <f t="shared" si="130"/>
        <v>6.3058197695529949E-2</v>
      </c>
      <c r="Y316" s="5">
        <f t="shared" si="131"/>
        <v>5.0215414738977907E-2</v>
      </c>
      <c r="Z316" s="33">
        <v>312</v>
      </c>
      <c r="AE316" s="20" t="str">
        <f t="shared" si="132"/>
        <v/>
      </c>
      <c r="AF316" s="22" t="str">
        <f t="shared" si="133"/>
        <v/>
      </c>
      <c r="AG316" s="9" t="str">
        <f t="shared" ca="1" si="112"/>
        <v/>
      </c>
      <c r="AH316" s="9" t="str">
        <f t="shared" ca="1" si="113"/>
        <v/>
      </c>
      <c r="AI316" s="9" t="str">
        <f t="shared" ca="1" si="114"/>
        <v/>
      </c>
      <c r="AJ316" s="9" t="str">
        <f t="shared" ca="1" si="115"/>
        <v/>
      </c>
      <c r="AK316" s="9" t="str">
        <f t="shared" ca="1" si="116"/>
        <v/>
      </c>
      <c r="AL316" s="9" t="str">
        <f t="shared" ca="1" si="117"/>
        <v/>
      </c>
      <c r="AM316" s="9" t="str">
        <f t="shared" ca="1" si="118"/>
        <v/>
      </c>
      <c r="AN316" s="9" t="str">
        <f t="shared" ca="1" si="119"/>
        <v/>
      </c>
      <c r="AO316" s="9" t="str">
        <f t="shared" ca="1" si="120"/>
        <v/>
      </c>
      <c r="AP316" s="9" t="str">
        <f t="shared" ca="1" si="121"/>
        <v/>
      </c>
      <c r="AQ316" s="9"/>
      <c r="AR316" s="9"/>
      <c r="AS316" s="9"/>
      <c r="AT316" s="9"/>
      <c r="AU316" s="9"/>
    </row>
    <row r="317" spans="1:47" x14ac:dyDescent="0.3">
      <c r="A317" s="1">
        <v>43921</v>
      </c>
      <c r="B317" s="6">
        <v>318.23998999999998</v>
      </c>
      <c r="C317" s="6">
        <v>128.78999300000001</v>
      </c>
      <c r="D317" s="6">
        <v>28.129999000000002</v>
      </c>
      <c r="E317" s="6">
        <v>120.099998</v>
      </c>
      <c r="F317" s="6">
        <v>79.239998</v>
      </c>
      <c r="G317" s="6">
        <v>36.540000999999997</v>
      </c>
      <c r="H317" s="6">
        <v>83.940002000000007</v>
      </c>
      <c r="I317" s="6">
        <v>108.82</v>
      </c>
      <c r="J317" s="6">
        <v>16.190000999999999</v>
      </c>
      <c r="K317" s="6">
        <v>19.440000999999999</v>
      </c>
      <c r="N317" s="19">
        <v>313</v>
      </c>
      <c r="O317" s="1">
        <v>43921</v>
      </c>
      <c r="P317" s="5">
        <f t="shared" si="122"/>
        <v>-4.7130987103617488E-4</v>
      </c>
      <c r="Q317" s="5">
        <f t="shared" si="123"/>
        <v>-4.0294902885207361E-3</v>
      </c>
      <c r="R317" s="5">
        <f t="shared" si="124"/>
        <v>-3.0459243033944809E-2</v>
      </c>
      <c r="S317" s="5">
        <f t="shared" si="125"/>
        <v>-4.3821694797521259E-2</v>
      </c>
      <c r="T317" s="5">
        <f t="shared" si="126"/>
        <v>-5.0447381407573981E-2</v>
      </c>
      <c r="U317" s="5">
        <f t="shared" si="127"/>
        <v>-3.1782905959262239E-2</v>
      </c>
      <c r="V317" s="5">
        <f t="shared" si="128"/>
        <v>-2.0050170312708112E-2</v>
      </c>
      <c r="W317" s="5">
        <f t="shared" si="129"/>
        <v>-3.7958120297651866E-2</v>
      </c>
      <c r="X317" s="5">
        <f t="shared" si="130"/>
        <v>-6.1747451066728712E-4</v>
      </c>
      <c r="Y317" s="5">
        <f t="shared" si="131"/>
        <v>-2.8899298123021302E-2</v>
      </c>
      <c r="Z317" s="33">
        <v>313</v>
      </c>
      <c r="AE317" s="20" t="str">
        <f t="shared" si="132"/>
        <v/>
      </c>
      <c r="AF317" s="22" t="str">
        <f t="shared" si="133"/>
        <v/>
      </c>
      <c r="AG317" s="9" t="str">
        <f t="shared" ca="1" si="112"/>
        <v/>
      </c>
      <c r="AH317" s="9" t="str">
        <f t="shared" ca="1" si="113"/>
        <v/>
      </c>
      <c r="AI317" s="9" t="str">
        <f t="shared" ca="1" si="114"/>
        <v/>
      </c>
      <c r="AJ317" s="9" t="str">
        <f t="shared" ca="1" si="115"/>
        <v/>
      </c>
      <c r="AK317" s="9" t="str">
        <f t="shared" ca="1" si="116"/>
        <v/>
      </c>
      <c r="AL317" s="9" t="str">
        <f t="shared" ca="1" si="117"/>
        <v/>
      </c>
      <c r="AM317" s="9" t="str">
        <f t="shared" ca="1" si="118"/>
        <v/>
      </c>
      <c r="AN317" s="9" t="str">
        <f t="shared" ca="1" si="119"/>
        <v/>
      </c>
      <c r="AO317" s="9" t="str">
        <f t="shared" ca="1" si="120"/>
        <v/>
      </c>
      <c r="AP317" s="9" t="str">
        <f t="shared" ca="1" si="121"/>
        <v/>
      </c>
      <c r="AQ317" s="9"/>
      <c r="AR317" s="9"/>
      <c r="AS317" s="9"/>
      <c r="AT317" s="9"/>
      <c r="AU317" s="9"/>
    </row>
    <row r="318" spans="1:47" x14ac:dyDescent="0.3">
      <c r="A318" s="1">
        <v>43922</v>
      </c>
      <c r="B318" s="6">
        <v>301.209991</v>
      </c>
      <c r="C318" s="6">
        <v>125.959999</v>
      </c>
      <c r="D318" s="6">
        <v>26.549999</v>
      </c>
      <c r="E318" s="6">
        <v>118.120003</v>
      </c>
      <c r="F318" s="6">
        <v>74.970000999999996</v>
      </c>
      <c r="G318" s="6">
        <v>32.979999999999997</v>
      </c>
      <c r="H318" s="6">
        <v>79.980002999999996</v>
      </c>
      <c r="I318" s="6">
        <v>104.260002</v>
      </c>
      <c r="J318" s="6">
        <v>14.54</v>
      </c>
      <c r="K318" s="6">
        <v>19.450001</v>
      </c>
      <c r="N318" s="18">
        <v>314</v>
      </c>
      <c r="O318" s="1">
        <v>43922</v>
      </c>
      <c r="P318" s="5">
        <f t="shared" si="122"/>
        <v>-5.4998117656500943E-2</v>
      </c>
      <c r="Q318" s="5">
        <f t="shared" si="123"/>
        <v>-2.2218728258735946E-2</v>
      </c>
      <c r="R318" s="5">
        <f t="shared" si="124"/>
        <v>-5.7806876929365467E-2</v>
      </c>
      <c r="S318" s="5">
        <f t="shared" si="125"/>
        <v>-1.6623630159526386E-2</v>
      </c>
      <c r="T318" s="5">
        <f t="shared" si="126"/>
        <v>-5.5393149736932629E-2</v>
      </c>
      <c r="U318" s="5">
        <f t="shared" si="127"/>
        <v>-0.10250626118567614</v>
      </c>
      <c r="V318" s="5">
        <f t="shared" si="128"/>
        <v>-4.8325640803938481E-2</v>
      </c>
      <c r="W318" s="5">
        <f t="shared" si="129"/>
        <v>-4.2807342535007391E-2</v>
      </c>
      <c r="X318" s="5">
        <f t="shared" si="130"/>
        <v>-0.10749035735069104</v>
      </c>
      <c r="Y318" s="5">
        <f t="shared" si="131"/>
        <v>5.1427100571487059E-4</v>
      </c>
      <c r="Z318" s="33">
        <v>314</v>
      </c>
      <c r="AE318" s="20" t="str">
        <f t="shared" si="132"/>
        <v/>
      </c>
      <c r="AF318" s="22" t="str">
        <f t="shared" si="133"/>
        <v/>
      </c>
      <c r="AG318" s="9" t="str">
        <f t="shared" ca="1" si="112"/>
        <v/>
      </c>
      <c r="AH318" s="9" t="str">
        <f t="shared" ca="1" si="113"/>
        <v/>
      </c>
      <c r="AI318" s="9" t="str">
        <f t="shared" ca="1" si="114"/>
        <v/>
      </c>
      <c r="AJ318" s="9" t="str">
        <f t="shared" ca="1" si="115"/>
        <v/>
      </c>
      <c r="AK318" s="9" t="str">
        <f t="shared" ca="1" si="116"/>
        <v/>
      </c>
      <c r="AL318" s="9" t="str">
        <f t="shared" ca="1" si="117"/>
        <v/>
      </c>
      <c r="AM318" s="9" t="str">
        <f t="shared" ca="1" si="118"/>
        <v/>
      </c>
      <c r="AN318" s="9" t="str">
        <f t="shared" ca="1" si="119"/>
        <v/>
      </c>
      <c r="AO318" s="9" t="str">
        <f t="shared" ca="1" si="120"/>
        <v/>
      </c>
      <c r="AP318" s="9" t="str">
        <f t="shared" ca="1" si="121"/>
        <v/>
      </c>
      <c r="AQ318" s="9"/>
      <c r="AR318" s="9"/>
      <c r="AS318" s="9"/>
      <c r="AT318" s="9"/>
      <c r="AU318" s="9"/>
    </row>
    <row r="319" spans="1:47" x14ac:dyDescent="0.3">
      <c r="A319" s="1">
        <v>43923</v>
      </c>
      <c r="B319" s="6">
        <v>303.959991</v>
      </c>
      <c r="C319" s="6">
        <v>128.64999399999999</v>
      </c>
      <c r="D319" s="6">
        <v>27.530000999999999</v>
      </c>
      <c r="E319" s="6">
        <v>123.860001</v>
      </c>
      <c r="F319" s="6">
        <v>72.309997999999993</v>
      </c>
      <c r="G319" s="6">
        <v>31.950001</v>
      </c>
      <c r="H319" s="6">
        <v>80.599997999999999</v>
      </c>
      <c r="I319" s="6">
        <v>100.779999</v>
      </c>
      <c r="J319" s="6">
        <v>14.37</v>
      </c>
      <c r="K319" s="6">
        <v>18.68</v>
      </c>
      <c r="N319" s="19">
        <v>315</v>
      </c>
      <c r="O319" s="1">
        <v>43923</v>
      </c>
      <c r="P319" s="5">
        <f t="shared" si="122"/>
        <v>9.0884181660895232E-3</v>
      </c>
      <c r="Q319" s="5">
        <f t="shared" si="123"/>
        <v>2.1131103795790866E-2</v>
      </c>
      <c r="R319" s="5">
        <f t="shared" si="124"/>
        <v>3.6246645455361735E-2</v>
      </c>
      <c r="S319" s="5">
        <f t="shared" si="125"/>
        <v>4.7450821309924326E-2</v>
      </c>
      <c r="T319" s="5">
        <f t="shared" si="126"/>
        <v>-3.6125642325471129E-2</v>
      </c>
      <c r="U319" s="5">
        <f t="shared" si="127"/>
        <v>-3.1729105009004839E-2</v>
      </c>
      <c r="V319" s="5">
        <f t="shared" si="128"/>
        <v>7.7219837706375355E-3</v>
      </c>
      <c r="W319" s="5">
        <f t="shared" si="129"/>
        <v>-3.3947885192923598E-2</v>
      </c>
      <c r="X319" s="5">
        <f t="shared" si="130"/>
        <v>-1.1760772014439739E-2</v>
      </c>
      <c r="Y319" s="5">
        <f t="shared" si="131"/>
        <v>-4.0393688677639213E-2</v>
      </c>
      <c r="Z319" s="33">
        <v>315</v>
      </c>
      <c r="AE319" s="20" t="str">
        <f t="shared" si="132"/>
        <v/>
      </c>
      <c r="AF319" s="22" t="str">
        <f t="shared" si="133"/>
        <v/>
      </c>
      <c r="AG319" s="9" t="str">
        <f t="shared" ca="1" si="112"/>
        <v/>
      </c>
      <c r="AH319" s="9" t="str">
        <f t="shared" ca="1" si="113"/>
        <v/>
      </c>
      <c r="AI319" s="9" t="str">
        <f t="shared" ca="1" si="114"/>
        <v/>
      </c>
      <c r="AJ319" s="9" t="str">
        <f t="shared" ca="1" si="115"/>
        <v/>
      </c>
      <c r="AK319" s="9" t="str">
        <f t="shared" ca="1" si="116"/>
        <v/>
      </c>
      <c r="AL319" s="9" t="str">
        <f t="shared" ca="1" si="117"/>
        <v/>
      </c>
      <c r="AM319" s="9" t="str">
        <f t="shared" ca="1" si="118"/>
        <v/>
      </c>
      <c r="AN319" s="9" t="str">
        <f t="shared" ca="1" si="119"/>
        <v/>
      </c>
      <c r="AO319" s="9" t="str">
        <f t="shared" ca="1" si="120"/>
        <v/>
      </c>
      <c r="AP319" s="9" t="str">
        <f t="shared" ca="1" si="121"/>
        <v/>
      </c>
      <c r="AQ319" s="9"/>
      <c r="AR319" s="9"/>
      <c r="AS319" s="9"/>
      <c r="AT319" s="9"/>
      <c r="AU319" s="9"/>
    </row>
    <row r="320" spans="1:47" x14ac:dyDescent="0.3">
      <c r="A320" s="1">
        <v>43924</v>
      </c>
      <c r="B320" s="6">
        <v>293.60998499999999</v>
      </c>
      <c r="C320" s="6">
        <v>124.550003</v>
      </c>
      <c r="D320" s="6">
        <v>27.110001</v>
      </c>
      <c r="E320" s="6">
        <v>124.589996</v>
      </c>
      <c r="F320" s="6">
        <v>71.949996999999996</v>
      </c>
      <c r="G320" s="6">
        <v>31.620000999999998</v>
      </c>
      <c r="H320" s="6">
        <v>77.360000999999997</v>
      </c>
      <c r="I320" s="6">
        <v>95.519997000000004</v>
      </c>
      <c r="J320" s="6">
        <v>13.58</v>
      </c>
      <c r="K320" s="6">
        <v>18.360001</v>
      </c>
      <c r="N320" s="18">
        <v>316</v>
      </c>
      <c r="O320" s="1">
        <v>43924</v>
      </c>
      <c r="P320" s="5">
        <f t="shared" si="122"/>
        <v>-3.4643779174766375E-2</v>
      </c>
      <c r="Q320" s="5">
        <f t="shared" si="123"/>
        <v>-3.2388226294685116E-2</v>
      </c>
      <c r="R320" s="5">
        <f t="shared" si="124"/>
        <v>-1.537365508119426E-2</v>
      </c>
      <c r="S320" s="5">
        <f t="shared" si="125"/>
        <v>5.8764106219195604E-3</v>
      </c>
      <c r="T320" s="5">
        <f t="shared" si="126"/>
        <v>-4.9910128904143251E-3</v>
      </c>
      <c r="U320" s="5">
        <f t="shared" si="127"/>
        <v>-1.0382348715569001E-2</v>
      </c>
      <c r="V320" s="5">
        <f t="shared" si="128"/>
        <v>-4.1028760627070671E-2</v>
      </c>
      <c r="W320" s="5">
        <f t="shared" si="129"/>
        <v>-5.3604295092592007E-2</v>
      </c>
      <c r="X320" s="5">
        <f t="shared" si="130"/>
        <v>-5.6544577960383459E-2</v>
      </c>
      <c r="Y320" s="5">
        <f t="shared" si="131"/>
        <v>-1.7278993142122639E-2</v>
      </c>
      <c r="Z320" s="33">
        <v>316</v>
      </c>
      <c r="AE320" s="20" t="str">
        <f t="shared" si="132"/>
        <v/>
      </c>
      <c r="AF320" s="22" t="str">
        <f t="shared" si="133"/>
        <v/>
      </c>
      <c r="AG320" s="9" t="str">
        <f t="shared" ca="1" si="112"/>
        <v/>
      </c>
      <c r="AH320" s="9" t="str">
        <f t="shared" ca="1" si="113"/>
        <v/>
      </c>
      <c r="AI320" s="9" t="str">
        <f t="shared" ca="1" si="114"/>
        <v/>
      </c>
      <c r="AJ320" s="9" t="str">
        <f t="shared" ca="1" si="115"/>
        <v/>
      </c>
      <c r="AK320" s="9" t="str">
        <f t="shared" ca="1" si="116"/>
        <v/>
      </c>
      <c r="AL320" s="9" t="str">
        <f t="shared" ca="1" si="117"/>
        <v/>
      </c>
      <c r="AM320" s="9" t="str">
        <f t="shared" ca="1" si="118"/>
        <v/>
      </c>
      <c r="AN320" s="9" t="str">
        <f t="shared" ca="1" si="119"/>
        <v/>
      </c>
      <c r="AO320" s="9" t="str">
        <f t="shared" ca="1" si="120"/>
        <v/>
      </c>
      <c r="AP320" s="9" t="str">
        <f t="shared" ca="1" si="121"/>
        <v/>
      </c>
      <c r="AQ320" s="9"/>
      <c r="AR320" s="9"/>
      <c r="AS320" s="9"/>
      <c r="AT320" s="9"/>
      <c r="AU320" s="9"/>
    </row>
    <row r="321" spans="1:47" x14ac:dyDescent="0.3">
      <c r="A321" s="1">
        <v>43927</v>
      </c>
      <c r="B321" s="6">
        <v>319.13000499999998</v>
      </c>
      <c r="C321" s="6">
        <v>135.91000399999999</v>
      </c>
      <c r="D321" s="6">
        <v>29.035</v>
      </c>
      <c r="E321" s="6">
        <v>131.16000399999999</v>
      </c>
      <c r="F321" s="6">
        <v>79.940002000000007</v>
      </c>
      <c r="G321" s="6">
        <v>35.340000000000003</v>
      </c>
      <c r="H321" s="6">
        <v>84.730002999999996</v>
      </c>
      <c r="I321" s="6">
        <v>106.05999799999999</v>
      </c>
      <c r="J321" s="6">
        <v>15.02</v>
      </c>
      <c r="K321" s="6">
        <v>19.649999999999999</v>
      </c>
      <c r="N321" s="19">
        <v>317</v>
      </c>
      <c r="O321" s="1">
        <v>43927</v>
      </c>
      <c r="P321" s="5">
        <f t="shared" si="122"/>
        <v>8.3346253930601188E-2</v>
      </c>
      <c r="Q321" s="5">
        <f t="shared" si="123"/>
        <v>8.7285665603595283E-2</v>
      </c>
      <c r="R321" s="5">
        <f t="shared" si="124"/>
        <v>6.8599298426682068E-2</v>
      </c>
      <c r="S321" s="5">
        <f t="shared" si="125"/>
        <v>5.1389668268083701E-2</v>
      </c>
      <c r="T321" s="5">
        <f t="shared" si="126"/>
        <v>0.10530498666418743</v>
      </c>
      <c r="U321" s="5">
        <f t="shared" si="127"/>
        <v>0.1112256034846716</v>
      </c>
      <c r="V321" s="5">
        <f t="shared" si="128"/>
        <v>9.099990154534178E-2</v>
      </c>
      <c r="W321" s="5">
        <f t="shared" si="129"/>
        <v>0.10466933461447668</v>
      </c>
      <c r="X321" s="5">
        <f t="shared" si="130"/>
        <v>0.10078452420543868</v>
      </c>
      <c r="Y321" s="5">
        <f t="shared" si="131"/>
        <v>6.7902898656696367E-2</v>
      </c>
      <c r="Z321" s="33">
        <v>317</v>
      </c>
      <c r="AE321" s="20" t="str">
        <f t="shared" si="132"/>
        <v/>
      </c>
      <c r="AF321" s="22" t="str">
        <f t="shared" si="133"/>
        <v/>
      </c>
      <c r="AG321" s="9" t="str">
        <f t="shared" ca="1" si="112"/>
        <v/>
      </c>
      <c r="AH321" s="9" t="str">
        <f t="shared" ca="1" si="113"/>
        <v/>
      </c>
      <c r="AI321" s="9" t="str">
        <f t="shared" ca="1" si="114"/>
        <v/>
      </c>
      <c r="AJ321" s="9" t="str">
        <f t="shared" ca="1" si="115"/>
        <v/>
      </c>
      <c r="AK321" s="9" t="str">
        <f t="shared" ca="1" si="116"/>
        <v/>
      </c>
      <c r="AL321" s="9" t="str">
        <f t="shared" ca="1" si="117"/>
        <v/>
      </c>
      <c r="AM321" s="9" t="str">
        <f t="shared" ca="1" si="118"/>
        <v/>
      </c>
      <c r="AN321" s="9" t="str">
        <f t="shared" ca="1" si="119"/>
        <v/>
      </c>
      <c r="AO321" s="9" t="str">
        <f t="shared" ca="1" si="120"/>
        <v/>
      </c>
      <c r="AP321" s="9" t="str">
        <f t="shared" ca="1" si="121"/>
        <v/>
      </c>
      <c r="AQ321" s="9"/>
      <c r="AR321" s="9"/>
      <c r="AS321" s="9"/>
      <c r="AT321" s="9"/>
      <c r="AU321" s="9"/>
    </row>
    <row r="322" spans="1:47" x14ac:dyDescent="0.3">
      <c r="A322" s="1">
        <v>43928</v>
      </c>
      <c r="B322" s="6">
        <v>308.92999300000002</v>
      </c>
      <c r="C322" s="6">
        <v>135.509995</v>
      </c>
      <c r="D322" s="6">
        <v>29.204999999999998</v>
      </c>
      <c r="E322" s="6">
        <v>130.479996</v>
      </c>
      <c r="F322" s="6">
        <v>80.489998</v>
      </c>
      <c r="G322" s="6">
        <v>35.75</v>
      </c>
      <c r="H322" s="6">
        <v>85.510002</v>
      </c>
      <c r="I322" s="6">
        <v>109.83000199999999</v>
      </c>
      <c r="J322" s="6">
        <v>15.39</v>
      </c>
      <c r="K322" s="6">
        <v>20.67</v>
      </c>
      <c r="N322" s="18">
        <v>318</v>
      </c>
      <c r="O322" s="1">
        <v>43928</v>
      </c>
      <c r="P322" s="5">
        <f t="shared" si="122"/>
        <v>-3.2483867589628596E-2</v>
      </c>
      <c r="Q322" s="5">
        <f t="shared" si="123"/>
        <v>-2.9475299615207271E-3</v>
      </c>
      <c r="R322" s="5">
        <f t="shared" si="124"/>
        <v>5.8379286682593741E-3</v>
      </c>
      <c r="S322" s="5">
        <f t="shared" si="125"/>
        <v>-5.1980548168309498E-3</v>
      </c>
      <c r="T322" s="5">
        <f t="shared" si="126"/>
        <v>6.8565499558937617E-3</v>
      </c>
      <c r="U322" s="5">
        <f t="shared" si="127"/>
        <v>1.1534802248466267E-2</v>
      </c>
      <c r="V322" s="5">
        <f t="shared" si="128"/>
        <v>9.163585939983317E-3</v>
      </c>
      <c r="W322" s="5">
        <f t="shared" si="129"/>
        <v>3.4928781158482136E-2</v>
      </c>
      <c r="X322" s="5">
        <f t="shared" si="130"/>
        <v>2.4335301514799321E-2</v>
      </c>
      <c r="Y322" s="5">
        <f t="shared" si="131"/>
        <v>5.0606035378406779E-2</v>
      </c>
      <c r="Z322" s="33">
        <v>318</v>
      </c>
      <c r="AE322" s="20" t="str">
        <f t="shared" si="132"/>
        <v/>
      </c>
      <c r="AF322" s="22" t="str">
        <f t="shared" si="133"/>
        <v/>
      </c>
      <c r="AG322" s="9" t="str">
        <f t="shared" ca="1" si="112"/>
        <v/>
      </c>
      <c r="AH322" s="9" t="str">
        <f t="shared" ca="1" si="113"/>
        <v/>
      </c>
      <c r="AI322" s="9" t="str">
        <f t="shared" ca="1" si="114"/>
        <v/>
      </c>
      <c r="AJ322" s="9" t="str">
        <f t="shared" ca="1" si="115"/>
        <v/>
      </c>
      <c r="AK322" s="9" t="str">
        <f t="shared" ca="1" si="116"/>
        <v/>
      </c>
      <c r="AL322" s="9" t="str">
        <f t="shared" ca="1" si="117"/>
        <v/>
      </c>
      <c r="AM322" s="9" t="str">
        <f t="shared" ca="1" si="118"/>
        <v/>
      </c>
      <c r="AN322" s="9" t="str">
        <f t="shared" ca="1" si="119"/>
        <v/>
      </c>
      <c r="AO322" s="9" t="str">
        <f t="shared" ca="1" si="120"/>
        <v/>
      </c>
      <c r="AP322" s="9" t="str">
        <f t="shared" ca="1" si="121"/>
        <v/>
      </c>
      <c r="AQ322" s="9"/>
      <c r="AR322" s="9"/>
      <c r="AS322" s="9"/>
      <c r="AT322" s="9"/>
      <c r="AU322" s="9"/>
    </row>
    <row r="323" spans="1:47" x14ac:dyDescent="0.3">
      <c r="A323" s="1">
        <v>43929</v>
      </c>
      <c r="B323" s="6">
        <v>317.17999300000002</v>
      </c>
      <c r="C323" s="6">
        <v>138.85000600000001</v>
      </c>
      <c r="D323" s="6">
        <v>30.129999000000002</v>
      </c>
      <c r="E323" s="6">
        <v>132.61000100000001</v>
      </c>
      <c r="F323" s="6">
        <v>85.699996999999996</v>
      </c>
      <c r="G323" s="6">
        <v>38.659999999999997</v>
      </c>
      <c r="H323" s="6">
        <v>89.599997999999999</v>
      </c>
      <c r="I323" s="6">
        <v>116.41999800000001</v>
      </c>
      <c r="J323" s="6">
        <v>15.9</v>
      </c>
      <c r="K323" s="6">
        <v>21.58</v>
      </c>
      <c r="N323" s="19">
        <v>319</v>
      </c>
      <c r="O323" s="1">
        <v>43929</v>
      </c>
      <c r="P323" s="5">
        <f t="shared" si="122"/>
        <v>2.6354722642336383E-2</v>
      </c>
      <c r="Q323" s="5">
        <f t="shared" si="123"/>
        <v>2.4348855527931056E-2</v>
      </c>
      <c r="R323" s="5">
        <f t="shared" si="124"/>
        <v>3.1181392460424569E-2</v>
      </c>
      <c r="S323" s="5">
        <f t="shared" si="125"/>
        <v>1.6192569573698339E-2</v>
      </c>
      <c r="T323" s="5">
        <f t="shared" si="126"/>
        <v>6.2719862340064075E-2</v>
      </c>
      <c r="U323" s="5">
        <f t="shared" si="127"/>
        <v>7.8255204640168011E-2</v>
      </c>
      <c r="V323" s="5">
        <f t="shared" si="128"/>
        <v>4.6721946102514969E-2</v>
      </c>
      <c r="W323" s="5">
        <f t="shared" si="129"/>
        <v>5.8270590654195355E-2</v>
      </c>
      <c r="X323" s="5">
        <f t="shared" si="130"/>
        <v>3.2601161375398036E-2</v>
      </c>
      <c r="Y323" s="5">
        <f t="shared" si="131"/>
        <v>4.3083586136311483E-2</v>
      </c>
      <c r="Z323" s="33">
        <v>319</v>
      </c>
      <c r="AE323" s="20" t="str">
        <f t="shared" si="132"/>
        <v/>
      </c>
      <c r="AF323" s="22" t="str">
        <f t="shared" si="133"/>
        <v/>
      </c>
      <c r="AG323" s="9" t="str">
        <f t="shared" ca="1" si="112"/>
        <v/>
      </c>
      <c r="AH323" s="9" t="str">
        <f t="shared" ca="1" si="113"/>
        <v/>
      </c>
      <c r="AI323" s="9" t="str">
        <f t="shared" ca="1" si="114"/>
        <v/>
      </c>
      <c r="AJ323" s="9" t="str">
        <f t="shared" ca="1" si="115"/>
        <v/>
      </c>
      <c r="AK323" s="9" t="str">
        <f t="shared" ca="1" si="116"/>
        <v/>
      </c>
      <c r="AL323" s="9" t="str">
        <f t="shared" ca="1" si="117"/>
        <v/>
      </c>
      <c r="AM323" s="9" t="str">
        <f t="shared" ca="1" si="118"/>
        <v/>
      </c>
      <c r="AN323" s="9" t="str">
        <f t="shared" ca="1" si="119"/>
        <v/>
      </c>
      <c r="AO323" s="9" t="str">
        <f t="shared" ca="1" si="120"/>
        <v/>
      </c>
      <c r="AP323" s="9" t="str">
        <f t="shared" ca="1" si="121"/>
        <v/>
      </c>
      <c r="AQ323" s="9"/>
      <c r="AR323" s="9"/>
      <c r="AS323" s="9"/>
      <c r="AT323" s="9"/>
      <c r="AU323" s="9"/>
    </row>
    <row r="324" spans="1:47" x14ac:dyDescent="0.3">
      <c r="A324" s="1">
        <v>43930</v>
      </c>
      <c r="B324" s="6">
        <v>318.70001200000002</v>
      </c>
      <c r="C324" s="6">
        <v>136.58000200000001</v>
      </c>
      <c r="D324" s="6">
        <v>30.254999000000002</v>
      </c>
      <c r="E324" s="6">
        <v>133.63000500000001</v>
      </c>
      <c r="F324" s="6">
        <v>89.089995999999999</v>
      </c>
      <c r="G324" s="6">
        <v>41.119999</v>
      </c>
      <c r="H324" s="6">
        <v>89.410004000000001</v>
      </c>
      <c r="I324" s="6">
        <v>122.120003</v>
      </c>
      <c r="J324" s="6">
        <v>16.280000999999999</v>
      </c>
      <c r="K324" s="6">
        <v>22.32</v>
      </c>
      <c r="N324" s="18">
        <v>320</v>
      </c>
      <c r="O324" s="1">
        <v>43930</v>
      </c>
      <c r="P324" s="5">
        <f t="shared" si="122"/>
        <v>4.7808450752879648E-3</v>
      </c>
      <c r="Q324" s="5">
        <f t="shared" si="123"/>
        <v>-1.6483718788531512E-2</v>
      </c>
      <c r="R324" s="5">
        <f t="shared" si="124"/>
        <v>4.1401070691989682E-3</v>
      </c>
      <c r="S324" s="5">
        <f t="shared" si="125"/>
        <v>7.6623269792996766E-3</v>
      </c>
      <c r="T324" s="5">
        <f t="shared" si="126"/>
        <v>3.8794259236234925E-2</v>
      </c>
      <c r="U324" s="5">
        <f t="shared" si="127"/>
        <v>6.1689123047658438E-2</v>
      </c>
      <c r="V324" s="5">
        <f t="shared" si="128"/>
        <v>-2.1227201745051432E-3</v>
      </c>
      <c r="W324" s="5">
        <f t="shared" si="129"/>
        <v>4.7799867768266911E-2</v>
      </c>
      <c r="X324" s="5">
        <f t="shared" si="130"/>
        <v>2.3618312773267803E-2</v>
      </c>
      <c r="Y324" s="5">
        <f t="shared" si="131"/>
        <v>3.3716177683121705E-2</v>
      </c>
      <c r="Z324" s="33">
        <v>320</v>
      </c>
      <c r="AE324" s="20" t="str">
        <f t="shared" si="132"/>
        <v/>
      </c>
      <c r="AF324" s="22" t="str">
        <f t="shared" si="133"/>
        <v/>
      </c>
      <c r="AG324" s="9" t="str">
        <f t="shared" ca="1" si="112"/>
        <v/>
      </c>
      <c r="AH324" s="9" t="str">
        <f t="shared" ca="1" si="113"/>
        <v/>
      </c>
      <c r="AI324" s="9" t="str">
        <f t="shared" ca="1" si="114"/>
        <v/>
      </c>
      <c r="AJ324" s="9" t="str">
        <f t="shared" ca="1" si="115"/>
        <v/>
      </c>
      <c r="AK324" s="9" t="str">
        <f t="shared" ca="1" si="116"/>
        <v/>
      </c>
      <c r="AL324" s="9" t="str">
        <f t="shared" ca="1" si="117"/>
        <v/>
      </c>
      <c r="AM324" s="9" t="str">
        <f t="shared" ca="1" si="118"/>
        <v/>
      </c>
      <c r="AN324" s="9" t="str">
        <f t="shared" ca="1" si="119"/>
        <v/>
      </c>
      <c r="AO324" s="9" t="str">
        <f t="shared" ca="1" si="120"/>
        <v/>
      </c>
      <c r="AP324" s="9" t="str">
        <f t="shared" ca="1" si="121"/>
        <v/>
      </c>
      <c r="AQ324" s="9"/>
      <c r="AR324" s="9"/>
      <c r="AS324" s="9"/>
      <c r="AT324" s="9"/>
      <c r="AU324" s="9"/>
    </row>
    <row r="325" spans="1:47" x14ac:dyDescent="0.3">
      <c r="A325" s="1">
        <v>43934</v>
      </c>
      <c r="B325" s="6">
        <v>320.64999399999999</v>
      </c>
      <c r="C325" s="6">
        <v>140.13000500000001</v>
      </c>
      <c r="D325" s="6">
        <v>29.764999</v>
      </c>
      <c r="E325" s="6">
        <v>130.88999899999999</v>
      </c>
      <c r="F325" s="6">
        <v>85.18</v>
      </c>
      <c r="G325" s="6">
        <v>38.560001</v>
      </c>
      <c r="H325" s="6">
        <v>86.370002999999997</v>
      </c>
      <c r="I325" s="6">
        <v>114.160004</v>
      </c>
      <c r="J325" s="6">
        <v>16.040001</v>
      </c>
      <c r="K325" s="6">
        <v>21.99</v>
      </c>
      <c r="N325" s="19">
        <v>321</v>
      </c>
      <c r="O325" s="1">
        <v>43934</v>
      </c>
      <c r="P325" s="5">
        <f t="shared" si="122"/>
        <v>6.099907806625191E-3</v>
      </c>
      <c r="Q325" s="5">
        <f t="shared" si="123"/>
        <v>2.5660060686903404E-2</v>
      </c>
      <c r="R325" s="5">
        <f t="shared" si="124"/>
        <v>-1.6328254013049378E-2</v>
      </c>
      <c r="S325" s="5">
        <f t="shared" si="125"/>
        <v>-2.0717556046091882E-2</v>
      </c>
      <c r="T325" s="5">
        <f t="shared" si="126"/>
        <v>-4.4880385339066541E-2</v>
      </c>
      <c r="U325" s="5">
        <f t="shared" si="127"/>
        <v>-6.4279101151888771E-2</v>
      </c>
      <c r="V325" s="5">
        <f t="shared" si="128"/>
        <v>-3.4592149458474476E-2</v>
      </c>
      <c r="W325" s="5">
        <f t="shared" si="129"/>
        <v>-6.7403184225554635E-2</v>
      </c>
      <c r="X325" s="5">
        <f t="shared" si="130"/>
        <v>-1.4851757216947542E-2</v>
      </c>
      <c r="Y325" s="5">
        <f t="shared" si="131"/>
        <v>-1.4895332946440472E-2</v>
      </c>
      <c r="Z325" s="33">
        <v>321</v>
      </c>
      <c r="AE325" s="20" t="str">
        <f t="shared" si="132"/>
        <v/>
      </c>
      <c r="AF325" s="22" t="str">
        <f t="shared" si="133"/>
        <v/>
      </c>
      <c r="AG325" s="9" t="str">
        <f t="shared" ref="AG325:AG388" ca="1" si="134">IF($AE325="","",OFFSET(P$4,$AE325,0))</f>
        <v/>
      </c>
      <c r="AH325" s="9" t="str">
        <f t="shared" ref="AH325:AH388" ca="1" si="135">IF($AE325="","",OFFSET(Q$4,$AE325,0))</f>
        <v/>
      </c>
      <c r="AI325" s="9" t="str">
        <f t="shared" ref="AI325:AI388" ca="1" si="136">IF($AE325="","",OFFSET(R$4,$AE325,0))</f>
        <v/>
      </c>
      <c r="AJ325" s="9" t="str">
        <f t="shared" ref="AJ325:AJ388" ca="1" si="137">IF($AE325="","",OFFSET(S$4,$AE325,0))</f>
        <v/>
      </c>
      <c r="AK325" s="9" t="str">
        <f t="shared" ref="AK325:AK388" ca="1" si="138">IF($AE325="","",OFFSET(T$4,$AE325,0))</f>
        <v/>
      </c>
      <c r="AL325" s="9" t="str">
        <f t="shared" ref="AL325:AL388" ca="1" si="139">IF($AE325="","",OFFSET(U$4,$AE325,0))</f>
        <v/>
      </c>
      <c r="AM325" s="9" t="str">
        <f t="shared" ref="AM325:AM388" ca="1" si="140">IF($AE325="","",OFFSET(V$4,$AE325,0))</f>
        <v/>
      </c>
      <c r="AN325" s="9" t="str">
        <f t="shared" ref="AN325:AN388" ca="1" si="141">IF($AE325="","",OFFSET(W$4,$AE325,0))</f>
        <v/>
      </c>
      <c r="AO325" s="9" t="str">
        <f t="shared" ref="AO325:AO388" ca="1" si="142">IF($AE325="","",OFFSET(X$4,$AE325,0))</f>
        <v/>
      </c>
      <c r="AP325" s="9" t="str">
        <f t="shared" ref="AP325:AP388" ca="1" si="143">IF($AE325="","",OFFSET(Y$4,$AE325,0))</f>
        <v/>
      </c>
      <c r="AQ325" s="9"/>
      <c r="AR325" s="9"/>
      <c r="AS325" s="9"/>
      <c r="AT325" s="9"/>
      <c r="AU325" s="9"/>
    </row>
    <row r="326" spans="1:47" x14ac:dyDescent="0.3">
      <c r="A326" s="1">
        <v>43935</v>
      </c>
      <c r="B326" s="6">
        <v>340.76998900000001</v>
      </c>
      <c r="C326" s="6">
        <v>147.429993</v>
      </c>
      <c r="D326" s="6">
        <v>32.205002</v>
      </c>
      <c r="E326" s="6">
        <v>138.39999399999999</v>
      </c>
      <c r="F326" s="6">
        <v>87.010002</v>
      </c>
      <c r="G326" s="6">
        <v>39.360000999999997</v>
      </c>
      <c r="H326" s="6">
        <v>87.709998999999996</v>
      </c>
      <c r="I326" s="6">
        <v>116.18</v>
      </c>
      <c r="J326" s="6">
        <v>16.049999</v>
      </c>
      <c r="K326" s="6">
        <v>22.299999</v>
      </c>
      <c r="N326" s="18">
        <v>322</v>
      </c>
      <c r="O326" s="1">
        <v>43935</v>
      </c>
      <c r="P326" s="5">
        <f t="shared" ref="P326:P389" si="144">LN(B326/B325)</f>
        <v>6.0857563748722088E-2</v>
      </c>
      <c r="Q326" s="5">
        <f t="shared" ref="Q326:Q389" si="145">LN(C326/C325)</f>
        <v>5.0782840518288103E-2</v>
      </c>
      <c r="R326" s="5">
        <f t="shared" ref="R326:R389" si="146">LN(D326/D325)</f>
        <v>7.8788609092163342E-2</v>
      </c>
      <c r="S326" s="5">
        <f t="shared" ref="S326:S389" si="147">LN(E326/E325)</f>
        <v>5.5790731667342337E-2</v>
      </c>
      <c r="T326" s="5">
        <f t="shared" ref="T326:T389" si="148">LN(F326/F325)</f>
        <v>2.1256413068728892E-2</v>
      </c>
      <c r="U326" s="5">
        <f t="shared" ref="U326:U389" si="149">LN(G326/G325)</f>
        <v>2.0534601914601932E-2</v>
      </c>
      <c r="V326" s="5">
        <f t="shared" ref="V326:V389" si="150">LN(H326/H325)</f>
        <v>1.539547853560529E-2</v>
      </c>
      <c r="W326" s="5">
        <f t="shared" ref="W326:W389" si="151">LN(I326/I325)</f>
        <v>1.7539704357263645E-2</v>
      </c>
      <c r="X326" s="5">
        <f t="shared" ref="X326:X389" si="152">LN(J326/J325)</f>
        <v>6.2312248822076269E-4</v>
      </c>
      <c r="Y326" s="5">
        <f t="shared" ref="Y326:Y389" si="153">LN(K326/K325)</f>
        <v>1.3998829056352906E-2</v>
      </c>
      <c r="Z326" s="33">
        <v>322</v>
      </c>
      <c r="AE326" s="20" t="str">
        <f t="shared" ref="AE326:AE389" si="154">IF(AE325="","",IF(AE325+1&lt;=$AC$5,AE325+1,""))</f>
        <v/>
      </c>
      <c r="AF326" s="22" t="str">
        <f t="shared" ref="AF326:AF389" si="155">IF(AE326="","",VLOOKUP(AE326,N325:O1582,2))</f>
        <v/>
      </c>
      <c r="AG326" s="9" t="str">
        <f t="shared" ca="1" si="134"/>
        <v/>
      </c>
      <c r="AH326" s="9" t="str">
        <f t="shared" ca="1" si="135"/>
        <v/>
      </c>
      <c r="AI326" s="9" t="str">
        <f t="shared" ca="1" si="136"/>
        <v/>
      </c>
      <c r="AJ326" s="9" t="str">
        <f t="shared" ca="1" si="137"/>
        <v/>
      </c>
      <c r="AK326" s="9" t="str">
        <f t="shared" ca="1" si="138"/>
        <v/>
      </c>
      <c r="AL326" s="9" t="str">
        <f t="shared" ca="1" si="139"/>
        <v/>
      </c>
      <c r="AM326" s="9" t="str">
        <f t="shared" ca="1" si="140"/>
        <v/>
      </c>
      <c r="AN326" s="9" t="str">
        <f t="shared" ca="1" si="141"/>
        <v/>
      </c>
      <c r="AO326" s="9" t="str">
        <f t="shared" ca="1" si="142"/>
        <v/>
      </c>
      <c r="AP326" s="9" t="str">
        <f t="shared" ca="1" si="143"/>
        <v/>
      </c>
      <c r="AQ326" s="9"/>
      <c r="AR326" s="9"/>
      <c r="AS326" s="9"/>
      <c r="AT326" s="9"/>
      <c r="AU326" s="9"/>
    </row>
    <row r="327" spans="1:47" x14ac:dyDescent="0.3">
      <c r="A327" s="1">
        <v>43936</v>
      </c>
      <c r="B327" s="6">
        <v>332.54998799999998</v>
      </c>
      <c r="C327" s="6">
        <v>146.16999799999999</v>
      </c>
      <c r="D327" s="6">
        <v>31.145</v>
      </c>
      <c r="E327" s="6">
        <v>135.029999</v>
      </c>
      <c r="F327" s="6">
        <v>85.300003000000004</v>
      </c>
      <c r="G327" s="6">
        <v>37</v>
      </c>
      <c r="H327" s="6">
        <v>84.389999000000003</v>
      </c>
      <c r="I327" s="6">
        <v>109.66999800000001</v>
      </c>
      <c r="J327" s="6">
        <v>14.7</v>
      </c>
      <c r="K327" s="6">
        <v>21.35</v>
      </c>
      <c r="N327" s="19">
        <v>323</v>
      </c>
      <c r="O327" s="1">
        <v>43936</v>
      </c>
      <c r="P327" s="5">
        <f t="shared" si="144"/>
        <v>-2.4417541985972378E-2</v>
      </c>
      <c r="Q327" s="5">
        <f t="shared" si="145"/>
        <v>-8.583125163064198E-3</v>
      </c>
      <c r="R327" s="5">
        <f t="shared" si="146"/>
        <v>-3.3468063394901326E-2</v>
      </c>
      <c r="S327" s="5">
        <f t="shared" si="147"/>
        <v>-2.4651031263777705E-2</v>
      </c>
      <c r="T327" s="5">
        <f t="shared" si="148"/>
        <v>-1.9848587896175322E-2</v>
      </c>
      <c r="U327" s="5">
        <f t="shared" si="149"/>
        <v>-6.1832184946331852E-2</v>
      </c>
      <c r="V327" s="5">
        <f t="shared" si="150"/>
        <v>-3.8587007241951694E-2</v>
      </c>
      <c r="W327" s="5">
        <f t="shared" si="151"/>
        <v>-5.7664874028796879E-2</v>
      </c>
      <c r="X327" s="5">
        <f t="shared" si="152"/>
        <v>-8.7861293486036413E-2</v>
      </c>
      <c r="Y327" s="5">
        <f t="shared" si="153"/>
        <v>-4.353489394838915E-2</v>
      </c>
      <c r="Z327" s="33">
        <v>323</v>
      </c>
      <c r="AE327" s="20" t="str">
        <f t="shared" si="154"/>
        <v/>
      </c>
      <c r="AF327" s="22" t="str">
        <f t="shared" si="155"/>
        <v/>
      </c>
      <c r="AG327" s="9" t="str">
        <f t="shared" ca="1" si="134"/>
        <v/>
      </c>
      <c r="AH327" s="9" t="str">
        <f t="shared" ca="1" si="135"/>
        <v/>
      </c>
      <c r="AI327" s="9" t="str">
        <f t="shared" ca="1" si="136"/>
        <v/>
      </c>
      <c r="AJ327" s="9" t="str">
        <f t="shared" ca="1" si="137"/>
        <v/>
      </c>
      <c r="AK327" s="9" t="str">
        <f t="shared" ca="1" si="138"/>
        <v/>
      </c>
      <c r="AL327" s="9" t="str">
        <f t="shared" ca="1" si="139"/>
        <v/>
      </c>
      <c r="AM327" s="9" t="str">
        <f t="shared" ca="1" si="140"/>
        <v/>
      </c>
      <c r="AN327" s="9" t="str">
        <f t="shared" ca="1" si="141"/>
        <v/>
      </c>
      <c r="AO327" s="9" t="str">
        <f t="shared" ca="1" si="142"/>
        <v/>
      </c>
      <c r="AP327" s="9" t="str">
        <f t="shared" ca="1" si="143"/>
        <v/>
      </c>
      <c r="AQ327" s="9"/>
      <c r="AR327" s="9"/>
      <c r="AS327" s="9"/>
      <c r="AT327" s="9"/>
      <c r="AU327" s="9"/>
    </row>
    <row r="328" spans="1:47" x14ac:dyDescent="0.3">
      <c r="A328" s="1">
        <v>43937</v>
      </c>
      <c r="B328" s="6">
        <v>342.70001200000002</v>
      </c>
      <c r="C328" s="6">
        <v>151.83000200000001</v>
      </c>
      <c r="D328" s="6">
        <v>30.934999000000001</v>
      </c>
      <c r="E328" s="6">
        <v>135.63999899999999</v>
      </c>
      <c r="F328" s="6">
        <v>83.82</v>
      </c>
      <c r="G328" s="6">
        <v>36.630001</v>
      </c>
      <c r="H328" s="6">
        <v>84.150002000000001</v>
      </c>
      <c r="I328" s="6">
        <v>110.790001</v>
      </c>
      <c r="J328" s="6">
        <v>14.53</v>
      </c>
      <c r="K328" s="6">
        <v>21.469999000000001</v>
      </c>
      <c r="N328" s="18">
        <v>324</v>
      </c>
      <c r="O328" s="1">
        <v>43937</v>
      </c>
      <c r="P328" s="5">
        <f t="shared" si="144"/>
        <v>3.0065275250981398E-2</v>
      </c>
      <c r="Q328" s="5">
        <f t="shared" si="145"/>
        <v>3.7991172848220664E-2</v>
      </c>
      <c r="R328" s="5">
        <f t="shared" si="146"/>
        <v>-6.765522049001672E-3</v>
      </c>
      <c r="S328" s="5">
        <f t="shared" si="147"/>
        <v>4.5073413177919228E-3</v>
      </c>
      <c r="T328" s="5">
        <f t="shared" si="148"/>
        <v>-1.75028471706958E-2</v>
      </c>
      <c r="U328" s="5">
        <f t="shared" si="149"/>
        <v>-1.0050308553474489E-2</v>
      </c>
      <c r="V328" s="5">
        <f t="shared" si="150"/>
        <v>-2.8479549162325648E-3</v>
      </c>
      <c r="W328" s="5">
        <f t="shared" si="151"/>
        <v>1.0160688023077251E-2</v>
      </c>
      <c r="X328" s="5">
        <f t="shared" si="152"/>
        <v>-1.1632016202499072E-2</v>
      </c>
      <c r="Y328" s="5">
        <f t="shared" si="153"/>
        <v>5.6048256394365583E-3</v>
      </c>
      <c r="Z328" s="33">
        <v>324</v>
      </c>
      <c r="AE328" s="20" t="str">
        <f t="shared" si="154"/>
        <v/>
      </c>
      <c r="AF328" s="22" t="str">
        <f t="shared" si="155"/>
        <v/>
      </c>
      <c r="AG328" s="9" t="str">
        <f t="shared" ca="1" si="134"/>
        <v/>
      </c>
      <c r="AH328" s="9" t="str">
        <f t="shared" ca="1" si="135"/>
        <v/>
      </c>
      <c r="AI328" s="9" t="str">
        <f t="shared" ca="1" si="136"/>
        <v/>
      </c>
      <c r="AJ328" s="9" t="str">
        <f t="shared" ca="1" si="137"/>
        <v/>
      </c>
      <c r="AK328" s="9" t="str">
        <f t="shared" ca="1" si="138"/>
        <v/>
      </c>
      <c r="AL328" s="9" t="str">
        <f t="shared" ca="1" si="139"/>
        <v/>
      </c>
      <c r="AM328" s="9" t="str">
        <f t="shared" ca="1" si="140"/>
        <v/>
      </c>
      <c r="AN328" s="9" t="str">
        <f t="shared" ca="1" si="141"/>
        <v/>
      </c>
      <c r="AO328" s="9" t="str">
        <f t="shared" ca="1" si="142"/>
        <v/>
      </c>
      <c r="AP328" s="9" t="str">
        <f t="shared" ca="1" si="143"/>
        <v/>
      </c>
      <c r="AQ328" s="9"/>
      <c r="AR328" s="9"/>
      <c r="AS328" s="9"/>
      <c r="AT328" s="9"/>
      <c r="AU328" s="9"/>
    </row>
    <row r="329" spans="1:47" x14ac:dyDescent="0.3">
      <c r="A329" s="1">
        <v>43938</v>
      </c>
      <c r="B329" s="6">
        <v>344.10998499999999</v>
      </c>
      <c r="C329" s="6">
        <v>154.979996</v>
      </c>
      <c r="D329" s="6">
        <v>31.094999000000001</v>
      </c>
      <c r="E329" s="6">
        <v>137.550003</v>
      </c>
      <c r="F329" s="6">
        <v>87.82</v>
      </c>
      <c r="G329" s="6">
        <v>38.939999</v>
      </c>
      <c r="H329" s="6">
        <v>88.489998</v>
      </c>
      <c r="I329" s="6">
        <v>118.33000199999999</v>
      </c>
      <c r="J329" s="6">
        <v>15.06</v>
      </c>
      <c r="K329" s="6">
        <v>22.139999</v>
      </c>
      <c r="N329" s="19">
        <v>325</v>
      </c>
      <c r="O329" s="1">
        <v>43938</v>
      </c>
      <c r="P329" s="5">
        <f t="shared" si="144"/>
        <v>4.1058662132218071E-3</v>
      </c>
      <c r="Q329" s="5">
        <f t="shared" si="145"/>
        <v>2.0534563459298286E-2</v>
      </c>
      <c r="R329" s="5">
        <f t="shared" si="146"/>
        <v>5.1588057392338987E-3</v>
      </c>
      <c r="S329" s="5">
        <f t="shared" si="147"/>
        <v>1.3983199295852835E-2</v>
      </c>
      <c r="T329" s="5">
        <f t="shared" si="148"/>
        <v>4.6617622636645886E-2</v>
      </c>
      <c r="U329" s="5">
        <f t="shared" si="149"/>
        <v>6.1154370172769208E-2</v>
      </c>
      <c r="V329" s="5">
        <f t="shared" si="150"/>
        <v>5.0288584273937245E-2</v>
      </c>
      <c r="W329" s="5">
        <f t="shared" si="151"/>
        <v>6.5840821739684821E-2</v>
      </c>
      <c r="X329" s="5">
        <f t="shared" si="152"/>
        <v>3.5826744789556116E-2</v>
      </c>
      <c r="Y329" s="5">
        <f t="shared" si="153"/>
        <v>3.0729316799301278E-2</v>
      </c>
      <c r="Z329" s="33">
        <v>325</v>
      </c>
      <c r="AE329" s="20" t="str">
        <f t="shared" si="154"/>
        <v/>
      </c>
      <c r="AF329" s="22" t="str">
        <f t="shared" si="155"/>
        <v/>
      </c>
      <c r="AG329" s="9" t="str">
        <f t="shared" ca="1" si="134"/>
        <v/>
      </c>
      <c r="AH329" s="9" t="str">
        <f t="shared" ca="1" si="135"/>
        <v/>
      </c>
      <c r="AI329" s="9" t="str">
        <f t="shared" ca="1" si="136"/>
        <v/>
      </c>
      <c r="AJ329" s="9" t="str">
        <f t="shared" ca="1" si="137"/>
        <v/>
      </c>
      <c r="AK329" s="9" t="str">
        <f t="shared" ca="1" si="138"/>
        <v/>
      </c>
      <c r="AL329" s="9" t="str">
        <f t="shared" ca="1" si="139"/>
        <v/>
      </c>
      <c r="AM329" s="9" t="str">
        <f t="shared" ca="1" si="140"/>
        <v/>
      </c>
      <c r="AN329" s="9" t="str">
        <f t="shared" ca="1" si="141"/>
        <v/>
      </c>
      <c r="AO329" s="9" t="str">
        <f t="shared" ca="1" si="142"/>
        <v/>
      </c>
      <c r="AP329" s="9" t="str">
        <f t="shared" ca="1" si="143"/>
        <v/>
      </c>
      <c r="AQ329" s="9"/>
      <c r="AR329" s="9"/>
      <c r="AS329" s="9"/>
      <c r="AT329" s="9"/>
      <c r="AU329" s="9"/>
    </row>
    <row r="330" spans="1:47" x14ac:dyDescent="0.3">
      <c r="A330" s="1">
        <v>43941</v>
      </c>
      <c r="B330" s="6">
        <v>344.88000499999998</v>
      </c>
      <c r="C330" s="6">
        <v>151.009995</v>
      </c>
      <c r="D330" s="6">
        <v>30.690000999999999</v>
      </c>
      <c r="E330" s="6">
        <v>134.550003</v>
      </c>
      <c r="F330" s="6">
        <v>83.339995999999999</v>
      </c>
      <c r="G330" s="6">
        <v>36.369999</v>
      </c>
      <c r="H330" s="6">
        <v>85.970000999999996</v>
      </c>
      <c r="I330" s="6">
        <v>114.660004</v>
      </c>
      <c r="J330" s="6">
        <v>14.72</v>
      </c>
      <c r="K330" s="6">
        <v>21.700001</v>
      </c>
      <c r="N330" s="18">
        <v>326</v>
      </c>
      <c r="O330" s="1">
        <v>43941</v>
      </c>
      <c r="P330" s="5">
        <f t="shared" si="144"/>
        <v>2.2352148268420411E-3</v>
      </c>
      <c r="Q330" s="5">
        <f t="shared" si="145"/>
        <v>-2.5950023848714657E-2</v>
      </c>
      <c r="R330" s="5">
        <f t="shared" si="146"/>
        <v>-1.3110101180793114E-2</v>
      </c>
      <c r="S330" s="5">
        <f t="shared" si="147"/>
        <v>-2.2051609711375562E-2</v>
      </c>
      <c r="T330" s="5">
        <f t="shared" si="148"/>
        <v>-5.2360687135425424E-2</v>
      </c>
      <c r="U330" s="5">
        <f t="shared" si="149"/>
        <v>-6.8277742759810245E-2</v>
      </c>
      <c r="V330" s="5">
        <f t="shared" si="150"/>
        <v>-2.8891118859517423E-2</v>
      </c>
      <c r="W330" s="5">
        <f t="shared" si="151"/>
        <v>-3.1506085932366604E-2</v>
      </c>
      <c r="X330" s="5">
        <f t="shared" si="152"/>
        <v>-2.283510907101732E-2</v>
      </c>
      <c r="Y330" s="5">
        <f t="shared" si="153"/>
        <v>-2.007357548400936E-2</v>
      </c>
      <c r="Z330" s="33">
        <v>326</v>
      </c>
      <c r="AE330" s="20" t="str">
        <f t="shared" si="154"/>
        <v/>
      </c>
      <c r="AF330" s="22" t="str">
        <f t="shared" si="155"/>
        <v/>
      </c>
      <c r="AG330" s="9" t="str">
        <f t="shared" ca="1" si="134"/>
        <v/>
      </c>
      <c r="AH330" s="9" t="str">
        <f t="shared" ca="1" si="135"/>
        <v/>
      </c>
      <c r="AI330" s="9" t="str">
        <f t="shared" ca="1" si="136"/>
        <v/>
      </c>
      <c r="AJ330" s="9" t="str">
        <f t="shared" ca="1" si="137"/>
        <v/>
      </c>
      <c r="AK330" s="9" t="str">
        <f t="shared" ca="1" si="138"/>
        <v/>
      </c>
      <c r="AL330" s="9" t="str">
        <f t="shared" ca="1" si="139"/>
        <v/>
      </c>
      <c r="AM330" s="9" t="str">
        <f t="shared" ca="1" si="140"/>
        <v/>
      </c>
      <c r="AN330" s="9" t="str">
        <f t="shared" ca="1" si="141"/>
        <v/>
      </c>
      <c r="AO330" s="9" t="str">
        <f t="shared" ca="1" si="142"/>
        <v/>
      </c>
      <c r="AP330" s="9" t="str">
        <f t="shared" ca="1" si="143"/>
        <v/>
      </c>
      <c r="AQ330" s="9"/>
      <c r="AR330" s="9"/>
      <c r="AS330" s="9"/>
      <c r="AT330" s="9"/>
      <c r="AU330" s="9"/>
    </row>
    <row r="331" spans="1:47" x14ac:dyDescent="0.3">
      <c r="A331" s="1">
        <v>43942</v>
      </c>
      <c r="B331" s="6">
        <v>328.98998999999998</v>
      </c>
      <c r="C331" s="6">
        <v>144.83999600000001</v>
      </c>
      <c r="D331" s="6">
        <v>29.52</v>
      </c>
      <c r="E331" s="6">
        <v>130.94000199999999</v>
      </c>
      <c r="F331" s="6">
        <v>81.849997999999999</v>
      </c>
      <c r="G331" s="6">
        <v>35.580002</v>
      </c>
      <c r="H331" s="6">
        <v>84.510002</v>
      </c>
      <c r="I331" s="6">
        <v>110.540001</v>
      </c>
      <c r="J331" s="6">
        <v>14.03</v>
      </c>
      <c r="K331" s="6">
        <v>20.780000999999999</v>
      </c>
      <c r="N331" s="19">
        <v>327</v>
      </c>
      <c r="O331" s="1">
        <v>43942</v>
      </c>
      <c r="P331" s="5">
        <f t="shared" si="144"/>
        <v>-4.7169220166084276E-2</v>
      </c>
      <c r="Q331" s="5">
        <f t="shared" si="145"/>
        <v>-4.1716369396547576E-2</v>
      </c>
      <c r="R331" s="5">
        <f t="shared" si="146"/>
        <v>-3.8868901483276014E-2</v>
      </c>
      <c r="S331" s="5">
        <f t="shared" si="147"/>
        <v>-2.7196681182342163E-2</v>
      </c>
      <c r="T331" s="5">
        <f t="shared" si="148"/>
        <v>-1.8040298615944337E-2</v>
      </c>
      <c r="U331" s="5">
        <f t="shared" si="149"/>
        <v>-2.1960493054666699E-2</v>
      </c>
      <c r="V331" s="5">
        <f t="shared" si="150"/>
        <v>-1.712851559608819E-2</v>
      </c>
      <c r="W331" s="5">
        <f t="shared" si="151"/>
        <v>-3.6593806914369378E-2</v>
      </c>
      <c r="X331" s="5">
        <f t="shared" si="152"/>
        <v>-4.8009219186360724E-2</v>
      </c>
      <c r="Y331" s="5">
        <f t="shared" si="153"/>
        <v>-4.332127283508664E-2</v>
      </c>
      <c r="Z331" s="33">
        <v>327</v>
      </c>
      <c r="AE331" s="20" t="str">
        <f t="shared" si="154"/>
        <v/>
      </c>
      <c r="AF331" s="22" t="str">
        <f t="shared" si="155"/>
        <v/>
      </c>
      <c r="AG331" s="9" t="str">
        <f t="shared" ca="1" si="134"/>
        <v/>
      </c>
      <c r="AH331" s="9" t="str">
        <f t="shared" ca="1" si="135"/>
        <v/>
      </c>
      <c r="AI331" s="9" t="str">
        <f t="shared" ca="1" si="136"/>
        <v/>
      </c>
      <c r="AJ331" s="9" t="str">
        <f t="shared" ca="1" si="137"/>
        <v/>
      </c>
      <c r="AK331" s="9" t="str">
        <f t="shared" ca="1" si="138"/>
        <v/>
      </c>
      <c r="AL331" s="9" t="str">
        <f t="shared" ca="1" si="139"/>
        <v/>
      </c>
      <c r="AM331" s="9" t="str">
        <f t="shared" ca="1" si="140"/>
        <v/>
      </c>
      <c r="AN331" s="9" t="str">
        <f t="shared" ca="1" si="141"/>
        <v/>
      </c>
      <c r="AO331" s="9" t="str">
        <f t="shared" ca="1" si="142"/>
        <v/>
      </c>
      <c r="AP331" s="9" t="str">
        <f t="shared" ca="1" si="143"/>
        <v/>
      </c>
      <c r="AQ331" s="9"/>
      <c r="AR331" s="9"/>
      <c r="AS331" s="9"/>
      <c r="AT331" s="9"/>
      <c r="AU331" s="9"/>
    </row>
    <row r="332" spans="1:47" x14ac:dyDescent="0.3">
      <c r="A332" s="1">
        <v>43943</v>
      </c>
      <c r="B332" s="6">
        <v>336.76998900000001</v>
      </c>
      <c r="C332" s="6">
        <v>150.720001</v>
      </c>
      <c r="D332" s="6">
        <v>30.059999000000001</v>
      </c>
      <c r="E332" s="6">
        <v>132.61999499999999</v>
      </c>
      <c r="F332" s="6">
        <v>84.260002</v>
      </c>
      <c r="G332" s="6">
        <v>36.659999999999997</v>
      </c>
      <c r="H332" s="6">
        <v>86.32</v>
      </c>
      <c r="I332" s="6">
        <v>113.760002</v>
      </c>
      <c r="J332" s="6">
        <v>14.04</v>
      </c>
      <c r="K332" s="6">
        <v>20.370000999999998</v>
      </c>
      <c r="N332" s="18">
        <v>328</v>
      </c>
      <c r="O332" s="1">
        <v>43943</v>
      </c>
      <c r="P332" s="5">
        <f t="shared" si="144"/>
        <v>2.3372847332842107E-2</v>
      </c>
      <c r="Q332" s="5">
        <f t="shared" si="145"/>
        <v>3.9794160182112792E-2</v>
      </c>
      <c r="R332" s="5">
        <f t="shared" si="146"/>
        <v>1.8127351325756411E-2</v>
      </c>
      <c r="S332" s="5">
        <f t="shared" si="147"/>
        <v>1.27486399519002E-2</v>
      </c>
      <c r="T332" s="5">
        <f t="shared" si="148"/>
        <v>2.9019000904723719E-2</v>
      </c>
      <c r="U332" s="5">
        <f t="shared" si="149"/>
        <v>2.9902503962516688E-2</v>
      </c>
      <c r="V332" s="5">
        <f t="shared" si="150"/>
        <v>2.1191426727650068E-2</v>
      </c>
      <c r="W332" s="5">
        <f t="shared" si="151"/>
        <v>2.8713528184186612E-2</v>
      </c>
      <c r="X332" s="5">
        <f t="shared" si="152"/>
        <v>7.1250448329549995E-4</v>
      </c>
      <c r="Y332" s="5">
        <f t="shared" si="153"/>
        <v>-1.9927754463760623E-2</v>
      </c>
      <c r="Z332" s="33">
        <v>328</v>
      </c>
      <c r="AE332" s="20" t="str">
        <f t="shared" si="154"/>
        <v/>
      </c>
      <c r="AF332" s="22" t="str">
        <f t="shared" si="155"/>
        <v/>
      </c>
      <c r="AG332" s="9" t="str">
        <f t="shared" ca="1" si="134"/>
        <v/>
      </c>
      <c r="AH332" s="9" t="str">
        <f t="shared" ca="1" si="135"/>
        <v/>
      </c>
      <c r="AI332" s="9" t="str">
        <f t="shared" ca="1" si="136"/>
        <v/>
      </c>
      <c r="AJ332" s="9" t="str">
        <f t="shared" ca="1" si="137"/>
        <v/>
      </c>
      <c r="AK332" s="9" t="str">
        <f t="shared" ca="1" si="138"/>
        <v/>
      </c>
      <c r="AL332" s="9" t="str">
        <f t="shared" ca="1" si="139"/>
        <v/>
      </c>
      <c r="AM332" s="9" t="str">
        <f t="shared" ca="1" si="140"/>
        <v/>
      </c>
      <c r="AN332" s="9" t="str">
        <f t="shared" ca="1" si="141"/>
        <v/>
      </c>
      <c r="AO332" s="9" t="str">
        <f t="shared" ca="1" si="142"/>
        <v/>
      </c>
      <c r="AP332" s="9" t="str">
        <f t="shared" ca="1" si="143"/>
        <v/>
      </c>
      <c r="AQ332" s="9"/>
      <c r="AR332" s="9"/>
      <c r="AS332" s="9"/>
      <c r="AT332" s="9"/>
      <c r="AU332" s="9"/>
    </row>
    <row r="333" spans="1:47" x14ac:dyDescent="0.3">
      <c r="A333" s="1">
        <v>43944</v>
      </c>
      <c r="B333" s="6">
        <v>335.36999500000002</v>
      </c>
      <c r="C333" s="6">
        <v>151.990005</v>
      </c>
      <c r="D333" s="6">
        <v>29.815000999999999</v>
      </c>
      <c r="E333" s="6">
        <v>130.259995</v>
      </c>
      <c r="F333" s="6">
        <v>83.040001000000004</v>
      </c>
      <c r="G333" s="6">
        <v>36.200001</v>
      </c>
      <c r="H333" s="6">
        <v>88.010002</v>
      </c>
      <c r="I333" s="6">
        <v>113.66999800000001</v>
      </c>
      <c r="J333" s="6">
        <v>14.7</v>
      </c>
      <c r="K333" s="6">
        <v>20.389999</v>
      </c>
      <c r="N333" s="19">
        <v>329</v>
      </c>
      <c r="O333" s="1">
        <v>43944</v>
      </c>
      <c r="P333" s="5">
        <f t="shared" si="144"/>
        <v>-4.1657870619957816E-3</v>
      </c>
      <c r="Q333" s="5">
        <f t="shared" si="145"/>
        <v>8.3909446423979083E-3</v>
      </c>
      <c r="R333" s="5">
        <f t="shared" si="146"/>
        <v>-8.1836949427951996E-3</v>
      </c>
      <c r="S333" s="5">
        <f t="shared" si="147"/>
        <v>-1.7955443505530827E-2</v>
      </c>
      <c r="T333" s="5">
        <f t="shared" si="148"/>
        <v>-1.4584848826957583E-2</v>
      </c>
      <c r="U333" s="5">
        <f t="shared" si="149"/>
        <v>-1.2627095955524479E-2</v>
      </c>
      <c r="V333" s="5">
        <f t="shared" si="150"/>
        <v>1.9389146160531365E-2</v>
      </c>
      <c r="W333" s="5">
        <f t="shared" si="151"/>
        <v>-7.9148753197551399E-4</v>
      </c>
      <c r="X333" s="5">
        <f t="shared" si="152"/>
        <v>4.5937095187025608E-2</v>
      </c>
      <c r="Y333" s="5">
        <f t="shared" si="153"/>
        <v>9.8125621219898192E-4</v>
      </c>
      <c r="Z333" s="33">
        <v>329</v>
      </c>
      <c r="AE333" s="20" t="str">
        <f t="shared" si="154"/>
        <v/>
      </c>
      <c r="AF333" s="22" t="str">
        <f t="shared" si="155"/>
        <v/>
      </c>
      <c r="AG333" s="9" t="str">
        <f t="shared" ca="1" si="134"/>
        <v/>
      </c>
      <c r="AH333" s="9" t="str">
        <f t="shared" ca="1" si="135"/>
        <v/>
      </c>
      <c r="AI333" s="9" t="str">
        <f t="shared" ca="1" si="136"/>
        <v/>
      </c>
      <c r="AJ333" s="9" t="str">
        <f t="shared" ca="1" si="137"/>
        <v/>
      </c>
      <c r="AK333" s="9" t="str">
        <f t="shared" ca="1" si="138"/>
        <v/>
      </c>
      <c r="AL333" s="9" t="str">
        <f t="shared" ca="1" si="139"/>
        <v/>
      </c>
      <c r="AM333" s="9" t="str">
        <f t="shared" ca="1" si="140"/>
        <v/>
      </c>
      <c r="AN333" s="9" t="str">
        <f t="shared" ca="1" si="141"/>
        <v/>
      </c>
      <c r="AO333" s="9" t="str">
        <f t="shared" ca="1" si="142"/>
        <v/>
      </c>
      <c r="AP333" s="9" t="str">
        <f t="shared" ca="1" si="143"/>
        <v/>
      </c>
      <c r="AQ333" s="9"/>
      <c r="AR333" s="9"/>
      <c r="AS333" s="9"/>
      <c r="AT333" s="9"/>
      <c r="AU333" s="9"/>
    </row>
    <row r="334" spans="1:47" x14ac:dyDescent="0.3">
      <c r="A334" s="1">
        <v>43945</v>
      </c>
      <c r="B334" s="6">
        <v>344.10000600000001</v>
      </c>
      <c r="C334" s="6">
        <v>153.029999</v>
      </c>
      <c r="D334" s="6">
        <v>29.9</v>
      </c>
      <c r="E334" s="6">
        <v>134.36000100000001</v>
      </c>
      <c r="F334" s="6">
        <v>83.690002000000007</v>
      </c>
      <c r="G334" s="6">
        <v>36.290000999999997</v>
      </c>
      <c r="H334" s="6">
        <v>90.970000999999996</v>
      </c>
      <c r="I334" s="6">
        <v>116.07</v>
      </c>
      <c r="J334" s="6">
        <v>14.74</v>
      </c>
      <c r="K334" s="6">
        <v>21.02</v>
      </c>
      <c r="N334" s="18">
        <v>330</v>
      </c>
      <c r="O334" s="1">
        <v>43945</v>
      </c>
      <c r="P334" s="5">
        <f t="shared" si="144"/>
        <v>2.5697945198788825E-2</v>
      </c>
      <c r="Q334" s="5">
        <f t="shared" si="145"/>
        <v>6.81921196300804E-3</v>
      </c>
      <c r="R334" s="5">
        <f t="shared" si="146"/>
        <v>2.8468242814077009E-3</v>
      </c>
      <c r="S334" s="5">
        <f t="shared" si="147"/>
        <v>3.0990357453297378E-2</v>
      </c>
      <c r="T334" s="5">
        <f t="shared" si="148"/>
        <v>7.7970884825324695E-3</v>
      </c>
      <c r="U334" s="5">
        <f t="shared" si="149"/>
        <v>2.4831023247445117E-3</v>
      </c>
      <c r="V334" s="5">
        <f t="shared" si="150"/>
        <v>3.3079325716194756E-2</v>
      </c>
      <c r="W334" s="5">
        <f t="shared" si="151"/>
        <v>2.0893961276704218E-2</v>
      </c>
      <c r="X334" s="5">
        <f t="shared" si="152"/>
        <v>2.7173929764998861E-3</v>
      </c>
      <c r="Y334" s="5">
        <f t="shared" si="153"/>
        <v>3.0429829906091364E-2</v>
      </c>
      <c r="Z334" s="33">
        <v>330</v>
      </c>
      <c r="AE334" s="20" t="str">
        <f t="shared" si="154"/>
        <v/>
      </c>
      <c r="AF334" s="22" t="str">
        <f t="shared" si="155"/>
        <v/>
      </c>
      <c r="AG334" s="9" t="str">
        <f t="shared" ca="1" si="134"/>
        <v/>
      </c>
      <c r="AH334" s="9" t="str">
        <f t="shared" ca="1" si="135"/>
        <v/>
      </c>
      <c r="AI334" s="9" t="str">
        <f t="shared" ca="1" si="136"/>
        <v/>
      </c>
      <c r="AJ334" s="9" t="str">
        <f t="shared" ca="1" si="137"/>
        <v/>
      </c>
      <c r="AK334" s="9" t="str">
        <f t="shared" ca="1" si="138"/>
        <v/>
      </c>
      <c r="AL334" s="9" t="str">
        <f t="shared" ca="1" si="139"/>
        <v/>
      </c>
      <c r="AM334" s="9" t="str">
        <f t="shared" ca="1" si="140"/>
        <v/>
      </c>
      <c r="AN334" s="9" t="str">
        <f t="shared" ca="1" si="141"/>
        <v/>
      </c>
      <c r="AO334" s="9" t="str">
        <f t="shared" ca="1" si="142"/>
        <v/>
      </c>
      <c r="AP334" s="9" t="str">
        <f t="shared" ca="1" si="143"/>
        <v/>
      </c>
      <c r="AQ334" s="9"/>
      <c r="AR334" s="9"/>
      <c r="AS334" s="9"/>
      <c r="AT334" s="9"/>
      <c r="AU334" s="9"/>
    </row>
    <row r="335" spans="1:47" x14ac:dyDescent="0.3">
      <c r="A335" s="1">
        <v>43948</v>
      </c>
      <c r="B335" s="6">
        <v>348.5</v>
      </c>
      <c r="C335" s="6">
        <v>154.13999899999999</v>
      </c>
      <c r="D335" s="6">
        <v>30.26</v>
      </c>
      <c r="E335" s="6">
        <v>134.46000699999999</v>
      </c>
      <c r="F335" s="6">
        <v>86.339995999999999</v>
      </c>
      <c r="G335" s="6">
        <v>37.619999</v>
      </c>
      <c r="H335" s="6">
        <v>93.190002000000007</v>
      </c>
      <c r="I335" s="6">
        <v>125.040001</v>
      </c>
      <c r="J335" s="6">
        <v>15.73</v>
      </c>
      <c r="K335" s="6">
        <v>22.75</v>
      </c>
      <c r="N335" s="19">
        <v>331</v>
      </c>
      <c r="O335" s="1">
        <v>43948</v>
      </c>
      <c r="P335" s="5">
        <f t="shared" si="144"/>
        <v>1.2705899960352434E-2</v>
      </c>
      <c r="Q335" s="5">
        <f t="shared" si="145"/>
        <v>7.2272997939600613E-3</v>
      </c>
      <c r="R335" s="5">
        <f t="shared" si="146"/>
        <v>1.1968227963569285E-2</v>
      </c>
      <c r="S335" s="5">
        <f t="shared" si="147"/>
        <v>7.4403691419799335E-4</v>
      </c>
      <c r="T335" s="5">
        <f t="shared" si="148"/>
        <v>3.1173423856361349E-2</v>
      </c>
      <c r="U335" s="5">
        <f t="shared" si="149"/>
        <v>3.5993548510499455E-2</v>
      </c>
      <c r="V335" s="5">
        <f t="shared" si="150"/>
        <v>2.4110648432488883E-2</v>
      </c>
      <c r="W335" s="5">
        <f t="shared" si="151"/>
        <v>7.4440236730130754E-2</v>
      </c>
      <c r="X335" s="5">
        <f t="shared" si="152"/>
        <v>6.5004830308995995E-2</v>
      </c>
      <c r="Y335" s="5">
        <f t="shared" si="153"/>
        <v>7.9090779948154277E-2</v>
      </c>
      <c r="Z335" s="33">
        <v>331</v>
      </c>
      <c r="AE335" s="20" t="str">
        <f t="shared" si="154"/>
        <v/>
      </c>
      <c r="AF335" s="22" t="str">
        <f t="shared" si="155"/>
        <v/>
      </c>
      <c r="AG335" s="9" t="str">
        <f t="shared" ca="1" si="134"/>
        <v/>
      </c>
      <c r="AH335" s="9" t="str">
        <f t="shared" ca="1" si="135"/>
        <v/>
      </c>
      <c r="AI335" s="9" t="str">
        <f t="shared" ca="1" si="136"/>
        <v/>
      </c>
      <c r="AJ335" s="9" t="str">
        <f t="shared" ca="1" si="137"/>
        <v/>
      </c>
      <c r="AK335" s="9" t="str">
        <f t="shared" ca="1" si="138"/>
        <v/>
      </c>
      <c r="AL335" s="9" t="str">
        <f t="shared" ca="1" si="139"/>
        <v/>
      </c>
      <c r="AM335" s="9" t="str">
        <f t="shared" ca="1" si="140"/>
        <v/>
      </c>
      <c r="AN335" s="9" t="str">
        <f t="shared" ca="1" si="141"/>
        <v/>
      </c>
      <c r="AO335" s="9" t="str">
        <f t="shared" ca="1" si="142"/>
        <v/>
      </c>
      <c r="AP335" s="9" t="str">
        <f t="shared" ca="1" si="143"/>
        <v/>
      </c>
      <c r="AQ335" s="9"/>
      <c r="AR335" s="9"/>
      <c r="AS335" s="9"/>
      <c r="AT335" s="9"/>
      <c r="AU335" s="9"/>
    </row>
    <row r="336" spans="1:47" x14ac:dyDescent="0.3">
      <c r="A336" s="1">
        <v>43949</v>
      </c>
      <c r="B336" s="6">
        <v>333.45001200000002</v>
      </c>
      <c r="C336" s="6">
        <v>151.83000200000001</v>
      </c>
      <c r="D336" s="6">
        <v>30.07</v>
      </c>
      <c r="E336" s="6">
        <v>136.320007</v>
      </c>
      <c r="F336" s="6">
        <v>86.419998000000007</v>
      </c>
      <c r="G336" s="6">
        <v>37.759998000000003</v>
      </c>
      <c r="H336" s="6">
        <v>94.910004000000001</v>
      </c>
      <c r="I336" s="6">
        <v>126.389999</v>
      </c>
      <c r="J336" s="6">
        <v>16.549999</v>
      </c>
      <c r="K336" s="6">
        <v>23.42</v>
      </c>
      <c r="N336" s="18">
        <v>332</v>
      </c>
      <c r="O336" s="1">
        <v>43949</v>
      </c>
      <c r="P336" s="5">
        <f t="shared" si="144"/>
        <v>-4.4145265134859515E-2</v>
      </c>
      <c r="Q336" s="5">
        <f t="shared" si="145"/>
        <v>-1.5099786795514882E-2</v>
      </c>
      <c r="R336" s="5">
        <f t="shared" si="146"/>
        <v>-6.2987113597722539E-3</v>
      </c>
      <c r="S336" s="5">
        <f t="shared" si="147"/>
        <v>1.3738305329788196E-2</v>
      </c>
      <c r="T336" s="5">
        <f t="shared" si="148"/>
        <v>9.2616356213441815E-4</v>
      </c>
      <c r="U336" s="5">
        <f t="shared" si="149"/>
        <v>3.7144910199185762E-3</v>
      </c>
      <c r="V336" s="5">
        <f t="shared" si="150"/>
        <v>1.8288675028495936E-2</v>
      </c>
      <c r="W336" s="5">
        <f t="shared" si="151"/>
        <v>1.0738662636354453E-2</v>
      </c>
      <c r="X336" s="5">
        <f t="shared" si="152"/>
        <v>5.0816324329922752E-2</v>
      </c>
      <c r="Y336" s="5">
        <f t="shared" si="153"/>
        <v>2.9025212772611889E-2</v>
      </c>
      <c r="Z336" s="33">
        <v>332</v>
      </c>
      <c r="AE336" s="20" t="str">
        <f t="shared" si="154"/>
        <v/>
      </c>
      <c r="AF336" s="22" t="str">
        <f t="shared" si="155"/>
        <v/>
      </c>
      <c r="AG336" s="9" t="str">
        <f t="shared" ca="1" si="134"/>
        <v/>
      </c>
      <c r="AH336" s="9" t="str">
        <f t="shared" ca="1" si="135"/>
        <v/>
      </c>
      <c r="AI336" s="9" t="str">
        <f t="shared" ca="1" si="136"/>
        <v/>
      </c>
      <c r="AJ336" s="9" t="str">
        <f t="shared" ca="1" si="137"/>
        <v/>
      </c>
      <c r="AK336" s="9" t="str">
        <f t="shared" ca="1" si="138"/>
        <v/>
      </c>
      <c r="AL336" s="9" t="str">
        <f t="shared" ca="1" si="139"/>
        <v/>
      </c>
      <c r="AM336" s="9" t="str">
        <f t="shared" ca="1" si="140"/>
        <v/>
      </c>
      <c r="AN336" s="9" t="str">
        <f t="shared" ca="1" si="141"/>
        <v/>
      </c>
      <c r="AO336" s="9" t="str">
        <f t="shared" ca="1" si="142"/>
        <v/>
      </c>
      <c r="AP336" s="9" t="str">
        <f t="shared" ca="1" si="143"/>
        <v/>
      </c>
      <c r="AQ336" s="9"/>
      <c r="AR336" s="9"/>
      <c r="AS336" s="9"/>
      <c r="AT336" s="9"/>
      <c r="AU336" s="9"/>
    </row>
    <row r="337" spans="1:47" x14ac:dyDescent="0.3">
      <c r="A337" s="1">
        <v>43950</v>
      </c>
      <c r="B337" s="6">
        <v>349.17001299999998</v>
      </c>
      <c r="C337" s="6">
        <v>158.009995</v>
      </c>
      <c r="D337" s="6">
        <v>31.07</v>
      </c>
      <c r="E337" s="6">
        <v>133.36000100000001</v>
      </c>
      <c r="F337" s="6">
        <v>88.879997000000003</v>
      </c>
      <c r="G337" s="6">
        <v>38.110000999999997</v>
      </c>
      <c r="H337" s="6">
        <v>96.309997999999993</v>
      </c>
      <c r="I337" s="6">
        <v>135.520004</v>
      </c>
      <c r="J337" s="6">
        <v>18.010000000000002</v>
      </c>
      <c r="K337" s="6">
        <v>24.73</v>
      </c>
      <c r="N337" s="19">
        <v>333</v>
      </c>
      <c r="O337" s="1">
        <v>43950</v>
      </c>
      <c r="P337" s="5">
        <f t="shared" si="144"/>
        <v>4.6065981787423028E-2</v>
      </c>
      <c r="Q337" s="5">
        <f t="shared" si="145"/>
        <v>3.9896803453116685E-2</v>
      </c>
      <c r="R337" s="5">
        <f t="shared" si="146"/>
        <v>3.2714726404518363E-2</v>
      </c>
      <c r="S337" s="5">
        <f t="shared" si="147"/>
        <v>-2.1952868489730666E-2</v>
      </c>
      <c r="T337" s="5">
        <f t="shared" si="148"/>
        <v>2.806800421700284E-2</v>
      </c>
      <c r="U337" s="5">
        <f t="shared" si="149"/>
        <v>9.2264528144036725E-3</v>
      </c>
      <c r="V337" s="5">
        <f t="shared" si="150"/>
        <v>1.4643018518906885E-2</v>
      </c>
      <c r="W337" s="5">
        <f t="shared" si="151"/>
        <v>6.9746903672665964E-2</v>
      </c>
      <c r="X337" s="5">
        <f t="shared" si="152"/>
        <v>8.4541117787755415E-2</v>
      </c>
      <c r="Y337" s="5">
        <f t="shared" si="153"/>
        <v>5.4426723363753454E-2</v>
      </c>
      <c r="Z337" s="33">
        <v>333</v>
      </c>
      <c r="AE337" s="20" t="str">
        <f t="shared" si="154"/>
        <v/>
      </c>
      <c r="AF337" s="22" t="str">
        <f t="shared" si="155"/>
        <v/>
      </c>
      <c r="AG337" s="9" t="str">
        <f t="shared" ca="1" si="134"/>
        <v/>
      </c>
      <c r="AH337" s="9" t="str">
        <f t="shared" ca="1" si="135"/>
        <v/>
      </c>
      <c r="AI337" s="9" t="str">
        <f t="shared" ca="1" si="136"/>
        <v/>
      </c>
      <c r="AJ337" s="9" t="str">
        <f t="shared" ca="1" si="137"/>
        <v/>
      </c>
      <c r="AK337" s="9" t="str">
        <f t="shared" ca="1" si="138"/>
        <v/>
      </c>
      <c r="AL337" s="9" t="str">
        <f t="shared" ca="1" si="139"/>
        <v/>
      </c>
      <c r="AM337" s="9" t="str">
        <f t="shared" ca="1" si="140"/>
        <v/>
      </c>
      <c r="AN337" s="9" t="str">
        <f t="shared" ca="1" si="141"/>
        <v/>
      </c>
      <c r="AO337" s="9" t="str">
        <f t="shared" ca="1" si="142"/>
        <v/>
      </c>
      <c r="AP337" s="9" t="str">
        <f t="shared" ca="1" si="143"/>
        <v/>
      </c>
      <c r="AQ337" s="9"/>
      <c r="AR337" s="9"/>
      <c r="AS337" s="9"/>
      <c r="AT337" s="9"/>
      <c r="AU337" s="9"/>
    </row>
    <row r="338" spans="1:47" x14ac:dyDescent="0.3">
      <c r="A338" s="1">
        <v>43951</v>
      </c>
      <c r="B338" s="6">
        <v>353.64001500000001</v>
      </c>
      <c r="C338" s="6">
        <v>157.11999499999999</v>
      </c>
      <c r="D338" s="6">
        <v>30.905000999999999</v>
      </c>
      <c r="E338" s="6">
        <v>132.28999300000001</v>
      </c>
      <c r="F338" s="6">
        <v>88.07</v>
      </c>
      <c r="G338" s="6">
        <v>37.470001000000003</v>
      </c>
      <c r="H338" s="6">
        <v>93.650002000000001</v>
      </c>
      <c r="I338" s="6">
        <v>130.28999300000001</v>
      </c>
      <c r="J338" s="6">
        <v>16.98</v>
      </c>
      <c r="K338" s="6">
        <v>22.42</v>
      </c>
      <c r="N338" s="18">
        <v>334</v>
      </c>
      <c r="O338" s="1">
        <v>43951</v>
      </c>
      <c r="P338" s="5">
        <f t="shared" si="144"/>
        <v>1.2720542100476961E-2</v>
      </c>
      <c r="Q338" s="5">
        <f t="shared" si="145"/>
        <v>-5.6484777364957418E-3</v>
      </c>
      <c r="R338" s="5">
        <f t="shared" si="146"/>
        <v>-5.3247079364962396E-3</v>
      </c>
      <c r="S338" s="5">
        <f t="shared" si="147"/>
        <v>-8.0558163808039842E-3</v>
      </c>
      <c r="T338" s="5">
        <f t="shared" si="148"/>
        <v>-9.1551587606306366E-3</v>
      </c>
      <c r="U338" s="5">
        <f t="shared" si="149"/>
        <v>-1.6936101631987627E-2</v>
      </c>
      <c r="V338" s="5">
        <f t="shared" si="150"/>
        <v>-2.8007684560286635E-2</v>
      </c>
      <c r="W338" s="5">
        <f t="shared" si="151"/>
        <v>-3.9356578931146462E-2</v>
      </c>
      <c r="X338" s="5">
        <f t="shared" si="152"/>
        <v>-5.889097830466352E-2</v>
      </c>
      <c r="Y338" s="5">
        <f t="shared" si="153"/>
        <v>-9.8063663889310967E-2</v>
      </c>
      <c r="Z338" s="33">
        <v>334</v>
      </c>
      <c r="AE338" s="20" t="str">
        <f t="shared" si="154"/>
        <v/>
      </c>
      <c r="AF338" s="22" t="str">
        <f t="shared" si="155"/>
        <v/>
      </c>
      <c r="AG338" s="9" t="str">
        <f t="shared" ca="1" si="134"/>
        <v/>
      </c>
      <c r="AH338" s="9" t="str">
        <f t="shared" ca="1" si="135"/>
        <v/>
      </c>
      <c r="AI338" s="9" t="str">
        <f t="shared" ca="1" si="136"/>
        <v/>
      </c>
      <c r="AJ338" s="9" t="str">
        <f t="shared" ca="1" si="137"/>
        <v/>
      </c>
      <c r="AK338" s="9" t="str">
        <f t="shared" ca="1" si="138"/>
        <v/>
      </c>
      <c r="AL338" s="9" t="str">
        <f t="shared" ca="1" si="139"/>
        <v/>
      </c>
      <c r="AM338" s="9" t="str">
        <f t="shared" ca="1" si="140"/>
        <v/>
      </c>
      <c r="AN338" s="9" t="str">
        <f t="shared" ca="1" si="141"/>
        <v/>
      </c>
      <c r="AO338" s="9" t="str">
        <f t="shared" ca="1" si="142"/>
        <v/>
      </c>
      <c r="AP338" s="9" t="str">
        <f t="shared" ca="1" si="143"/>
        <v/>
      </c>
      <c r="AQ338" s="9"/>
      <c r="AR338" s="9"/>
      <c r="AS338" s="9"/>
      <c r="AT338" s="9"/>
      <c r="AU338" s="9"/>
    </row>
    <row r="339" spans="1:47" x14ac:dyDescent="0.3">
      <c r="A339" s="1">
        <v>43952</v>
      </c>
      <c r="B339" s="6">
        <v>343.83999599999999</v>
      </c>
      <c r="C339" s="6">
        <v>149.63999899999999</v>
      </c>
      <c r="D339" s="6">
        <v>29.76</v>
      </c>
      <c r="E339" s="6">
        <v>130.13999899999999</v>
      </c>
      <c r="F339" s="6">
        <v>85.129997000000003</v>
      </c>
      <c r="G339" s="6">
        <v>36.099997999999999</v>
      </c>
      <c r="H339" s="6">
        <v>91.470000999999996</v>
      </c>
      <c r="I339" s="6">
        <v>124.050003</v>
      </c>
      <c r="J339" s="6">
        <v>16.43</v>
      </c>
      <c r="K339" s="6">
        <v>21.67</v>
      </c>
      <c r="N339" s="19">
        <v>335</v>
      </c>
      <c r="O339" s="1">
        <v>43952</v>
      </c>
      <c r="P339" s="5">
        <f t="shared" si="144"/>
        <v>-2.8103067692736666E-2</v>
      </c>
      <c r="Q339" s="5">
        <f t="shared" si="145"/>
        <v>-4.877740998610449E-2</v>
      </c>
      <c r="R339" s="5">
        <f t="shared" si="146"/>
        <v>-3.7752805503568666E-2</v>
      </c>
      <c r="S339" s="5">
        <f t="shared" si="147"/>
        <v>-1.6385643177429601E-2</v>
      </c>
      <c r="T339" s="5">
        <f t="shared" si="148"/>
        <v>-3.3952488161623752E-2</v>
      </c>
      <c r="U339" s="5">
        <f t="shared" si="149"/>
        <v>-3.724782955644116E-2</v>
      </c>
      <c r="V339" s="5">
        <f t="shared" si="150"/>
        <v>-2.3553389645391318E-2</v>
      </c>
      <c r="W339" s="5">
        <f t="shared" si="151"/>
        <v>-4.9077947166929384E-2</v>
      </c>
      <c r="X339" s="5">
        <f t="shared" si="152"/>
        <v>-3.2927248834024557E-2</v>
      </c>
      <c r="Y339" s="5">
        <f t="shared" si="153"/>
        <v>-3.4024602095746113E-2</v>
      </c>
      <c r="Z339" s="33">
        <v>335</v>
      </c>
      <c r="AE339" s="20" t="str">
        <f t="shared" si="154"/>
        <v/>
      </c>
      <c r="AF339" s="22" t="str">
        <f t="shared" si="155"/>
        <v/>
      </c>
      <c r="AG339" s="9" t="str">
        <f t="shared" ca="1" si="134"/>
        <v/>
      </c>
      <c r="AH339" s="9" t="str">
        <f t="shared" ca="1" si="135"/>
        <v/>
      </c>
      <c r="AI339" s="9" t="str">
        <f t="shared" ca="1" si="136"/>
        <v/>
      </c>
      <c r="AJ339" s="9" t="str">
        <f t="shared" ca="1" si="137"/>
        <v/>
      </c>
      <c r="AK339" s="9" t="str">
        <f t="shared" ca="1" si="138"/>
        <v/>
      </c>
      <c r="AL339" s="9" t="str">
        <f t="shared" ca="1" si="139"/>
        <v/>
      </c>
      <c r="AM339" s="9" t="str">
        <f t="shared" ca="1" si="140"/>
        <v/>
      </c>
      <c r="AN339" s="9" t="str">
        <f t="shared" ca="1" si="141"/>
        <v/>
      </c>
      <c r="AO339" s="9" t="str">
        <f t="shared" ca="1" si="142"/>
        <v/>
      </c>
      <c r="AP339" s="9" t="str">
        <f t="shared" ca="1" si="143"/>
        <v/>
      </c>
      <c r="AQ339" s="9"/>
      <c r="AR339" s="9"/>
      <c r="AS339" s="9"/>
      <c r="AT339" s="9"/>
      <c r="AU339" s="9"/>
    </row>
    <row r="340" spans="1:47" x14ac:dyDescent="0.3">
      <c r="A340" s="1">
        <v>43955</v>
      </c>
      <c r="B340" s="6">
        <v>349.10998499999999</v>
      </c>
      <c r="C340" s="6">
        <v>151.08000200000001</v>
      </c>
      <c r="D340" s="6">
        <v>29.605</v>
      </c>
      <c r="E340" s="6">
        <v>130.91999799999999</v>
      </c>
      <c r="F340" s="6">
        <v>85.860000999999997</v>
      </c>
      <c r="G340" s="6">
        <v>36.540000999999997</v>
      </c>
      <c r="H340" s="6">
        <v>90.639999000000003</v>
      </c>
      <c r="I340" s="6">
        <v>121.400002</v>
      </c>
      <c r="J340" s="6">
        <v>15.87</v>
      </c>
      <c r="K340" s="6">
        <v>21.870000999999998</v>
      </c>
      <c r="N340" s="18">
        <v>336</v>
      </c>
      <c r="O340" s="1">
        <v>43955</v>
      </c>
      <c r="P340" s="5">
        <f t="shared" si="144"/>
        <v>1.521059456081157E-2</v>
      </c>
      <c r="Q340" s="5">
        <f t="shared" si="145"/>
        <v>9.5771082850354839E-3</v>
      </c>
      <c r="R340" s="5">
        <f t="shared" si="146"/>
        <v>-5.2219439811517126E-3</v>
      </c>
      <c r="S340" s="5">
        <f t="shared" si="147"/>
        <v>5.9756479736694989E-3</v>
      </c>
      <c r="T340" s="5">
        <f t="shared" si="148"/>
        <v>8.5386097875371977E-3</v>
      </c>
      <c r="U340" s="5">
        <f t="shared" si="149"/>
        <v>1.2114768379957409E-2</v>
      </c>
      <c r="V340" s="5">
        <f t="shared" si="150"/>
        <v>-9.115454913725049E-3</v>
      </c>
      <c r="W340" s="5">
        <f t="shared" si="151"/>
        <v>-2.1593839221744311E-2</v>
      </c>
      <c r="X340" s="5">
        <f t="shared" si="152"/>
        <v>-3.4678397510858987E-2</v>
      </c>
      <c r="Y340" s="5">
        <f t="shared" si="153"/>
        <v>9.1870648651445862E-3</v>
      </c>
      <c r="Z340" s="33">
        <v>336</v>
      </c>
      <c r="AE340" s="20" t="str">
        <f t="shared" si="154"/>
        <v/>
      </c>
      <c r="AF340" s="22" t="str">
        <f t="shared" si="155"/>
        <v/>
      </c>
      <c r="AG340" s="9" t="str">
        <f t="shared" ca="1" si="134"/>
        <v/>
      </c>
      <c r="AH340" s="9" t="str">
        <f t="shared" ca="1" si="135"/>
        <v/>
      </c>
      <c r="AI340" s="9" t="str">
        <f t="shared" ca="1" si="136"/>
        <v/>
      </c>
      <c r="AJ340" s="9" t="str">
        <f t="shared" ca="1" si="137"/>
        <v/>
      </c>
      <c r="AK340" s="9" t="str">
        <f t="shared" ca="1" si="138"/>
        <v/>
      </c>
      <c r="AL340" s="9" t="str">
        <f t="shared" ca="1" si="139"/>
        <v/>
      </c>
      <c r="AM340" s="9" t="str">
        <f t="shared" ca="1" si="140"/>
        <v/>
      </c>
      <c r="AN340" s="9" t="str">
        <f t="shared" ca="1" si="141"/>
        <v/>
      </c>
      <c r="AO340" s="9" t="str">
        <f t="shared" ca="1" si="142"/>
        <v/>
      </c>
      <c r="AP340" s="9" t="str">
        <f t="shared" ca="1" si="143"/>
        <v/>
      </c>
      <c r="AQ340" s="9"/>
      <c r="AR340" s="9"/>
      <c r="AS340" s="9"/>
      <c r="AT340" s="9"/>
      <c r="AU340" s="9"/>
    </row>
    <row r="341" spans="1:47" x14ac:dyDescent="0.3">
      <c r="A341" s="1">
        <v>43956</v>
      </c>
      <c r="B341" s="6">
        <v>356.13000499999998</v>
      </c>
      <c r="C341" s="6">
        <v>154.240005</v>
      </c>
      <c r="D341" s="6">
        <v>30.325001</v>
      </c>
      <c r="E341" s="6">
        <v>131.66999799999999</v>
      </c>
      <c r="F341" s="6">
        <v>86.010002</v>
      </c>
      <c r="G341" s="6">
        <v>36.599997999999999</v>
      </c>
      <c r="H341" s="6">
        <v>91.889999000000003</v>
      </c>
      <c r="I341" s="6">
        <v>121.66999800000001</v>
      </c>
      <c r="J341" s="6">
        <v>15.79</v>
      </c>
      <c r="K341" s="6">
        <v>21.25</v>
      </c>
      <c r="N341" s="19">
        <v>337</v>
      </c>
      <c r="O341" s="1">
        <v>43956</v>
      </c>
      <c r="P341" s="5">
        <f t="shared" si="144"/>
        <v>1.9908830951675102E-2</v>
      </c>
      <c r="Q341" s="5">
        <f t="shared" si="145"/>
        <v>2.0700352196971698E-2</v>
      </c>
      <c r="R341" s="5">
        <f t="shared" si="146"/>
        <v>2.4029221822466255E-2</v>
      </c>
      <c r="S341" s="5">
        <f t="shared" si="147"/>
        <v>5.7123428222884912E-3</v>
      </c>
      <c r="T341" s="5">
        <f t="shared" si="148"/>
        <v>1.7455173732166319E-3</v>
      </c>
      <c r="U341" s="5">
        <f t="shared" si="149"/>
        <v>1.6406074453813699E-3</v>
      </c>
      <c r="V341" s="5">
        <f t="shared" si="150"/>
        <v>1.3696592943122367E-2</v>
      </c>
      <c r="W341" s="5">
        <f t="shared" si="151"/>
        <v>2.2215502615893731E-3</v>
      </c>
      <c r="X341" s="5">
        <f t="shared" si="152"/>
        <v>-5.0537062707669564E-3</v>
      </c>
      <c r="Y341" s="5">
        <f t="shared" si="153"/>
        <v>-2.875898504298657E-2</v>
      </c>
      <c r="Z341" s="33">
        <v>337</v>
      </c>
      <c r="AE341" s="20" t="str">
        <f t="shared" si="154"/>
        <v/>
      </c>
      <c r="AF341" s="22" t="str">
        <f t="shared" si="155"/>
        <v/>
      </c>
      <c r="AG341" s="9" t="str">
        <f t="shared" ca="1" si="134"/>
        <v/>
      </c>
      <c r="AH341" s="9" t="str">
        <f t="shared" ca="1" si="135"/>
        <v/>
      </c>
      <c r="AI341" s="9" t="str">
        <f t="shared" ca="1" si="136"/>
        <v/>
      </c>
      <c r="AJ341" s="9" t="str">
        <f t="shared" ca="1" si="137"/>
        <v/>
      </c>
      <c r="AK341" s="9" t="str">
        <f t="shared" ca="1" si="138"/>
        <v/>
      </c>
      <c r="AL341" s="9" t="str">
        <f t="shared" ca="1" si="139"/>
        <v/>
      </c>
      <c r="AM341" s="9" t="str">
        <f t="shared" ca="1" si="140"/>
        <v/>
      </c>
      <c r="AN341" s="9" t="str">
        <f t="shared" ca="1" si="141"/>
        <v/>
      </c>
      <c r="AO341" s="9" t="str">
        <f t="shared" ca="1" si="142"/>
        <v/>
      </c>
      <c r="AP341" s="9" t="str">
        <f t="shared" ca="1" si="143"/>
        <v/>
      </c>
      <c r="AQ341" s="9"/>
      <c r="AR341" s="9"/>
      <c r="AS341" s="9"/>
      <c r="AT341" s="9"/>
      <c r="AU341" s="9"/>
    </row>
    <row r="342" spans="1:47" x14ac:dyDescent="0.3">
      <c r="A342" s="1">
        <v>43957</v>
      </c>
      <c r="B342" s="6">
        <v>362.51998900000001</v>
      </c>
      <c r="C342" s="6">
        <v>156.83000200000001</v>
      </c>
      <c r="D342" s="6">
        <v>30.65</v>
      </c>
      <c r="E342" s="6">
        <v>130.779999</v>
      </c>
      <c r="F342" s="6">
        <v>84.089995999999999</v>
      </c>
      <c r="G342" s="6">
        <v>36.049999</v>
      </c>
      <c r="H342" s="6">
        <v>90.370002999999997</v>
      </c>
      <c r="I342" s="6">
        <v>119.699997</v>
      </c>
      <c r="J342" s="6">
        <v>16.219999000000001</v>
      </c>
      <c r="K342" s="6">
        <v>20.85</v>
      </c>
      <c r="N342" s="18">
        <v>338</v>
      </c>
      <c r="O342" s="1">
        <v>43957</v>
      </c>
      <c r="P342" s="5">
        <f t="shared" si="144"/>
        <v>1.7783768070058034E-2</v>
      </c>
      <c r="Q342" s="5">
        <f t="shared" si="145"/>
        <v>1.6652565619747924E-2</v>
      </c>
      <c r="R342" s="5">
        <f t="shared" si="146"/>
        <v>1.0660174576014638E-2</v>
      </c>
      <c r="S342" s="5">
        <f t="shared" si="147"/>
        <v>-6.7822626920624862E-3</v>
      </c>
      <c r="T342" s="5">
        <f t="shared" si="148"/>
        <v>-2.2575985539774392E-2</v>
      </c>
      <c r="U342" s="5">
        <f t="shared" si="149"/>
        <v>-1.5141349770803647E-2</v>
      </c>
      <c r="V342" s="5">
        <f t="shared" si="150"/>
        <v>-1.6679811519495335E-2</v>
      </c>
      <c r="W342" s="5">
        <f t="shared" si="151"/>
        <v>-1.6323857860181298E-2</v>
      </c>
      <c r="X342" s="5">
        <f t="shared" si="152"/>
        <v>2.6868158767433169E-2</v>
      </c>
      <c r="Y342" s="5">
        <f t="shared" si="153"/>
        <v>-1.9002947125615358E-2</v>
      </c>
      <c r="Z342" s="33">
        <v>338</v>
      </c>
      <c r="AE342" s="20" t="str">
        <f t="shared" si="154"/>
        <v/>
      </c>
      <c r="AF342" s="22" t="str">
        <f t="shared" si="155"/>
        <v/>
      </c>
      <c r="AG342" s="9" t="str">
        <f t="shared" ca="1" si="134"/>
        <v/>
      </c>
      <c r="AH342" s="9" t="str">
        <f t="shared" ca="1" si="135"/>
        <v/>
      </c>
      <c r="AI342" s="9" t="str">
        <f t="shared" ca="1" si="136"/>
        <v/>
      </c>
      <c r="AJ342" s="9" t="str">
        <f t="shared" ca="1" si="137"/>
        <v/>
      </c>
      <c r="AK342" s="9" t="str">
        <f t="shared" ca="1" si="138"/>
        <v/>
      </c>
      <c r="AL342" s="9" t="str">
        <f t="shared" ca="1" si="139"/>
        <v/>
      </c>
      <c r="AM342" s="9" t="str">
        <f t="shared" ca="1" si="140"/>
        <v/>
      </c>
      <c r="AN342" s="9" t="str">
        <f t="shared" ca="1" si="141"/>
        <v/>
      </c>
      <c r="AO342" s="9" t="str">
        <f t="shared" ca="1" si="142"/>
        <v/>
      </c>
      <c r="AP342" s="9" t="str">
        <f t="shared" ca="1" si="143"/>
        <v/>
      </c>
      <c r="AQ342" s="9"/>
      <c r="AR342" s="9"/>
      <c r="AS342" s="9"/>
      <c r="AT342" s="9"/>
      <c r="AU342" s="9"/>
    </row>
    <row r="343" spans="1:47" x14ac:dyDescent="0.3">
      <c r="A343" s="1">
        <v>43958</v>
      </c>
      <c r="B343" s="6">
        <v>366.77999899999998</v>
      </c>
      <c r="C343" s="6">
        <v>158.94000199999999</v>
      </c>
      <c r="D343" s="6">
        <v>31.045000000000002</v>
      </c>
      <c r="E343" s="6">
        <v>131.550003</v>
      </c>
      <c r="F343" s="6">
        <v>87.260002</v>
      </c>
      <c r="G343" s="6">
        <v>37.840000000000003</v>
      </c>
      <c r="H343" s="6">
        <v>91.07</v>
      </c>
      <c r="I343" s="6">
        <v>122.209999</v>
      </c>
      <c r="J343" s="6">
        <v>16.27</v>
      </c>
      <c r="K343" s="6">
        <v>20.530000999999999</v>
      </c>
      <c r="N343" s="19">
        <v>339</v>
      </c>
      <c r="O343" s="1">
        <v>43958</v>
      </c>
      <c r="P343" s="5">
        <f t="shared" si="144"/>
        <v>1.1682595698831989E-2</v>
      </c>
      <c r="Q343" s="5">
        <f t="shared" si="145"/>
        <v>1.3364356196402622E-2</v>
      </c>
      <c r="R343" s="5">
        <f t="shared" si="146"/>
        <v>1.2805102434635835E-2</v>
      </c>
      <c r="S343" s="5">
        <f t="shared" si="147"/>
        <v>5.870515804617781E-3</v>
      </c>
      <c r="T343" s="5">
        <f t="shared" si="148"/>
        <v>3.7004584338748744E-2</v>
      </c>
      <c r="U343" s="5">
        <f t="shared" si="149"/>
        <v>4.845990819197097E-2</v>
      </c>
      <c r="V343" s="5">
        <f t="shared" si="150"/>
        <v>7.7160544690058255E-3</v>
      </c>
      <c r="W343" s="5">
        <f t="shared" si="151"/>
        <v>2.0752280766002208E-2</v>
      </c>
      <c r="X343" s="5">
        <f t="shared" si="152"/>
        <v>3.077934195962567E-3</v>
      </c>
      <c r="Y343" s="5">
        <f t="shared" si="153"/>
        <v>-1.5466668504763532E-2</v>
      </c>
      <c r="Z343" s="33">
        <v>339</v>
      </c>
      <c r="AE343" s="20" t="str">
        <f t="shared" si="154"/>
        <v/>
      </c>
      <c r="AF343" s="22" t="str">
        <f t="shared" si="155"/>
        <v/>
      </c>
      <c r="AG343" s="9" t="str">
        <f t="shared" ca="1" si="134"/>
        <v/>
      </c>
      <c r="AH343" s="9" t="str">
        <f t="shared" ca="1" si="135"/>
        <v/>
      </c>
      <c r="AI343" s="9" t="str">
        <f t="shared" ca="1" si="136"/>
        <v/>
      </c>
      <c r="AJ343" s="9" t="str">
        <f t="shared" ca="1" si="137"/>
        <v/>
      </c>
      <c r="AK343" s="9" t="str">
        <f t="shared" ca="1" si="138"/>
        <v/>
      </c>
      <c r="AL343" s="9" t="str">
        <f t="shared" ca="1" si="139"/>
        <v/>
      </c>
      <c r="AM343" s="9" t="str">
        <f t="shared" ca="1" si="140"/>
        <v/>
      </c>
      <c r="AN343" s="9" t="str">
        <f t="shared" ca="1" si="141"/>
        <v/>
      </c>
      <c r="AO343" s="9" t="str">
        <f t="shared" ca="1" si="142"/>
        <v/>
      </c>
      <c r="AP343" s="9" t="str">
        <f t="shared" ca="1" si="143"/>
        <v/>
      </c>
      <c r="AQ343" s="9"/>
      <c r="AR343" s="9"/>
      <c r="AS343" s="9"/>
      <c r="AT343" s="9"/>
      <c r="AU343" s="9"/>
    </row>
    <row r="344" spans="1:47" x14ac:dyDescent="0.3">
      <c r="A344" s="1">
        <v>43959</v>
      </c>
      <c r="B344" s="6">
        <v>367.51001000000002</v>
      </c>
      <c r="C344" s="6">
        <v>160.16999799999999</v>
      </c>
      <c r="D344" s="6">
        <v>32.889999000000003</v>
      </c>
      <c r="E344" s="6">
        <v>134.229996</v>
      </c>
      <c r="F344" s="6">
        <v>88.459998999999996</v>
      </c>
      <c r="G344" s="6">
        <v>38.340000000000003</v>
      </c>
      <c r="H344" s="6">
        <v>92.230002999999996</v>
      </c>
      <c r="I344" s="6">
        <v>127.33000199999999</v>
      </c>
      <c r="J344" s="6">
        <v>17.32</v>
      </c>
      <c r="K344" s="6">
        <v>21.09</v>
      </c>
      <c r="N344" s="18">
        <v>340</v>
      </c>
      <c r="O344" s="1">
        <v>43959</v>
      </c>
      <c r="P344" s="5">
        <f t="shared" si="144"/>
        <v>1.9883458349203601E-3</v>
      </c>
      <c r="Q344" s="5">
        <f t="shared" si="145"/>
        <v>7.7089535980735058E-3</v>
      </c>
      <c r="R344" s="5">
        <f t="shared" si="146"/>
        <v>5.7730864979730782E-2</v>
      </c>
      <c r="S344" s="5">
        <f t="shared" si="147"/>
        <v>2.0167686408627979E-2</v>
      </c>
      <c r="T344" s="5">
        <f t="shared" si="148"/>
        <v>1.3658270520163702E-2</v>
      </c>
      <c r="U344" s="5">
        <f t="shared" si="149"/>
        <v>1.3126993433820892E-2</v>
      </c>
      <c r="V344" s="5">
        <f t="shared" si="150"/>
        <v>1.2657048195277036E-2</v>
      </c>
      <c r="W344" s="5">
        <f t="shared" si="151"/>
        <v>4.1041289025288821E-2</v>
      </c>
      <c r="X344" s="5">
        <f t="shared" si="152"/>
        <v>6.2538981903342741E-2</v>
      </c>
      <c r="Y344" s="5">
        <f t="shared" si="153"/>
        <v>2.6911714750636195E-2</v>
      </c>
      <c r="Z344" s="33">
        <v>340</v>
      </c>
      <c r="AE344" s="20" t="str">
        <f t="shared" si="154"/>
        <v/>
      </c>
      <c r="AF344" s="22" t="str">
        <f t="shared" si="155"/>
        <v/>
      </c>
      <c r="AG344" s="9" t="str">
        <f t="shared" ca="1" si="134"/>
        <v/>
      </c>
      <c r="AH344" s="9" t="str">
        <f t="shared" ca="1" si="135"/>
        <v/>
      </c>
      <c r="AI344" s="9" t="str">
        <f t="shared" ca="1" si="136"/>
        <v/>
      </c>
      <c r="AJ344" s="9" t="str">
        <f t="shared" ca="1" si="137"/>
        <v/>
      </c>
      <c r="AK344" s="9" t="str">
        <f t="shared" ca="1" si="138"/>
        <v/>
      </c>
      <c r="AL344" s="9" t="str">
        <f t="shared" ca="1" si="139"/>
        <v/>
      </c>
      <c r="AM344" s="9" t="str">
        <f t="shared" ca="1" si="140"/>
        <v/>
      </c>
      <c r="AN344" s="9" t="str">
        <f t="shared" ca="1" si="141"/>
        <v/>
      </c>
      <c r="AO344" s="9" t="str">
        <f t="shared" ca="1" si="142"/>
        <v/>
      </c>
      <c r="AP344" s="9" t="str">
        <f t="shared" ca="1" si="143"/>
        <v/>
      </c>
      <c r="AQ344" s="9"/>
      <c r="AR344" s="9"/>
      <c r="AS344" s="9"/>
      <c r="AT344" s="9"/>
      <c r="AU344" s="9"/>
    </row>
    <row r="345" spans="1:47" x14ac:dyDescent="0.3">
      <c r="A345" s="1">
        <v>43962</v>
      </c>
      <c r="B345" s="6">
        <v>371.42001299999998</v>
      </c>
      <c r="C345" s="6">
        <v>161.58000200000001</v>
      </c>
      <c r="D345" s="6">
        <v>33.200001</v>
      </c>
      <c r="E345" s="6">
        <v>134.38000500000001</v>
      </c>
      <c r="F345" s="6">
        <v>87.269997000000004</v>
      </c>
      <c r="G345" s="6">
        <v>37.779998999999997</v>
      </c>
      <c r="H345" s="6">
        <v>90.720000999999996</v>
      </c>
      <c r="I345" s="6">
        <v>124.839996</v>
      </c>
      <c r="J345" s="6">
        <v>16.690000999999999</v>
      </c>
      <c r="K345" s="6">
        <v>20.329999999999998</v>
      </c>
      <c r="N345" s="19">
        <v>341</v>
      </c>
      <c r="O345" s="1">
        <v>43962</v>
      </c>
      <c r="P345" s="5">
        <f t="shared" si="144"/>
        <v>1.0582976388534508E-2</v>
      </c>
      <c r="Q345" s="5">
        <f t="shared" si="145"/>
        <v>8.7646497358603807E-3</v>
      </c>
      <c r="R345" s="5">
        <f t="shared" si="146"/>
        <v>9.381276246337342E-3</v>
      </c>
      <c r="S345" s="5">
        <f t="shared" si="147"/>
        <v>1.116927999974494E-3</v>
      </c>
      <c r="T345" s="5">
        <f t="shared" si="148"/>
        <v>-1.3543734336490988E-2</v>
      </c>
      <c r="U345" s="5">
        <f t="shared" si="149"/>
        <v>-1.4713902013166663E-2</v>
      </c>
      <c r="V345" s="5">
        <f t="shared" si="150"/>
        <v>-1.6507638772634663E-2</v>
      </c>
      <c r="W345" s="5">
        <f t="shared" si="151"/>
        <v>-1.9749271930995807E-2</v>
      </c>
      <c r="X345" s="5">
        <f t="shared" si="152"/>
        <v>-3.7052105544429864E-2</v>
      </c>
      <c r="Y345" s="5">
        <f t="shared" si="153"/>
        <v>-3.670136685042804E-2</v>
      </c>
      <c r="Z345" s="33">
        <v>341</v>
      </c>
      <c r="AE345" s="20" t="str">
        <f t="shared" si="154"/>
        <v/>
      </c>
      <c r="AF345" s="22" t="str">
        <f t="shared" si="155"/>
        <v/>
      </c>
      <c r="AG345" s="9" t="str">
        <f t="shared" ca="1" si="134"/>
        <v/>
      </c>
      <c r="AH345" s="9" t="str">
        <f t="shared" ca="1" si="135"/>
        <v/>
      </c>
      <c r="AI345" s="9" t="str">
        <f t="shared" ca="1" si="136"/>
        <v/>
      </c>
      <c r="AJ345" s="9" t="str">
        <f t="shared" ca="1" si="137"/>
        <v/>
      </c>
      <c r="AK345" s="9" t="str">
        <f t="shared" ca="1" si="138"/>
        <v/>
      </c>
      <c r="AL345" s="9" t="str">
        <f t="shared" ca="1" si="139"/>
        <v/>
      </c>
      <c r="AM345" s="9" t="str">
        <f t="shared" ca="1" si="140"/>
        <v/>
      </c>
      <c r="AN345" s="9" t="str">
        <f t="shared" ca="1" si="141"/>
        <v/>
      </c>
      <c r="AO345" s="9" t="str">
        <f t="shared" ca="1" si="142"/>
        <v/>
      </c>
      <c r="AP345" s="9" t="str">
        <f t="shared" ca="1" si="143"/>
        <v/>
      </c>
      <c r="AQ345" s="9"/>
      <c r="AR345" s="9"/>
      <c r="AS345" s="9"/>
      <c r="AT345" s="9"/>
      <c r="AU345" s="9"/>
    </row>
    <row r="346" spans="1:47" x14ac:dyDescent="0.3">
      <c r="A346" s="1">
        <v>43963</v>
      </c>
      <c r="B346" s="6">
        <v>365.10000600000001</v>
      </c>
      <c r="C346" s="6">
        <v>158.570007</v>
      </c>
      <c r="D346" s="6">
        <v>33.095001000000003</v>
      </c>
      <c r="E346" s="6">
        <v>132.94000199999999</v>
      </c>
      <c r="F346" s="6">
        <v>84.18</v>
      </c>
      <c r="G346" s="6">
        <v>36.130001</v>
      </c>
      <c r="H346" s="6">
        <v>86.739998</v>
      </c>
      <c r="I346" s="6">
        <v>122.739998</v>
      </c>
      <c r="J346" s="6">
        <v>16.129999000000002</v>
      </c>
      <c r="K346" s="6">
        <v>19.780000999999999</v>
      </c>
      <c r="N346" s="18">
        <v>342</v>
      </c>
      <c r="O346" s="1">
        <v>43963</v>
      </c>
      <c r="P346" s="5">
        <f t="shared" si="144"/>
        <v>-1.7162227670269193E-2</v>
      </c>
      <c r="Q346" s="5">
        <f t="shared" si="145"/>
        <v>-1.8804208083315024E-2</v>
      </c>
      <c r="R346" s="5">
        <f t="shared" si="146"/>
        <v>-3.1676622559939052E-3</v>
      </c>
      <c r="S346" s="5">
        <f t="shared" si="147"/>
        <v>-1.0773731042104622E-2</v>
      </c>
      <c r="T346" s="5">
        <f t="shared" si="148"/>
        <v>-3.604936345672053E-2</v>
      </c>
      <c r="U346" s="5">
        <f t="shared" si="149"/>
        <v>-4.4656262766953232E-2</v>
      </c>
      <c r="V346" s="5">
        <f t="shared" si="150"/>
        <v>-4.486273565256254E-2</v>
      </c>
      <c r="W346" s="5">
        <f t="shared" si="151"/>
        <v>-1.6964604695221385E-2</v>
      </c>
      <c r="X346" s="5">
        <f t="shared" si="152"/>
        <v>-3.4128967449023807E-2</v>
      </c>
      <c r="Y346" s="5">
        <f t="shared" si="153"/>
        <v>-2.7426250889573185E-2</v>
      </c>
      <c r="Z346" s="33">
        <v>342</v>
      </c>
      <c r="AE346" s="20" t="str">
        <f t="shared" si="154"/>
        <v/>
      </c>
      <c r="AF346" s="22" t="str">
        <f t="shared" si="155"/>
        <v/>
      </c>
      <c r="AG346" s="9" t="str">
        <f t="shared" ca="1" si="134"/>
        <v/>
      </c>
      <c r="AH346" s="9" t="str">
        <f t="shared" ca="1" si="135"/>
        <v/>
      </c>
      <c r="AI346" s="9" t="str">
        <f t="shared" ca="1" si="136"/>
        <v/>
      </c>
      <c r="AJ346" s="9" t="str">
        <f t="shared" ca="1" si="137"/>
        <v/>
      </c>
      <c r="AK346" s="9" t="str">
        <f t="shared" ca="1" si="138"/>
        <v/>
      </c>
      <c r="AL346" s="9" t="str">
        <f t="shared" ca="1" si="139"/>
        <v/>
      </c>
      <c r="AM346" s="9" t="str">
        <f t="shared" ca="1" si="140"/>
        <v/>
      </c>
      <c r="AN346" s="9" t="str">
        <f t="shared" ca="1" si="141"/>
        <v/>
      </c>
      <c r="AO346" s="9" t="str">
        <f t="shared" ca="1" si="142"/>
        <v/>
      </c>
      <c r="AP346" s="9" t="str">
        <f t="shared" ca="1" si="143"/>
        <v/>
      </c>
      <c r="AQ346" s="9"/>
      <c r="AR346" s="9"/>
      <c r="AS346" s="9"/>
      <c r="AT346" s="9"/>
      <c r="AU346" s="9"/>
    </row>
    <row r="347" spans="1:47" x14ac:dyDescent="0.3">
      <c r="A347" s="1">
        <v>43964</v>
      </c>
      <c r="B347" s="6">
        <v>358.55999800000001</v>
      </c>
      <c r="C347" s="6">
        <v>156.199997</v>
      </c>
      <c r="D347" s="6">
        <v>32.584999000000003</v>
      </c>
      <c r="E347" s="6">
        <v>132.96000699999999</v>
      </c>
      <c r="F347" s="6">
        <v>83.889999000000003</v>
      </c>
      <c r="G347" s="6">
        <v>35.18</v>
      </c>
      <c r="H347" s="6">
        <v>83.410004000000001</v>
      </c>
      <c r="I347" s="6">
        <v>120.050003</v>
      </c>
      <c r="J347" s="6">
        <v>15.13</v>
      </c>
      <c r="K347" s="6">
        <v>19.129999000000002</v>
      </c>
      <c r="N347" s="19">
        <v>343</v>
      </c>
      <c r="O347" s="1">
        <v>43964</v>
      </c>
      <c r="P347" s="5">
        <f t="shared" si="144"/>
        <v>-1.807530062069497E-2</v>
      </c>
      <c r="Q347" s="5">
        <f t="shared" si="145"/>
        <v>-1.5058962146577627E-2</v>
      </c>
      <c r="R347" s="5">
        <f t="shared" si="146"/>
        <v>-1.5530214691554491E-2</v>
      </c>
      <c r="S347" s="5">
        <f t="shared" si="147"/>
        <v>1.5047009673278673E-4</v>
      </c>
      <c r="T347" s="5">
        <f t="shared" si="148"/>
        <v>-3.450958404593414E-3</v>
      </c>
      <c r="U347" s="5">
        <f t="shared" si="149"/>
        <v>-2.6645833527966397E-2</v>
      </c>
      <c r="V347" s="5">
        <f t="shared" si="150"/>
        <v>-3.9146861140407094E-2</v>
      </c>
      <c r="W347" s="5">
        <f t="shared" si="151"/>
        <v>-2.2159933009494759E-2</v>
      </c>
      <c r="X347" s="5">
        <f t="shared" si="152"/>
        <v>-6.400130234057079E-2</v>
      </c>
      <c r="Y347" s="5">
        <f t="shared" si="153"/>
        <v>-3.341364557243711E-2</v>
      </c>
      <c r="Z347" s="33">
        <v>343</v>
      </c>
      <c r="AE347" s="20" t="str">
        <f t="shared" si="154"/>
        <v/>
      </c>
      <c r="AF347" s="22" t="str">
        <f t="shared" si="155"/>
        <v/>
      </c>
      <c r="AG347" s="9" t="str">
        <f t="shared" ca="1" si="134"/>
        <v/>
      </c>
      <c r="AH347" s="9" t="str">
        <f t="shared" ca="1" si="135"/>
        <v/>
      </c>
      <c r="AI347" s="9" t="str">
        <f t="shared" ca="1" si="136"/>
        <v/>
      </c>
      <c r="AJ347" s="9" t="str">
        <f t="shared" ca="1" si="137"/>
        <v/>
      </c>
      <c r="AK347" s="9" t="str">
        <f t="shared" ca="1" si="138"/>
        <v/>
      </c>
      <c r="AL347" s="9" t="str">
        <f t="shared" ca="1" si="139"/>
        <v/>
      </c>
      <c r="AM347" s="9" t="str">
        <f t="shared" ca="1" si="140"/>
        <v/>
      </c>
      <c r="AN347" s="9" t="str">
        <f t="shared" ca="1" si="141"/>
        <v/>
      </c>
      <c r="AO347" s="9" t="str">
        <f t="shared" ca="1" si="142"/>
        <v/>
      </c>
      <c r="AP347" s="9" t="str">
        <f t="shared" ca="1" si="143"/>
        <v/>
      </c>
      <c r="AQ347" s="9"/>
      <c r="AR347" s="9"/>
      <c r="AS347" s="9"/>
      <c r="AT347" s="9"/>
      <c r="AU347" s="9"/>
    </row>
    <row r="348" spans="1:47" x14ac:dyDescent="0.3">
      <c r="A348" s="1">
        <v>43965</v>
      </c>
      <c r="B348" s="6">
        <v>355.39001500000001</v>
      </c>
      <c r="C348" s="6">
        <v>157.83000200000001</v>
      </c>
      <c r="D348" s="6">
        <v>32.494999</v>
      </c>
      <c r="E348" s="6">
        <v>133.08000200000001</v>
      </c>
      <c r="F348" s="6">
        <v>83.220000999999996</v>
      </c>
      <c r="G348" s="6">
        <v>34.900002000000001</v>
      </c>
      <c r="H348" s="6">
        <v>85.489998</v>
      </c>
      <c r="I348" s="6">
        <v>123.889999</v>
      </c>
      <c r="J348" s="6">
        <v>15.36</v>
      </c>
      <c r="K348" s="6">
        <v>20.540001</v>
      </c>
      <c r="N348" s="18">
        <v>344</v>
      </c>
      <c r="O348" s="1">
        <v>43965</v>
      </c>
      <c r="P348" s="5">
        <f t="shared" si="144"/>
        <v>-8.8801842529817321E-3</v>
      </c>
      <c r="Q348" s="5">
        <f t="shared" si="145"/>
        <v>1.0381298883248208E-2</v>
      </c>
      <c r="R348" s="5">
        <f t="shared" si="146"/>
        <v>-2.7658285230294957E-3</v>
      </c>
      <c r="S348" s="5">
        <f t="shared" si="147"/>
        <v>9.0208242428083119E-4</v>
      </c>
      <c r="T348" s="5">
        <f t="shared" si="148"/>
        <v>-8.0186893666939121E-3</v>
      </c>
      <c r="U348" s="5">
        <f t="shared" si="149"/>
        <v>-7.9908527944419841E-3</v>
      </c>
      <c r="V348" s="5">
        <f t="shared" si="150"/>
        <v>2.4631132434193008E-2</v>
      </c>
      <c r="W348" s="5">
        <f t="shared" si="151"/>
        <v>3.1485719399121467E-2</v>
      </c>
      <c r="X348" s="5">
        <f t="shared" si="152"/>
        <v>1.50871999192614E-2</v>
      </c>
      <c r="Y348" s="5">
        <f t="shared" si="153"/>
        <v>7.1116522007657737E-2</v>
      </c>
      <c r="Z348" s="33">
        <v>344</v>
      </c>
      <c r="AE348" s="20" t="str">
        <f t="shared" si="154"/>
        <v/>
      </c>
      <c r="AF348" s="22" t="str">
        <f t="shared" si="155"/>
        <v/>
      </c>
      <c r="AG348" s="9" t="str">
        <f t="shared" ca="1" si="134"/>
        <v/>
      </c>
      <c r="AH348" s="9" t="str">
        <f t="shared" ca="1" si="135"/>
        <v/>
      </c>
      <c r="AI348" s="9" t="str">
        <f t="shared" ca="1" si="136"/>
        <v/>
      </c>
      <c r="AJ348" s="9" t="str">
        <f t="shared" ca="1" si="137"/>
        <v/>
      </c>
      <c r="AK348" s="9" t="str">
        <f t="shared" ca="1" si="138"/>
        <v/>
      </c>
      <c r="AL348" s="9" t="str">
        <f t="shared" ca="1" si="139"/>
        <v/>
      </c>
      <c r="AM348" s="9" t="str">
        <f t="shared" ca="1" si="140"/>
        <v/>
      </c>
      <c r="AN348" s="9" t="str">
        <f t="shared" ca="1" si="141"/>
        <v/>
      </c>
      <c r="AO348" s="9" t="str">
        <f t="shared" ca="1" si="142"/>
        <v/>
      </c>
      <c r="AP348" s="9" t="str">
        <f t="shared" ca="1" si="143"/>
        <v/>
      </c>
      <c r="AQ348" s="9"/>
      <c r="AR348" s="9"/>
      <c r="AS348" s="9"/>
      <c r="AT348" s="9"/>
      <c r="AU348" s="9"/>
    </row>
    <row r="349" spans="1:47" x14ac:dyDescent="0.3">
      <c r="A349" s="1">
        <v>43966</v>
      </c>
      <c r="B349" s="6">
        <v>365.29998799999998</v>
      </c>
      <c r="C349" s="6">
        <v>158.729996</v>
      </c>
      <c r="D349" s="6">
        <v>33.005001</v>
      </c>
      <c r="E349" s="6">
        <v>135.949997</v>
      </c>
      <c r="F349" s="6">
        <v>83.800003000000004</v>
      </c>
      <c r="G349" s="6">
        <v>34.759998000000003</v>
      </c>
      <c r="H349" s="6">
        <v>84.940002000000007</v>
      </c>
      <c r="I349" s="6">
        <v>122.949997</v>
      </c>
      <c r="J349" s="6">
        <v>15.37</v>
      </c>
      <c r="K349" s="6">
        <v>20.469999000000001</v>
      </c>
      <c r="N349" s="19">
        <v>345</v>
      </c>
      <c r="O349" s="1">
        <v>43966</v>
      </c>
      <c r="P349" s="5">
        <f t="shared" si="144"/>
        <v>2.750308072975562E-2</v>
      </c>
      <c r="Q349" s="5">
        <f t="shared" si="145"/>
        <v>5.6861033014369757E-3</v>
      </c>
      <c r="R349" s="5">
        <f t="shared" si="146"/>
        <v>1.5572894866826751E-2</v>
      </c>
      <c r="S349" s="5">
        <f t="shared" si="147"/>
        <v>2.1336682832712884E-2</v>
      </c>
      <c r="T349" s="5">
        <f t="shared" si="148"/>
        <v>6.9453277164221545E-3</v>
      </c>
      <c r="U349" s="5">
        <f t="shared" si="149"/>
        <v>-4.0196436551796551E-3</v>
      </c>
      <c r="V349" s="5">
        <f t="shared" si="150"/>
        <v>-6.4542382124355849E-3</v>
      </c>
      <c r="W349" s="5">
        <f t="shared" si="151"/>
        <v>-7.6163227939323747E-3</v>
      </c>
      <c r="X349" s="5">
        <f t="shared" si="152"/>
        <v>6.5082983097845912E-4</v>
      </c>
      <c r="Y349" s="5">
        <f t="shared" si="153"/>
        <v>-3.4139023646842233E-3</v>
      </c>
      <c r="Z349" s="33">
        <v>345</v>
      </c>
      <c r="AE349" s="20" t="str">
        <f t="shared" si="154"/>
        <v/>
      </c>
      <c r="AF349" s="22" t="str">
        <f t="shared" si="155"/>
        <v/>
      </c>
      <c r="AG349" s="9" t="str">
        <f t="shared" ca="1" si="134"/>
        <v/>
      </c>
      <c r="AH349" s="9" t="str">
        <f t="shared" ca="1" si="135"/>
        <v/>
      </c>
      <c r="AI349" s="9" t="str">
        <f t="shared" ca="1" si="136"/>
        <v/>
      </c>
      <c r="AJ349" s="9" t="str">
        <f t="shared" ca="1" si="137"/>
        <v/>
      </c>
      <c r="AK349" s="9" t="str">
        <f t="shared" ca="1" si="138"/>
        <v/>
      </c>
      <c r="AL349" s="9" t="str">
        <f t="shared" ca="1" si="139"/>
        <v/>
      </c>
      <c r="AM349" s="9" t="str">
        <f t="shared" ca="1" si="140"/>
        <v/>
      </c>
      <c r="AN349" s="9" t="str">
        <f t="shared" ca="1" si="141"/>
        <v/>
      </c>
      <c r="AO349" s="9" t="str">
        <f t="shared" ca="1" si="142"/>
        <v/>
      </c>
      <c r="AP349" s="9" t="str">
        <f t="shared" ca="1" si="143"/>
        <v/>
      </c>
      <c r="AQ349" s="9"/>
      <c r="AR349" s="9"/>
      <c r="AS349" s="9"/>
      <c r="AT349" s="9"/>
      <c r="AU349" s="9"/>
    </row>
    <row r="350" spans="1:47" x14ac:dyDescent="0.3">
      <c r="A350" s="1">
        <v>43969</v>
      </c>
      <c r="B350" s="6">
        <v>367.97000100000002</v>
      </c>
      <c r="C350" s="6">
        <v>159.86999499999999</v>
      </c>
      <c r="D350" s="6">
        <v>33.310001</v>
      </c>
      <c r="E350" s="6">
        <v>135.520004</v>
      </c>
      <c r="F350" s="6">
        <v>90.919998000000007</v>
      </c>
      <c r="G350" s="6">
        <v>36.889999000000003</v>
      </c>
      <c r="H350" s="6">
        <v>90.519997000000004</v>
      </c>
      <c r="I350" s="6">
        <v>134.38999899999999</v>
      </c>
      <c r="J350" s="6">
        <v>16.620000999999998</v>
      </c>
      <c r="K350" s="6">
        <v>21.280000999999999</v>
      </c>
      <c r="N350" s="18">
        <v>346</v>
      </c>
      <c r="O350" s="1">
        <v>43969</v>
      </c>
      <c r="P350" s="5">
        <f t="shared" si="144"/>
        <v>7.2825148728121467E-3</v>
      </c>
      <c r="Q350" s="5">
        <f t="shared" si="145"/>
        <v>7.1563333172642981E-3</v>
      </c>
      <c r="R350" s="5">
        <f t="shared" si="146"/>
        <v>9.1985867874292224E-3</v>
      </c>
      <c r="S350" s="5">
        <f t="shared" si="147"/>
        <v>-3.1678885918606818E-3</v>
      </c>
      <c r="T350" s="5">
        <f t="shared" si="148"/>
        <v>8.1546933699422522E-2</v>
      </c>
      <c r="U350" s="5">
        <f t="shared" si="149"/>
        <v>5.9473241641176428E-2</v>
      </c>
      <c r="V350" s="5">
        <f t="shared" si="150"/>
        <v>6.3625639192331662E-2</v>
      </c>
      <c r="W350" s="5">
        <f t="shared" si="151"/>
        <v>8.8968268855904309E-2</v>
      </c>
      <c r="X350" s="5">
        <f t="shared" si="152"/>
        <v>7.8189292045267506E-2</v>
      </c>
      <c r="Y350" s="5">
        <f t="shared" si="153"/>
        <v>3.880736064470508E-2</v>
      </c>
      <c r="Z350" s="33">
        <v>346</v>
      </c>
      <c r="AE350" s="20" t="str">
        <f t="shared" si="154"/>
        <v/>
      </c>
      <c r="AF350" s="22" t="str">
        <f t="shared" si="155"/>
        <v/>
      </c>
      <c r="AG350" s="9" t="str">
        <f t="shared" ca="1" si="134"/>
        <v/>
      </c>
      <c r="AH350" s="9" t="str">
        <f t="shared" ca="1" si="135"/>
        <v/>
      </c>
      <c r="AI350" s="9" t="str">
        <f t="shared" ca="1" si="136"/>
        <v/>
      </c>
      <c r="AJ350" s="9" t="str">
        <f t="shared" ca="1" si="137"/>
        <v/>
      </c>
      <c r="AK350" s="9" t="str">
        <f t="shared" ca="1" si="138"/>
        <v/>
      </c>
      <c r="AL350" s="9" t="str">
        <f t="shared" ca="1" si="139"/>
        <v/>
      </c>
      <c r="AM350" s="9" t="str">
        <f t="shared" ca="1" si="140"/>
        <v/>
      </c>
      <c r="AN350" s="9" t="str">
        <f t="shared" ca="1" si="141"/>
        <v/>
      </c>
      <c r="AO350" s="9" t="str">
        <f t="shared" ca="1" si="142"/>
        <v/>
      </c>
      <c r="AP350" s="9" t="str">
        <f t="shared" ca="1" si="143"/>
        <v/>
      </c>
      <c r="AQ350" s="9"/>
      <c r="AR350" s="9"/>
      <c r="AS350" s="9"/>
      <c r="AT350" s="9"/>
      <c r="AU350" s="9"/>
    </row>
    <row r="351" spans="1:47" x14ac:dyDescent="0.3">
      <c r="A351" s="1">
        <v>43970</v>
      </c>
      <c r="B351" s="6">
        <v>372.20001200000002</v>
      </c>
      <c r="C351" s="6">
        <v>162.020004</v>
      </c>
      <c r="D351" s="6">
        <v>33.575001</v>
      </c>
      <c r="E351" s="6">
        <v>131.729996</v>
      </c>
      <c r="F351" s="6">
        <v>88.889999000000003</v>
      </c>
      <c r="G351" s="6">
        <v>35.889999000000003</v>
      </c>
      <c r="H351" s="6">
        <v>89.559997999999993</v>
      </c>
      <c r="I351" s="6">
        <v>132.86999499999999</v>
      </c>
      <c r="J351" s="6">
        <v>16.049999</v>
      </c>
      <c r="K351" s="6">
        <v>21.049999</v>
      </c>
      <c r="N351" s="19">
        <v>347</v>
      </c>
      <c r="O351" s="1">
        <v>43970</v>
      </c>
      <c r="P351" s="5">
        <f t="shared" si="144"/>
        <v>1.1429960624544808E-2</v>
      </c>
      <c r="Q351" s="5">
        <f t="shared" si="145"/>
        <v>1.3358855389266271E-2</v>
      </c>
      <c r="R351" s="5">
        <f t="shared" si="146"/>
        <v>7.9240899667639107E-3</v>
      </c>
      <c r="S351" s="5">
        <f t="shared" si="147"/>
        <v>-2.8364917543087918E-2</v>
      </c>
      <c r="T351" s="5">
        <f t="shared" si="148"/>
        <v>-2.2580337983257787E-2</v>
      </c>
      <c r="U351" s="5">
        <f t="shared" si="149"/>
        <v>-2.7481807204365615E-2</v>
      </c>
      <c r="V351" s="5">
        <f t="shared" si="150"/>
        <v>-1.0662018224333238E-2</v>
      </c>
      <c r="W351" s="5">
        <f t="shared" si="151"/>
        <v>-1.1374844145494004E-2</v>
      </c>
      <c r="X351" s="5">
        <f t="shared" si="152"/>
        <v>-3.4898062325044943E-2</v>
      </c>
      <c r="Y351" s="5">
        <f t="shared" si="153"/>
        <v>-1.0867198843472594E-2</v>
      </c>
      <c r="Z351" s="33">
        <v>347</v>
      </c>
      <c r="AE351" s="20" t="str">
        <f t="shared" si="154"/>
        <v/>
      </c>
      <c r="AF351" s="22" t="str">
        <f t="shared" si="155"/>
        <v/>
      </c>
      <c r="AG351" s="9" t="str">
        <f t="shared" ca="1" si="134"/>
        <v/>
      </c>
      <c r="AH351" s="9" t="str">
        <f t="shared" ca="1" si="135"/>
        <v/>
      </c>
      <c r="AI351" s="9" t="str">
        <f t="shared" ca="1" si="136"/>
        <v/>
      </c>
      <c r="AJ351" s="9" t="str">
        <f t="shared" ca="1" si="137"/>
        <v/>
      </c>
      <c r="AK351" s="9" t="str">
        <f t="shared" ca="1" si="138"/>
        <v/>
      </c>
      <c r="AL351" s="9" t="str">
        <f t="shared" ca="1" si="139"/>
        <v/>
      </c>
      <c r="AM351" s="9" t="str">
        <f t="shared" ca="1" si="140"/>
        <v/>
      </c>
      <c r="AN351" s="9" t="str">
        <f t="shared" ca="1" si="141"/>
        <v/>
      </c>
      <c r="AO351" s="9" t="str">
        <f t="shared" ca="1" si="142"/>
        <v/>
      </c>
      <c r="AP351" s="9" t="str">
        <f t="shared" ca="1" si="143"/>
        <v/>
      </c>
      <c r="AQ351" s="9"/>
      <c r="AR351" s="9"/>
      <c r="AS351" s="9"/>
      <c r="AT351" s="9"/>
      <c r="AU351" s="9"/>
    </row>
    <row r="352" spans="1:47" x14ac:dyDescent="0.3">
      <c r="A352" s="1">
        <v>43971</v>
      </c>
      <c r="B352" s="6">
        <v>383.63000499999998</v>
      </c>
      <c r="C352" s="6">
        <v>165.470001</v>
      </c>
      <c r="D352" s="6">
        <v>34.705002</v>
      </c>
      <c r="E352" s="6">
        <v>131.259995</v>
      </c>
      <c r="F352" s="6">
        <v>89.43</v>
      </c>
      <c r="G352" s="6">
        <v>36.279998999999997</v>
      </c>
      <c r="H352" s="6">
        <v>91.040001000000004</v>
      </c>
      <c r="I352" s="6">
        <v>133.720001</v>
      </c>
      <c r="J352" s="6">
        <v>16.670000000000002</v>
      </c>
      <c r="K352" s="6">
        <v>21.17</v>
      </c>
      <c r="N352" s="18">
        <v>348</v>
      </c>
      <c r="O352" s="1">
        <v>43971</v>
      </c>
      <c r="P352" s="5">
        <f t="shared" si="144"/>
        <v>3.0247183000895572E-2</v>
      </c>
      <c r="Q352" s="5">
        <f t="shared" si="145"/>
        <v>2.1070106456489518E-2</v>
      </c>
      <c r="R352" s="5">
        <f t="shared" si="146"/>
        <v>3.3102054226762816E-2</v>
      </c>
      <c r="S352" s="5">
        <f t="shared" si="147"/>
        <v>-3.5742919233542891E-3</v>
      </c>
      <c r="T352" s="5">
        <f t="shared" si="148"/>
        <v>6.0565573543656052E-3</v>
      </c>
      <c r="U352" s="5">
        <f t="shared" si="149"/>
        <v>1.0807920386938324E-2</v>
      </c>
      <c r="V352" s="5">
        <f t="shared" si="150"/>
        <v>1.6390211963047852E-2</v>
      </c>
      <c r="W352" s="5">
        <f t="shared" si="151"/>
        <v>6.3769000577618947E-3</v>
      </c>
      <c r="X352" s="5">
        <f t="shared" si="152"/>
        <v>3.7901909491975826E-2</v>
      </c>
      <c r="Y352" s="5">
        <f t="shared" si="153"/>
        <v>5.6845725243227802E-3</v>
      </c>
      <c r="Z352" s="33">
        <v>348</v>
      </c>
      <c r="AE352" s="20" t="str">
        <f t="shared" si="154"/>
        <v/>
      </c>
      <c r="AF352" s="22" t="str">
        <f t="shared" si="155"/>
        <v/>
      </c>
      <c r="AG352" s="9" t="str">
        <f t="shared" ca="1" si="134"/>
        <v/>
      </c>
      <c r="AH352" s="9" t="str">
        <f t="shared" ca="1" si="135"/>
        <v/>
      </c>
      <c r="AI352" s="9" t="str">
        <f t="shared" ca="1" si="136"/>
        <v/>
      </c>
      <c r="AJ352" s="9" t="str">
        <f t="shared" ca="1" si="137"/>
        <v/>
      </c>
      <c r="AK352" s="9" t="str">
        <f t="shared" ca="1" si="138"/>
        <v/>
      </c>
      <c r="AL352" s="9" t="str">
        <f t="shared" ca="1" si="139"/>
        <v/>
      </c>
      <c r="AM352" s="9" t="str">
        <f t="shared" ca="1" si="140"/>
        <v/>
      </c>
      <c r="AN352" s="9" t="str">
        <f t="shared" ca="1" si="141"/>
        <v/>
      </c>
      <c r="AO352" s="9" t="str">
        <f t="shared" ca="1" si="142"/>
        <v/>
      </c>
      <c r="AP352" s="9" t="str">
        <f t="shared" ca="1" si="143"/>
        <v/>
      </c>
      <c r="AQ352" s="9"/>
      <c r="AR352" s="9"/>
      <c r="AS352" s="9"/>
      <c r="AT352" s="9"/>
      <c r="AU352" s="9"/>
    </row>
    <row r="353" spans="1:47" x14ac:dyDescent="0.3">
      <c r="A353" s="1">
        <v>43972</v>
      </c>
      <c r="B353" s="6">
        <v>382.17001299999998</v>
      </c>
      <c r="C353" s="6">
        <v>168.490005</v>
      </c>
      <c r="D353" s="6">
        <v>34.18</v>
      </c>
      <c r="E353" s="6">
        <v>130.21000699999999</v>
      </c>
      <c r="F353" s="6">
        <v>88.779999000000004</v>
      </c>
      <c r="G353" s="6">
        <v>35.869999</v>
      </c>
      <c r="H353" s="6">
        <v>90.839995999999999</v>
      </c>
      <c r="I353" s="6">
        <v>132.86999499999999</v>
      </c>
      <c r="J353" s="6">
        <v>16.329999999999998</v>
      </c>
      <c r="K353" s="6">
        <v>20.67</v>
      </c>
      <c r="N353" s="19">
        <v>349</v>
      </c>
      <c r="O353" s="1">
        <v>43972</v>
      </c>
      <c r="P353" s="5">
        <f t="shared" si="144"/>
        <v>-3.8129896436961573E-3</v>
      </c>
      <c r="Q353" s="5">
        <f t="shared" si="145"/>
        <v>1.8086514978500664E-2</v>
      </c>
      <c r="R353" s="5">
        <f t="shared" si="146"/>
        <v>-1.5243148732684309E-2</v>
      </c>
      <c r="S353" s="5">
        <f t="shared" si="147"/>
        <v>-8.0314654532928458E-3</v>
      </c>
      <c r="T353" s="5">
        <f t="shared" si="148"/>
        <v>-7.294808215998789E-3</v>
      </c>
      <c r="U353" s="5">
        <f t="shared" si="149"/>
        <v>-1.1365334017798739E-2</v>
      </c>
      <c r="V353" s="5">
        <f t="shared" si="150"/>
        <v>-2.1993081583122744E-3</v>
      </c>
      <c r="W353" s="5">
        <f t="shared" si="151"/>
        <v>-6.3769000577619103E-3</v>
      </c>
      <c r="X353" s="5">
        <f t="shared" si="152"/>
        <v>-2.0606789780329138E-2</v>
      </c>
      <c r="Y353" s="5">
        <f t="shared" si="153"/>
        <v>-2.3901711453096868E-2</v>
      </c>
      <c r="Z353" s="33">
        <v>349</v>
      </c>
      <c r="AE353" s="20" t="str">
        <f t="shared" si="154"/>
        <v/>
      </c>
      <c r="AF353" s="22" t="str">
        <f t="shared" si="155"/>
        <v/>
      </c>
      <c r="AG353" s="9" t="str">
        <f t="shared" ca="1" si="134"/>
        <v/>
      </c>
      <c r="AH353" s="9" t="str">
        <f t="shared" ca="1" si="135"/>
        <v/>
      </c>
      <c r="AI353" s="9" t="str">
        <f t="shared" ca="1" si="136"/>
        <v/>
      </c>
      <c r="AJ353" s="9" t="str">
        <f t="shared" ca="1" si="137"/>
        <v/>
      </c>
      <c r="AK353" s="9" t="str">
        <f t="shared" ca="1" si="138"/>
        <v/>
      </c>
      <c r="AL353" s="9" t="str">
        <f t="shared" ca="1" si="139"/>
        <v/>
      </c>
      <c r="AM353" s="9" t="str">
        <f t="shared" ca="1" si="140"/>
        <v/>
      </c>
      <c r="AN353" s="9" t="str">
        <f t="shared" ca="1" si="141"/>
        <v/>
      </c>
      <c r="AO353" s="9" t="str">
        <f t="shared" ca="1" si="142"/>
        <v/>
      </c>
      <c r="AP353" s="9" t="str">
        <f t="shared" ca="1" si="143"/>
        <v/>
      </c>
      <c r="AQ353" s="9"/>
      <c r="AR353" s="9"/>
      <c r="AS353" s="9"/>
      <c r="AT353" s="9"/>
      <c r="AU353" s="9"/>
    </row>
    <row r="354" spans="1:47" x14ac:dyDescent="0.3">
      <c r="A354" s="1">
        <v>43973</v>
      </c>
      <c r="B354" s="6">
        <v>385.26001000000002</v>
      </c>
      <c r="C354" s="6">
        <v>171.11000100000001</v>
      </c>
      <c r="D354" s="6">
        <v>34.354999999999997</v>
      </c>
      <c r="E354" s="6">
        <v>130.479996</v>
      </c>
      <c r="F354" s="6">
        <v>88.580001999999993</v>
      </c>
      <c r="G354" s="6">
        <v>36.279998999999997</v>
      </c>
      <c r="H354" s="6">
        <v>89.769997000000004</v>
      </c>
      <c r="I354" s="6">
        <v>128.88000500000001</v>
      </c>
      <c r="J354" s="6">
        <v>16.48</v>
      </c>
      <c r="K354" s="6">
        <v>20.299999</v>
      </c>
      <c r="N354" s="18">
        <v>350</v>
      </c>
      <c r="O354" s="1">
        <v>43973</v>
      </c>
      <c r="P354" s="5">
        <f t="shared" si="144"/>
        <v>8.0528871844284845E-3</v>
      </c>
      <c r="Q354" s="5">
        <f t="shared" si="145"/>
        <v>1.5430199862427793E-2</v>
      </c>
      <c r="R354" s="5">
        <f t="shared" si="146"/>
        <v>5.1068907955944222E-3</v>
      </c>
      <c r="S354" s="5">
        <f t="shared" si="147"/>
        <v>2.0713421567713341E-3</v>
      </c>
      <c r="T354" s="5">
        <f t="shared" si="148"/>
        <v>-2.2552670685790205E-3</v>
      </c>
      <c r="U354" s="5">
        <f t="shared" si="149"/>
        <v>1.1365334017798817E-2</v>
      </c>
      <c r="V354" s="5">
        <f t="shared" si="150"/>
        <v>-1.1848862854031479E-2</v>
      </c>
      <c r="W354" s="5">
        <f t="shared" si="151"/>
        <v>-3.0489391307951558E-2</v>
      </c>
      <c r="X354" s="5">
        <f t="shared" si="152"/>
        <v>9.1436174989519888E-3</v>
      </c>
      <c r="Y354" s="5">
        <f t="shared" si="153"/>
        <v>-1.8062536907020279E-2</v>
      </c>
      <c r="Z354" s="33">
        <v>350</v>
      </c>
      <c r="AE354" s="20" t="str">
        <f t="shared" si="154"/>
        <v/>
      </c>
      <c r="AF354" s="22" t="str">
        <f t="shared" si="155"/>
        <v/>
      </c>
      <c r="AG354" s="9" t="str">
        <f t="shared" ca="1" si="134"/>
        <v/>
      </c>
      <c r="AH354" s="9" t="str">
        <f t="shared" ca="1" si="135"/>
        <v/>
      </c>
      <c r="AI354" s="9" t="str">
        <f t="shared" ca="1" si="136"/>
        <v/>
      </c>
      <c r="AJ354" s="9" t="str">
        <f t="shared" ca="1" si="137"/>
        <v/>
      </c>
      <c r="AK354" s="9" t="str">
        <f t="shared" ca="1" si="138"/>
        <v/>
      </c>
      <c r="AL354" s="9" t="str">
        <f t="shared" ca="1" si="139"/>
        <v/>
      </c>
      <c r="AM354" s="9" t="str">
        <f t="shared" ca="1" si="140"/>
        <v/>
      </c>
      <c r="AN354" s="9" t="str">
        <f t="shared" ca="1" si="141"/>
        <v/>
      </c>
      <c r="AO354" s="9" t="str">
        <f t="shared" ca="1" si="142"/>
        <v/>
      </c>
      <c r="AP354" s="9" t="str">
        <f t="shared" ca="1" si="143"/>
        <v/>
      </c>
      <c r="AQ354" s="9"/>
      <c r="AR354" s="9"/>
      <c r="AS354" s="9"/>
      <c r="AT354" s="9"/>
      <c r="AU354" s="9"/>
    </row>
    <row r="355" spans="1:47" x14ac:dyDescent="0.3">
      <c r="A355" s="1">
        <v>43977</v>
      </c>
      <c r="B355" s="6">
        <v>376.63000499999998</v>
      </c>
      <c r="C355" s="6">
        <v>168.529999</v>
      </c>
      <c r="D355" s="6">
        <v>34.505001</v>
      </c>
      <c r="E355" s="6">
        <v>129.75</v>
      </c>
      <c r="F355" s="6">
        <v>92.150002000000001</v>
      </c>
      <c r="G355" s="6">
        <v>38.25</v>
      </c>
      <c r="H355" s="6">
        <v>94.790001000000004</v>
      </c>
      <c r="I355" s="6">
        <v>137</v>
      </c>
      <c r="J355" s="6">
        <v>17.530000999999999</v>
      </c>
      <c r="K355" s="6">
        <v>21.92</v>
      </c>
      <c r="N355" s="19">
        <v>351</v>
      </c>
      <c r="O355" s="1">
        <v>43977</v>
      </c>
      <c r="P355" s="5">
        <f t="shared" si="144"/>
        <v>-2.2655170547691887E-2</v>
      </c>
      <c r="Q355" s="5">
        <f t="shared" si="145"/>
        <v>-1.5192860833806002E-2</v>
      </c>
      <c r="R355" s="5">
        <f t="shared" si="146"/>
        <v>4.3567015708325992E-3</v>
      </c>
      <c r="S355" s="5">
        <f t="shared" si="147"/>
        <v>-5.6104056107206778E-3</v>
      </c>
      <c r="T355" s="5">
        <f t="shared" si="148"/>
        <v>3.9511584746064088E-2</v>
      </c>
      <c r="U355" s="5">
        <f t="shared" si="149"/>
        <v>5.2876962589005212E-2</v>
      </c>
      <c r="V355" s="5">
        <f t="shared" si="150"/>
        <v>5.4413118664726409E-2</v>
      </c>
      <c r="W355" s="5">
        <f t="shared" si="151"/>
        <v>6.1099148163627569E-2</v>
      </c>
      <c r="X355" s="5">
        <f t="shared" si="152"/>
        <v>6.1766231496881326E-2</v>
      </c>
      <c r="Y355" s="5">
        <f t="shared" si="153"/>
        <v>7.6778625293158195E-2</v>
      </c>
      <c r="Z355" s="33">
        <v>351</v>
      </c>
      <c r="AE355" s="20" t="str">
        <f t="shared" si="154"/>
        <v/>
      </c>
      <c r="AF355" s="22" t="str">
        <f t="shared" si="155"/>
        <v/>
      </c>
      <c r="AG355" s="9" t="str">
        <f t="shared" ca="1" si="134"/>
        <v/>
      </c>
      <c r="AH355" s="9" t="str">
        <f t="shared" ca="1" si="135"/>
        <v/>
      </c>
      <c r="AI355" s="9" t="str">
        <f t="shared" ca="1" si="136"/>
        <v/>
      </c>
      <c r="AJ355" s="9" t="str">
        <f t="shared" ca="1" si="137"/>
        <v/>
      </c>
      <c r="AK355" s="9" t="str">
        <f t="shared" ca="1" si="138"/>
        <v/>
      </c>
      <c r="AL355" s="9" t="str">
        <f t="shared" ca="1" si="139"/>
        <v/>
      </c>
      <c r="AM355" s="9" t="str">
        <f t="shared" ca="1" si="140"/>
        <v/>
      </c>
      <c r="AN355" s="9" t="str">
        <f t="shared" ca="1" si="141"/>
        <v/>
      </c>
      <c r="AO355" s="9" t="str">
        <f t="shared" ca="1" si="142"/>
        <v/>
      </c>
      <c r="AP355" s="9" t="str">
        <f t="shared" ca="1" si="143"/>
        <v/>
      </c>
      <c r="AQ355" s="9"/>
      <c r="AR355" s="9"/>
      <c r="AS355" s="9"/>
      <c r="AT355" s="9"/>
      <c r="AU355" s="9"/>
    </row>
    <row r="356" spans="1:47" x14ac:dyDescent="0.3">
      <c r="A356" s="1">
        <v>43978</v>
      </c>
      <c r="B356" s="6">
        <v>375.17001299999998</v>
      </c>
      <c r="C356" s="6">
        <v>170.41999799999999</v>
      </c>
      <c r="D356" s="6">
        <v>35.299999</v>
      </c>
      <c r="E356" s="6">
        <v>130.80999800000001</v>
      </c>
      <c r="F356" s="6">
        <v>91.440002000000007</v>
      </c>
      <c r="G356" s="6">
        <v>38.299999</v>
      </c>
      <c r="H356" s="6">
        <v>97.269997000000004</v>
      </c>
      <c r="I356" s="6">
        <v>136.21000699999999</v>
      </c>
      <c r="J356" s="6">
        <v>18.190000999999999</v>
      </c>
      <c r="K356" s="6">
        <v>22.620000999999998</v>
      </c>
      <c r="N356" s="18">
        <v>352</v>
      </c>
      <c r="O356" s="1">
        <v>43978</v>
      </c>
      <c r="P356" s="5">
        <f t="shared" si="144"/>
        <v>-3.8839952126260954E-3</v>
      </c>
      <c r="Q356" s="5">
        <f t="shared" si="145"/>
        <v>1.1152197109831202E-2</v>
      </c>
      <c r="R356" s="5">
        <f t="shared" si="146"/>
        <v>2.277866555676689E-2</v>
      </c>
      <c r="S356" s="5">
        <f t="shared" si="147"/>
        <v>8.136351364786628E-3</v>
      </c>
      <c r="T356" s="5">
        <f t="shared" si="148"/>
        <v>-7.7346644607549789E-3</v>
      </c>
      <c r="U356" s="5">
        <f t="shared" si="149"/>
        <v>1.3063098043944817E-3</v>
      </c>
      <c r="V356" s="5">
        <f t="shared" si="150"/>
        <v>2.5826657024776115E-2</v>
      </c>
      <c r="W356" s="5">
        <f t="shared" si="151"/>
        <v>-5.7830619776418919E-3</v>
      </c>
      <c r="X356" s="5">
        <f t="shared" si="152"/>
        <v>3.6958291527083506E-2</v>
      </c>
      <c r="Y356" s="5">
        <f t="shared" si="153"/>
        <v>3.1435052816823315E-2</v>
      </c>
      <c r="Z356" s="33">
        <v>352</v>
      </c>
      <c r="AE356" s="20" t="str">
        <f t="shared" si="154"/>
        <v/>
      </c>
      <c r="AF356" s="22" t="str">
        <f t="shared" si="155"/>
        <v/>
      </c>
      <c r="AG356" s="9" t="str">
        <f t="shared" ca="1" si="134"/>
        <v/>
      </c>
      <c r="AH356" s="9" t="str">
        <f t="shared" ca="1" si="135"/>
        <v/>
      </c>
      <c r="AI356" s="9" t="str">
        <f t="shared" ca="1" si="136"/>
        <v/>
      </c>
      <c r="AJ356" s="9" t="str">
        <f t="shared" ca="1" si="137"/>
        <v/>
      </c>
      <c r="AK356" s="9" t="str">
        <f t="shared" ca="1" si="138"/>
        <v/>
      </c>
      <c r="AL356" s="9" t="str">
        <f t="shared" ca="1" si="139"/>
        <v/>
      </c>
      <c r="AM356" s="9" t="str">
        <f t="shared" ca="1" si="140"/>
        <v/>
      </c>
      <c r="AN356" s="9" t="str">
        <f t="shared" ca="1" si="141"/>
        <v/>
      </c>
      <c r="AO356" s="9" t="str">
        <f t="shared" ca="1" si="142"/>
        <v/>
      </c>
      <c r="AP356" s="9" t="str">
        <f t="shared" ca="1" si="143"/>
        <v/>
      </c>
      <c r="AQ356" s="9"/>
      <c r="AR356" s="9"/>
      <c r="AS356" s="9"/>
      <c r="AT356" s="9"/>
      <c r="AU356" s="9"/>
    </row>
    <row r="357" spans="1:47" x14ac:dyDescent="0.3">
      <c r="A357" s="1">
        <v>43979</v>
      </c>
      <c r="B357" s="6">
        <v>379.82998700000002</v>
      </c>
      <c r="C357" s="6">
        <v>174.050003</v>
      </c>
      <c r="D357" s="6">
        <v>35.435001</v>
      </c>
      <c r="E357" s="6">
        <v>132.28999300000001</v>
      </c>
      <c r="F357" s="6">
        <v>92.550003000000004</v>
      </c>
      <c r="G357" s="6">
        <v>38.450001</v>
      </c>
      <c r="H357" s="6">
        <v>97.029999000000004</v>
      </c>
      <c r="I357" s="6">
        <v>133.75</v>
      </c>
      <c r="J357" s="6">
        <v>17.440000999999999</v>
      </c>
      <c r="K357" s="6">
        <v>21.969999000000001</v>
      </c>
      <c r="N357" s="19">
        <v>353</v>
      </c>
      <c r="O357" s="1">
        <v>43979</v>
      </c>
      <c r="P357" s="5">
        <f t="shared" si="144"/>
        <v>1.234445874424238E-2</v>
      </c>
      <c r="Q357" s="5">
        <f t="shared" si="145"/>
        <v>2.1076664829776045E-2</v>
      </c>
      <c r="R357" s="5">
        <f t="shared" si="146"/>
        <v>3.8171248722659937E-3</v>
      </c>
      <c r="S357" s="5">
        <f t="shared" si="147"/>
        <v>1.1250556149450393E-2</v>
      </c>
      <c r="T357" s="5">
        <f t="shared" si="148"/>
        <v>1.2066030075595898E-2</v>
      </c>
      <c r="U357" s="5">
        <f t="shared" si="149"/>
        <v>3.908851882515621E-3</v>
      </c>
      <c r="V357" s="5">
        <f t="shared" si="150"/>
        <v>-2.4703873082451708E-3</v>
      </c>
      <c r="W357" s="5">
        <f t="shared" si="151"/>
        <v>-1.8225478074367054E-2</v>
      </c>
      <c r="X357" s="5">
        <f t="shared" si="152"/>
        <v>-4.210557168500903E-2</v>
      </c>
      <c r="Y357" s="5">
        <f t="shared" si="153"/>
        <v>-2.9156674016733952E-2</v>
      </c>
      <c r="Z357" s="33">
        <v>353</v>
      </c>
      <c r="AE357" s="20" t="str">
        <f t="shared" si="154"/>
        <v/>
      </c>
      <c r="AF357" s="22" t="str">
        <f t="shared" si="155"/>
        <v/>
      </c>
      <c r="AG357" s="9" t="str">
        <f t="shared" ca="1" si="134"/>
        <v/>
      </c>
      <c r="AH357" s="9" t="str">
        <f t="shared" ca="1" si="135"/>
        <v/>
      </c>
      <c r="AI357" s="9" t="str">
        <f t="shared" ca="1" si="136"/>
        <v/>
      </c>
      <c r="AJ357" s="9" t="str">
        <f t="shared" ca="1" si="137"/>
        <v/>
      </c>
      <c r="AK357" s="9" t="str">
        <f t="shared" ca="1" si="138"/>
        <v/>
      </c>
      <c r="AL357" s="9" t="str">
        <f t="shared" ca="1" si="139"/>
        <v/>
      </c>
      <c r="AM357" s="9" t="str">
        <f t="shared" ca="1" si="140"/>
        <v/>
      </c>
      <c r="AN357" s="9" t="str">
        <f t="shared" ca="1" si="141"/>
        <v/>
      </c>
      <c r="AO357" s="9" t="str">
        <f t="shared" ca="1" si="142"/>
        <v/>
      </c>
      <c r="AP357" s="9" t="str">
        <f t="shared" ca="1" si="143"/>
        <v/>
      </c>
      <c r="AQ357" s="9"/>
      <c r="AR357" s="9"/>
      <c r="AS357" s="9"/>
      <c r="AT357" s="9"/>
      <c r="AU357" s="9"/>
    </row>
    <row r="358" spans="1:47" x14ac:dyDescent="0.3">
      <c r="A358" s="1">
        <v>43980</v>
      </c>
      <c r="B358" s="6">
        <v>386.60000600000001</v>
      </c>
      <c r="C358" s="6">
        <v>180.91000399999999</v>
      </c>
      <c r="D358" s="6">
        <v>35.955002</v>
      </c>
      <c r="E358" s="6">
        <v>131.550003</v>
      </c>
      <c r="F358" s="6">
        <v>91.57</v>
      </c>
      <c r="G358" s="6">
        <v>36.979999999999997</v>
      </c>
      <c r="H358" s="6">
        <v>97.25</v>
      </c>
      <c r="I358" s="6">
        <v>129.69000199999999</v>
      </c>
      <c r="J358" s="6">
        <v>17.110001</v>
      </c>
      <c r="K358" s="6">
        <v>21.75</v>
      </c>
      <c r="N358" s="18">
        <v>354</v>
      </c>
      <c r="O358" s="1">
        <v>43980</v>
      </c>
      <c r="P358" s="5">
        <f t="shared" si="144"/>
        <v>1.7666832319714606E-2</v>
      </c>
      <c r="Q358" s="5">
        <f t="shared" si="145"/>
        <v>3.8657060649736966E-2</v>
      </c>
      <c r="R358" s="5">
        <f t="shared" si="146"/>
        <v>1.456815169663799E-2</v>
      </c>
      <c r="S358" s="5">
        <f t="shared" si="147"/>
        <v>-5.6093992689163416E-3</v>
      </c>
      <c r="T358" s="5">
        <f t="shared" si="148"/>
        <v>-1.0645364314776138E-2</v>
      </c>
      <c r="U358" s="5">
        <f t="shared" si="149"/>
        <v>-3.8981496000476262E-2</v>
      </c>
      <c r="V358" s="5">
        <f t="shared" si="150"/>
        <v>2.2647837674384429E-3</v>
      </c>
      <c r="W358" s="5">
        <f t="shared" si="151"/>
        <v>-3.0825383007076539E-2</v>
      </c>
      <c r="X358" s="5">
        <f t="shared" si="152"/>
        <v>-1.91033294708274E-2</v>
      </c>
      <c r="Y358" s="5">
        <f t="shared" si="153"/>
        <v>-1.0064083345211203E-2</v>
      </c>
      <c r="Z358" s="33">
        <v>354</v>
      </c>
      <c r="AE358" s="20" t="str">
        <f t="shared" si="154"/>
        <v/>
      </c>
      <c r="AF358" s="22" t="str">
        <f t="shared" si="155"/>
        <v/>
      </c>
      <c r="AG358" s="9" t="str">
        <f t="shared" ca="1" si="134"/>
        <v/>
      </c>
      <c r="AH358" s="9" t="str">
        <f t="shared" ca="1" si="135"/>
        <v/>
      </c>
      <c r="AI358" s="9" t="str">
        <f t="shared" ca="1" si="136"/>
        <v/>
      </c>
      <c r="AJ358" s="9" t="str">
        <f t="shared" ca="1" si="137"/>
        <v/>
      </c>
      <c r="AK358" s="9" t="str">
        <f t="shared" ca="1" si="138"/>
        <v/>
      </c>
      <c r="AL358" s="9" t="str">
        <f t="shared" ca="1" si="139"/>
        <v/>
      </c>
      <c r="AM358" s="9" t="str">
        <f t="shared" ca="1" si="140"/>
        <v/>
      </c>
      <c r="AN358" s="9" t="str">
        <f t="shared" ca="1" si="141"/>
        <v/>
      </c>
      <c r="AO358" s="9" t="str">
        <f t="shared" ca="1" si="142"/>
        <v/>
      </c>
      <c r="AP358" s="9" t="str">
        <f t="shared" ca="1" si="143"/>
        <v/>
      </c>
      <c r="AQ358" s="9"/>
      <c r="AR358" s="9"/>
      <c r="AS358" s="9"/>
      <c r="AT358" s="9"/>
      <c r="AU358" s="9"/>
    </row>
    <row r="359" spans="1:47" x14ac:dyDescent="0.3">
      <c r="A359" s="1">
        <v>43983</v>
      </c>
      <c r="B359" s="6">
        <v>389.67999300000002</v>
      </c>
      <c r="C359" s="6">
        <v>182.60000600000001</v>
      </c>
      <c r="D359" s="6">
        <v>36.294998</v>
      </c>
      <c r="E359" s="6">
        <v>132.990005</v>
      </c>
      <c r="F359" s="6">
        <v>93.309997999999993</v>
      </c>
      <c r="G359" s="6">
        <v>37.759998000000003</v>
      </c>
      <c r="H359" s="6">
        <v>97.75</v>
      </c>
      <c r="I359" s="6">
        <v>130.009995</v>
      </c>
      <c r="J359" s="6">
        <v>17.469999000000001</v>
      </c>
      <c r="K359" s="6">
        <v>21.950001</v>
      </c>
      <c r="N359" s="19">
        <v>355</v>
      </c>
      <c r="O359" s="1">
        <v>43983</v>
      </c>
      <c r="P359" s="5">
        <f t="shared" si="144"/>
        <v>7.9352892406823056E-3</v>
      </c>
      <c r="Q359" s="5">
        <f t="shared" si="145"/>
        <v>9.298308875963961E-3</v>
      </c>
      <c r="R359" s="5">
        <f t="shared" si="146"/>
        <v>9.4117234532508504E-3</v>
      </c>
      <c r="S359" s="5">
        <f t="shared" si="147"/>
        <v>1.0886944730564287E-2</v>
      </c>
      <c r="T359" s="5">
        <f t="shared" si="148"/>
        <v>1.8823554692359599E-2</v>
      </c>
      <c r="U359" s="5">
        <f t="shared" si="149"/>
        <v>2.08730623522182E-2</v>
      </c>
      <c r="V359" s="5">
        <f t="shared" si="150"/>
        <v>5.1282163669195292E-3</v>
      </c>
      <c r="W359" s="5">
        <f t="shared" si="151"/>
        <v>2.4643293464570995E-3</v>
      </c>
      <c r="X359" s="5">
        <f t="shared" si="152"/>
        <v>2.0821920555525172E-2</v>
      </c>
      <c r="Y359" s="5">
        <f t="shared" si="153"/>
        <v>9.1534275445727606E-3</v>
      </c>
      <c r="Z359" s="33">
        <v>355</v>
      </c>
      <c r="AE359" s="20" t="str">
        <f t="shared" si="154"/>
        <v/>
      </c>
      <c r="AF359" s="22" t="str">
        <f t="shared" si="155"/>
        <v/>
      </c>
      <c r="AG359" s="9" t="str">
        <f t="shared" ca="1" si="134"/>
        <v/>
      </c>
      <c r="AH359" s="9" t="str">
        <f t="shared" ca="1" si="135"/>
        <v/>
      </c>
      <c r="AI359" s="9" t="str">
        <f t="shared" ca="1" si="136"/>
        <v/>
      </c>
      <c r="AJ359" s="9" t="str">
        <f t="shared" ca="1" si="137"/>
        <v/>
      </c>
      <c r="AK359" s="9" t="str">
        <f t="shared" ca="1" si="138"/>
        <v/>
      </c>
      <c r="AL359" s="9" t="str">
        <f t="shared" ca="1" si="139"/>
        <v/>
      </c>
      <c r="AM359" s="9" t="str">
        <f t="shared" ca="1" si="140"/>
        <v/>
      </c>
      <c r="AN359" s="9" t="str">
        <f t="shared" ca="1" si="141"/>
        <v/>
      </c>
      <c r="AO359" s="9" t="str">
        <f t="shared" ca="1" si="142"/>
        <v/>
      </c>
      <c r="AP359" s="9" t="str">
        <f t="shared" ca="1" si="143"/>
        <v/>
      </c>
      <c r="AQ359" s="9"/>
      <c r="AR359" s="9"/>
      <c r="AS359" s="9"/>
      <c r="AT359" s="9"/>
      <c r="AU359" s="9"/>
    </row>
    <row r="360" spans="1:47" x14ac:dyDescent="0.3">
      <c r="A360" s="1">
        <v>43984</v>
      </c>
      <c r="B360" s="6">
        <v>390.44000199999999</v>
      </c>
      <c r="C360" s="6">
        <v>183.020004</v>
      </c>
      <c r="D360" s="6">
        <v>36.040000999999997</v>
      </c>
      <c r="E360" s="6">
        <v>132.63000500000001</v>
      </c>
      <c r="F360" s="6">
        <v>92.709998999999996</v>
      </c>
      <c r="G360" s="6">
        <v>37.659999999999997</v>
      </c>
      <c r="H360" s="6">
        <v>99.25</v>
      </c>
      <c r="I360" s="6">
        <v>134.41999799999999</v>
      </c>
      <c r="J360" s="6">
        <v>17.549999</v>
      </c>
      <c r="K360" s="6">
        <v>21.83</v>
      </c>
      <c r="N360" s="18">
        <v>356</v>
      </c>
      <c r="O360" s="1">
        <v>43984</v>
      </c>
      <c r="P360" s="5">
        <f t="shared" si="144"/>
        <v>1.9484418943604472E-3</v>
      </c>
      <c r="Q360" s="5">
        <f t="shared" si="145"/>
        <v>2.2974573231916372E-3</v>
      </c>
      <c r="R360" s="5">
        <f t="shared" si="146"/>
        <v>-7.0504751457091197E-3</v>
      </c>
      <c r="S360" s="5">
        <f t="shared" si="147"/>
        <v>-2.7106408167605518E-3</v>
      </c>
      <c r="T360" s="5">
        <f t="shared" si="148"/>
        <v>-6.4509309794323925E-3</v>
      </c>
      <c r="U360" s="5">
        <f t="shared" si="149"/>
        <v>-2.6517650821906769E-3</v>
      </c>
      <c r="V360" s="5">
        <f t="shared" si="150"/>
        <v>1.5228720701824683E-2</v>
      </c>
      <c r="W360" s="5">
        <f t="shared" si="151"/>
        <v>3.3357879547584887E-2</v>
      </c>
      <c r="X360" s="5">
        <f t="shared" si="152"/>
        <v>4.5688260268371131E-3</v>
      </c>
      <c r="Y360" s="5">
        <f t="shared" si="153"/>
        <v>-5.4820145174134527E-3</v>
      </c>
      <c r="Z360" s="33">
        <v>356</v>
      </c>
      <c r="AE360" s="20" t="str">
        <f t="shared" si="154"/>
        <v/>
      </c>
      <c r="AF360" s="22" t="str">
        <f t="shared" si="155"/>
        <v/>
      </c>
      <c r="AG360" s="9" t="str">
        <f t="shared" ca="1" si="134"/>
        <v/>
      </c>
      <c r="AH360" s="9" t="str">
        <f t="shared" ca="1" si="135"/>
        <v/>
      </c>
      <c r="AI360" s="9" t="str">
        <f t="shared" ca="1" si="136"/>
        <v/>
      </c>
      <c r="AJ360" s="9" t="str">
        <f t="shared" ca="1" si="137"/>
        <v/>
      </c>
      <c r="AK360" s="9" t="str">
        <f t="shared" ca="1" si="138"/>
        <v/>
      </c>
      <c r="AL360" s="9" t="str">
        <f t="shared" ca="1" si="139"/>
        <v/>
      </c>
      <c r="AM360" s="9" t="str">
        <f t="shared" ca="1" si="140"/>
        <v/>
      </c>
      <c r="AN360" s="9" t="str">
        <f t="shared" ca="1" si="141"/>
        <v/>
      </c>
      <c r="AO360" s="9" t="str">
        <f t="shared" ca="1" si="142"/>
        <v/>
      </c>
      <c r="AP360" s="9" t="str">
        <f t="shared" ca="1" si="143"/>
        <v/>
      </c>
      <c r="AQ360" s="9"/>
      <c r="AR360" s="9"/>
      <c r="AS360" s="9"/>
      <c r="AT360" s="9"/>
      <c r="AU360" s="9"/>
    </row>
    <row r="361" spans="1:47" x14ac:dyDescent="0.3">
      <c r="A361" s="1">
        <v>43985</v>
      </c>
      <c r="B361" s="6">
        <v>389.92001299999998</v>
      </c>
      <c r="C361" s="6">
        <v>184.21000699999999</v>
      </c>
      <c r="D361" s="6">
        <v>36.255001</v>
      </c>
      <c r="E361" s="6">
        <v>132.820007</v>
      </c>
      <c r="F361" s="6">
        <v>96.839995999999999</v>
      </c>
      <c r="G361" s="6">
        <v>39.189999</v>
      </c>
      <c r="H361" s="6">
        <v>103.470001</v>
      </c>
      <c r="I361" s="6">
        <v>140.979996</v>
      </c>
      <c r="J361" s="6">
        <v>18.299999</v>
      </c>
      <c r="K361" s="6">
        <v>22.27</v>
      </c>
      <c r="N361" s="19">
        <v>357</v>
      </c>
      <c r="O361" s="1">
        <v>43985</v>
      </c>
      <c r="P361" s="5">
        <f t="shared" si="144"/>
        <v>-1.3326902121224371E-3</v>
      </c>
      <c r="Q361" s="5">
        <f t="shared" si="145"/>
        <v>6.4809908214668779E-3</v>
      </c>
      <c r="R361" s="5">
        <f t="shared" si="146"/>
        <v>5.9478699188735039E-3</v>
      </c>
      <c r="S361" s="5">
        <f t="shared" si="147"/>
        <v>1.4315466103499797E-3</v>
      </c>
      <c r="T361" s="5">
        <f t="shared" si="148"/>
        <v>4.3583759932043151E-2</v>
      </c>
      <c r="U361" s="5">
        <f t="shared" si="149"/>
        <v>3.9823063465820069E-2</v>
      </c>
      <c r="V361" s="5">
        <f t="shared" si="150"/>
        <v>4.1639805714196447E-2</v>
      </c>
      <c r="W361" s="5">
        <f t="shared" si="151"/>
        <v>4.7648796309828968E-2</v>
      </c>
      <c r="X361" s="5">
        <f t="shared" si="152"/>
        <v>4.1847112270748846E-2</v>
      </c>
      <c r="Y361" s="5">
        <f t="shared" si="153"/>
        <v>1.9955310707423714E-2</v>
      </c>
      <c r="Z361" s="33">
        <v>357</v>
      </c>
      <c r="AE361" s="20" t="str">
        <f t="shared" si="154"/>
        <v/>
      </c>
      <c r="AF361" s="22" t="str">
        <f t="shared" si="155"/>
        <v/>
      </c>
      <c r="AG361" s="9" t="str">
        <f t="shared" ca="1" si="134"/>
        <v/>
      </c>
      <c r="AH361" s="9" t="str">
        <f t="shared" ca="1" si="135"/>
        <v/>
      </c>
      <c r="AI361" s="9" t="str">
        <f t="shared" ca="1" si="136"/>
        <v/>
      </c>
      <c r="AJ361" s="9" t="str">
        <f t="shared" ca="1" si="137"/>
        <v/>
      </c>
      <c r="AK361" s="9" t="str">
        <f t="shared" ca="1" si="138"/>
        <v/>
      </c>
      <c r="AL361" s="9" t="str">
        <f t="shared" ca="1" si="139"/>
        <v/>
      </c>
      <c r="AM361" s="9" t="str">
        <f t="shared" ca="1" si="140"/>
        <v/>
      </c>
      <c r="AN361" s="9" t="str">
        <f t="shared" ca="1" si="141"/>
        <v/>
      </c>
      <c r="AO361" s="9" t="str">
        <f t="shared" ca="1" si="142"/>
        <v/>
      </c>
      <c r="AP361" s="9" t="str">
        <f t="shared" ca="1" si="143"/>
        <v/>
      </c>
      <c r="AQ361" s="9"/>
      <c r="AR361" s="9"/>
      <c r="AS361" s="9"/>
      <c r="AT361" s="9"/>
      <c r="AU361" s="9"/>
    </row>
    <row r="362" spans="1:47" x14ac:dyDescent="0.3">
      <c r="A362" s="1">
        <v>43986</v>
      </c>
      <c r="B362" s="6">
        <v>385.79998799999998</v>
      </c>
      <c r="C362" s="6">
        <v>182.449997</v>
      </c>
      <c r="D362" s="6">
        <v>35.459999000000003</v>
      </c>
      <c r="E362" s="6">
        <v>130.570007</v>
      </c>
      <c r="F362" s="6">
        <v>95.620002999999997</v>
      </c>
      <c r="G362" s="6">
        <v>38.740001999999997</v>
      </c>
      <c r="H362" s="6">
        <v>103.519997</v>
      </c>
      <c r="I362" s="6">
        <v>142.91000399999999</v>
      </c>
      <c r="J362" s="6">
        <v>18.610001</v>
      </c>
      <c r="K362" s="6">
        <v>23.09</v>
      </c>
      <c r="N362" s="18">
        <v>358</v>
      </c>
      <c r="O362" s="1">
        <v>43986</v>
      </c>
      <c r="P362" s="5">
        <f t="shared" si="144"/>
        <v>-1.0622553849638684E-2</v>
      </c>
      <c r="Q362" s="5">
        <f t="shared" si="145"/>
        <v>-9.600302724638134E-3</v>
      </c>
      <c r="R362" s="5">
        <f t="shared" si="146"/>
        <v>-2.2172057960686137E-2</v>
      </c>
      <c r="S362" s="5">
        <f t="shared" si="147"/>
        <v>-1.7085345784436764E-2</v>
      </c>
      <c r="T362" s="5">
        <f t="shared" si="148"/>
        <v>-1.2678056192464806E-2</v>
      </c>
      <c r="U362" s="5">
        <f t="shared" si="149"/>
        <v>-1.1548877089751827E-2</v>
      </c>
      <c r="V362" s="5">
        <f t="shared" si="150"/>
        <v>4.830764911866309E-4</v>
      </c>
      <c r="W362" s="5">
        <f t="shared" si="151"/>
        <v>1.3597081510436348E-2</v>
      </c>
      <c r="X362" s="5">
        <f t="shared" si="152"/>
        <v>1.6798119186144392E-2</v>
      </c>
      <c r="Y362" s="5">
        <f t="shared" si="153"/>
        <v>3.6159142097127679E-2</v>
      </c>
      <c r="Z362" s="33">
        <v>358</v>
      </c>
      <c r="AE362" s="20" t="str">
        <f t="shared" si="154"/>
        <v/>
      </c>
      <c r="AF362" s="22" t="str">
        <f t="shared" si="155"/>
        <v/>
      </c>
      <c r="AG362" s="9" t="str">
        <f t="shared" ca="1" si="134"/>
        <v/>
      </c>
      <c r="AH362" s="9" t="str">
        <f t="shared" ca="1" si="135"/>
        <v/>
      </c>
      <c r="AI362" s="9" t="str">
        <f t="shared" ca="1" si="136"/>
        <v/>
      </c>
      <c r="AJ362" s="9" t="str">
        <f t="shared" ca="1" si="137"/>
        <v/>
      </c>
      <c r="AK362" s="9" t="str">
        <f t="shared" ca="1" si="138"/>
        <v/>
      </c>
      <c r="AL362" s="9" t="str">
        <f t="shared" ca="1" si="139"/>
        <v/>
      </c>
      <c r="AM362" s="9" t="str">
        <f t="shared" ca="1" si="140"/>
        <v/>
      </c>
      <c r="AN362" s="9" t="str">
        <f t="shared" ca="1" si="141"/>
        <v/>
      </c>
      <c r="AO362" s="9" t="str">
        <f t="shared" ca="1" si="142"/>
        <v/>
      </c>
      <c r="AP362" s="9" t="str">
        <f t="shared" ca="1" si="143"/>
        <v/>
      </c>
      <c r="AQ362" s="9"/>
      <c r="AR362" s="9"/>
      <c r="AS362" s="9"/>
      <c r="AT362" s="9"/>
      <c r="AU362" s="9"/>
    </row>
    <row r="363" spans="1:47" x14ac:dyDescent="0.3">
      <c r="A363" s="1">
        <v>43987</v>
      </c>
      <c r="B363" s="6">
        <v>392.89999399999999</v>
      </c>
      <c r="C363" s="6">
        <v>182.970001</v>
      </c>
      <c r="D363" s="6">
        <v>36.115001999999997</v>
      </c>
      <c r="E363" s="6">
        <v>132.44000199999999</v>
      </c>
      <c r="F363" s="6">
        <v>97.629997000000003</v>
      </c>
      <c r="G363" s="6">
        <v>41.700001</v>
      </c>
      <c r="H363" s="6">
        <v>107.599998</v>
      </c>
      <c r="I363" s="6">
        <v>152.199997</v>
      </c>
      <c r="J363" s="6">
        <v>19.350000000000001</v>
      </c>
      <c r="K363" s="6">
        <v>24.780000999999999</v>
      </c>
      <c r="N363" s="19">
        <v>359</v>
      </c>
      <c r="O363" s="1">
        <v>43987</v>
      </c>
      <c r="P363" s="5">
        <f t="shared" si="144"/>
        <v>1.8236041925923503E-2</v>
      </c>
      <c r="Q363" s="5">
        <f t="shared" si="145"/>
        <v>2.8460640022560059E-3</v>
      </c>
      <c r="R363" s="5">
        <f t="shared" si="146"/>
        <v>1.8303074436188074E-2</v>
      </c>
      <c r="S363" s="5">
        <f t="shared" si="147"/>
        <v>1.4220192749187592E-2</v>
      </c>
      <c r="T363" s="5">
        <f t="shared" si="148"/>
        <v>2.0802757937173729E-2</v>
      </c>
      <c r="U363" s="5">
        <f t="shared" si="149"/>
        <v>7.3628443180496231E-2</v>
      </c>
      <c r="V363" s="5">
        <f t="shared" si="150"/>
        <v>3.8655827367640443E-2</v>
      </c>
      <c r="W363" s="5">
        <f t="shared" si="151"/>
        <v>6.2980336233331755E-2</v>
      </c>
      <c r="X363" s="5">
        <f t="shared" si="152"/>
        <v>3.8993295087081506E-2</v>
      </c>
      <c r="Y363" s="5">
        <f t="shared" si="153"/>
        <v>7.0637293189716704E-2</v>
      </c>
      <c r="Z363" s="33">
        <v>359</v>
      </c>
      <c r="AE363" s="20" t="str">
        <f t="shared" si="154"/>
        <v/>
      </c>
      <c r="AF363" s="22" t="str">
        <f t="shared" si="155"/>
        <v/>
      </c>
      <c r="AG363" s="9" t="str">
        <f t="shared" ca="1" si="134"/>
        <v/>
      </c>
      <c r="AH363" s="9" t="str">
        <f t="shared" ca="1" si="135"/>
        <v/>
      </c>
      <c r="AI363" s="9" t="str">
        <f t="shared" ca="1" si="136"/>
        <v/>
      </c>
      <c r="AJ363" s="9" t="str">
        <f t="shared" ca="1" si="137"/>
        <v/>
      </c>
      <c r="AK363" s="9" t="str">
        <f t="shared" ca="1" si="138"/>
        <v/>
      </c>
      <c r="AL363" s="9" t="str">
        <f t="shared" ca="1" si="139"/>
        <v/>
      </c>
      <c r="AM363" s="9" t="str">
        <f t="shared" ca="1" si="140"/>
        <v/>
      </c>
      <c r="AN363" s="9" t="str">
        <f t="shared" ca="1" si="141"/>
        <v/>
      </c>
      <c r="AO363" s="9" t="str">
        <f t="shared" ca="1" si="142"/>
        <v/>
      </c>
      <c r="AP363" s="9" t="str">
        <f t="shared" ca="1" si="143"/>
        <v/>
      </c>
      <c r="AQ363" s="9"/>
      <c r="AR363" s="9"/>
      <c r="AS363" s="9"/>
      <c r="AT363" s="9"/>
      <c r="AU363" s="9"/>
    </row>
    <row r="364" spans="1:47" x14ac:dyDescent="0.3">
      <c r="A364" s="1">
        <v>43990</v>
      </c>
      <c r="B364" s="6">
        <v>397.77999899999998</v>
      </c>
      <c r="C364" s="6">
        <v>186.820007</v>
      </c>
      <c r="D364" s="6">
        <v>35.200001</v>
      </c>
      <c r="E364" s="6">
        <v>132.21000699999999</v>
      </c>
      <c r="F364" s="6">
        <v>101.55999799999999</v>
      </c>
      <c r="G364" s="6">
        <v>42.77</v>
      </c>
      <c r="H364" s="6">
        <v>108.970001</v>
      </c>
      <c r="I364" s="6">
        <v>156.05999800000001</v>
      </c>
      <c r="J364" s="6">
        <v>20.23</v>
      </c>
      <c r="K364" s="6">
        <v>26.15</v>
      </c>
      <c r="N364" s="18">
        <v>360</v>
      </c>
      <c r="O364" s="1">
        <v>43990</v>
      </c>
      <c r="P364" s="5">
        <f t="shared" si="144"/>
        <v>1.2343974827795335E-2</v>
      </c>
      <c r="Q364" s="5">
        <f t="shared" si="145"/>
        <v>2.0823413472072175E-2</v>
      </c>
      <c r="R364" s="5">
        <f t="shared" si="146"/>
        <v>-2.5662235868318069E-2</v>
      </c>
      <c r="S364" s="5">
        <f t="shared" si="147"/>
        <v>-1.7381073121487383E-3</v>
      </c>
      <c r="T364" s="5">
        <f t="shared" si="148"/>
        <v>3.9464944634365173E-2</v>
      </c>
      <c r="U364" s="5">
        <f t="shared" si="149"/>
        <v>2.5335769453246584E-2</v>
      </c>
      <c r="V364" s="5">
        <f t="shared" si="150"/>
        <v>1.2651995025309056E-2</v>
      </c>
      <c r="W364" s="5">
        <f t="shared" si="151"/>
        <v>2.5045110156352902E-2</v>
      </c>
      <c r="X364" s="5">
        <f t="shared" si="152"/>
        <v>4.4474231703863248E-2</v>
      </c>
      <c r="Y364" s="5">
        <f t="shared" si="153"/>
        <v>5.3812273954811238E-2</v>
      </c>
      <c r="Z364" s="33">
        <v>360</v>
      </c>
      <c r="AE364" s="20" t="str">
        <f t="shared" si="154"/>
        <v/>
      </c>
      <c r="AF364" s="22" t="str">
        <f t="shared" si="155"/>
        <v/>
      </c>
      <c r="AG364" s="9" t="str">
        <f t="shared" ca="1" si="134"/>
        <v/>
      </c>
      <c r="AH364" s="9" t="str">
        <f t="shared" ca="1" si="135"/>
        <v/>
      </c>
      <c r="AI364" s="9" t="str">
        <f t="shared" ca="1" si="136"/>
        <v/>
      </c>
      <c r="AJ364" s="9" t="str">
        <f t="shared" ca="1" si="137"/>
        <v/>
      </c>
      <c r="AK364" s="9" t="str">
        <f t="shared" ca="1" si="138"/>
        <v/>
      </c>
      <c r="AL364" s="9" t="str">
        <f t="shared" ca="1" si="139"/>
        <v/>
      </c>
      <c r="AM364" s="9" t="str">
        <f t="shared" ca="1" si="140"/>
        <v/>
      </c>
      <c r="AN364" s="9" t="str">
        <f t="shared" ca="1" si="141"/>
        <v/>
      </c>
      <c r="AO364" s="9" t="str">
        <f t="shared" ca="1" si="142"/>
        <v/>
      </c>
      <c r="AP364" s="9" t="str">
        <f t="shared" ca="1" si="143"/>
        <v/>
      </c>
      <c r="AQ364" s="9"/>
      <c r="AR364" s="9"/>
      <c r="AS364" s="9"/>
      <c r="AT364" s="9"/>
      <c r="AU364" s="9"/>
    </row>
    <row r="365" spans="1:47" x14ac:dyDescent="0.3">
      <c r="A365" s="1">
        <v>43991</v>
      </c>
      <c r="B365" s="6">
        <v>397.16000400000001</v>
      </c>
      <c r="C365" s="6">
        <v>189.61999499999999</v>
      </c>
      <c r="D365" s="6">
        <v>35.215000000000003</v>
      </c>
      <c r="E365" s="6">
        <v>132.970001</v>
      </c>
      <c r="F365" s="6">
        <v>99.800003000000004</v>
      </c>
      <c r="G365" s="6">
        <v>41.689999</v>
      </c>
      <c r="H365" s="6">
        <v>106.66999800000001</v>
      </c>
      <c r="I365" s="6">
        <v>151.44000199999999</v>
      </c>
      <c r="J365" s="6">
        <v>19.239999999999998</v>
      </c>
      <c r="K365" s="6">
        <v>23.879999000000002</v>
      </c>
      <c r="N365" s="19">
        <v>361</v>
      </c>
      <c r="O365" s="1">
        <v>43991</v>
      </c>
      <c r="P365" s="5">
        <f t="shared" si="144"/>
        <v>-1.5598538842468805E-3</v>
      </c>
      <c r="Q365" s="5">
        <f t="shared" si="145"/>
        <v>1.4876419207362417E-2</v>
      </c>
      <c r="R365" s="5">
        <f t="shared" si="146"/>
        <v>4.2601718423177653E-4</v>
      </c>
      <c r="S365" s="5">
        <f t="shared" si="147"/>
        <v>5.7319259210332069E-3</v>
      </c>
      <c r="T365" s="5">
        <f t="shared" si="148"/>
        <v>-1.7481523766146881E-2</v>
      </c>
      <c r="U365" s="5">
        <f t="shared" si="149"/>
        <v>-2.5575654332679644E-2</v>
      </c>
      <c r="V365" s="5">
        <f t="shared" si="150"/>
        <v>-2.1332686277655041E-2</v>
      </c>
      <c r="W365" s="5">
        <f t="shared" si="151"/>
        <v>-3.0051015765413726E-2</v>
      </c>
      <c r="X365" s="5">
        <f t="shared" si="152"/>
        <v>-5.0175205942093737E-2</v>
      </c>
      <c r="Y365" s="5">
        <f t="shared" si="153"/>
        <v>-9.0807943862578261E-2</v>
      </c>
      <c r="Z365" s="33">
        <v>361</v>
      </c>
      <c r="AE365" s="20" t="str">
        <f t="shared" si="154"/>
        <v/>
      </c>
      <c r="AF365" s="22" t="str">
        <f t="shared" si="155"/>
        <v/>
      </c>
      <c r="AG365" s="9" t="str">
        <f t="shared" ca="1" si="134"/>
        <v/>
      </c>
      <c r="AH365" s="9" t="str">
        <f t="shared" ca="1" si="135"/>
        <v/>
      </c>
      <c r="AI365" s="9" t="str">
        <f t="shared" ca="1" si="136"/>
        <v/>
      </c>
      <c r="AJ365" s="9" t="str">
        <f t="shared" ca="1" si="137"/>
        <v/>
      </c>
      <c r="AK365" s="9" t="str">
        <f t="shared" ca="1" si="138"/>
        <v/>
      </c>
      <c r="AL365" s="9" t="str">
        <f t="shared" ca="1" si="139"/>
        <v/>
      </c>
      <c r="AM365" s="9" t="str">
        <f t="shared" ca="1" si="140"/>
        <v/>
      </c>
      <c r="AN365" s="9" t="str">
        <f t="shared" ca="1" si="141"/>
        <v/>
      </c>
      <c r="AO365" s="9" t="str">
        <f t="shared" ca="1" si="142"/>
        <v/>
      </c>
      <c r="AP365" s="9" t="str">
        <f t="shared" ca="1" si="143"/>
        <v/>
      </c>
      <c r="AQ365" s="9"/>
      <c r="AR365" s="9"/>
      <c r="AS365" s="9"/>
      <c r="AT365" s="9"/>
      <c r="AU365" s="9"/>
    </row>
    <row r="366" spans="1:47" x14ac:dyDescent="0.3">
      <c r="A366" s="1">
        <v>43992</v>
      </c>
      <c r="B366" s="6">
        <v>406.82000699999998</v>
      </c>
      <c r="C366" s="6">
        <v>189.41999799999999</v>
      </c>
      <c r="D366" s="6">
        <v>35.220001000000003</v>
      </c>
      <c r="E366" s="6">
        <v>134.13000500000001</v>
      </c>
      <c r="F366" s="6">
        <v>96.809997999999993</v>
      </c>
      <c r="G366" s="6">
        <v>40.310001</v>
      </c>
      <c r="H366" s="6">
        <v>102.879997</v>
      </c>
      <c r="I366" s="6">
        <v>145.550003</v>
      </c>
      <c r="J366" s="6">
        <v>18.66</v>
      </c>
      <c r="K366" s="6">
        <v>23.17</v>
      </c>
      <c r="N366" s="18">
        <v>362</v>
      </c>
      <c r="O366" s="1">
        <v>43992</v>
      </c>
      <c r="P366" s="5">
        <f t="shared" si="144"/>
        <v>2.4031612144066815E-2</v>
      </c>
      <c r="Q366" s="5">
        <f t="shared" si="145"/>
        <v>-1.055281881878141E-3</v>
      </c>
      <c r="R366" s="5">
        <f t="shared" si="146"/>
        <v>1.4200326364454953E-4</v>
      </c>
      <c r="S366" s="5">
        <f t="shared" si="147"/>
        <v>8.6859698021589694E-3</v>
      </c>
      <c r="T366" s="5">
        <f t="shared" si="148"/>
        <v>-3.0417939304581042E-2</v>
      </c>
      <c r="U366" s="5">
        <f t="shared" si="149"/>
        <v>-3.3661665969323636E-2</v>
      </c>
      <c r="V366" s="5">
        <f t="shared" si="150"/>
        <v>-3.6176706558855042E-2</v>
      </c>
      <c r="W366" s="5">
        <f t="shared" si="151"/>
        <v>-3.9669829304511912E-2</v>
      </c>
      <c r="X366" s="5">
        <f t="shared" si="152"/>
        <v>-3.0609249818362522E-2</v>
      </c>
      <c r="Y366" s="5">
        <f t="shared" si="153"/>
        <v>-3.018290820406869E-2</v>
      </c>
      <c r="Z366" s="33">
        <v>362</v>
      </c>
      <c r="AE366" s="20" t="str">
        <f t="shared" si="154"/>
        <v/>
      </c>
      <c r="AF366" s="22" t="str">
        <f t="shared" si="155"/>
        <v/>
      </c>
      <c r="AG366" s="9" t="str">
        <f t="shared" ca="1" si="134"/>
        <v/>
      </c>
      <c r="AH366" s="9" t="str">
        <f t="shared" ca="1" si="135"/>
        <v/>
      </c>
      <c r="AI366" s="9" t="str">
        <f t="shared" ca="1" si="136"/>
        <v/>
      </c>
      <c r="AJ366" s="9" t="str">
        <f t="shared" ca="1" si="137"/>
        <v/>
      </c>
      <c r="AK366" s="9" t="str">
        <f t="shared" ca="1" si="138"/>
        <v/>
      </c>
      <c r="AL366" s="9" t="str">
        <f t="shared" ca="1" si="139"/>
        <v/>
      </c>
      <c r="AM366" s="9" t="str">
        <f t="shared" ca="1" si="140"/>
        <v/>
      </c>
      <c r="AN366" s="9" t="str">
        <f t="shared" ca="1" si="141"/>
        <v/>
      </c>
      <c r="AO366" s="9" t="str">
        <f t="shared" ca="1" si="142"/>
        <v/>
      </c>
      <c r="AP366" s="9" t="str">
        <f t="shared" ca="1" si="143"/>
        <v/>
      </c>
      <c r="AQ366" s="9"/>
      <c r="AR366" s="9"/>
      <c r="AS366" s="9"/>
      <c r="AT366" s="9"/>
      <c r="AU366" s="9"/>
    </row>
    <row r="367" spans="1:47" x14ac:dyDescent="0.3">
      <c r="A367" s="1">
        <v>43993</v>
      </c>
      <c r="B367" s="6">
        <v>387.67001299999998</v>
      </c>
      <c r="C367" s="6">
        <v>179.520004</v>
      </c>
      <c r="D367" s="6">
        <v>33.900002000000001</v>
      </c>
      <c r="E367" s="6">
        <v>127.839996</v>
      </c>
      <c r="F367" s="6">
        <v>92.980002999999996</v>
      </c>
      <c r="G367" s="6">
        <v>37.799999</v>
      </c>
      <c r="H367" s="6">
        <v>96.199996999999996</v>
      </c>
      <c r="I367" s="6">
        <v>133.33000200000001</v>
      </c>
      <c r="J367" s="6">
        <v>17.059999000000001</v>
      </c>
      <c r="K367" s="6">
        <v>22.34</v>
      </c>
      <c r="N367" s="19">
        <v>363</v>
      </c>
      <c r="O367" s="1">
        <v>43993</v>
      </c>
      <c r="P367" s="5">
        <f t="shared" si="144"/>
        <v>-4.8216348581426031E-2</v>
      </c>
      <c r="Q367" s="5">
        <f t="shared" si="145"/>
        <v>-5.3680116623436816E-2</v>
      </c>
      <c r="R367" s="5">
        <f t="shared" si="146"/>
        <v>-3.8199058077565316E-2</v>
      </c>
      <c r="S367" s="5">
        <f t="shared" si="147"/>
        <v>-4.8030065462413965E-2</v>
      </c>
      <c r="T367" s="5">
        <f t="shared" si="148"/>
        <v>-4.0365825545515661E-2</v>
      </c>
      <c r="U367" s="5">
        <f t="shared" si="149"/>
        <v>-6.4290525766298956E-2</v>
      </c>
      <c r="V367" s="5">
        <f t="shared" si="150"/>
        <v>-6.7133904842493111E-2</v>
      </c>
      <c r="W367" s="5">
        <f t="shared" si="151"/>
        <v>-8.7692417675363704E-2</v>
      </c>
      <c r="X367" s="5">
        <f t="shared" si="152"/>
        <v>-8.9645711972313538E-2</v>
      </c>
      <c r="Y367" s="5">
        <f t="shared" si="153"/>
        <v>-3.6479544803230277E-2</v>
      </c>
      <c r="Z367" s="33">
        <v>363</v>
      </c>
      <c r="AE367" s="20" t="str">
        <f t="shared" si="154"/>
        <v/>
      </c>
      <c r="AF367" s="22" t="str">
        <f t="shared" si="155"/>
        <v/>
      </c>
      <c r="AG367" s="9" t="str">
        <f t="shared" ca="1" si="134"/>
        <v/>
      </c>
      <c r="AH367" s="9" t="str">
        <f t="shared" ca="1" si="135"/>
        <v/>
      </c>
      <c r="AI367" s="9" t="str">
        <f t="shared" ca="1" si="136"/>
        <v/>
      </c>
      <c r="AJ367" s="9" t="str">
        <f t="shared" ca="1" si="137"/>
        <v/>
      </c>
      <c r="AK367" s="9" t="str">
        <f t="shared" ca="1" si="138"/>
        <v/>
      </c>
      <c r="AL367" s="9" t="str">
        <f t="shared" ca="1" si="139"/>
        <v/>
      </c>
      <c r="AM367" s="9" t="str">
        <f t="shared" ca="1" si="140"/>
        <v/>
      </c>
      <c r="AN367" s="9" t="str">
        <f t="shared" ca="1" si="141"/>
        <v/>
      </c>
      <c r="AO367" s="9" t="str">
        <f t="shared" ca="1" si="142"/>
        <v/>
      </c>
      <c r="AP367" s="9" t="str">
        <f t="shared" ca="1" si="143"/>
        <v/>
      </c>
      <c r="AQ367" s="9"/>
      <c r="AR367" s="9"/>
      <c r="AS367" s="9"/>
      <c r="AT367" s="9"/>
      <c r="AU367" s="9"/>
    </row>
    <row r="368" spans="1:47" x14ac:dyDescent="0.3">
      <c r="A368" s="1">
        <v>43994</v>
      </c>
      <c r="B368" s="6">
        <v>406.540009</v>
      </c>
      <c r="C368" s="6">
        <v>179.60000600000001</v>
      </c>
      <c r="D368" s="6">
        <v>34.150002000000001</v>
      </c>
      <c r="E368" s="6">
        <v>129</v>
      </c>
      <c r="F368" s="6">
        <v>95.309997999999993</v>
      </c>
      <c r="G368" s="6">
        <v>39.090000000000003</v>
      </c>
      <c r="H368" s="6">
        <v>96.610000999999997</v>
      </c>
      <c r="I368" s="6">
        <v>135.009995</v>
      </c>
      <c r="J368" s="6">
        <v>17.280000999999999</v>
      </c>
      <c r="K368" s="6">
        <v>22.07</v>
      </c>
      <c r="N368" s="18">
        <v>364</v>
      </c>
      <c r="O368" s="1">
        <v>43994</v>
      </c>
      <c r="P368" s="5">
        <f t="shared" si="144"/>
        <v>4.7527851469316797E-2</v>
      </c>
      <c r="Q368" s="5">
        <f t="shared" si="145"/>
        <v>4.4554465969983949E-4</v>
      </c>
      <c r="R368" s="5">
        <f t="shared" si="146"/>
        <v>7.3475711984980928E-3</v>
      </c>
      <c r="S368" s="5">
        <f t="shared" si="147"/>
        <v>9.0329536328195448E-3</v>
      </c>
      <c r="T368" s="5">
        <f t="shared" si="148"/>
        <v>2.4750267437935836E-2</v>
      </c>
      <c r="U368" s="5">
        <f t="shared" si="149"/>
        <v>3.3557603634348426E-2</v>
      </c>
      <c r="V368" s="5">
        <f t="shared" si="150"/>
        <v>4.2529393936844608E-3</v>
      </c>
      <c r="W368" s="5">
        <f t="shared" si="151"/>
        <v>1.2521539607118408E-2</v>
      </c>
      <c r="X368" s="5">
        <f t="shared" si="152"/>
        <v>1.2813337799393821E-2</v>
      </c>
      <c r="Y368" s="5">
        <f t="shared" si="153"/>
        <v>-1.2159573372409655E-2</v>
      </c>
      <c r="Z368" s="33">
        <v>364</v>
      </c>
      <c r="AE368" s="20" t="str">
        <f t="shared" si="154"/>
        <v/>
      </c>
      <c r="AF368" s="22" t="str">
        <f t="shared" si="155"/>
        <v/>
      </c>
      <c r="AG368" s="9" t="str">
        <f t="shared" ca="1" si="134"/>
        <v/>
      </c>
      <c r="AH368" s="9" t="str">
        <f t="shared" ca="1" si="135"/>
        <v/>
      </c>
      <c r="AI368" s="9" t="str">
        <f t="shared" ca="1" si="136"/>
        <v/>
      </c>
      <c r="AJ368" s="9" t="str">
        <f t="shared" ca="1" si="137"/>
        <v/>
      </c>
      <c r="AK368" s="9" t="str">
        <f t="shared" ca="1" si="138"/>
        <v/>
      </c>
      <c r="AL368" s="9" t="str">
        <f t="shared" ca="1" si="139"/>
        <v/>
      </c>
      <c r="AM368" s="9" t="str">
        <f t="shared" ca="1" si="140"/>
        <v/>
      </c>
      <c r="AN368" s="9" t="str">
        <f t="shared" ca="1" si="141"/>
        <v/>
      </c>
      <c r="AO368" s="9" t="str">
        <f t="shared" ca="1" si="142"/>
        <v/>
      </c>
      <c r="AP368" s="9" t="str">
        <f t="shared" ca="1" si="143"/>
        <v/>
      </c>
      <c r="AQ368" s="9"/>
      <c r="AR368" s="9"/>
      <c r="AS368" s="9"/>
      <c r="AT368" s="9"/>
      <c r="AU368" s="9"/>
    </row>
    <row r="369" spans="1:47" x14ac:dyDescent="0.3">
      <c r="A369" s="1">
        <v>43997</v>
      </c>
      <c r="B369" s="6">
        <v>401.33999599999999</v>
      </c>
      <c r="C369" s="6">
        <v>184.050003</v>
      </c>
      <c r="D369" s="6">
        <v>34.400002000000001</v>
      </c>
      <c r="E369" s="6">
        <v>130.479996</v>
      </c>
      <c r="F369" s="6">
        <v>93.790001000000004</v>
      </c>
      <c r="G369" s="6">
        <v>38.830002</v>
      </c>
      <c r="H369" s="6">
        <v>97.360000999999997</v>
      </c>
      <c r="I369" s="6">
        <v>135.46000699999999</v>
      </c>
      <c r="J369" s="6">
        <v>17.690000999999999</v>
      </c>
      <c r="K369" s="6">
        <v>22.75</v>
      </c>
      <c r="N369" s="19">
        <v>365</v>
      </c>
      <c r="O369" s="1">
        <v>43997</v>
      </c>
      <c r="P369" s="5">
        <f t="shared" si="144"/>
        <v>-1.2873408877098886E-2</v>
      </c>
      <c r="Q369" s="5">
        <f t="shared" si="145"/>
        <v>2.4475286849277484E-2</v>
      </c>
      <c r="R369" s="5">
        <f t="shared" si="146"/>
        <v>7.2939779369348258E-3</v>
      </c>
      <c r="S369" s="5">
        <f t="shared" si="147"/>
        <v>1.1407523295046537E-2</v>
      </c>
      <c r="T369" s="5">
        <f t="shared" si="148"/>
        <v>-1.6076464782412647E-2</v>
      </c>
      <c r="U369" s="5">
        <f t="shared" si="149"/>
        <v>-6.673484554721801E-3</v>
      </c>
      <c r="V369" s="5">
        <f t="shared" si="150"/>
        <v>7.7331930701168422E-3</v>
      </c>
      <c r="W369" s="5">
        <f t="shared" si="151"/>
        <v>3.3276327276673535E-3</v>
      </c>
      <c r="X369" s="5">
        <f t="shared" si="152"/>
        <v>2.344974345452653E-2</v>
      </c>
      <c r="Y369" s="5">
        <f t="shared" si="153"/>
        <v>3.0345925128314279E-2</v>
      </c>
      <c r="Z369" s="33">
        <v>365</v>
      </c>
      <c r="AE369" s="20" t="str">
        <f t="shared" si="154"/>
        <v/>
      </c>
      <c r="AF369" s="22" t="str">
        <f t="shared" si="155"/>
        <v/>
      </c>
      <c r="AG369" s="9" t="str">
        <f t="shared" ca="1" si="134"/>
        <v/>
      </c>
      <c r="AH369" s="9" t="str">
        <f t="shared" ca="1" si="135"/>
        <v/>
      </c>
      <c r="AI369" s="9" t="str">
        <f t="shared" ca="1" si="136"/>
        <v/>
      </c>
      <c r="AJ369" s="9" t="str">
        <f t="shared" ca="1" si="137"/>
        <v/>
      </c>
      <c r="AK369" s="9" t="str">
        <f t="shared" ca="1" si="138"/>
        <v/>
      </c>
      <c r="AL369" s="9" t="str">
        <f t="shared" ca="1" si="139"/>
        <v/>
      </c>
      <c r="AM369" s="9" t="str">
        <f t="shared" ca="1" si="140"/>
        <v/>
      </c>
      <c r="AN369" s="9" t="str">
        <f t="shared" ca="1" si="141"/>
        <v/>
      </c>
      <c r="AO369" s="9" t="str">
        <f t="shared" ca="1" si="142"/>
        <v/>
      </c>
      <c r="AP369" s="9" t="str">
        <f t="shared" ca="1" si="143"/>
        <v/>
      </c>
      <c r="AQ369" s="9"/>
      <c r="AR369" s="9"/>
      <c r="AS369" s="9"/>
      <c r="AT369" s="9"/>
      <c r="AU369" s="9"/>
    </row>
    <row r="370" spans="1:47" x14ac:dyDescent="0.3">
      <c r="A370" s="1">
        <v>43998</v>
      </c>
      <c r="B370" s="6">
        <v>411.67001299999998</v>
      </c>
      <c r="C370" s="6">
        <v>186.14999399999999</v>
      </c>
      <c r="D370" s="6">
        <v>34.75</v>
      </c>
      <c r="E370" s="6">
        <v>131.66999799999999</v>
      </c>
      <c r="F370" s="6">
        <v>96.860000999999997</v>
      </c>
      <c r="G370" s="6">
        <v>40.099997999999999</v>
      </c>
      <c r="H370" s="6">
        <v>98.43</v>
      </c>
      <c r="I370" s="6">
        <v>137.259995</v>
      </c>
      <c r="J370" s="6">
        <v>17.84</v>
      </c>
      <c r="K370" s="6">
        <v>22.26</v>
      </c>
      <c r="N370" s="18">
        <v>366</v>
      </c>
      <c r="O370" s="1">
        <v>43998</v>
      </c>
      <c r="P370" s="5">
        <f t="shared" si="144"/>
        <v>2.5413150714109201E-2</v>
      </c>
      <c r="Q370" s="5">
        <f t="shared" si="145"/>
        <v>1.1345291961705839E-2</v>
      </c>
      <c r="R370" s="5">
        <f t="shared" si="146"/>
        <v>1.0122949491915275E-2</v>
      </c>
      <c r="S370" s="5">
        <f t="shared" si="147"/>
        <v>9.0788495220445933E-3</v>
      </c>
      <c r="T370" s="5">
        <f t="shared" si="148"/>
        <v>3.2208396116297625E-2</v>
      </c>
      <c r="U370" s="5">
        <f t="shared" si="149"/>
        <v>3.2183089187068886E-2</v>
      </c>
      <c r="V370" s="5">
        <f t="shared" si="150"/>
        <v>1.0930176690689757E-2</v>
      </c>
      <c r="W370" s="5">
        <f t="shared" si="151"/>
        <v>1.3200455590741947E-2</v>
      </c>
      <c r="X370" s="5">
        <f t="shared" si="152"/>
        <v>8.4435624510586192E-3</v>
      </c>
      <c r="Y370" s="5">
        <f t="shared" si="153"/>
        <v>-2.1773799549560619E-2</v>
      </c>
      <c r="Z370" s="33">
        <v>366</v>
      </c>
      <c r="AE370" s="20" t="str">
        <f t="shared" si="154"/>
        <v/>
      </c>
      <c r="AF370" s="22" t="str">
        <f t="shared" si="155"/>
        <v/>
      </c>
      <c r="AG370" s="9" t="str">
        <f t="shared" ca="1" si="134"/>
        <v/>
      </c>
      <c r="AH370" s="9" t="str">
        <f t="shared" ca="1" si="135"/>
        <v/>
      </c>
      <c r="AI370" s="9" t="str">
        <f t="shared" ca="1" si="136"/>
        <v/>
      </c>
      <c r="AJ370" s="9" t="str">
        <f t="shared" ca="1" si="137"/>
        <v/>
      </c>
      <c r="AK370" s="9" t="str">
        <f t="shared" ca="1" si="138"/>
        <v/>
      </c>
      <c r="AL370" s="9" t="str">
        <f t="shared" ca="1" si="139"/>
        <v/>
      </c>
      <c r="AM370" s="9" t="str">
        <f t="shared" ca="1" si="140"/>
        <v/>
      </c>
      <c r="AN370" s="9" t="str">
        <f t="shared" ca="1" si="141"/>
        <v/>
      </c>
      <c r="AO370" s="9" t="str">
        <f t="shared" ca="1" si="142"/>
        <v/>
      </c>
      <c r="AP370" s="9" t="str">
        <f t="shared" ca="1" si="143"/>
        <v/>
      </c>
      <c r="AQ370" s="9"/>
      <c r="AR370" s="9"/>
      <c r="AS370" s="9"/>
      <c r="AT370" s="9"/>
      <c r="AU370" s="9"/>
    </row>
    <row r="371" spans="1:47" x14ac:dyDescent="0.3">
      <c r="A371" s="1">
        <v>43999</v>
      </c>
      <c r="B371" s="6">
        <v>413.48998999999998</v>
      </c>
      <c r="C371" s="6">
        <v>188.970001</v>
      </c>
      <c r="D371" s="6">
        <v>34.770000000000003</v>
      </c>
      <c r="E371" s="6">
        <v>131.759995</v>
      </c>
      <c r="F371" s="6">
        <v>94.68</v>
      </c>
      <c r="G371" s="6">
        <v>38.5</v>
      </c>
      <c r="H371" s="6">
        <v>97.739998</v>
      </c>
      <c r="I371" s="6">
        <v>135.970001</v>
      </c>
      <c r="J371" s="6">
        <v>17.459999</v>
      </c>
      <c r="K371" s="6">
        <v>22.17</v>
      </c>
      <c r="N371" s="19">
        <v>367</v>
      </c>
      <c r="O371" s="1">
        <v>43999</v>
      </c>
      <c r="P371" s="5">
        <f t="shared" si="144"/>
        <v>4.4112170842060721E-3</v>
      </c>
      <c r="Q371" s="5">
        <f t="shared" si="145"/>
        <v>1.5035509507138087E-2</v>
      </c>
      <c r="R371" s="5">
        <f t="shared" si="146"/>
        <v>5.7537400896889911E-4</v>
      </c>
      <c r="S371" s="5">
        <f t="shared" si="147"/>
        <v>6.8327074283710653E-4</v>
      </c>
      <c r="T371" s="5">
        <f t="shared" si="148"/>
        <v>-2.2763862653478944E-2</v>
      </c>
      <c r="U371" s="5">
        <f t="shared" si="149"/>
        <v>-4.0718043143471945E-2</v>
      </c>
      <c r="V371" s="5">
        <f t="shared" si="150"/>
        <v>-7.0347642615628996E-3</v>
      </c>
      <c r="W371" s="5">
        <f t="shared" si="151"/>
        <v>-9.4426205311114574E-3</v>
      </c>
      <c r="X371" s="5">
        <f t="shared" si="152"/>
        <v>-2.1530634014177479E-2</v>
      </c>
      <c r="Y371" s="5">
        <f t="shared" si="153"/>
        <v>-4.0513222191786895E-3</v>
      </c>
      <c r="Z371" s="33">
        <v>367</v>
      </c>
      <c r="AE371" s="20" t="str">
        <f t="shared" si="154"/>
        <v/>
      </c>
      <c r="AF371" s="22" t="str">
        <f t="shared" si="155"/>
        <v/>
      </c>
      <c r="AG371" s="9" t="str">
        <f t="shared" ca="1" si="134"/>
        <v/>
      </c>
      <c r="AH371" s="9" t="str">
        <f t="shared" ca="1" si="135"/>
        <v/>
      </c>
      <c r="AI371" s="9" t="str">
        <f t="shared" ca="1" si="136"/>
        <v/>
      </c>
      <c r="AJ371" s="9" t="str">
        <f t="shared" ca="1" si="137"/>
        <v/>
      </c>
      <c r="AK371" s="9" t="str">
        <f t="shared" ca="1" si="138"/>
        <v/>
      </c>
      <c r="AL371" s="9" t="str">
        <f t="shared" ca="1" si="139"/>
        <v/>
      </c>
      <c r="AM371" s="9" t="str">
        <f t="shared" ca="1" si="140"/>
        <v/>
      </c>
      <c r="AN371" s="9" t="str">
        <f t="shared" ca="1" si="141"/>
        <v/>
      </c>
      <c r="AO371" s="9" t="str">
        <f t="shared" ca="1" si="142"/>
        <v/>
      </c>
      <c r="AP371" s="9" t="str">
        <f t="shared" ca="1" si="143"/>
        <v/>
      </c>
      <c r="AQ371" s="9"/>
      <c r="AR371" s="9"/>
      <c r="AS371" s="9"/>
      <c r="AT371" s="9"/>
      <c r="AU371" s="9"/>
    </row>
    <row r="372" spans="1:47" x14ac:dyDescent="0.3">
      <c r="A372" s="1">
        <v>44000</v>
      </c>
      <c r="B372" s="6">
        <v>420.459991</v>
      </c>
      <c r="C372" s="6">
        <v>189.88000500000001</v>
      </c>
      <c r="D372" s="6">
        <v>34.854999999999997</v>
      </c>
      <c r="E372" s="6">
        <v>132.779999</v>
      </c>
      <c r="F372" s="6">
        <v>94.32</v>
      </c>
      <c r="G372" s="6">
        <v>37.93</v>
      </c>
      <c r="H372" s="6">
        <v>97.349997999999999</v>
      </c>
      <c r="I372" s="6">
        <v>135.61000100000001</v>
      </c>
      <c r="J372" s="6">
        <v>17.549999</v>
      </c>
      <c r="K372" s="6">
        <v>22.52</v>
      </c>
      <c r="N372" s="18">
        <v>368</v>
      </c>
      <c r="O372" s="1">
        <v>44000</v>
      </c>
      <c r="P372" s="5">
        <f t="shared" si="144"/>
        <v>1.6716022441776689E-2</v>
      </c>
      <c r="Q372" s="5">
        <f t="shared" si="145"/>
        <v>4.8040424217449997E-3</v>
      </c>
      <c r="R372" s="5">
        <f t="shared" si="146"/>
        <v>2.4416529185917277E-3</v>
      </c>
      <c r="S372" s="5">
        <f t="shared" si="147"/>
        <v>7.7115678381581938E-3</v>
      </c>
      <c r="T372" s="5">
        <f t="shared" si="148"/>
        <v>-3.8095284166678417E-3</v>
      </c>
      <c r="U372" s="5">
        <f t="shared" si="149"/>
        <v>-1.4915885592930988E-2</v>
      </c>
      <c r="V372" s="5">
        <f t="shared" si="150"/>
        <v>-3.9981601057760127E-3</v>
      </c>
      <c r="W372" s="5">
        <f t="shared" si="151"/>
        <v>-2.6511540482166444E-3</v>
      </c>
      <c r="X372" s="5">
        <f t="shared" si="152"/>
        <v>5.1413997941302967E-3</v>
      </c>
      <c r="Y372" s="5">
        <f t="shared" si="153"/>
        <v>1.5663779643269485E-2</v>
      </c>
      <c r="Z372" s="33">
        <v>368</v>
      </c>
      <c r="AE372" s="20" t="str">
        <f t="shared" si="154"/>
        <v/>
      </c>
      <c r="AF372" s="22" t="str">
        <f t="shared" si="155"/>
        <v/>
      </c>
      <c r="AG372" s="9" t="str">
        <f t="shared" ca="1" si="134"/>
        <v/>
      </c>
      <c r="AH372" s="9" t="str">
        <f t="shared" ca="1" si="135"/>
        <v/>
      </c>
      <c r="AI372" s="9" t="str">
        <f t="shared" ca="1" si="136"/>
        <v/>
      </c>
      <c r="AJ372" s="9" t="str">
        <f t="shared" ca="1" si="137"/>
        <v/>
      </c>
      <c r="AK372" s="9" t="str">
        <f t="shared" ca="1" si="138"/>
        <v/>
      </c>
      <c r="AL372" s="9" t="str">
        <f t="shared" ca="1" si="139"/>
        <v/>
      </c>
      <c r="AM372" s="9" t="str">
        <f t="shared" ca="1" si="140"/>
        <v/>
      </c>
      <c r="AN372" s="9" t="str">
        <f t="shared" ca="1" si="141"/>
        <v/>
      </c>
      <c r="AO372" s="9" t="str">
        <f t="shared" ca="1" si="142"/>
        <v/>
      </c>
      <c r="AP372" s="9" t="str">
        <f t="shared" ca="1" si="143"/>
        <v/>
      </c>
      <c r="AQ372" s="9"/>
      <c r="AR372" s="9"/>
      <c r="AS372" s="9"/>
      <c r="AT372" s="9"/>
      <c r="AU372" s="9"/>
    </row>
    <row r="373" spans="1:47" x14ac:dyDescent="0.3">
      <c r="A373" s="1">
        <v>44001</v>
      </c>
      <c r="B373" s="6">
        <v>428.01001000000002</v>
      </c>
      <c r="C373" s="6">
        <v>184.449997</v>
      </c>
      <c r="D373" s="6">
        <v>35.040000999999997</v>
      </c>
      <c r="E373" s="6">
        <v>131.279999</v>
      </c>
      <c r="F373" s="6">
        <v>93.510002</v>
      </c>
      <c r="G373" s="6">
        <v>37.759998000000003</v>
      </c>
      <c r="H373" s="6">
        <v>94.900002000000001</v>
      </c>
      <c r="I373" s="6">
        <v>135.88999899999999</v>
      </c>
      <c r="J373" s="6">
        <v>17.059999000000001</v>
      </c>
      <c r="K373" s="6">
        <v>22.15</v>
      </c>
      <c r="N373" s="19">
        <v>369</v>
      </c>
      <c r="O373" s="1">
        <v>44001</v>
      </c>
      <c r="P373" s="5">
        <f t="shared" si="144"/>
        <v>1.7797254526920856E-2</v>
      </c>
      <c r="Q373" s="5">
        <f t="shared" si="145"/>
        <v>-2.9013912237423327E-2</v>
      </c>
      <c r="R373" s="5">
        <f t="shared" si="146"/>
        <v>5.293695668640944E-3</v>
      </c>
      <c r="S373" s="5">
        <f t="shared" si="147"/>
        <v>-1.1361176595229623E-2</v>
      </c>
      <c r="T373" s="5">
        <f t="shared" si="148"/>
        <v>-8.624852393673374E-3</v>
      </c>
      <c r="U373" s="5">
        <f t="shared" si="149"/>
        <v>-4.4920673896106673E-3</v>
      </c>
      <c r="V373" s="5">
        <f t="shared" si="150"/>
        <v>-2.5488984583083591E-2</v>
      </c>
      <c r="W373" s="5">
        <f t="shared" si="151"/>
        <v>2.062601099571397E-3</v>
      </c>
      <c r="X373" s="5">
        <f t="shared" si="152"/>
        <v>-2.8317409484931857E-2</v>
      </c>
      <c r="Y373" s="5">
        <f t="shared" si="153"/>
        <v>-1.6566306780344993E-2</v>
      </c>
      <c r="Z373" s="33">
        <v>369</v>
      </c>
      <c r="AE373" s="20" t="str">
        <f t="shared" si="154"/>
        <v/>
      </c>
      <c r="AF373" s="22" t="str">
        <f t="shared" si="155"/>
        <v/>
      </c>
      <c r="AG373" s="9" t="str">
        <f t="shared" ca="1" si="134"/>
        <v/>
      </c>
      <c r="AH373" s="9" t="str">
        <f t="shared" ca="1" si="135"/>
        <v/>
      </c>
      <c r="AI373" s="9" t="str">
        <f t="shared" ca="1" si="136"/>
        <v/>
      </c>
      <c r="AJ373" s="9" t="str">
        <f t="shared" ca="1" si="137"/>
        <v/>
      </c>
      <c r="AK373" s="9" t="str">
        <f t="shared" ca="1" si="138"/>
        <v/>
      </c>
      <c r="AL373" s="9" t="str">
        <f t="shared" ca="1" si="139"/>
        <v/>
      </c>
      <c r="AM373" s="9" t="str">
        <f t="shared" ca="1" si="140"/>
        <v/>
      </c>
      <c r="AN373" s="9" t="str">
        <f t="shared" ca="1" si="141"/>
        <v/>
      </c>
      <c r="AO373" s="9" t="str">
        <f t="shared" ca="1" si="142"/>
        <v/>
      </c>
      <c r="AP373" s="9" t="str">
        <f t="shared" ca="1" si="143"/>
        <v/>
      </c>
      <c r="AQ373" s="9"/>
      <c r="AR373" s="9"/>
      <c r="AS373" s="9"/>
      <c r="AT373" s="9"/>
      <c r="AU373" s="9"/>
    </row>
    <row r="374" spans="1:47" x14ac:dyDescent="0.3">
      <c r="A374" s="1">
        <v>44004</v>
      </c>
      <c r="B374" s="6">
        <v>438.64001500000001</v>
      </c>
      <c r="C374" s="6">
        <v>193.270004</v>
      </c>
      <c r="D374" s="6">
        <v>35.134998000000003</v>
      </c>
      <c r="E374" s="6">
        <v>131.050003</v>
      </c>
      <c r="F374" s="6">
        <v>92.629997000000003</v>
      </c>
      <c r="G374" s="6">
        <v>37.75</v>
      </c>
      <c r="H374" s="6">
        <v>95.199996999999996</v>
      </c>
      <c r="I374" s="6">
        <v>134.88999899999999</v>
      </c>
      <c r="J374" s="6">
        <v>16.75</v>
      </c>
      <c r="K374" s="6">
        <v>21.84</v>
      </c>
      <c r="N374" s="18">
        <v>370</v>
      </c>
      <c r="O374" s="1">
        <v>44004</v>
      </c>
      <c r="P374" s="5">
        <f t="shared" si="144"/>
        <v>2.453248213362751E-2</v>
      </c>
      <c r="Q374" s="5">
        <f t="shared" si="145"/>
        <v>4.6709787915697097E-2</v>
      </c>
      <c r="R374" s="5">
        <f t="shared" si="146"/>
        <v>2.7074331138607095E-3</v>
      </c>
      <c r="S374" s="5">
        <f t="shared" si="147"/>
        <v>-1.7534865030878542E-3</v>
      </c>
      <c r="T374" s="5">
        <f t="shared" si="148"/>
        <v>-9.4553729564220805E-3</v>
      </c>
      <c r="U374" s="5">
        <f t="shared" si="149"/>
        <v>-2.6481261616321508E-4</v>
      </c>
      <c r="V374" s="5">
        <f t="shared" si="150"/>
        <v>3.1561835940164457E-3</v>
      </c>
      <c r="W374" s="5">
        <f t="shared" si="151"/>
        <v>-7.3861035053725257E-3</v>
      </c>
      <c r="X374" s="5">
        <f t="shared" si="152"/>
        <v>-1.8338225175808853E-2</v>
      </c>
      <c r="Y374" s="5">
        <f t="shared" si="153"/>
        <v>-1.4094345614440344E-2</v>
      </c>
      <c r="Z374" s="33">
        <v>370</v>
      </c>
      <c r="AE374" s="20" t="str">
        <f t="shared" si="154"/>
        <v/>
      </c>
      <c r="AF374" s="22" t="str">
        <f t="shared" si="155"/>
        <v/>
      </c>
      <c r="AG374" s="9" t="str">
        <f t="shared" ca="1" si="134"/>
        <v/>
      </c>
      <c r="AH374" s="9" t="str">
        <f t="shared" ca="1" si="135"/>
        <v/>
      </c>
      <c r="AI374" s="9" t="str">
        <f t="shared" ca="1" si="136"/>
        <v/>
      </c>
      <c r="AJ374" s="9" t="str">
        <f t="shared" ca="1" si="137"/>
        <v/>
      </c>
      <c r="AK374" s="9" t="str">
        <f t="shared" ca="1" si="138"/>
        <v/>
      </c>
      <c r="AL374" s="9" t="str">
        <f t="shared" ca="1" si="139"/>
        <v/>
      </c>
      <c r="AM374" s="9" t="str">
        <f t="shared" ca="1" si="140"/>
        <v/>
      </c>
      <c r="AN374" s="9" t="str">
        <f t="shared" ca="1" si="141"/>
        <v/>
      </c>
      <c r="AO374" s="9" t="str">
        <f t="shared" ca="1" si="142"/>
        <v/>
      </c>
      <c r="AP374" s="9" t="str">
        <f t="shared" ca="1" si="143"/>
        <v/>
      </c>
      <c r="AQ374" s="9"/>
      <c r="AR374" s="9"/>
      <c r="AS374" s="9"/>
      <c r="AT374" s="9"/>
      <c r="AU374" s="9"/>
    </row>
    <row r="375" spans="1:47" x14ac:dyDescent="0.3">
      <c r="A375" s="1">
        <v>44005</v>
      </c>
      <c r="B375" s="6">
        <v>440.54998799999998</v>
      </c>
      <c r="C375" s="6">
        <v>192.86999499999999</v>
      </c>
      <c r="D375" s="6">
        <v>35.090000000000003</v>
      </c>
      <c r="E375" s="6">
        <v>131.36000100000001</v>
      </c>
      <c r="F375" s="6">
        <v>90.669998000000007</v>
      </c>
      <c r="G375" s="6">
        <v>37.459999000000003</v>
      </c>
      <c r="H375" s="6">
        <v>94.800003000000004</v>
      </c>
      <c r="I375" s="6">
        <v>137.08000200000001</v>
      </c>
      <c r="J375" s="6">
        <v>17.239999999999998</v>
      </c>
      <c r="K375" s="6">
        <v>22.16</v>
      </c>
      <c r="N375" s="19">
        <v>371</v>
      </c>
      <c r="O375" s="1">
        <v>44005</v>
      </c>
      <c r="P375" s="5">
        <f t="shared" si="144"/>
        <v>4.344853781659266E-3</v>
      </c>
      <c r="Q375" s="5">
        <f t="shared" si="145"/>
        <v>-2.0718347963041878E-3</v>
      </c>
      <c r="R375" s="5">
        <f t="shared" si="146"/>
        <v>-1.2815381257397628E-3</v>
      </c>
      <c r="S375" s="5">
        <f t="shared" si="147"/>
        <v>2.3627006553444741E-3</v>
      </c>
      <c r="T375" s="5">
        <f t="shared" si="148"/>
        <v>-2.1386511279067981E-2</v>
      </c>
      <c r="U375" s="5">
        <f t="shared" si="149"/>
        <v>-7.7118053742330408E-3</v>
      </c>
      <c r="V375" s="5">
        <f t="shared" si="150"/>
        <v>-4.2104693781688136E-3</v>
      </c>
      <c r="W375" s="5">
        <f t="shared" si="151"/>
        <v>1.6105087528288126E-2</v>
      </c>
      <c r="X375" s="5">
        <f t="shared" si="152"/>
        <v>2.8834006964471481E-2</v>
      </c>
      <c r="Y375" s="5">
        <f t="shared" si="153"/>
        <v>1.4545711002378716E-2</v>
      </c>
      <c r="Z375" s="33">
        <v>371</v>
      </c>
      <c r="AE375" s="20" t="str">
        <f t="shared" si="154"/>
        <v/>
      </c>
      <c r="AF375" s="22" t="str">
        <f t="shared" si="155"/>
        <v/>
      </c>
      <c r="AG375" s="9" t="str">
        <f t="shared" ca="1" si="134"/>
        <v/>
      </c>
      <c r="AH375" s="9" t="str">
        <f t="shared" ca="1" si="135"/>
        <v/>
      </c>
      <c r="AI375" s="9" t="str">
        <f t="shared" ca="1" si="136"/>
        <v/>
      </c>
      <c r="AJ375" s="9" t="str">
        <f t="shared" ca="1" si="137"/>
        <v/>
      </c>
      <c r="AK375" s="9" t="str">
        <f t="shared" ca="1" si="138"/>
        <v/>
      </c>
      <c r="AL375" s="9" t="str">
        <f t="shared" ca="1" si="139"/>
        <v/>
      </c>
      <c r="AM375" s="9" t="str">
        <f t="shared" ca="1" si="140"/>
        <v/>
      </c>
      <c r="AN375" s="9" t="str">
        <f t="shared" ca="1" si="141"/>
        <v/>
      </c>
      <c r="AO375" s="9" t="str">
        <f t="shared" ca="1" si="142"/>
        <v/>
      </c>
      <c r="AP375" s="9" t="str">
        <f t="shared" ca="1" si="143"/>
        <v/>
      </c>
      <c r="AQ375" s="9"/>
      <c r="AR375" s="9"/>
      <c r="AS375" s="9"/>
      <c r="AT375" s="9"/>
      <c r="AU375" s="9"/>
    </row>
    <row r="376" spans="1:47" x14ac:dyDescent="0.3">
      <c r="A376" s="1">
        <v>44006</v>
      </c>
      <c r="B376" s="6">
        <v>431.67999300000002</v>
      </c>
      <c r="C376" s="6">
        <v>189.199997</v>
      </c>
      <c r="D376" s="6">
        <v>34.034999999999997</v>
      </c>
      <c r="E376" s="6">
        <v>129.55999800000001</v>
      </c>
      <c r="F376" s="6">
        <v>89.019997000000004</v>
      </c>
      <c r="G376" s="6">
        <v>36.389999000000003</v>
      </c>
      <c r="H376" s="6">
        <v>91.889999000000003</v>
      </c>
      <c r="I376" s="6">
        <v>130.820007</v>
      </c>
      <c r="J376" s="6">
        <v>16.440000999999999</v>
      </c>
      <c r="K376" s="6">
        <v>21.719999000000001</v>
      </c>
      <c r="N376" s="18">
        <v>372</v>
      </c>
      <c r="O376" s="1">
        <v>44006</v>
      </c>
      <c r="P376" s="5">
        <f t="shared" si="144"/>
        <v>-2.0339362270383826E-2</v>
      </c>
      <c r="Q376" s="5">
        <f t="shared" si="145"/>
        <v>-1.9211720135966021E-2</v>
      </c>
      <c r="R376" s="5">
        <f t="shared" si="146"/>
        <v>-3.0526782695209215E-2</v>
      </c>
      <c r="S376" s="5">
        <f t="shared" si="147"/>
        <v>-1.3797574450520333E-2</v>
      </c>
      <c r="T376" s="5">
        <f t="shared" si="148"/>
        <v>-1.8365489712536372E-2</v>
      </c>
      <c r="U376" s="5">
        <f t="shared" si="149"/>
        <v>-2.8979686176809506E-2</v>
      </c>
      <c r="V376" s="5">
        <f t="shared" si="150"/>
        <v>-3.1177242276328773E-2</v>
      </c>
      <c r="W376" s="5">
        <f t="shared" si="151"/>
        <v>-4.6742325554725378E-2</v>
      </c>
      <c r="X376" s="5">
        <f t="shared" si="152"/>
        <v>-4.7514814780264425E-2</v>
      </c>
      <c r="Y376" s="5">
        <f t="shared" si="153"/>
        <v>-2.0055412853865008E-2</v>
      </c>
      <c r="Z376" s="33">
        <v>372</v>
      </c>
      <c r="AE376" s="20" t="str">
        <f t="shared" si="154"/>
        <v/>
      </c>
      <c r="AF376" s="22" t="str">
        <f t="shared" si="155"/>
        <v/>
      </c>
      <c r="AG376" s="9" t="str">
        <f t="shared" ca="1" si="134"/>
        <v/>
      </c>
      <c r="AH376" s="9" t="str">
        <f t="shared" ca="1" si="135"/>
        <v/>
      </c>
      <c r="AI376" s="9" t="str">
        <f t="shared" ca="1" si="136"/>
        <v/>
      </c>
      <c r="AJ376" s="9" t="str">
        <f t="shared" ca="1" si="137"/>
        <v/>
      </c>
      <c r="AK376" s="9" t="str">
        <f t="shared" ca="1" si="138"/>
        <v/>
      </c>
      <c r="AL376" s="9" t="str">
        <f t="shared" ca="1" si="139"/>
        <v/>
      </c>
      <c r="AM376" s="9" t="str">
        <f t="shared" ca="1" si="140"/>
        <v/>
      </c>
      <c r="AN376" s="9" t="str">
        <f t="shared" ca="1" si="141"/>
        <v/>
      </c>
      <c r="AO376" s="9" t="str">
        <f t="shared" ca="1" si="142"/>
        <v/>
      </c>
      <c r="AP376" s="9" t="str">
        <f t="shared" ca="1" si="143"/>
        <v/>
      </c>
      <c r="AQ376" s="9"/>
      <c r="AR376" s="9"/>
      <c r="AS376" s="9"/>
      <c r="AT376" s="9"/>
      <c r="AU376" s="9"/>
    </row>
    <row r="377" spans="1:47" x14ac:dyDescent="0.3">
      <c r="A377" s="1">
        <v>44007</v>
      </c>
      <c r="B377" s="6">
        <v>436.95001200000002</v>
      </c>
      <c r="C377" s="6">
        <v>189.69000199999999</v>
      </c>
      <c r="D377" s="6">
        <v>34.529998999999997</v>
      </c>
      <c r="E377" s="6">
        <v>131.41000399999999</v>
      </c>
      <c r="F377" s="6">
        <v>89.709998999999996</v>
      </c>
      <c r="G377" s="6">
        <v>36.790000999999997</v>
      </c>
      <c r="H377" s="6">
        <v>92.290001000000004</v>
      </c>
      <c r="I377" s="6">
        <v>131.69000199999999</v>
      </c>
      <c r="J377" s="6">
        <v>16.459999</v>
      </c>
      <c r="K377" s="6">
        <v>21.26</v>
      </c>
      <c r="N377" s="19">
        <v>373</v>
      </c>
      <c r="O377" s="1">
        <v>44007</v>
      </c>
      <c r="P377" s="5">
        <f t="shared" si="144"/>
        <v>1.2134242732973838E-2</v>
      </c>
      <c r="Q377" s="5">
        <f t="shared" si="145"/>
        <v>2.5865305206088096E-3</v>
      </c>
      <c r="R377" s="5">
        <f t="shared" si="146"/>
        <v>1.4439075541661498E-2</v>
      </c>
      <c r="S377" s="5">
        <f t="shared" si="147"/>
        <v>1.4178158228364541E-2</v>
      </c>
      <c r="T377" s="5">
        <f t="shared" si="148"/>
        <v>7.7212045367470268E-3</v>
      </c>
      <c r="U377" s="5">
        <f t="shared" si="149"/>
        <v>1.0932112153990637E-2</v>
      </c>
      <c r="V377" s="5">
        <f t="shared" si="150"/>
        <v>4.3436054826789285E-3</v>
      </c>
      <c r="W377" s="5">
        <f t="shared" si="151"/>
        <v>6.6283048676073946E-3</v>
      </c>
      <c r="X377" s="5">
        <f t="shared" si="152"/>
        <v>1.2156840402979714E-3</v>
      </c>
      <c r="Y377" s="5">
        <f t="shared" si="153"/>
        <v>-2.1406076111416081E-2</v>
      </c>
      <c r="Z377" s="33">
        <v>373</v>
      </c>
      <c r="AE377" s="20" t="str">
        <f t="shared" si="154"/>
        <v/>
      </c>
      <c r="AF377" s="22" t="str">
        <f t="shared" si="155"/>
        <v/>
      </c>
      <c r="AG377" s="9" t="str">
        <f t="shared" ca="1" si="134"/>
        <v/>
      </c>
      <c r="AH377" s="9" t="str">
        <f t="shared" ca="1" si="135"/>
        <v/>
      </c>
      <c r="AI377" s="9" t="str">
        <f t="shared" ca="1" si="136"/>
        <v/>
      </c>
      <c r="AJ377" s="9" t="str">
        <f t="shared" ca="1" si="137"/>
        <v/>
      </c>
      <c r="AK377" s="9" t="str">
        <f t="shared" ca="1" si="138"/>
        <v/>
      </c>
      <c r="AL377" s="9" t="str">
        <f t="shared" ca="1" si="139"/>
        <v/>
      </c>
      <c r="AM377" s="9" t="str">
        <f t="shared" ca="1" si="140"/>
        <v/>
      </c>
      <c r="AN377" s="9" t="str">
        <f t="shared" ca="1" si="141"/>
        <v/>
      </c>
      <c r="AO377" s="9" t="str">
        <f t="shared" ca="1" si="142"/>
        <v/>
      </c>
      <c r="AP377" s="9" t="str">
        <f t="shared" ca="1" si="143"/>
        <v/>
      </c>
      <c r="AQ377" s="9"/>
      <c r="AR377" s="9"/>
      <c r="AS377" s="9"/>
      <c r="AT377" s="9"/>
      <c r="AU377" s="9"/>
    </row>
    <row r="378" spans="1:47" x14ac:dyDescent="0.3">
      <c r="A378" s="1">
        <v>44008</v>
      </c>
      <c r="B378" s="6">
        <v>426.92001299999998</v>
      </c>
      <c r="C378" s="6">
        <v>190.41999799999999</v>
      </c>
      <c r="D378" s="6">
        <v>33.950001</v>
      </c>
      <c r="E378" s="6">
        <v>128.929993</v>
      </c>
      <c r="F378" s="6">
        <v>88.690002000000007</v>
      </c>
      <c r="G378" s="6">
        <v>36.389999000000003</v>
      </c>
      <c r="H378" s="6">
        <v>92.639999000000003</v>
      </c>
      <c r="I378" s="6">
        <v>133.55999800000001</v>
      </c>
      <c r="J378" s="6">
        <v>16.219999000000001</v>
      </c>
      <c r="K378" s="6">
        <v>20.260000000000002</v>
      </c>
      <c r="N378" s="18">
        <v>374</v>
      </c>
      <c r="O378" s="1">
        <v>44008</v>
      </c>
      <c r="P378" s="5">
        <f t="shared" si="144"/>
        <v>-2.3222127040215777E-2</v>
      </c>
      <c r="Q378" s="5">
        <f t="shared" si="145"/>
        <v>3.8409770722969195E-3</v>
      </c>
      <c r="R378" s="5">
        <f t="shared" si="146"/>
        <v>-1.693959898179041E-2</v>
      </c>
      <c r="S378" s="5">
        <f t="shared" si="147"/>
        <v>-1.9052669964912405E-2</v>
      </c>
      <c r="T378" s="5">
        <f t="shared" si="148"/>
        <v>-1.1435068485345298E-2</v>
      </c>
      <c r="U378" s="5">
        <f t="shared" si="149"/>
        <v>-1.0932112153990634E-2</v>
      </c>
      <c r="V378" s="5">
        <f t="shared" si="150"/>
        <v>3.7851989173163145E-3</v>
      </c>
      <c r="W378" s="5">
        <f t="shared" si="151"/>
        <v>1.4100109191599821E-2</v>
      </c>
      <c r="X378" s="5">
        <f t="shared" si="152"/>
        <v>-1.468814746059657E-2</v>
      </c>
      <c r="Y378" s="5">
        <f t="shared" si="153"/>
        <v>-4.8178874093264601E-2</v>
      </c>
      <c r="Z378" s="33">
        <v>374</v>
      </c>
      <c r="AE378" s="20" t="str">
        <f t="shared" si="154"/>
        <v/>
      </c>
      <c r="AF378" s="22" t="str">
        <f t="shared" si="155"/>
        <v/>
      </c>
      <c r="AG378" s="9" t="str">
        <f t="shared" ca="1" si="134"/>
        <v/>
      </c>
      <c r="AH378" s="9" t="str">
        <f t="shared" ca="1" si="135"/>
        <v/>
      </c>
      <c r="AI378" s="9" t="str">
        <f t="shared" ca="1" si="136"/>
        <v/>
      </c>
      <c r="AJ378" s="9" t="str">
        <f t="shared" ca="1" si="137"/>
        <v/>
      </c>
      <c r="AK378" s="9" t="str">
        <f t="shared" ca="1" si="138"/>
        <v/>
      </c>
      <c r="AL378" s="9" t="str">
        <f t="shared" ca="1" si="139"/>
        <v/>
      </c>
      <c r="AM378" s="9" t="str">
        <f t="shared" ca="1" si="140"/>
        <v/>
      </c>
      <c r="AN378" s="9" t="str">
        <f t="shared" ca="1" si="141"/>
        <v/>
      </c>
      <c r="AO378" s="9" t="str">
        <f t="shared" ca="1" si="142"/>
        <v/>
      </c>
      <c r="AP378" s="9" t="str">
        <f t="shared" ca="1" si="143"/>
        <v/>
      </c>
      <c r="AQ378" s="9"/>
      <c r="AR378" s="9"/>
      <c r="AS378" s="9"/>
      <c r="AT378" s="9"/>
      <c r="AU378" s="9"/>
    </row>
    <row r="379" spans="1:47" x14ac:dyDescent="0.3">
      <c r="A379" s="1">
        <v>44011</v>
      </c>
      <c r="B379" s="6">
        <v>424.20001200000002</v>
      </c>
      <c r="C379" s="6">
        <v>189.720001</v>
      </c>
      <c r="D379" s="6">
        <v>34.555</v>
      </c>
      <c r="E379" s="6">
        <v>131.08000200000001</v>
      </c>
      <c r="F379" s="6">
        <v>89.889999000000003</v>
      </c>
      <c r="G379" s="6">
        <v>36.790000999999997</v>
      </c>
      <c r="H379" s="6">
        <v>94.57</v>
      </c>
      <c r="I379" s="6">
        <v>136.10000600000001</v>
      </c>
      <c r="J379" s="6">
        <v>16.969999000000001</v>
      </c>
      <c r="K379" s="6">
        <v>21.23</v>
      </c>
      <c r="N379" s="19">
        <v>375</v>
      </c>
      <c r="O379" s="1">
        <v>44011</v>
      </c>
      <c r="P379" s="5">
        <f t="shared" si="144"/>
        <v>-6.3916020773087789E-3</v>
      </c>
      <c r="Q379" s="5">
        <f t="shared" si="145"/>
        <v>-3.6828420741403093E-3</v>
      </c>
      <c r="R379" s="5">
        <f t="shared" si="146"/>
        <v>1.766337408357193E-2</v>
      </c>
      <c r="S379" s="5">
        <f t="shared" si="147"/>
        <v>1.6538271958754153E-2</v>
      </c>
      <c r="T379" s="5">
        <f t="shared" si="148"/>
        <v>1.3439523521782406E-2</v>
      </c>
      <c r="U379" s="5">
        <f t="shared" si="149"/>
        <v>1.0932112153990637E-2</v>
      </c>
      <c r="V379" s="5">
        <f t="shared" si="150"/>
        <v>2.0619297997208783E-2</v>
      </c>
      <c r="W379" s="5">
        <f t="shared" si="151"/>
        <v>1.8839153641740446E-2</v>
      </c>
      <c r="X379" s="5">
        <f t="shared" si="152"/>
        <v>4.5202033283630129E-2</v>
      </c>
      <c r="Y379" s="5">
        <f t="shared" si="153"/>
        <v>4.6766776894627417E-2</v>
      </c>
      <c r="Z379" s="33">
        <v>375</v>
      </c>
      <c r="AE379" s="20" t="str">
        <f t="shared" si="154"/>
        <v/>
      </c>
      <c r="AF379" s="22" t="str">
        <f t="shared" si="155"/>
        <v/>
      </c>
      <c r="AG379" s="9" t="str">
        <f t="shared" ca="1" si="134"/>
        <v/>
      </c>
      <c r="AH379" s="9" t="str">
        <f t="shared" ca="1" si="135"/>
        <v/>
      </c>
      <c r="AI379" s="9" t="str">
        <f t="shared" ca="1" si="136"/>
        <v/>
      </c>
      <c r="AJ379" s="9" t="str">
        <f t="shared" ca="1" si="137"/>
        <v/>
      </c>
      <c r="AK379" s="9" t="str">
        <f t="shared" ca="1" si="138"/>
        <v/>
      </c>
      <c r="AL379" s="9" t="str">
        <f t="shared" ca="1" si="139"/>
        <v/>
      </c>
      <c r="AM379" s="9" t="str">
        <f t="shared" ca="1" si="140"/>
        <v/>
      </c>
      <c r="AN379" s="9" t="str">
        <f t="shared" ca="1" si="141"/>
        <v/>
      </c>
      <c r="AO379" s="9" t="str">
        <f t="shared" ca="1" si="142"/>
        <v/>
      </c>
      <c r="AP379" s="9" t="str">
        <f t="shared" ca="1" si="143"/>
        <v/>
      </c>
      <c r="AQ379" s="9"/>
      <c r="AR379" s="9"/>
      <c r="AS379" s="9"/>
      <c r="AT379" s="9"/>
      <c r="AU379" s="9"/>
    </row>
    <row r="380" spans="1:47" x14ac:dyDescent="0.3">
      <c r="A380" s="1">
        <v>44012</v>
      </c>
      <c r="B380" s="6">
        <v>435.30999800000001</v>
      </c>
      <c r="C380" s="6">
        <v>195</v>
      </c>
      <c r="D380" s="6">
        <v>34.659999999999997</v>
      </c>
      <c r="E380" s="6">
        <v>132.259995</v>
      </c>
      <c r="F380" s="6">
        <v>91.220000999999996</v>
      </c>
      <c r="G380" s="6">
        <v>37.380001</v>
      </c>
      <c r="H380" s="6">
        <v>96.559997999999993</v>
      </c>
      <c r="I380" s="6">
        <v>138.509995</v>
      </c>
      <c r="J380" s="6">
        <v>17.16</v>
      </c>
      <c r="K380" s="6">
        <v>21.1</v>
      </c>
      <c r="N380" s="18">
        <v>376</v>
      </c>
      <c r="O380" s="1">
        <v>44012</v>
      </c>
      <c r="P380" s="5">
        <f t="shared" si="144"/>
        <v>2.5853345943364119E-2</v>
      </c>
      <c r="Q380" s="5">
        <f t="shared" si="145"/>
        <v>2.7450252283440342E-2</v>
      </c>
      <c r="R380" s="5">
        <f t="shared" si="146"/>
        <v>3.034026744102347E-3</v>
      </c>
      <c r="S380" s="5">
        <f t="shared" si="147"/>
        <v>8.9618053537193192E-3</v>
      </c>
      <c r="T380" s="5">
        <f t="shared" si="148"/>
        <v>1.468749278546257E-2</v>
      </c>
      <c r="U380" s="5">
        <f t="shared" si="149"/>
        <v>1.590973248170854E-2</v>
      </c>
      <c r="V380" s="5">
        <f t="shared" si="150"/>
        <v>2.0824255049344802E-2</v>
      </c>
      <c r="W380" s="5">
        <f t="shared" si="151"/>
        <v>1.7552535345879035E-2</v>
      </c>
      <c r="X380" s="5">
        <f t="shared" si="152"/>
        <v>1.1134073741201995E-2</v>
      </c>
      <c r="Y380" s="5">
        <f t="shared" si="153"/>
        <v>-6.1422352331438768E-3</v>
      </c>
      <c r="Z380" s="33">
        <v>376</v>
      </c>
      <c r="AE380" s="20" t="str">
        <f t="shared" si="154"/>
        <v/>
      </c>
      <c r="AF380" s="22" t="str">
        <f t="shared" si="155"/>
        <v/>
      </c>
      <c r="AG380" s="9" t="str">
        <f t="shared" ca="1" si="134"/>
        <v/>
      </c>
      <c r="AH380" s="9" t="str">
        <f t="shared" ca="1" si="135"/>
        <v/>
      </c>
      <c r="AI380" s="9" t="str">
        <f t="shared" ca="1" si="136"/>
        <v/>
      </c>
      <c r="AJ380" s="9" t="str">
        <f t="shared" ca="1" si="137"/>
        <v/>
      </c>
      <c r="AK380" s="9" t="str">
        <f t="shared" ca="1" si="138"/>
        <v/>
      </c>
      <c r="AL380" s="9" t="str">
        <f t="shared" ca="1" si="139"/>
        <v/>
      </c>
      <c r="AM380" s="9" t="str">
        <f t="shared" ca="1" si="140"/>
        <v/>
      </c>
      <c r="AN380" s="9" t="str">
        <f t="shared" ca="1" si="141"/>
        <v/>
      </c>
      <c r="AO380" s="9" t="str">
        <f t="shared" ca="1" si="142"/>
        <v/>
      </c>
      <c r="AP380" s="9" t="str">
        <f t="shared" ca="1" si="143"/>
        <v/>
      </c>
      <c r="AQ380" s="9"/>
      <c r="AR380" s="9"/>
      <c r="AS380" s="9"/>
      <c r="AT380" s="9"/>
      <c r="AU380" s="9"/>
    </row>
    <row r="381" spans="1:47" x14ac:dyDescent="0.3">
      <c r="A381" s="1">
        <v>44013</v>
      </c>
      <c r="B381" s="6">
        <v>439.80999800000001</v>
      </c>
      <c r="C381" s="6">
        <v>196.89999399999999</v>
      </c>
      <c r="D381" s="6">
        <v>34.514999000000003</v>
      </c>
      <c r="E381" s="6">
        <v>132.36000100000001</v>
      </c>
      <c r="F381" s="6">
        <v>93.809997999999993</v>
      </c>
      <c r="G381" s="6">
        <v>38.889999000000003</v>
      </c>
      <c r="H381" s="6">
        <v>95.599997999999999</v>
      </c>
      <c r="I381" s="6">
        <v>134.11999499999999</v>
      </c>
      <c r="J381" s="6">
        <v>17.059999000000001</v>
      </c>
      <c r="K381" s="6">
        <v>21.07</v>
      </c>
      <c r="N381" s="19">
        <v>377</v>
      </c>
      <c r="O381" s="1">
        <v>44013</v>
      </c>
      <c r="P381" s="5">
        <f t="shared" si="144"/>
        <v>1.0284394560261778E-2</v>
      </c>
      <c r="Q381" s="5">
        <f t="shared" si="145"/>
        <v>9.6963966090114987E-3</v>
      </c>
      <c r="R381" s="5">
        <f t="shared" si="146"/>
        <v>-4.1923011049317064E-3</v>
      </c>
      <c r="S381" s="5">
        <f t="shared" si="147"/>
        <v>7.5584616637338101E-4</v>
      </c>
      <c r="T381" s="5">
        <f t="shared" si="148"/>
        <v>2.799725657210806E-2</v>
      </c>
      <c r="U381" s="5">
        <f t="shared" si="149"/>
        <v>3.9601293674414291E-2</v>
      </c>
      <c r="V381" s="5">
        <f t="shared" si="150"/>
        <v>-9.9917569399121681E-3</v>
      </c>
      <c r="W381" s="5">
        <f t="shared" si="151"/>
        <v>-3.2207604770550652E-2</v>
      </c>
      <c r="X381" s="5">
        <f t="shared" si="152"/>
        <v>-5.8446106129319258E-3</v>
      </c>
      <c r="Y381" s="5">
        <f t="shared" si="153"/>
        <v>-1.4228126659232164E-3</v>
      </c>
      <c r="Z381" s="33">
        <v>377</v>
      </c>
      <c r="AE381" s="20" t="str">
        <f t="shared" si="154"/>
        <v/>
      </c>
      <c r="AF381" s="22" t="str">
        <f t="shared" si="155"/>
        <v/>
      </c>
      <c r="AG381" s="9" t="str">
        <f t="shared" ca="1" si="134"/>
        <v/>
      </c>
      <c r="AH381" s="9" t="str">
        <f t="shared" ca="1" si="135"/>
        <v/>
      </c>
      <c r="AI381" s="9" t="str">
        <f t="shared" ca="1" si="136"/>
        <v/>
      </c>
      <c r="AJ381" s="9" t="str">
        <f t="shared" ca="1" si="137"/>
        <v/>
      </c>
      <c r="AK381" s="9" t="str">
        <f t="shared" ca="1" si="138"/>
        <v/>
      </c>
      <c r="AL381" s="9" t="str">
        <f t="shared" ca="1" si="139"/>
        <v/>
      </c>
      <c r="AM381" s="9" t="str">
        <f t="shared" ca="1" si="140"/>
        <v/>
      </c>
      <c r="AN381" s="9" t="str">
        <f t="shared" ca="1" si="141"/>
        <v/>
      </c>
      <c r="AO381" s="9" t="str">
        <f t="shared" ca="1" si="142"/>
        <v/>
      </c>
      <c r="AP381" s="9" t="str">
        <f t="shared" ca="1" si="143"/>
        <v/>
      </c>
      <c r="AQ381" s="9"/>
      <c r="AR381" s="9"/>
      <c r="AS381" s="9"/>
      <c r="AT381" s="9"/>
      <c r="AU381" s="9"/>
    </row>
    <row r="382" spans="1:47" x14ac:dyDescent="0.3">
      <c r="A382" s="1">
        <v>44014</v>
      </c>
      <c r="B382" s="6">
        <v>442.95001200000002</v>
      </c>
      <c r="C382" s="6">
        <v>197.58000200000001</v>
      </c>
      <c r="D382" s="6">
        <v>34.630001</v>
      </c>
      <c r="E382" s="6">
        <v>132.85000600000001</v>
      </c>
      <c r="F382" s="6">
        <v>93.57</v>
      </c>
      <c r="G382" s="6">
        <v>38.57</v>
      </c>
      <c r="H382" s="6">
        <v>97.419998000000007</v>
      </c>
      <c r="I382" s="6">
        <v>135.990005</v>
      </c>
      <c r="J382" s="6">
        <v>17.059999000000001</v>
      </c>
      <c r="K382" s="6">
        <v>20.790001</v>
      </c>
      <c r="N382" s="18">
        <v>378</v>
      </c>
      <c r="O382" s="1">
        <v>44014</v>
      </c>
      <c r="P382" s="5">
        <f t="shared" si="144"/>
        <v>7.1141130263840877E-3</v>
      </c>
      <c r="Q382" s="5">
        <f t="shared" si="145"/>
        <v>3.4476205660514546E-3</v>
      </c>
      <c r="R382" s="5">
        <f t="shared" si="146"/>
        <v>3.3264041084983668E-3</v>
      </c>
      <c r="S382" s="5">
        <f t="shared" si="147"/>
        <v>3.6952267609758481E-3</v>
      </c>
      <c r="T382" s="5">
        <f t="shared" si="148"/>
        <v>-2.5616195303490917E-3</v>
      </c>
      <c r="U382" s="5">
        <f t="shared" si="149"/>
        <v>-8.2623502339681833E-3</v>
      </c>
      <c r="V382" s="5">
        <f t="shared" si="150"/>
        <v>1.8858708711877899E-2</v>
      </c>
      <c r="W382" s="5">
        <f t="shared" si="151"/>
        <v>1.3846506070296897E-2</v>
      </c>
      <c r="X382" s="5">
        <f t="shared" si="152"/>
        <v>0</v>
      </c>
      <c r="Y382" s="5">
        <f t="shared" si="153"/>
        <v>-1.3378077846129136E-2</v>
      </c>
      <c r="Z382" s="33">
        <v>378</v>
      </c>
      <c r="AE382" s="20" t="str">
        <f t="shared" si="154"/>
        <v/>
      </c>
      <c r="AF382" s="22" t="str">
        <f t="shared" si="155"/>
        <v/>
      </c>
      <c r="AG382" s="9" t="str">
        <f t="shared" ca="1" si="134"/>
        <v/>
      </c>
      <c r="AH382" s="9" t="str">
        <f t="shared" ca="1" si="135"/>
        <v/>
      </c>
      <c r="AI382" s="9" t="str">
        <f t="shared" ca="1" si="136"/>
        <v/>
      </c>
      <c r="AJ382" s="9" t="str">
        <f t="shared" ca="1" si="137"/>
        <v/>
      </c>
      <c r="AK382" s="9" t="str">
        <f t="shared" ca="1" si="138"/>
        <v/>
      </c>
      <c r="AL382" s="9" t="str">
        <f t="shared" ca="1" si="139"/>
        <v/>
      </c>
      <c r="AM382" s="9" t="str">
        <f t="shared" ca="1" si="140"/>
        <v/>
      </c>
      <c r="AN382" s="9" t="str">
        <f t="shared" ca="1" si="141"/>
        <v/>
      </c>
      <c r="AO382" s="9" t="str">
        <f t="shared" ca="1" si="142"/>
        <v/>
      </c>
      <c r="AP382" s="9" t="str">
        <f t="shared" ca="1" si="143"/>
        <v/>
      </c>
      <c r="AQ382" s="9"/>
      <c r="AR382" s="9"/>
      <c r="AS382" s="9"/>
      <c r="AT382" s="9"/>
      <c r="AU382" s="9"/>
    </row>
    <row r="383" spans="1:47" x14ac:dyDescent="0.3">
      <c r="A383" s="1">
        <v>44018</v>
      </c>
      <c r="B383" s="6">
        <v>452.58999599999999</v>
      </c>
      <c r="C383" s="6">
        <v>199.38999899999999</v>
      </c>
      <c r="D383" s="6">
        <v>35.654998999999997</v>
      </c>
      <c r="E383" s="6">
        <v>133.300003</v>
      </c>
      <c r="F383" s="6">
        <v>91.970000999999996</v>
      </c>
      <c r="G383" s="6">
        <v>38.130001</v>
      </c>
      <c r="H383" s="6">
        <v>98.529999000000004</v>
      </c>
      <c r="I383" s="6">
        <v>137.009995</v>
      </c>
      <c r="J383" s="6">
        <v>17.360001</v>
      </c>
      <c r="K383" s="6">
        <v>21.24</v>
      </c>
      <c r="N383" s="19">
        <v>379</v>
      </c>
      <c r="O383" s="1">
        <v>44018</v>
      </c>
      <c r="P383" s="5">
        <f t="shared" si="144"/>
        <v>2.1529705603455289E-2</v>
      </c>
      <c r="Q383" s="5">
        <f t="shared" si="145"/>
        <v>9.1191250647013004E-3</v>
      </c>
      <c r="R383" s="5">
        <f t="shared" si="146"/>
        <v>2.9168974142682443E-2</v>
      </c>
      <c r="S383" s="5">
        <f t="shared" si="147"/>
        <v>3.3815323207491118E-3</v>
      </c>
      <c r="T383" s="5">
        <f t="shared" si="148"/>
        <v>-1.7247371500104594E-2</v>
      </c>
      <c r="U383" s="5">
        <f t="shared" si="149"/>
        <v>-1.1473372124595651E-2</v>
      </c>
      <c r="V383" s="5">
        <f t="shared" si="150"/>
        <v>1.1329552336458985E-2</v>
      </c>
      <c r="W383" s="5">
        <f t="shared" si="151"/>
        <v>7.4724889830538347E-3</v>
      </c>
      <c r="X383" s="5">
        <f t="shared" si="152"/>
        <v>1.743228338900479E-2</v>
      </c>
      <c r="Y383" s="5">
        <f t="shared" si="153"/>
        <v>2.1414046403769486E-2</v>
      </c>
      <c r="Z383" s="33">
        <v>379</v>
      </c>
      <c r="AE383" s="20" t="str">
        <f t="shared" si="154"/>
        <v/>
      </c>
      <c r="AF383" s="22" t="str">
        <f t="shared" si="155"/>
        <v/>
      </c>
      <c r="AG383" s="9" t="str">
        <f t="shared" ca="1" si="134"/>
        <v/>
      </c>
      <c r="AH383" s="9" t="str">
        <f t="shared" ca="1" si="135"/>
        <v/>
      </c>
      <c r="AI383" s="9" t="str">
        <f t="shared" ca="1" si="136"/>
        <v/>
      </c>
      <c r="AJ383" s="9" t="str">
        <f t="shared" ca="1" si="137"/>
        <v/>
      </c>
      <c r="AK383" s="9" t="str">
        <f t="shared" ca="1" si="138"/>
        <v/>
      </c>
      <c r="AL383" s="9" t="str">
        <f t="shared" ca="1" si="139"/>
        <v/>
      </c>
      <c r="AM383" s="9" t="str">
        <f t="shared" ca="1" si="140"/>
        <v/>
      </c>
      <c r="AN383" s="9" t="str">
        <f t="shared" ca="1" si="141"/>
        <v/>
      </c>
      <c r="AO383" s="9" t="str">
        <f t="shared" ca="1" si="142"/>
        <v/>
      </c>
      <c r="AP383" s="9" t="str">
        <f t="shared" ca="1" si="143"/>
        <v/>
      </c>
      <c r="AQ383" s="9"/>
      <c r="AR383" s="9"/>
      <c r="AS383" s="9"/>
      <c r="AT383" s="9"/>
      <c r="AU383" s="9"/>
    </row>
    <row r="384" spans="1:47" x14ac:dyDescent="0.3">
      <c r="A384" s="1">
        <v>44019</v>
      </c>
      <c r="B384" s="6">
        <v>449.35998499999999</v>
      </c>
      <c r="C384" s="6">
        <v>197.63000500000001</v>
      </c>
      <c r="D384" s="6">
        <v>35.849997999999999</v>
      </c>
      <c r="E384" s="6">
        <v>133.570007</v>
      </c>
      <c r="F384" s="6">
        <v>89.709998999999996</v>
      </c>
      <c r="G384" s="6">
        <v>36.900002000000001</v>
      </c>
      <c r="H384" s="6">
        <v>96.830001999999993</v>
      </c>
      <c r="I384" s="6">
        <v>134.16000399999999</v>
      </c>
      <c r="J384" s="6">
        <v>17.190000999999999</v>
      </c>
      <c r="K384" s="6">
        <v>20.360001</v>
      </c>
      <c r="N384" s="18">
        <v>380</v>
      </c>
      <c r="O384" s="1">
        <v>44019</v>
      </c>
      <c r="P384" s="5">
        <f t="shared" si="144"/>
        <v>-7.162314709221778E-3</v>
      </c>
      <c r="Q384" s="5">
        <f t="shared" si="145"/>
        <v>-8.8660798513657824E-3</v>
      </c>
      <c r="R384" s="5">
        <f t="shared" si="146"/>
        <v>5.4541498239130144E-3</v>
      </c>
      <c r="S384" s="5">
        <f t="shared" si="147"/>
        <v>2.0234877057010315E-3</v>
      </c>
      <c r="T384" s="5">
        <f t="shared" si="148"/>
        <v>-2.4880213363554213E-2</v>
      </c>
      <c r="U384" s="5">
        <f t="shared" si="149"/>
        <v>-3.2789794848518641E-2</v>
      </c>
      <c r="V384" s="5">
        <f t="shared" si="150"/>
        <v>-1.7404175906994793E-2</v>
      </c>
      <c r="W384" s="5">
        <f t="shared" si="151"/>
        <v>-2.1020732041231067E-2</v>
      </c>
      <c r="X384" s="5">
        <f t="shared" si="152"/>
        <v>-9.8408892677763846E-3</v>
      </c>
      <c r="Y384" s="5">
        <f t="shared" si="153"/>
        <v>-4.2313955575503673E-2</v>
      </c>
      <c r="Z384" s="33">
        <v>380</v>
      </c>
      <c r="AE384" s="20" t="str">
        <f t="shared" si="154"/>
        <v/>
      </c>
      <c r="AF384" s="22" t="str">
        <f t="shared" si="155"/>
        <v/>
      </c>
      <c r="AG384" s="9" t="str">
        <f t="shared" ca="1" si="134"/>
        <v/>
      </c>
      <c r="AH384" s="9" t="str">
        <f t="shared" ca="1" si="135"/>
        <v/>
      </c>
      <c r="AI384" s="9" t="str">
        <f t="shared" ca="1" si="136"/>
        <v/>
      </c>
      <c r="AJ384" s="9" t="str">
        <f t="shared" ca="1" si="137"/>
        <v/>
      </c>
      <c r="AK384" s="9" t="str">
        <f t="shared" ca="1" si="138"/>
        <v/>
      </c>
      <c r="AL384" s="9" t="str">
        <f t="shared" ca="1" si="139"/>
        <v/>
      </c>
      <c r="AM384" s="9" t="str">
        <f t="shared" ca="1" si="140"/>
        <v/>
      </c>
      <c r="AN384" s="9" t="str">
        <f t="shared" ca="1" si="141"/>
        <v/>
      </c>
      <c r="AO384" s="9" t="str">
        <f t="shared" ca="1" si="142"/>
        <v/>
      </c>
      <c r="AP384" s="9" t="str">
        <f t="shared" ca="1" si="143"/>
        <v/>
      </c>
      <c r="AQ384" s="9"/>
      <c r="AR384" s="9"/>
      <c r="AS384" s="9"/>
      <c r="AT384" s="9"/>
      <c r="AU384" s="9"/>
    </row>
    <row r="385" spans="1:47" x14ac:dyDescent="0.3">
      <c r="A385" s="1">
        <v>44020</v>
      </c>
      <c r="B385" s="6">
        <v>457.67999300000002</v>
      </c>
      <c r="C385" s="6">
        <v>201.479996</v>
      </c>
      <c r="D385" s="6">
        <v>35.880001</v>
      </c>
      <c r="E385" s="6">
        <v>134.220001</v>
      </c>
      <c r="F385" s="6">
        <v>89.480002999999996</v>
      </c>
      <c r="G385" s="6">
        <v>36.529998999999997</v>
      </c>
      <c r="H385" s="6">
        <v>96.910004000000001</v>
      </c>
      <c r="I385" s="6">
        <v>132.83999600000001</v>
      </c>
      <c r="J385" s="6">
        <v>17</v>
      </c>
      <c r="K385" s="6">
        <v>20.219999000000001</v>
      </c>
      <c r="N385" s="19">
        <v>381</v>
      </c>
      <c r="O385" s="1">
        <v>44020</v>
      </c>
      <c r="P385" s="5">
        <f t="shared" si="144"/>
        <v>1.8345919822375927E-2</v>
      </c>
      <c r="Q385" s="5">
        <f t="shared" si="145"/>
        <v>1.9293480072217019E-2</v>
      </c>
      <c r="R385" s="5">
        <f t="shared" si="146"/>
        <v>8.3655380365288759E-4</v>
      </c>
      <c r="S385" s="5">
        <f t="shared" si="147"/>
        <v>4.854514784557379E-3</v>
      </c>
      <c r="T385" s="5">
        <f t="shared" si="148"/>
        <v>-2.5670642751893066E-3</v>
      </c>
      <c r="U385" s="5">
        <f t="shared" si="149"/>
        <v>-1.0077791814591898E-2</v>
      </c>
      <c r="V385" s="5">
        <f t="shared" si="150"/>
        <v>8.2586974367290561E-4</v>
      </c>
      <c r="W385" s="5">
        <f t="shared" si="151"/>
        <v>-9.8877809329657052E-3</v>
      </c>
      <c r="X385" s="5">
        <f t="shared" si="152"/>
        <v>-1.1114533511896649E-2</v>
      </c>
      <c r="Y385" s="5">
        <f t="shared" si="153"/>
        <v>-6.9000766618943776E-3</v>
      </c>
      <c r="Z385" s="33">
        <v>381</v>
      </c>
      <c r="AE385" s="20" t="str">
        <f t="shared" si="154"/>
        <v/>
      </c>
      <c r="AF385" s="22" t="str">
        <f t="shared" si="155"/>
        <v/>
      </c>
      <c r="AG385" s="9" t="str">
        <f t="shared" ca="1" si="134"/>
        <v/>
      </c>
      <c r="AH385" s="9" t="str">
        <f t="shared" ca="1" si="135"/>
        <v/>
      </c>
      <c r="AI385" s="9" t="str">
        <f t="shared" ca="1" si="136"/>
        <v/>
      </c>
      <c r="AJ385" s="9" t="str">
        <f t="shared" ca="1" si="137"/>
        <v/>
      </c>
      <c r="AK385" s="9" t="str">
        <f t="shared" ca="1" si="138"/>
        <v/>
      </c>
      <c r="AL385" s="9" t="str">
        <f t="shared" ca="1" si="139"/>
        <v/>
      </c>
      <c r="AM385" s="9" t="str">
        <f t="shared" ca="1" si="140"/>
        <v/>
      </c>
      <c r="AN385" s="9" t="str">
        <f t="shared" ca="1" si="141"/>
        <v/>
      </c>
      <c r="AO385" s="9" t="str">
        <f t="shared" ca="1" si="142"/>
        <v/>
      </c>
      <c r="AP385" s="9" t="str">
        <f t="shared" ca="1" si="143"/>
        <v/>
      </c>
      <c r="AQ385" s="9"/>
      <c r="AR385" s="9"/>
      <c r="AS385" s="9"/>
      <c r="AT385" s="9"/>
      <c r="AU385" s="9"/>
    </row>
    <row r="386" spans="1:47" x14ac:dyDescent="0.3">
      <c r="A386" s="1">
        <v>44021</v>
      </c>
      <c r="B386" s="6">
        <v>460.83999599999999</v>
      </c>
      <c r="C386" s="6">
        <v>204.550003</v>
      </c>
      <c r="D386" s="6">
        <v>35.525002000000001</v>
      </c>
      <c r="E386" s="6">
        <v>132.71000699999999</v>
      </c>
      <c r="F386" s="6">
        <v>88.639999000000003</v>
      </c>
      <c r="G386" s="6">
        <v>35.979999999999997</v>
      </c>
      <c r="H386" s="6">
        <v>94.860000999999997</v>
      </c>
      <c r="I386" s="6">
        <v>128.88999899999999</v>
      </c>
      <c r="J386" s="6">
        <v>16.389999</v>
      </c>
      <c r="K386" s="6">
        <v>19.25</v>
      </c>
      <c r="N386" s="18">
        <v>382</v>
      </c>
      <c r="O386" s="1">
        <v>44021</v>
      </c>
      <c r="P386" s="5">
        <f t="shared" si="144"/>
        <v>6.8806678243063879E-3</v>
      </c>
      <c r="Q386" s="5">
        <f t="shared" si="145"/>
        <v>1.5122358017385809E-2</v>
      </c>
      <c r="R386" s="5">
        <f t="shared" si="146"/>
        <v>-9.9433347797308596E-3</v>
      </c>
      <c r="S386" s="5">
        <f t="shared" si="147"/>
        <v>-1.131390298480099E-2</v>
      </c>
      <c r="T386" s="5">
        <f t="shared" si="148"/>
        <v>-9.4319584315881739E-3</v>
      </c>
      <c r="U386" s="5">
        <f t="shared" si="149"/>
        <v>-1.5170584910043238E-2</v>
      </c>
      <c r="V386" s="5">
        <f t="shared" si="150"/>
        <v>-2.1380623030581282E-2</v>
      </c>
      <c r="W386" s="5">
        <f t="shared" si="151"/>
        <v>-3.0186046738998974E-2</v>
      </c>
      <c r="X386" s="5">
        <f t="shared" si="152"/>
        <v>-3.6542012313292287E-2</v>
      </c>
      <c r="Y386" s="5">
        <f t="shared" si="153"/>
        <v>-4.9161103402546764E-2</v>
      </c>
      <c r="Z386" s="33">
        <v>382</v>
      </c>
      <c r="AE386" s="20" t="str">
        <f t="shared" si="154"/>
        <v/>
      </c>
      <c r="AF386" s="22" t="str">
        <f t="shared" si="155"/>
        <v/>
      </c>
      <c r="AG386" s="9" t="str">
        <f t="shared" ca="1" si="134"/>
        <v/>
      </c>
      <c r="AH386" s="9" t="str">
        <f t="shared" ca="1" si="135"/>
        <v/>
      </c>
      <c r="AI386" s="9" t="str">
        <f t="shared" ca="1" si="136"/>
        <v/>
      </c>
      <c r="AJ386" s="9" t="str">
        <f t="shared" ca="1" si="137"/>
        <v/>
      </c>
      <c r="AK386" s="9" t="str">
        <f t="shared" ca="1" si="138"/>
        <v/>
      </c>
      <c r="AL386" s="9" t="str">
        <f t="shared" ca="1" si="139"/>
        <v/>
      </c>
      <c r="AM386" s="9" t="str">
        <f t="shared" ca="1" si="140"/>
        <v/>
      </c>
      <c r="AN386" s="9" t="str">
        <f t="shared" ca="1" si="141"/>
        <v/>
      </c>
      <c r="AO386" s="9" t="str">
        <f t="shared" ca="1" si="142"/>
        <v/>
      </c>
      <c r="AP386" s="9" t="str">
        <f t="shared" ca="1" si="143"/>
        <v/>
      </c>
      <c r="AQ386" s="9"/>
      <c r="AR386" s="9"/>
      <c r="AS386" s="9"/>
      <c r="AT386" s="9"/>
      <c r="AU386" s="9"/>
    </row>
    <row r="387" spans="1:47" x14ac:dyDescent="0.3">
      <c r="A387" s="1">
        <v>44022</v>
      </c>
      <c r="B387" s="6">
        <v>466.20001200000002</v>
      </c>
      <c r="C387" s="6">
        <v>198.009995</v>
      </c>
      <c r="D387" s="6">
        <v>35.825001</v>
      </c>
      <c r="E387" s="6">
        <v>134.46000699999999</v>
      </c>
      <c r="F387" s="6">
        <v>89.370002999999997</v>
      </c>
      <c r="G387" s="6">
        <v>36.18</v>
      </c>
      <c r="H387" s="6">
        <v>95.150002000000001</v>
      </c>
      <c r="I387" s="6">
        <v>131.89999399999999</v>
      </c>
      <c r="J387" s="6">
        <v>16.969999000000001</v>
      </c>
      <c r="K387" s="6">
        <v>20.23</v>
      </c>
      <c r="N387" s="19">
        <v>383</v>
      </c>
      <c r="O387" s="1">
        <v>44022</v>
      </c>
      <c r="P387" s="5">
        <f t="shared" si="144"/>
        <v>1.1563849851631452E-2</v>
      </c>
      <c r="Q387" s="5">
        <f t="shared" si="145"/>
        <v>-3.2494949823295281E-2</v>
      </c>
      <c r="R387" s="5">
        <f t="shared" si="146"/>
        <v>8.4092713461592673E-3</v>
      </c>
      <c r="S387" s="5">
        <f t="shared" si="147"/>
        <v>1.310045990523466E-2</v>
      </c>
      <c r="T387" s="5">
        <f t="shared" si="148"/>
        <v>8.2018772442263455E-3</v>
      </c>
      <c r="U387" s="5">
        <f t="shared" si="149"/>
        <v>5.543251444762011E-3</v>
      </c>
      <c r="V387" s="5">
        <f t="shared" si="150"/>
        <v>3.0524837703145642E-3</v>
      </c>
      <c r="W387" s="5">
        <f t="shared" si="151"/>
        <v>2.3084694576126746E-2</v>
      </c>
      <c r="X387" s="5">
        <f t="shared" si="152"/>
        <v>3.4775688575690376E-2</v>
      </c>
      <c r="Y387" s="5">
        <f t="shared" si="153"/>
        <v>4.9655590445860966E-2</v>
      </c>
      <c r="Z387" s="33">
        <v>383</v>
      </c>
      <c r="AE387" s="20" t="str">
        <f t="shared" si="154"/>
        <v/>
      </c>
      <c r="AF387" s="22" t="str">
        <f t="shared" si="155"/>
        <v/>
      </c>
      <c r="AG387" s="9" t="str">
        <f t="shared" ca="1" si="134"/>
        <v/>
      </c>
      <c r="AH387" s="9" t="str">
        <f t="shared" ca="1" si="135"/>
        <v/>
      </c>
      <c r="AI387" s="9" t="str">
        <f t="shared" ca="1" si="136"/>
        <v/>
      </c>
      <c r="AJ387" s="9" t="str">
        <f t="shared" ca="1" si="137"/>
        <v/>
      </c>
      <c r="AK387" s="9" t="str">
        <f t="shared" ca="1" si="138"/>
        <v/>
      </c>
      <c r="AL387" s="9" t="str">
        <f t="shared" ca="1" si="139"/>
        <v/>
      </c>
      <c r="AM387" s="9" t="str">
        <f t="shared" ca="1" si="140"/>
        <v/>
      </c>
      <c r="AN387" s="9" t="str">
        <f t="shared" ca="1" si="141"/>
        <v/>
      </c>
      <c r="AO387" s="9" t="str">
        <f t="shared" ca="1" si="142"/>
        <v/>
      </c>
      <c r="AP387" s="9" t="str">
        <f t="shared" ca="1" si="143"/>
        <v/>
      </c>
      <c r="AQ387" s="9"/>
      <c r="AR387" s="9"/>
      <c r="AS387" s="9"/>
      <c r="AT387" s="9"/>
      <c r="AU387" s="9"/>
    </row>
    <row r="388" spans="1:47" x14ac:dyDescent="0.3">
      <c r="A388" s="1">
        <v>44025</v>
      </c>
      <c r="B388" s="6">
        <v>442.47000100000002</v>
      </c>
      <c r="C388" s="6">
        <v>194.14999399999999</v>
      </c>
      <c r="D388" s="6">
        <v>35.275002000000001</v>
      </c>
      <c r="E388" s="6">
        <v>134.91000399999999</v>
      </c>
      <c r="F388" s="6">
        <v>89.790001000000004</v>
      </c>
      <c r="G388" s="6">
        <v>36.159999999999997</v>
      </c>
      <c r="H388" s="6">
        <v>96.510002</v>
      </c>
      <c r="I388" s="6">
        <v>133.38000500000001</v>
      </c>
      <c r="J388" s="6">
        <v>16.98</v>
      </c>
      <c r="K388" s="6">
        <v>20.52</v>
      </c>
      <c r="N388" s="18">
        <v>384</v>
      </c>
      <c r="O388" s="1">
        <v>44025</v>
      </c>
      <c r="P388" s="5">
        <f t="shared" si="144"/>
        <v>-5.224208454212121E-2</v>
      </c>
      <c r="Q388" s="5">
        <f t="shared" si="145"/>
        <v>-1.9686483944717351E-2</v>
      </c>
      <c r="R388" s="5">
        <f t="shared" si="146"/>
        <v>-1.5471447191449599E-2</v>
      </c>
      <c r="S388" s="5">
        <f t="shared" si="147"/>
        <v>3.3411099991396791E-3</v>
      </c>
      <c r="T388" s="5">
        <f t="shared" si="148"/>
        <v>4.6885327082033263E-3</v>
      </c>
      <c r="U388" s="5">
        <f t="shared" si="149"/>
        <v>-5.5294444317343619E-4</v>
      </c>
      <c r="V388" s="5">
        <f t="shared" si="150"/>
        <v>1.419203588068437E-2</v>
      </c>
      <c r="W388" s="5">
        <f t="shared" si="151"/>
        <v>1.1158220456778166E-2</v>
      </c>
      <c r="X388" s="5">
        <f t="shared" si="152"/>
        <v>5.8916056458710995E-4</v>
      </c>
      <c r="Y388" s="5">
        <f t="shared" si="153"/>
        <v>1.423336912291456E-2</v>
      </c>
      <c r="Z388" s="33">
        <v>384</v>
      </c>
      <c r="AE388" s="20" t="str">
        <f t="shared" si="154"/>
        <v/>
      </c>
      <c r="AF388" s="22" t="str">
        <f t="shared" si="155"/>
        <v/>
      </c>
      <c r="AG388" s="9" t="str">
        <f t="shared" ca="1" si="134"/>
        <v/>
      </c>
      <c r="AH388" s="9" t="str">
        <f t="shared" ca="1" si="135"/>
        <v/>
      </c>
      <c r="AI388" s="9" t="str">
        <f t="shared" ca="1" si="136"/>
        <v/>
      </c>
      <c r="AJ388" s="9" t="str">
        <f t="shared" ca="1" si="137"/>
        <v/>
      </c>
      <c r="AK388" s="9" t="str">
        <f t="shared" ca="1" si="138"/>
        <v/>
      </c>
      <c r="AL388" s="9" t="str">
        <f t="shared" ca="1" si="139"/>
        <v/>
      </c>
      <c r="AM388" s="9" t="str">
        <f t="shared" ca="1" si="140"/>
        <v/>
      </c>
      <c r="AN388" s="9" t="str">
        <f t="shared" ca="1" si="141"/>
        <v/>
      </c>
      <c r="AO388" s="9" t="str">
        <f t="shared" ca="1" si="142"/>
        <v/>
      </c>
      <c r="AP388" s="9" t="str">
        <f t="shared" ca="1" si="143"/>
        <v/>
      </c>
      <c r="AQ388" s="9"/>
      <c r="AR388" s="9"/>
      <c r="AS388" s="9"/>
      <c r="AT388" s="9"/>
      <c r="AU388" s="9"/>
    </row>
    <row r="389" spans="1:47" x14ac:dyDescent="0.3">
      <c r="A389" s="1">
        <v>44026</v>
      </c>
      <c r="B389" s="6">
        <v>433.77999899999998</v>
      </c>
      <c r="C389" s="6">
        <v>195.279999</v>
      </c>
      <c r="D389" s="6">
        <v>35.814999</v>
      </c>
      <c r="E389" s="6">
        <v>135.520004</v>
      </c>
      <c r="F389" s="6">
        <v>90.699996999999996</v>
      </c>
      <c r="G389" s="6">
        <v>36.590000000000003</v>
      </c>
      <c r="H389" s="6">
        <v>98.639999000000003</v>
      </c>
      <c r="I389" s="6">
        <v>136.44000199999999</v>
      </c>
      <c r="J389" s="6">
        <v>17.350000000000001</v>
      </c>
      <c r="K389" s="6">
        <v>20.65</v>
      </c>
      <c r="N389" s="19">
        <v>385</v>
      </c>
      <c r="O389" s="1">
        <v>44026</v>
      </c>
      <c r="P389" s="5">
        <f t="shared" si="144"/>
        <v>-1.9835176970415935E-2</v>
      </c>
      <c r="Q389" s="5">
        <f t="shared" si="145"/>
        <v>5.8033956901168762E-3</v>
      </c>
      <c r="R389" s="5">
        <f t="shared" si="146"/>
        <v>1.5192217708898257E-2</v>
      </c>
      <c r="S389" s="5">
        <f t="shared" si="147"/>
        <v>4.5113413195612909E-3</v>
      </c>
      <c r="T389" s="5">
        <f t="shared" si="148"/>
        <v>1.0083702375200348E-2</v>
      </c>
      <c r="U389" s="5">
        <f t="shared" si="149"/>
        <v>1.1821443507139952E-2</v>
      </c>
      <c r="V389" s="5">
        <f t="shared" si="150"/>
        <v>2.1830198075928238E-2</v>
      </c>
      <c r="W389" s="5">
        <f t="shared" si="151"/>
        <v>2.268273751786358E-2</v>
      </c>
      <c r="X389" s="5">
        <f t="shared" si="152"/>
        <v>2.1556325509667094E-2</v>
      </c>
      <c r="Y389" s="5">
        <f t="shared" si="153"/>
        <v>6.3152991044729354E-3</v>
      </c>
      <c r="Z389" s="33">
        <v>385</v>
      </c>
      <c r="AE389" s="20" t="str">
        <f t="shared" si="154"/>
        <v/>
      </c>
      <c r="AF389" s="22" t="str">
        <f t="shared" si="155"/>
        <v/>
      </c>
      <c r="AG389" s="9" t="str">
        <f t="shared" ref="AG389:AG452" ca="1" si="156">IF($AE389="","",OFFSET(P$4,$AE389,0))</f>
        <v/>
      </c>
      <c r="AH389" s="9" t="str">
        <f t="shared" ref="AH389:AH452" ca="1" si="157">IF($AE389="","",OFFSET(Q$4,$AE389,0))</f>
        <v/>
      </c>
      <c r="AI389" s="9" t="str">
        <f t="shared" ref="AI389:AI452" ca="1" si="158">IF($AE389="","",OFFSET(R$4,$AE389,0))</f>
        <v/>
      </c>
      <c r="AJ389" s="9" t="str">
        <f t="shared" ref="AJ389:AJ452" ca="1" si="159">IF($AE389="","",OFFSET(S$4,$AE389,0))</f>
        <v/>
      </c>
      <c r="AK389" s="9" t="str">
        <f t="shared" ref="AK389:AK452" ca="1" si="160">IF($AE389="","",OFFSET(T$4,$AE389,0))</f>
        <v/>
      </c>
      <c r="AL389" s="9" t="str">
        <f t="shared" ref="AL389:AL452" ca="1" si="161">IF($AE389="","",OFFSET(U$4,$AE389,0))</f>
        <v/>
      </c>
      <c r="AM389" s="9" t="str">
        <f t="shared" ref="AM389:AM452" ca="1" si="162">IF($AE389="","",OFFSET(V$4,$AE389,0))</f>
        <v/>
      </c>
      <c r="AN389" s="9" t="str">
        <f t="shared" ref="AN389:AN452" ca="1" si="163">IF($AE389="","",OFFSET(W$4,$AE389,0))</f>
        <v/>
      </c>
      <c r="AO389" s="9" t="str">
        <f t="shared" ref="AO389:AO452" ca="1" si="164">IF($AE389="","",OFFSET(X$4,$AE389,0))</f>
        <v/>
      </c>
      <c r="AP389" s="9" t="str">
        <f t="shared" ref="AP389:AP452" ca="1" si="165">IF($AE389="","",OFFSET(Y$4,$AE389,0))</f>
        <v/>
      </c>
      <c r="AQ389" s="9"/>
      <c r="AR389" s="9"/>
      <c r="AS389" s="9"/>
      <c r="AT389" s="9"/>
      <c r="AU389" s="9"/>
    </row>
    <row r="390" spans="1:47" x14ac:dyDescent="0.3">
      <c r="A390" s="1">
        <v>44027</v>
      </c>
      <c r="B390" s="6">
        <v>433.01001000000002</v>
      </c>
      <c r="C390" s="6">
        <v>194.35000600000001</v>
      </c>
      <c r="D390" s="6">
        <v>36.095001000000003</v>
      </c>
      <c r="E390" s="6">
        <v>133.69000199999999</v>
      </c>
      <c r="F390" s="6">
        <v>91.440002000000007</v>
      </c>
      <c r="G390" s="6">
        <v>37.099997999999999</v>
      </c>
      <c r="H390" s="6">
        <v>102.18</v>
      </c>
      <c r="I390" s="6">
        <v>141.44000199999999</v>
      </c>
      <c r="J390" s="6">
        <v>18.049999</v>
      </c>
      <c r="K390" s="6">
        <v>21.780000999999999</v>
      </c>
      <c r="N390" s="18">
        <v>386</v>
      </c>
      <c r="O390" s="1">
        <v>44027</v>
      </c>
      <c r="P390" s="5">
        <f t="shared" ref="P390:P453" si="166">LN(B390/B389)</f>
        <v>-1.7766453109570436E-3</v>
      </c>
      <c r="Q390" s="5">
        <f t="shared" ref="Q390:Q453" si="167">LN(C390/C389)</f>
        <v>-4.7737327934829332E-3</v>
      </c>
      <c r="R390" s="5">
        <f t="shared" ref="R390:R453" si="168">LN(D390/D389)</f>
        <v>7.7876071506401716E-3</v>
      </c>
      <c r="S390" s="5">
        <f t="shared" ref="S390:S453" si="169">LN(E390/E389)</f>
        <v>-1.359555846466937E-2</v>
      </c>
      <c r="T390" s="5">
        <f t="shared" ref="T390:T453" si="170">LN(F390/F389)</f>
        <v>8.1257173138057498E-3</v>
      </c>
      <c r="U390" s="5">
        <f t="shared" ref="U390:U453" si="171">LN(G390/G389)</f>
        <v>1.3841936673916646E-2</v>
      </c>
      <c r="V390" s="5">
        <f t="shared" ref="V390:V453" si="172">LN(H390/H389)</f>
        <v>3.5259115184438139E-2</v>
      </c>
      <c r="W390" s="5">
        <f t="shared" ref="W390:W453" si="173">LN(I390/I389)</f>
        <v>3.5990640820701816E-2</v>
      </c>
      <c r="X390" s="5">
        <f t="shared" ref="X390:X453" si="174">LN(J390/J389)</f>
        <v>3.9553122984358091E-2</v>
      </c>
      <c r="Y390" s="5">
        <f t="shared" ref="Y390:Y453" si="175">LN(K390/K389)</f>
        <v>5.3276844011453946E-2</v>
      </c>
      <c r="Z390" s="33">
        <v>386</v>
      </c>
      <c r="AE390" s="20" t="str">
        <f t="shared" ref="AE390:AE453" si="176">IF(AE389="","",IF(AE389+1&lt;=$AC$5,AE389+1,""))</f>
        <v/>
      </c>
      <c r="AF390" s="22" t="str">
        <f t="shared" ref="AF390:AF453" si="177">IF(AE390="","",VLOOKUP(AE390,N389:O1646,2))</f>
        <v/>
      </c>
      <c r="AG390" s="9" t="str">
        <f t="shared" ca="1" si="156"/>
        <v/>
      </c>
      <c r="AH390" s="9" t="str">
        <f t="shared" ca="1" si="157"/>
        <v/>
      </c>
      <c r="AI390" s="9" t="str">
        <f t="shared" ca="1" si="158"/>
        <v/>
      </c>
      <c r="AJ390" s="9" t="str">
        <f t="shared" ca="1" si="159"/>
        <v/>
      </c>
      <c r="AK390" s="9" t="str">
        <f t="shared" ca="1" si="160"/>
        <v/>
      </c>
      <c r="AL390" s="9" t="str">
        <f t="shared" ca="1" si="161"/>
        <v/>
      </c>
      <c r="AM390" s="9" t="str">
        <f t="shared" ca="1" si="162"/>
        <v/>
      </c>
      <c r="AN390" s="9" t="str">
        <f t="shared" ca="1" si="163"/>
        <v/>
      </c>
      <c r="AO390" s="9" t="str">
        <f t="shared" ca="1" si="164"/>
        <v/>
      </c>
      <c r="AP390" s="9" t="str">
        <f t="shared" ca="1" si="165"/>
        <v/>
      </c>
      <c r="AQ390" s="9"/>
      <c r="AR390" s="9"/>
      <c r="AS390" s="9"/>
      <c r="AT390" s="9"/>
      <c r="AU390" s="9"/>
    </row>
    <row r="391" spans="1:47" x14ac:dyDescent="0.3">
      <c r="A391" s="1">
        <v>44028</v>
      </c>
      <c r="B391" s="6">
        <v>426.290009</v>
      </c>
      <c r="C391" s="6">
        <v>193.220001</v>
      </c>
      <c r="D391" s="6">
        <v>36.310001</v>
      </c>
      <c r="E391" s="6">
        <v>133.88000500000001</v>
      </c>
      <c r="F391" s="6">
        <v>89.970000999999996</v>
      </c>
      <c r="G391" s="6">
        <v>36.759998000000003</v>
      </c>
      <c r="H391" s="6">
        <v>102.370003</v>
      </c>
      <c r="I391" s="6">
        <v>142.820007</v>
      </c>
      <c r="J391" s="6">
        <v>18.200001</v>
      </c>
      <c r="K391" s="6">
        <v>22.02</v>
      </c>
      <c r="N391" s="19">
        <v>387</v>
      </c>
      <c r="O391" s="1">
        <v>44028</v>
      </c>
      <c r="P391" s="5">
        <f t="shared" si="166"/>
        <v>-1.5640958568696187E-2</v>
      </c>
      <c r="Q391" s="5">
        <f t="shared" si="167"/>
        <v>-5.8312469055585023E-3</v>
      </c>
      <c r="R391" s="5">
        <f t="shared" si="168"/>
        <v>5.9388336710742128E-3</v>
      </c>
      <c r="S391" s="5">
        <f t="shared" si="169"/>
        <v>1.4202117349899424E-3</v>
      </c>
      <c r="T391" s="5">
        <f t="shared" si="170"/>
        <v>-1.62067488149777E-2</v>
      </c>
      <c r="U391" s="5">
        <f t="shared" si="171"/>
        <v>-9.2066726245114017E-3</v>
      </c>
      <c r="V391" s="5">
        <f t="shared" si="172"/>
        <v>1.857766334487585E-3</v>
      </c>
      <c r="W391" s="5">
        <f t="shared" si="173"/>
        <v>9.7095321041013368E-3</v>
      </c>
      <c r="X391" s="5">
        <f t="shared" si="174"/>
        <v>8.2760196505767981E-3</v>
      </c>
      <c r="Y391" s="5">
        <f t="shared" si="175"/>
        <v>1.0958967876038268E-2</v>
      </c>
      <c r="Z391" s="33">
        <v>387</v>
      </c>
      <c r="AE391" s="20" t="str">
        <f t="shared" si="176"/>
        <v/>
      </c>
      <c r="AF391" s="22" t="str">
        <f t="shared" si="177"/>
        <v/>
      </c>
      <c r="AG391" s="9" t="str">
        <f t="shared" ca="1" si="156"/>
        <v/>
      </c>
      <c r="AH391" s="9" t="str">
        <f t="shared" ca="1" si="157"/>
        <v/>
      </c>
      <c r="AI391" s="9" t="str">
        <f t="shared" ca="1" si="158"/>
        <v/>
      </c>
      <c r="AJ391" s="9" t="str">
        <f t="shared" ca="1" si="159"/>
        <v/>
      </c>
      <c r="AK391" s="9" t="str">
        <f t="shared" ca="1" si="160"/>
        <v/>
      </c>
      <c r="AL391" s="9" t="str">
        <f t="shared" ca="1" si="161"/>
        <v/>
      </c>
      <c r="AM391" s="9" t="str">
        <f t="shared" ca="1" si="162"/>
        <v/>
      </c>
      <c r="AN391" s="9" t="str">
        <f t="shared" ca="1" si="163"/>
        <v/>
      </c>
      <c r="AO391" s="9" t="str">
        <f t="shared" ca="1" si="164"/>
        <v/>
      </c>
      <c r="AP391" s="9" t="str">
        <f t="shared" ca="1" si="165"/>
        <v/>
      </c>
      <c r="AQ391" s="9"/>
      <c r="AR391" s="9"/>
      <c r="AS391" s="9"/>
      <c r="AT391" s="9"/>
      <c r="AU391" s="9"/>
    </row>
    <row r="392" spans="1:47" x14ac:dyDescent="0.3">
      <c r="A392" s="1">
        <v>44029</v>
      </c>
      <c r="B392" s="6">
        <v>432.42001299999998</v>
      </c>
      <c r="C392" s="6">
        <v>196.279999</v>
      </c>
      <c r="D392" s="6">
        <v>37.110000999999997</v>
      </c>
      <c r="E392" s="6">
        <v>134.66000399999999</v>
      </c>
      <c r="F392" s="6">
        <v>90.709998999999996</v>
      </c>
      <c r="G392" s="6">
        <v>36.479999999999997</v>
      </c>
      <c r="H392" s="6">
        <v>103.58000199999999</v>
      </c>
      <c r="I392" s="6">
        <v>139.949997</v>
      </c>
      <c r="J392" s="6">
        <v>18</v>
      </c>
      <c r="K392" s="6">
        <v>21.42</v>
      </c>
      <c r="N392" s="18">
        <v>388</v>
      </c>
      <c r="O392" s="1">
        <v>44029</v>
      </c>
      <c r="P392" s="5">
        <f t="shared" si="166"/>
        <v>1.4277481278276717E-2</v>
      </c>
      <c r="Q392" s="5">
        <f t="shared" si="167"/>
        <v>1.571276486212898E-2</v>
      </c>
      <c r="R392" s="5">
        <f t="shared" si="168"/>
        <v>2.179328905255401E-2</v>
      </c>
      <c r="S392" s="5">
        <f t="shared" si="169"/>
        <v>5.8091991315721032E-3</v>
      </c>
      <c r="T392" s="5">
        <f t="shared" si="170"/>
        <v>8.191301058866526E-3</v>
      </c>
      <c r="U392" s="5">
        <f t="shared" si="171"/>
        <v>-7.6460778743902506E-3</v>
      </c>
      <c r="V392" s="5">
        <f t="shared" si="172"/>
        <v>1.1750550067352501E-2</v>
      </c>
      <c r="W392" s="5">
        <f t="shared" si="173"/>
        <v>-2.0299950608471014E-2</v>
      </c>
      <c r="X392" s="5">
        <f t="shared" si="174"/>
        <v>-1.1049891131638382E-2</v>
      </c>
      <c r="Y392" s="5">
        <f t="shared" si="175"/>
        <v>-2.7626066274931152E-2</v>
      </c>
      <c r="Z392" s="33">
        <v>388</v>
      </c>
      <c r="AE392" s="20" t="str">
        <f t="shared" si="176"/>
        <v/>
      </c>
      <c r="AF392" s="22" t="str">
        <f t="shared" si="177"/>
        <v/>
      </c>
      <c r="AG392" s="9" t="str">
        <f t="shared" ca="1" si="156"/>
        <v/>
      </c>
      <c r="AH392" s="9" t="str">
        <f t="shared" ca="1" si="157"/>
        <v/>
      </c>
      <c r="AI392" s="9" t="str">
        <f t="shared" ca="1" si="158"/>
        <v/>
      </c>
      <c r="AJ392" s="9" t="str">
        <f t="shared" ca="1" si="159"/>
        <v/>
      </c>
      <c r="AK392" s="9" t="str">
        <f t="shared" ca="1" si="160"/>
        <v/>
      </c>
      <c r="AL392" s="9" t="str">
        <f t="shared" ca="1" si="161"/>
        <v/>
      </c>
      <c r="AM392" s="9" t="str">
        <f t="shared" ca="1" si="162"/>
        <v/>
      </c>
      <c r="AN392" s="9" t="str">
        <f t="shared" ca="1" si="163"/>
        <v/>
      </c>
      <c r="AO392" s="9" t="str">
        <f t="shared" ca="1" si="164"/>
        <v/>
      </c>
      <c r="AP392" s="9" t="str">
        <f t="shared" ca="1" si="165"/>
        <v/>
      </c>
      <c r="AQ392" s="9"/>
      <c r="AR392" s="9"/>
      <c r="AS392" s="9"/>
      <c r="AT392" s="9"/>
      <c r="AU392" s="9"/>
    </row>
    <row r="393" spans="1:47" x14ac:dyDescent="0.3">
      <c r="A393" s="1">
        <v>44032</v>
      </c>
      <c r="B393" s="6">
        <v>455.26998900000001</v>
      </c>
      <c r="C393" s="6">
        <v>201.89999399999999</v>
      </c>
      <c r="D393" s="6">
        <v>36.935001</v>
      </c>
      <c r="E393" s="6">
        <v>133.11000100000001</v>
      </c>
      <c r="F393" s="6">
        <v>88.849997999999999</v>
      </c>
      <c r="G393" s="6">
        <v>35.759998000000003</v>
      </c>
      <c r="H393" s="6">
        <v>102.540001</v>
      </c>
      <c r="I393" s="6">
        <v>137.16000399999999</v>
      </c>
      <c r="J393" s="6">
        <v>17.450001</v>
      </c>
      <c r="K393" s="6">
        <v>20.77</v>
      </c>
      <c r="N393" s="19">
        <v>389</v>
      </c>
      <c r="O393" s="1">
        <v>44032</v>
      </c>
      <c r="P393" s="5">
        <f t="shared" si="166"/>
        <v>5.1493257159030366E-2</v>
      </c>
      <c r="Q393" s="5">
        <f t="shared" si="167"/>
        <v>2.8230289474169144E-2</v>
      </c>
      <c r="R393" s="5">
        <f t="shared" si="168"/>
        <v>-4.7268639641290956E-3</v>
      </c>
      <c r="S393" s="5">
        <f t="shared" si="169"/>
        <v>-1.1577251250063675E-2</v>
      </c>
      <c r="T393" s="5">
        <f t="shared" si="170"/>
        <v>-2.0718061511897805E-2</v>
      </c>
      <c r="U393" s="5">
        <f t="shared" si="171"/>
        <v>-1.9934270829230268E-2</v>
      </c>
      <c r="V393" s="5">
        <f t="shared" si="172"/>
        <v>-1.0091304196645749E-2</v>
      </c>
      <c r="W393" s="5">
        <f t="shared" si="173"/>
        <v>-2.0137037767494696E-2</v>
      </c>
      <c r="X393" s="5">
        <f t="shared" si="174"/>
        <v>-3.1032051941139862E-2</v>
      </c>
      <c r="Y393" s="5">
        <f t="shared" si="175"/>
        <v>-3.0815427131581891E-2</v>
      </c>
      <c r="Z393" s="33">
        <v>389</v>
      </c>
      <c r="AE393" s="20" t="str">
        <f t="shared" si="176"/>
        <v/>
      </c>
      <c r="AF393" s="22" t="str">
        <f t="shared" si="177"/>
        <v/>
      </c>
      <c r="AG393" s="9" t="str">
        <f t="shared" ca="1" si="156"/>
        <v/>
      </c>
      <c r="AH393" s="9" t="str">
        <f t="shared" ca="1" si="157"/>
        <v/>
      </c>
      <c r="AI393" s="9" t="str">
        <f t="shared" ca="1" si="158"/>
        <v/>
      </c>
      <c r="AJ393" s="9" t="str">
        <f t="shared" ca="1" si="159"/>
        <v/>
      </c>
      <c r="AK393" s="9" t="str">
        <f t="shared" ca="1" si="160"/>
        <v/>
      </c>
      <c r="AL393" s="9" t="str">
        <f t="shared" ca="1" si="161"/>
        <v/>
      </c>
      <c r="AM393" s="9" t="str">
        <f t="shared" ca="1" si="162"/>
        <v/>
      </c>
      <c r="AN393" s="9" t="str">
        <f t="shared" ca="1" si="163"/>
        <v/>
      </c>
      <c r="AO393" s="9" t="str">
        <f t="shared" ca="1" si="164"/>
        <v/>
      </c>
      <c r="AP393" s="9" t="str">
        <f t="shared" ca="1" si="165"/>
        <v/>
      </c>
      <c r="AQ393" s="9"/>
      <c r="AR393" s="9"/>
      <c r="AS393" s="9"/>
      <c r="AT393" s="9"/>
      <c r="AU393" s="9"/>
    </row>
    <row r="394" spans="1:47" x14ac:dyDescent="0.3">
      <c r="A394" s="1">
        <v>44033</v>
      </c>
      <c r="B394" s="6">
        <v>444.27999899999998</v>
      </c>
      <c r="C394" s="6">
        <v>199.69000199999999</v>
      </c>
      <c r="D394" s="6">
        <v>37.5</v>
      </c>
      <c r="E394" s="6">
        <v>134.429993</v>
      </c>
      <c r="F394" s="6">
        <v>88.139999000000003</v>
      </c>
      <c r="G394" s="6">
        <v>35.520000000000003</v>
      </c>
      <c r="H394" s="6">
        <v>103.489998</v>
      </c>
      <c r="I394" s="6">
        <v>139.69000199999999</v>
      </c>
      <c r="J394" s="6">
        <v>17.68</v>
      </c>
      <c r="K394" s="6">
        <v>20.98</v>
      </c>
      <c r="N394" s="18">
        <v>390</v>
      </c>
      <c r="O394" s="1">
        <v>44033</v>
      </c>
      <c r="P394" s="5">
        <f t="shared" si="166"/>
        <v>-2.4435633338712594E-2</v>
      </c>
      <c r="Q394" s="5">
        <f t="shared" si="167"/>
        <v>-1.1006321530285077E-2</v>
      </c>
      <c r="R394" s="5">
        <f t="shared" si="168"/>
        <v>1.5181294921073826E-2</v>
      </c>
      <c r="S394" s="5">
        <f t="shared" si="169"/>
        <v>9.8677038229382612E-3</v>
      </c>
      <c r="T394" s="5">
        <f t="shared" si="170"/>
        <v>-8.023084022557669E-3</v>
      </c>
      <c r="U394" s="5">
        <f t="shared" si="171"/>
        <v>-6.7339762529308777E-3</v>
      </c>
      <c r="V394" s="5">
        <f t="shared" si="172"/>
        <v>9.2219942466965788E-3</v>
      </c>
      <c r="W394" s="5">
        <f t="shared" si="173"/>
        <v>1.8277539299136079E-2</v>
      </c>
      <c r="X394" s="5">
        <f t="shared" si="174"/>
        <v>1.3094351254472461E-2</v>
      </c>
      <c r="Y394" s="5">
        <f t="shared" si="175"/>
        <v>1.0059965080130229E-2</v>
      </c>
      <c r="Z394" s="33">
        <v>390</v>
      </c>
      <c r="AE394" s="20" t="str">
        <f t="shared" si="176"/>
        <v/>
      </c>
      <c r="AF394" s="22" t="str">
        <f t="shared" si="177"/>
        <v/>
      </c>
      <c r="AG394" s="9" t="str">
        <f t="shared" ca="1" si="156"/>
        <v/>
      </c>
      <c r="AH394" s="9" t="str">
        <f t="shared" ca="1" si="157"/>
        <v/>
      </c>
      <c r="AI394" s="9" t="str">
        <f t="shared" ca="1" si="158"/>
        <v/>
      </c>
      <c r="AJ394" s="9" t="str">
        <f t="shared" ca="1" si="159"/>
        <v/>
      </c>
      <c r="AK394" s="9" t="str">
        <f t="shared" ca="1" si="160"/>
        <v/>
      </c>
      <c r="AL394" s="9" t="str">
        <f t="shared" ca="1" si="161"/>
        <v/>
      </c>
      <c r="AM394" s="9" t="str">
        <f t="shared" ca="1" si="162"/>
        <v/>
      </c>
      <c r="AN394" s="9" t="str">
        <f t="shared" ca="1" si="163"/>
        <v/>
      </c>
      <c r="AO394" s="9" t="str">
        <f t="shared" ca="1" si="164"/>
        <v/>
      </c>
      <c r="AP394" s="9" t="str">
        <f t="shared" ca="1" si="165"/>
        <v/>
      </c>
      <c r="AQ394" s="9"/>
      <c r="AR394" s="9"/>
      <c r="AS394" s="9"/>
      <c r="AT394" s="9"/>
      <c r="AU394" s="9"/>
    </row>
    <row r="395" spans="1:47" x14ac:dyDescent="0.3">
      <c r="A395" s="1">
        <v>44034</v>
      </c>
      <c r="B395" s="6">
        <v>445.04998799999998</v>
      </c>
      <c r="C395" s="6">
        <v>200.66000399999999</v>
      </c>
      <c r="D395" s="6">
        <v>37.865001999999997</v>
      </c>
      <c r="E395" s="6">
        <v>136.009995</v>
      </c>
      <c r="F395" s="6">
        <v>90.57</v>
      </c>
      <c r="G395" s="6">
        <v>36.470001000000003</v>
      </c>
      <c r="H395" s="6">
        <v>105.19000200000001</v>
      </c>
      <c r="I395" s="6">
        <v>139.38999899999999</v>
      </c>
      <c r="J395" s="6">
        <v>18</v>
      </c>
      <c r="K395" s="6">
        <v>21.110001</v>
      </c>
      <c r="N395" s="19">
        <v>391</v>
      </c>
      <c r="O395" s="1">
        <v>44034</v>
      </c>
      <c r="P395" s="5">
        <f t="shared" si="166"/>
        <v>1.7316163935911608E-3</v>
      </c>
      <c r="Q395" s="5">
        <f t="shared" si="167"/>
        <v>4.845779360859356E-3</v>
      </c>
      <c r="R395" s="5">
        <f t="shared" si="168"/>
        <v>9.6863224086456839E-3</v>
      </c>
      <c r="S395" s="5">
        <f t="shared" si="169"/>
        <v>1.1684810288208851E-2</v>
      </c>
      <c r="T395" s="5">
        <f t="shared" si="170"/>
        <v>2.7196584318602716E-2</v>
      </c>
      <c r="U395" s="5">
        <f t="shared" si="171"/>
        <v>2.6394114116416293E-2</v>
      </c>
      <c r="V395" s="5">
        <f t="shared" si="172"/>
        <v>1.6293287409853984E-2</v>
      </c>
      <c r="W395" s="5">
        <f t="shared" si="173"/>
        <v>-2.1499434891974144E-3</v>
      </c>
      <c r="X395" s="5">
        <f t="shared" si="174"/>
        <v>1.7937700686667252E-2</v>
      </c>
      <c r="Y395" s="5">
        <f t="shared" si="175"/>
        <v>6.177306262991328E-3</v>
      </c>
      <c r="Z395" s="33">
        <v>391</v>
      </c>
      <c r="AE395" s="20" t="str">
        <f t="shared" si="176"/>
        <v/>
      </c>
      <c r="AF395" s="22" t="str">
        <f t="shared" si="177"/>
        <v/>
      </c>
      <c r="AG395" s="9" t="str">
        <f t="shared" ca="1" si="156"/>
        <v/>
      </c>
      <c r="AH395" s="9" t="str">
        <f t="shared" ca="1" si="157"/>
        <v/>
      </c>
      <c r="AI395" s="9" t="str">
        <f t="shared" ca="1" si="158"/>
        <v/>
      </c>
      <c r="AJ395" s="9" t="str">
        <f t="shared" ca="1" si="159"/>
        <v/>
      </c>
      <c r="AK395" s="9" t="str">
        <f t="shared" ca="1" si="160"/>
        <v/>
      </c>
      <c r="AL395" s="9" t="str">
        <f t="shared" ca="1" si="161"/>
        <v/>
      </c>
      <c r="AM395" s="9" t="str">
        <f t="shared" ca="1" si="162"/>
        <v/>
      </c>
      <c r="AN395" s="9" t="str">
        <f t="shared" ca="1" si="163"/>
        <v/>
      </c>
      <c r="AO395" s="9" t="str">
        <f t="shared" ca="1" si="164"/>
        <v/>
      </c>
      <c r="AP395" s="9" t="str">
        <f t="shared" ca="1" si="165"/>
        <v/>
      </c>
      <c r="AQ395" s="9"/>
      <c r="AR395" s="9"/>
      <c r="AS395" s="9"/>
      <c r="AT395" s="9"/>
      <c r="AU395" s="9"/>
    </row>
    <row r="396" spans="1:47" x14ac:dyDescent="0.3">
      <c r="A396" s="1">
        <v>44035</v>
      </c>
      <c r="B396" s="6">
        <v>431.73998999999998</v>
      </c>
      <c r="C396" s="6">
        <v>197.800003</v>
      </c>
      <c r="D396" s="6">
        <v>37.465000000000003</v>
      </c>
      <c r="E396" s="6">
        <v>137.08000200000001</v>
      </c>
      <c r="F396" s="6">
        <v>89.93</v>
      </c>
      <c r="G396" s="6">
        <v>35.650002000000001</v>
      </c>
      <c r="H396" s="6">
        <v>105.75</v>
      </c>
      <c r="I396" s="6">
        <v>142.33000200000001</v>
      </c>
      <c r="J396" s="6">
        <v>18.459999</v>
      </c>
      <c r="K396" s="6">
        <v>21.35</v>
      </c>
      <c r="N396" s="18">
        <v>392</v>
      </c>
      <c r="O396" s="1">
        <v>44035</v>
      </c>
      <c r="P396" s="5">
        <f t="shared" si="166"/>
        <v>-3.0363076397035092E-2</v>
      </c>
      <c r="Q396" s="5">
        <f t="shared" si="167"/>
        <v>-1.4355519076236651E-2</v>
      </c>
      <c r="R396" s="5">
        <f t="shared" si="168"/>
        <v>-1.0620091568736563E-2</v>
      </c>
      <c r="S396" s="5">
        <f t="shared" si="169"/>
        <v>7.83633591376986E-3</v>
      </c>
      <c r="T396" s="5">
        <f t="shared" si="170"/>
        <v>-7.0914424604328254E-3</v>
      </c>
      <c r="U396" s="5">
        <f t="shared" si="171"/>
        <v>-2.2740829279100556E-2</v>
      </c>
      <c r="V396" s="5">
        <f t="shared" si="172"/>
        <v>5.3095601619904875E-3</v>
      </c>
      <c r="W396" s="5">
        <f t="shared" si="173"/>
        <v>2.0872566566706222E-2</v>
      </c>
      <c r="X396" s="5">
        <f t="shared" si="174"/>
        <v>2.523441700735907E-2</v>
      </c>
      <c r="Y396" s="5">
        <f t="shared" si="175"/>
        <v>1.1304830443491136E-2</v>
      </c>
      <c r="Z396" s="33">
        <v>392</v>
      </c>
      <c r="AE396" s="20" t="str">
        <f t="shared" si="176"/>
        <v/>
      </c>
      <c r="AF396" s="22" t="str">
        <f t="shared" si="177"/>
        <v/>
      </c>
      <c r="AG396" s="9" t="str">
        <f t="shared" ca="1" si="156"/>
        <v/>
      </c>
      <c r="AH396" s="9" t="str">
        <f t="shared" ca="1" si="157"/>
        <v/>
      </c>
      <c r="AI396" s="9" t="str">
        <f t="shared" ca="1" si="158"/>
        <v/>
      </c>
      <c r="AJ396" s="9" t="str">
        <f t="shared" ca="1" si="159"/>
        <v/>
      </c>
      <c r="AK396" s="9" t="str">
        <f t="shared" ca="1" si="160"/>
        <v/>
      </c>
      <c r="AL396" s="9" t="str">
        <f t="shared" ca="1" si="161"/>
        <v/>
      </c>
      <c r="AM396" s="9" t="str">
        <f t="shared" ca="1" si="162"/>
        <v/>
      </c>
      <c r="AN396" s="9" t="str">
        <f t="shared" ca="1" si="163"/>
        <v/>
      </c>
      <c r="AO396" s="9" t="str">
        <f t="shared" ca="1" si="164"/>
        <v/>
      </c>
      <c r="AP396" s="9" t="str">
        <f t="shared" ca="1" si="165"/>
        <v/>
      </c>
      <c r="AQ396" s="9"/>
      <c r="AR396" s="9"/>
      <c r="AS396" s="9"/>
      <c r="AT396" s="9"/>
      <c r="AU396" s="9"/>
    </row>
    <row r="397" spans="1:47" x14ac:dyDescent="0.3">
      <c r="A397" s="1">
        <v>44036</v>
      </c>
      <c r="B397" s="6">
        <v>430.30999800000001</v>
      </c>
      <c r="C397" s="6">
        <v>193.36999499999999</v>
      </c>
      <c r="D397" s="6">
        <v>37.439999</v>
      </c>
      <c r="E397" s="6">
        <v>136.05999800000001</v>
      </c>
      <c r="F397" s="6">
        <v>89.529999000000004</v>
      </c>
      <c r="G397" s="6">
        <v>35.490001999999997</v>
      </c>
      <c r="H397" s="6">
        <v>105.510002</v>
      </c>
      <c r="I397" s="6">
        <v>141.75</v>
      </c>
      <c r="J397" s="6">
        <v>18.549999</v>
      </c>
      <c r="K397" s="6">
        <v>21.15</v>
      </c>
      <c r="N397" s="19">
        <v>393</v>
      </c>
      <c r="O397" s="1">
        <v>44036</v>
      </c>
      <c r="P397" s="5">
        <f t="shared" si="166"/>
        <v>-3.3176575176570716E-3</v>
      </c>
      <c r="Q397" s="5">
        <f t="shared" si="167"/>
        <v>-2.2651008150111753E-2</v>
      </c>
      <c r="R397" s="5">
        <f t="shared" si="168"/>
        <v>-6.6753891628493277E-4</v>
      </c>
      <c r="S397" s="5">
        <f t="shared" si="169"/>
        <v>-7.4687613789111602E-3</v>
      </c>
      <c r="T397" s="5">
        <f t="shared" si="170"/>
        <v>-4.4578364497999687E-3</v>
      </c>
      <c r="U397" s="5">
        <f t="shared" si="171"/>
        <v>-4.4981799489792118E-3</v>
      </c>
      <c r="V397" s="5">
        <f t="shared" si="172"/>
        <v>-2.2720638168374596E-3</v>
      </c>
      <c r="W397" s="5">
        <f t="shared" si="173"/>
        <v>-4.083376526523819E-3</v>
      </c>
      <c r="X397" s="5">
        <f t="shared" si="174"/>
        <v>4.8635602415631586E-3</v>
      </c>
      <c r="Y397" s="5">
        <f t="shared" si="175"/>
        <v>-9.4118341823467063E-3</v>
      </c>
      <c r="Z397" s="33">
        <v>393</v>
      </c>
      <c r="AE397" s="20" t="str">
        <f t="shared" si="176"/>
        <v/>
      </c>
      <c r="AF397" s="22" t="str">
        <f t="shared" si="177"/>
        <v/>
      </c>
      <c r="AG397" s="9" t="str">
        <f t="shared" ca="1" si="156"/>
        <v/>
      </c>
      <c r="AH397" s="9" t="str">
        <f t="shared" ca="1" si="157"/>
        <v/>
      </c>
      <c r="AI397" s="9" t="str">
        <f t="shared" ca="1" si="158"/>
        <v/>
      </c>
      <c r="AJ397" s="9" t="str">
        <f t="shared" ca="1" si="159"/>
        <v/>
      </c>
      <c r="AK397" s="9" t="str">
        <f t="shared" ca="1" si="160"/>
        <v/>
      </c>
      <c r="AL397" s="9" t="str">
        <f t="shared" ca="1" si="161"/>
        <v/>
      </c>
      <c r="AM397" s="9" t="str">
        <f t="shared" ca="1" si="162"/>
        <v/>
      </c>
      <c r="AN397" s="9" t="str">
        <f t="shared" ca="1" si="163"/>
        <v/>
      </c>
      <c r="AO397" s="9" t="str">
        <f t="shared" ca="1" si="164"/>
        <v/>
      </c>
      <c r="AP397" s="9" t="str">
        <f t="shared" ca="1" si="165"/>
        <v/>
      </c>
      <c r="AQ397" s="9"/>
      <c r="AR397" s="9"/>
      <c r="AS397" s="9"/>
      <c r="AT397" s="9"/>
      <c r="AU397" s="9"/>
    </row>
    <row r="398" spans="1:47" x14ac:dyDescent="0.3">
      <c r="A398" s="1">
        <v>44039</v>
      </c>
      <c r="B398" s="6">
        <v>437.10000600000001</v>
      </c>
      <c r="C398" s="6">
        <v>197.08999600000001</v>
      </c>
      <c r="D398" s="6">
        <v>38.215000000000003</v>
      </c>
      <c r="E398" s="6">
        <v>137.66999799999999</v>
      </c>
      <c r="F398" s="6">
        <v>89.25</v>
      </c>
      <c r="G398" s="6">
        <v>35.299999</v>
      </c>
      <c r="H398" s="6">
        <v>106.25</v>
      </c>
      <c r="I398" s="6">
        <v>145.61000100000001</v>
      </c>
      <c r="J398" s="6">
        <v>18.559999000000001</v>
      </c>
      <c r="K398" s="6">
        <v>20.879999000000002</v>
      </c>
      <c r="N398" s="18">
        <v>394</v>
      </c>
      <c r="O398" s="1">
        <v>44039</v>
      </c>
      <c r="P398" s="5">
        <f t="shared" si="166"/>
        <v>1.5656141069119157E-2</v>
      </c>
      <c r="Q398" s="5">
        <f t="shared" si="167"/>
        <v>1.9055030703771292E-2</v>
      </c>
      <c r="R398" s="5">
        <f t="shared" si="168"/>
        <v>2.0488483794858247E-2</v>
      </c>
      <c r="S398" s="5">
        <f t="shared" si="169"/>
        <v>1.1763552329841076E-2</v>
      </c>
      <c r="T398" s="5">
        <f t="shared" si="170"/>
        <v>-3.1323328168757279E-3</v>
      </c>
      <c r="U398" s="5">
        <f t="shared" si="171"/>
        <v>-5.368087401667148E-3</v>
      </c>
      <c r="V398" s="5">
        <f t="shared" si="172"/>
        <v>6.9890536949764282E-3</v>
      </c>
      <c r="W398" s="5">
        <f t="shared" si="173"/>
        <v>2.6866878982611826E-2</v>
      </c>
      <c r="X398" s="5">
        <f t="shared" si="174"/>
        <v>5.3893833365594129E-4</v>
      </c>
      <c r="Y398" s="5">
        <f t="shared" si="175"/>
        <v>-1.2848190370570344E-2</v>
      </c>
      <c r="Z398" s="33">
        <v>394</v>
      </c>
      <c r="AE398" s="20" t="str">
        <f t="shared" si="176"/>
        <v/>
      </c>
      <c r="AF398" s="22" t="str">
        <f t="shared" si="177"/>
        <v/>
      </c>
      <c r="AG398" s="9" t="str">
        <f t="shared" ca="1" si="156"/>
        <v/>
      </c>
      <c r="AH398" s="9" t="str">
        <f t="shared" ca="1" si="157"/>
        <v/>
      </c>
      <c r="AI398" s="9" t="str">
        <f t="shared" ca="1" si="158"/>
        <v/>
      </c>
      <c r="AJ398" s="9" t="str">
        <f t="shared" ca="1" si="159"/>
        <v/>
      </c>
      <c r="AK398" s="9" t="str">
        <f t="shared" ca="1" si="160"/>
        <v/>
      </c>
      <c r="AL398" s="9" t="str">
        <f t="shared" ca="1" si="161"/>
        <v/>
      </c>
      <c r="AM398" s="9" t="str">
        <f t="shared" ca="1" si="162"/>
        <v/>
      </c>
      <c r="AN398" s="9" t="str">
        <f t="shared" ca="1" si="163"/>
        <v/>
      </c>
      <c r="AO398" s="9" t="str">
        <f t="shared" ca="1" si="164"/>
        <v/>
      </c>
      <c r="AP398" s="9" t="str">
        <f t="shared" ca="1" si="165"/>
        <v/>
      </c>
      <c r="AQ398" s="9"/>
      <c r="AR398" s="9"/>
      <c r="AS398" s="9"/>
      <c r="AT398" s="9"/>
      <c r="AU398" s="9"/>
    </row>
    <row r="399" spans="1:47" x14ac:dyDescent="0.3">
      <c r="A399" s="1">
        <v>44040</v>
      </c>
      <c r="B399" s="6">
        <v>432.26001000000002</v>
      </c>
      <c r="C399" s="6">
        <v>194.89999399999999</v>
      </c>
      <c r="D399" s="6">
        <v>38.095001000000003</v>
      </c>
      <c r="E399" s="6">
        <v>137.38000500000001</v>
      </c>
      <c r="F399" s="6">
        <v>90.589995999999999</v>
      </c>
      <c r="G399" s="6">
        <v>35.880001</v>
      </c>
      <c r="H399" s="6">
        <v>104.769997</v>
      </c>
      <c r="I399" s="6">
        <v>143</v>
      </c>
      <c r="J399" s="6">
        <v>18.41</v>
      </c>
      <c r="K399" s="6">
        <v>20.780000999999999</v>
      </c>
      <c r="N399" s="19">
        <v>395</v>
      </c>
      <c r="O399" s="1">
        <v>44040</v>
      </c>
      <c r="P399" s="5">
        <f t="shared" si="166"/>
        <v>-1.113473340610786E-2</v>
      </c>
      <c r="Q399" s="5">
        <f t="shared" si="167"/>
        <v>-1.1173881180609658E-2</v>
      </c>
      <c r="R399" s="5">
        <f t="shared" si="168"/>
        <v>-3.1450425197107721E-3</v>
      </c>
      <c r="S399" s="5">
        <f t="shared" si="169"/>
        <v>-2.1086573662237903E-3</v>
      </c>
      <c r="T399" s="5">
        <f t="shared" si="170"/>
        <v>1.4902366866462883E-2</v>
      </c>
      <c r="U399" s="5">
        <f t="shared" si="171"/>
        <v>1.6297129450636355E-2</v>
      </c>
      <c r="V399" s="5">
        <f t="shared" si="172"/>
        <v>-1.4027365073804024E-2</v>
      </c>
      <c r="W399" s="5">
        <f t="shared" si="173"/>
        <v>-1.8087191330566094E-2</v>
      </c>
      <c r="X399" s="5">
        <f t="shared" si="174"/>
        <v>-8.1146782337562836E-3</v>
      </c>
      <c r="Y399" s="5">
        <f t="shared" si="175"/>
        <v>-4.8006813274410936E-3</v>
      </c>
      <c r="Z399" s="33">
        <v>395</v>
      </c>
      <c r="AE399" s="20" t="str">
        <f t="shared" si="176"/>
        <v/>
      </c>
      <c r="AF399" s="22" t="str">
        <f t="shared" si="177"/>
        <v/>
      </c>
      <c r="AG399" s="9" t="str">
        <f t="shared" ca="1" si="156"/>
        <v/>
      </c>
      <c r="AH399" s="9" t="str">
        <f t="shared" ca="1" si="157"/>
        <v/>
      </c>
      <c r="AI399" s="9" t="str">
        <f t="shared" ca="1" si="158"/>
        <v/>
      </c>
      <c r="AJ399" s="9" t="str">
        <f t="shared" ca="1" si="159"/>
        <v/>
      </c>
      <c r="AK399" s="9" t="str">
        <f t="shared" ca="1" si="160"/>
        <v/>
      </c>
      <c r="AL399" s="9" t="str">
        <f t="shared" ca="1" si="161"/>
        <v/>
      </c>
      <c r="AM399" s="9" t="str">
        <f t="shared" ca="1" si="162"/>
        <v/>
      </c>
      <c r="AN399" s="9" t="str">
        <f t="shared" ca="1" si="163"/>
        <v/>
      </c>
      <c r="AO399" s="9" t="str">
        <f t="shared" ca="1" si="164"/>
        <v/>
      </c>
      <c r="AP399" s="9" t="str">
        <f t="shared" ca="1" si="165"/>
        <v/>
      </c>
      <c r="AQ399" s="9"/>
      <c r="AR399" s="9"/>
      <c r="AS399" s="9"/>
      <c r="AT399" s="9"/>
      <c r="AU399" s="9"/>
    </row>
    <row r="400" spans="1:47" x14ac:dyDescent="0.3">
      <c r="A400" s="1">
        <v>44041</v>
      </c>
      <c r="B400" s="6">
        <v>436.29998799999998</v>
      </c>
      <c r="C400" s="6">
        <v>198.41999799999999</v>
      </c>
      <c r="D400" s="6">
        <v>38.654998999999997</v>
      </c>
      <c r="E400" s="6">
        <v>137.929993</v>
      </c>
      <c r="F400" s="6">
        <v>91.290001000000004</v>
      </c>
      <c r="G400" s="6">
        <v>35.25</v>
      </c>
      <c r="H400" s="6">
        <v>106.879997</v>
      </c>
      <c r="I400" s="6">
        <v>146.020004</v>
      </c>
      <c r="J400" s="6">
        <v>18.91</v>
      </c>
      <c r="K400" s="6">
        <v>21</v>
      </c>
      <c r="N400" s="18">
        <v>396</v>
      </c>
      <c r="O400" s="1">
        <v>44041</v>
      </c>
      <c r="P400" s="5">
        <f t="shared" si="166"/>
        <v>9.3027704355556767E-3</v>
      </c>
      <c r="Q400" s="5">
        <f t="shared" si="167"/>
        <v>1.7899410413630686E-2</v>
      </c>
      <c r="R400" s="5">
        <f t="shared" si="168"/>
        <v>1.4593040727426313E-2</v>
      </c>
      <c r="S400" s="5">
        <f t="shared" si="169"/>
        <v>3.9954141559119857E-3</v>
      </c>
      <c r="T400" s="5">
        <f t="shared" si="170"/>
        <v>7.6974760048802724E-3</v>
      </c>
      <c r="U400" s="5">
        <f t="shared" si="171"/>
        <v>-1.7714535802997363E-2</v>
      </c>
      <c r="V400" s="5">
        <f t="shared" si="172"/>
        <v>1.9939238988750874E-2</v>
      </c>
      <c r="W400" s="5">
        <f t="shared" si="173"/>
        <v>2.0898995761539869E-2</v>
      </c>
      <c r="X400" s="5">
        <f t="shared" si="174"/>
        <v>2.679688742537974E-2</v>
      </c>
      <c r="Y400" s="5">
        <f t="shared" si="175"/>
        <v>1.0531403929147448E-2</v>
      </c>
      <c r="Z400" s="33">
        <v>396</v>
      </c>
      <c r="AE400" s="20" t="str">
        <f t="shared" si="176"/>
        <v/>
      </c>
      <c r="AF400" s="22" t="str">
        <f t="shared" si="177"/>
        <v/>
      </c>
      <c r="AG400" s="9" t="str">
        <f t="shared" ca="1" si="156"/>
        <v/>
      </c>
      <c r="AH400" s="9" t="str">
        <f t="shared" ca="1" si="157"/>
        <v/>
      </c>
      <c r="AI400" s="9" t="str">
        <f t="shared" ca="1" si="158"/>
        <v/>
      </c>
      <c r="AJ400" s="9" t="str">
        <f t="shared" ca="1" si="159"/>
        <v/>
      </c>
      <c r="AK400" s="9" t="str">
        <f t="shared" ca="1" si="160"/>
        <v/>
      </c>
      <c r="AL400" s="9" t="str">
        <f t="shared" ca="1" si="161"/>
        <v/>
      </c>
      <c r="AM400" s="9" t="str">
        <f t="shared" ca="1" si="162"/>
        <v/>
      </c>
      <c r="AN400" s="9" t="str">
        <f t="shared" ca="1" si="163"/>
        <v/>
      </c>
      <c r="AO400" s="9" t="str">
        <f t="shared" ca="1" si="164"/>
        <v/>
      </c>
      <c r="AP400" s="9" t="str">
        <f t="shared" ca="1" si="165"/>
        <v/>
      </c>
      <c r="AQ400" s="9"/>
      <c r="AR400" s="9"/>
      <c r="AS400" s="9"/>
      <c r="AT400" s="9"/>
      <c r="AU400" s="9"/>
    </row>
    <row r="401" spans="1:47" x14ac:dyDescent="0.3">
      <c r="A401" s="1">
        <v>44042</v>
      </c>
      <c r="B401" s="6">
        <v>438.88000499999998</v>
      </c>
      <c r="C401" s="6">
        <v>199.33999600000001</v>
      </c>
      <c r="D401" s="6">
        <v>38.909999999999997</v>
      </c>
      <c r="E401" s="6">
        <v>137.69000199999999</v>
      </c>
      <c r="F401" s="6">
        <v>92.970000999999996</v>
      </c>
      <c r="G401" s="6">
        <v>36.099997999999999</v>
      </c>
      <c r="H401" s="6">
        <v>104.540001</v>
      </c>
      <c r="I401" s="6">
        <v>145.300003</v>
      </c>
      <c r="J401" s="6">
        <v>18.41</v>
      </c>
      <c r="K401" s="6">
        <v>21.15</v>
      </c>
      <c r="N401" s="19">
        <v>397</v>
      </c>
      <c r="O401" s="1">
        <v>44042</v>
      </c>
      <c r="P401" s="5">
        <f t="shared" si="166"/>
        <v>5.8959859563763161E-3</v>
      </c>
      <c r="Q401" s="5">
        <f t="shared" si="167"/>
        <v>4.6259033309643139E-3</v>
      </c>
      <c r="R401" s="5">
        <f t="shared" si="168"/>
        <v>6.5751800938989831E-3</v>
      </c>
      <c r="S401" s="5">
        <f t="shared" si="169"/>
        <v>-1.7414633553826057E-3</v>
      </c>
      <c r="T401" s="5">
        <f t="shared" si="170"/>
        <v>1.8235607692832674E-2</v>
      </c>
      <c r="U401" s="5">
        <f t="shared" si="171"/>
        <v>2.3827280678893944E-2</v>
      </c>
      <c r="V401" s="5">
        <f t="shared" si="172"/>
        <v>-2.213689886898073E-2</v>
      </c>
      <c r="W401" s="5">
        <f t="shared" si="173"/>
        <v>-4.9430347982726509E-3</v>
      </c>
      <c r="X401" s="5">
        <f t="shared" si="174"/>
        <v>-2.6796887425379671E-2</v>
      </c>
      <c r="Y401" s="5">
        <f t="shared" si="175"/>
        <v>7.1174677688639549E-3</v>
      </c>
      <c r="Z401" s="33">
        <v>397</v>
      </c>
      <c r="AE401" s="20" t="str">
        <f t="shared" si="176"/>
        <v/>
      </c>
      <c r="AF401" s="22" t="str">
        <f t="shared" si="177"/>
        <v/>
      </c>
      <c r="AG401" s="9" t="str">
        <f t="shared" ca="1" si="156"/>
        <v/>
      </c>
      <c r="AH401" s="9" t="str">
        <f t="shared" ca="1" si="157"/>
        <v/>
      </c>
      <c r="AI401" s="9" t="str">
        <f t="shared" ca="1" si="158"/>
        <v/>
      </c>
      <c r="AJ401" s="9" t="str">
        <f t="shared" ca="1" si="159"/>
        <v/>
      </c>
      <c r="AK401" s="9" t="str">
        <f t="shared" ca="1" si="160"/>
        <v/>
      </c>
      <c r="AL401" s="9" t="str">
        <f t="shared" ca="1" si="161"/>
        <v/>
      </c>
      <c r="AM401" s="9" t="str">
        <f t="shared" ca="1" si="162"/>
        <v/>
      </c>
      <c r="AN401" s="9" t="str">
        <f t="shared" ca="1" si="163"/>
        <v/>
      </c>
      <c r="AO401" s="9" t="str">
        <f t="shared" ca="1" si="164"/>
        <v/>
      </c>
      <c r="AP401" s="9" t="str">
        <f t="shared" ca="1" si="165"/>
        <v/>
      </c>
      <c r="AQ401" s="9"/>
      <c r="AR401" s="9"/>
      <c r="AS401" s="9"/>
      <c r="AT401" s="9"/>
      <c r="AU401" s="9"/>
    </row>
    <row r="402" spans="1:47" x14ac:dyDescent="0.3">
      <c r="A402" s="1">
        <v>44043</v>
      </c>
      <c r="B402" s="6">
        <v>444.32000699999998</v>
      </c>
      <c r="C402" s="6">
        <v>199.220001</v>
      </c>
      <c r="D402" s="6">
        <v>39.240001999999997</v>
      </c>
      <c r="E402" s="6">
        <v>137.66000399999999</v>
      </c>
      <c r="F402" s="6">
        <v>90.809997999999993</v>
      </c>
      <c r="G402" s="6">
        <v>36.200001</v>
      </c>
      <c r="H402" s="6">
        <v>102.93</v>
      </c>
      <c r="I402" s="6">
        <v>145.86999499999999</v>
      </c>
      <c r="J402" s="6">
        <v>18.049999</v>
      </c>
      <c r="K402" s="6">
        <v>21.1</v>
      </c>
      <c r="N402" s="18">
        <v>398</v>
      </c>
      <c r="O402" s="1">
        <v>44043</v>
      </c>
      <c r="P402" s="5">
        <f t="shared" si="166"/>
        <v>1.2319000730971735E-2</v>
      </c>
      <c r="Q402" s="5">
        <f t="shared" si="167"/>
        <v>-6.0214273649559071E-4</v>
      </c>
      <c r="R402" s="5">
        <f t="shared" si="168"/>
        <v>8.4453986690983945E-3</v>
      </c>
      <c r="S402" s="5">
        <f t="shared" si="169"/>
        <v>-2.1788995434918871E-4</v>
      </c>
      <c r="T402" s="5">
        <f t="shared" si="170"/>
        <v>-2.3507481546193917E-2</v>
      </c>
      <c r="U402" s="5">
        <f t="shared" si="171"/>
        <v>2.7663365188628206E-3</v>
      </c>
      <c r="V402" s="5">
        <f t="shared" si="172"/>
        <v>-1.5520637312024157E-2</v>
      </c>
      <c r="W402" s="5">
        <f t="shared" si="173"/>
        <v>3.915188597850729E-3</v>
      </c>
      <c r="X402" s="5">
        <f t="shared" si="174"/>
        <v>-1.9748365867760218E-2</v>
      </c>
      <c r="Y402" s="5">
        <f t="shared" si="175"/>
        <v>-2.3668650102660568E-3</v>
      </c>
      <c r="Z402" s="33">
        <v>398</v>
      </c>
      <c r="AE402" s="20" t="str">
        <f t="shared" si="176"/>
        <v/>
      </c>
      <c r="AF402" s="22" t="str">
        <f t="shared" si="177"/>
        <v/>
      </c>
      <c r="AG402" s="9" t="str">
        <f t="shared" ca="1" si="156"/>
        <v/>
      </c>
      <c r="AH402" s="9" t="str">
        <f t="shared" ca="1" si="157"/>
        <v/>
      </c>
      <c r="AI402" s="9" t="str">
        <f t="shared" ca="1" si="158"/>
        <v/>
      </c>
      <c r="AJ402" s="9" t="str">
        <f t="shared" ca="1" si="159"/>
        <v/>
      </c>
      <c r="AK402" s="9" t="str">
        <f t="shared" ca="1" si="160"/>
        <v/>
      </c>
      <c r="AL402" s="9" t="str">
        <f t="shared" ca="1" si="161"/>
        <v/>
      </c>
      <c r="AM402" s="9" t="str">
        <f t="shared" ca="1" si="162"/>
        <v/>
      </c>
      <c r="AN402" s="9" t="str">
        <f t="shared" ca="1" si="163"/>
        <v/>
      </c>
      <c r="AO402" s="9" t="str">
        <f t="shared" ca="1" si="164"/>
        <v/>
      </c>
      <c r="AP402" s="9" t="str">
        <f t="shared" ca="1" si="165"/>
        <v/>
      </c>
      <c r="AQ402" s="9"/>
      <c r="AR402" s="9"/>
      <c r="AS402" s="9"/>
      <c r="AT402" s="9"/>
      <c r="AU402" s="9"/>
    </row>
    <row r="403" spans="1:47" x14ac:dyDescent="0.3">
      <c r="A403" s="1">
        <v>44046</v>
      </c>
      <c r="B403" s="6">
        <v>447.97000100000002</v>
      </c>
      <c r="C403" s="6">
        <v>202.800003</v>
      </c>
      <c r="D403" s="6">
        <v>38.919998</v>
      </c>
      <c r="E403" s="6">
        <v>136.699997</v>
      </c>
      <c r="F403" s="6">
        <v>89.220000999999996</v>
      </c>
      <c r="G403" s="6">
        <v>35.119999</v>
      </c>
      <c r="H403" s="6">
        <v>103.139999</v>
      </c>
      <c r="I403" s="6">
        <v>143.61999499999999</v>
      </c>
      <c r="J403" s="6">
        <v>18.420000000000002</v>
      </c>
      <c r="K403" s="6">
        <v>21.34</v>
      </c>
      <c r="N403" s="19">
        <v>399</v>
      </c>
      <c r="O403" s="1">
        <v>44046</v>
      </c>
      <c r="P403" s="5">
        <f t="shared" si="166"/>
        <v>8.1812288064548357E-3</v>
      </c>
      <c r="Q403" s="5">
        <f t="shared" si="167"/>
        <v>1.7810539773331378E-2</v>
      </c>
      <c r="R403" s="5">
        <f t="shared" si="168"/>
        <v>-8.1884797352190248E-3</v>
      </c>
      <c r="S403" s="5">
        <f t="shared" si="169"/>
        <v>-6.9981842432781114E-3</v>
      </c>
      <c r="T403" s="5">
        <f t="shared" si="170"/>
        <v>-1.7664148769362582E-2</v>
      </c>
      <c r="U403" s="5">
        <f t="shared" si="171"/>
        <v>-3.0288406162922932E-2</v>
      </c>
      <c r="V403" s="5">
        <f t="shared" si="172"/>
        <v>2.0381333887853482E-3</v>
      </c>
      <c r="W403" s="5">
        <f t="shared" si="173"/>
        <v>-1.5544891952947145E-2</v>
      </c>
      <c r="X403" s="5">
        <f t="shared" si="174"/>
        <v>2.0291401449934507E-2</v>
      </c>
      <c r="Y403" s="5">
        <f t="shared" si="175"/>
        <v>1.1310205391586392E-2</v>
      </c>
      <c r="Z403" s="33">
        <v>399</v>
      </c>
      <c r="AE403" s="20" t="str">
        <f t="shared" si="176"/>
        <v/>
      </c>
      <c r="AF403" s="22" t="str">
        <f t="shared" si="177"/>
        <v/>
      </c>
      <c r="AG403" s="9" t="str">
        <f t="shared" ca="1" si="156"/>
        <v/>
      </c>
      <c r="AH403" s="9" t="str">
        <f t="shared" ca="1" si="157"/>
        <v/>
      </c>
      <c r="AI403" s="9" t="str">
        <f t="shared" ca="1" si="158"/>
        <v/>
      </c>
      <c r="AJ403" s="9" t="str">
        <f t="shared" ca="1" si="159"/>
        <v/>
      </c>
      <c r="AK403" s="9" t="str">
        <f t="shared" ca="1" si="160"/>
        <v/>
      </c>
      <c r="AL403" s="9" t="str">
        <f t="shared" ca="1" si="161"/>
        <v/>
      </c>
      <c r="AM403" s="9" t="str">
        <f t="shared" ca="1" si="162"/>
        <v/>
      </c>
      <c r="AN403" s="9" t="str">
        <f t="shared" ca="1" si="163"/>
        <v/>
      </c>
      <c r="AO403" s="9" t="str">
        <f t="shared" ca="1" si="164"/>
        <v/>
      </c>
      <c r="AP403" s="9" t="str">
        <f t="shared" ca="1" si="165"/>
        <v/>
      </c>
      <c r="AQ403" s="9"/>
      <c r="AR403" s="9"/>
      <c r="AS403" s="9"/>
      <c r="AT403" s="9"/>
      <c r="AU403" s="9"/>
    </row>
    <row r="404" spans="1:47" x14ac:dyDescent="0.3">
      <c r="A404" s="1">
        <v>44047</v>
      </c>
      <c r="B404" s="6">
        <v>446.92001299999998</v>
      </c>
      <c r="C404" s="6">
        <v>201.85000600000001</v>
      </c>
      <c r="D404" s="6">
        <v>39.005001</v>
      </c>
      <c r="E404" s="6">
        <v>137.470001</v>
      </c>
      <c r="F404" s="6">
        <v>89.360000999999997</v>
      </c>
      <c r="G404" s="6">
        <v>35.18</v>
      </c>
      <c r="H404" s="6">
        <v>103.33000199999999</v>
      </c>
      <c r="I404" s="6">
        <v>143.759995</v>
      </c>
      <c r="J404" s="6">
        <v>18.510000000000002</v>
      </c>
      <c r="K404" s="6">
        <v>22.01</v>
      </c>
      <c r="N404" s="18">
        <v>400</v>
      </c>
      <c r="O404" s="1">
        <v>44047</v>
      </c>
      <c r="P404" s="5">
        <f t="shared" si="166"/>
        <v>-2.3466313522386749E-3</v>
      </c>
      <c r="Q404" s="5">
        <f t="shared" si="167"/>
        <v>-4.6954094859346712E-3</v>
      </c>
      <c r="R404" s="5">
        <f t="shared" si="168"/>
        <v>2.181662747673271E-3</v>
      </c>
      <c r="S404" s="5">
        <f t="shared" si="169"/>
        <v>5.6169969736063387E-3</v>
      </c>
      <c r="T404" s="5">
        <f t="shared" si="170"/>
        <v>1.5679250432667189E-3</v>
      </c>
      <c r="U404" s="5">
        <f t="shared" si="171"/>
        <v>1.7069990163006594E-3</v>
      </c>
      <c r="V404" s="5">
        <f t="shared" si="172"/>
        <v>1.840490654472891E-3</v>
      </c>
      <c r="W404" s="5">
        <f t="shared" si="173"/>
        <v>9.7431982703569499E-4</v>
      </c>
      <c r="X404" s="5">
        <f t="shared" si="174"/>
        <v>4.874095758245353E-3</v>
      </c>
      <c r="Y404" s="5">
        <f t="shared" si="175"/>
        <v>3.0913649664763041E-2</v>
      </c>
      <c r="Z404" s="33">
        <v>400</v>
      </c>
      <c r="AE404" s="20" t="str">
        <f t="shared" si="176"/>
        <v/>
      </c>
      <c r="AF404" s="22" t="str">
        <f t="shared" si="177"/>
        <v/>
      </c>
      <c r="AG404" s="9" t="str">
        <f t="shared" ca="1" si="156"/>
        <v/>
      </c>
      <c r="AH404" s="9" t="str">
        <f t="shared" ca="1" si="157"/>
        <v/>
      </c>
      <c r="AI404" s="9" t="str">
        <f t="shared" ca="1" si="158"/>
        <v/>
      </c>
      <c r="AJ404" s="9" t="str">
        <f t="shared" ca="1" si="159"/>
        <v/>
      </c>
      <c r="AK404" s="9" t="str">
        <f t="shared" ca="1" si="160"/>
        <v/>
      </c>
      <c r="AL404" s="9" t="str">
        <f t="shared" ca="1" si="161"/>
        <v/>
      </c>
      <c r="AM404" s="9" t="str">
        <f t="shared" ca="1" si="162"/>
        <v/>
      </c>
      <c r="AN404" s="9" t="str">
        <f t="shared" ca="1" si="163"/>
        <v/>
      </c>
      <c r="AO404" s="9" t="str">
        <f t="shared" ca="1" si="164"/>
        <v/>
      </c>
      <c r="AP404" s="9" t="str">
        <f t="shared" ca="1" si="165"/>
        <v/>
      </c>
      <c r="AQ404" s="9"/>
      <c r="AR404" s="9"/>
      <c r="AS404" s="9"/>
      <c r="AT404" s="9"/>
      <c r="AU404" s="9"/>
    </row>
    <row r="405" spans="1:47" x14ac:dyDescent="0.3">
      <c r="A405" s="1">
        <v>44048</v>
      </c>
      <c r="B405" s="6">
        <v>449.51001000000002</v>
      </c>
      <c r="C405" s="6">
        <v>201.55999800000001</v>
      </c>
      <c r="D405" s="6">
        <v>41.549999</v>
      </c>
      <c r="E405" s="6">
        <v>136.25</v>
      </c>
      <c r="F405" s="6">
        <v>88.949996999999996</v>
      </c>
      <c r="G405" s="6">
        <v>35.520000000000003</v>
      </c>
      <c r="H405" s="6">
        <v>104.75</v>
      </c>
      <c r="I405" s="6">
        <v>148.16000399999999</v>
      </c>
      <c r="J405" s="6">
        <v>18.690000999999999</v>
      </c>
      <c r="K405" s="6">
        <v>21.120000999999998</v>
      </c>
      <c r="N405" s="19">
        <v>401</v>
      </c>
      <c r="O405" s="1">
        <v>44048</v>
      </c>
      <c r="P405" s="5">
        <f t="shared" si="166"/>
        <v>5.7784860845904156E-3</v>
      </c>
      <c r="Q405" s="5">
        <f t="shared" si="167"/>
        <v>-1.4377831341991342E-3</v>
      </c>
      <c r="R405" s="5">
        <f t="shared" si="168"/>
        <v>6.3207628556053413E-2</v>
      </c>
      <c r="S405" s="5">
        <f t="shared" si="169"/>
        <v>-8.9142852142895385E-3</v>
      </c>
      <c r="T405" s="5">
        <f t="shared" si="170"/>
        <v>-4.5987855666037858E-3</v>
      </c>
      <c r="U405" s="5">
        <f t="shared" si="171"/>
        <v>9.6181788145572131E-3</v>
      </c>
      <c r="V405" s="5">
        <f t="shared" si="172"/>
        <v>1.3648789220520697E-2</v>
      </c>
      <c r="W405" s="5">
        <f t="shared" si="173"/>
        <v>3.0147590200595133E-2</v>
      </c>
      <c r="X405" s="5">
        <f t="shared" si="174"/>
        <v>9.6775483866117229E-3</v>
      </c>
      <c r="Y405" s="5">
        <f t="shared" si="175"/>
        <v>-4.1276389351825989E-2</v>
      </c>
      <c r="Z405" s="33">
        <v>401</v>
      </c>
      <c r="AE405" s="20" t="str">
        <f t="shared" si="176"/>
        <v/>
      </c>
      <c r="AF405" s="22" t="str">
        <f t="shared" si="177"/>
        <v/>
      </c>
      <c r="AG405" s="9" t="str">
        <f t="shared" ca="1" si="156"/>
        <v/>
      </c>
      <c r="AH405" s="9" t="str">
        <f t="shared" ca="1" si="157"/>
        <v/>
      </c>
      <c r="AI405" s="9" t="str">
        <f t="shared" ca="1" si="158"/>
        <v/>
      </c>
      <c r="AJ405" s="9" t="str">
        <f t="shared" ca="1" si="159"/>
        <v/>
      </c>
      <c r="AK405" s="9" t="str">
        <f t="shared" ca="1" si="160"/>
        <v/>
      </c>
      <c r="AL405" s="9" t="str">
        <f t="shared" ca="1" si="161"/>
        <v/>
      </c>
      <c r="AM405" s="9" t="str">
        <f t="shared" ca="1" si="162"/>
        <v/>
      </c>
      <c r="AN405" s="9" t="str">
        <f t="shared" ca="1" si="163"/>
        <v/>
      </c>
      <c r="AO405" s="9" t="str">
        <f t="shared" ca="1" si="164"/>
        <v/>
      </c>
      <c r="AP405" s="9" t="str">
        <f t="shared" ca="1" si="165"/>
        <v/>
      </c>
      <c r="AQ405" s="9"/>
      <c r="AR405" s="9"/>
      <c r="AS405" s="9"/>
      <c r="AT405" s="9"/>
      <c r="AU405" s="9"/>
    </row>
    <row r="406" spans="1:47" x14ac:dyDescent="0.3">
      <c r="A406" s="1">
        <v>44049</v>
      </c>
      <c r="B406" s="6">
        <v>464.10998499999999</v>
      </c>
      <c r="C406" s="6">
        <v>202.259995</v>
      </c>
      <c r="D406" s="6">
        <v>41.755001</v>
      </c>
      <c r="E406" s="6">
        <v>135.86000100000001</v>
      </c>
      <c r="F406" s="6">
        <v>89.650002000000001</v>
      </c>
      <c r="G406" s="6">
        <v>35.490001999999997</v>
      </c>
      <c r="H406" s="6">
        <v>105.239998</v>
      </c>
      <c r="I406" s="6">
        <v>146.229996</v>
      </c>
      <c r="J406" s="6">
        <v>18.530000999999999</v>
      </c>
      <c r="K406" s="6">
        <v>21.629999000000002</v>
      </c>
      <c r="N406" s="18">
        <v>402</v>
      </c>
      <c r="O406" s="1">
        <v>44049</v>
      </c>
      <c r="P406" s="5">
        <f t="shared" si="166"/>
        <v>3.1963437923734142E-2</v>
      </c>
      <c r="Q406" s="5">
        <f t="shared" si="167"/>
        <v>3.4668798635739558E-3</v>
      </c>
      <c r="R406" s="5">
        <f t="shared" si="168"/>
        <v>4.9217313203518053E-3</v>
      </c>
      <c r="S406" s="5">
        <f t="shared" si="169"/>
        <v>-2.8664824196793976E-3</v>
      </c>
      <c r="T406" s="5">
        <f t="shared" si="170"/>
        <v>7.8388419750903566E-3</v>
      </c>
      <c r="U406" s="5">
        <f t="shared" si="171"/>
        <v>-8.4489511166346073E-4</v>
      </c>
      <c r="V406" s="5">
        <f t="shared" si="172"/>
        <v>4.6668783656636905E-3</v>
      </c>
      <c r="W406" s="5">
        <f t="shared" si="173"/>
        <v>-1.3112100626089697E-2</v>
      </c>
      <c r="X406" s="5">
        <f t="shared" si="174"/>
        <v>-8.5975807082102028E-3</v>
      </c>
      <c r="Y406" s="5">
        <f t="shared" si="175"/>
        <v>2.386068754633705E-2</v>
      </c>
      <c r="Z406" s="33">
        <v>402</v>
      </c>
      <c r="AE406" s="20" t="str">
        <f t="shared" si="176"/>
        <v/>
      </c>
      <c r="AF406" s="22" t="str">
        <f t="shared" si="177"/>
        <v/>
      </c>
      <c r="AG406" s="9" t="str">
        <f t="shared" ca="1" si="156"/>
        <v/>
      </c>
      <c r="AH406" s="9" t="str">
        <f t="shared" ca="1" si="157"/>
        <v/>
      </c>
      <c r="AI406" s="9" t="str">
        <f t="shared" ca="1" si="158"/>
        <v/>
      </c>
      <c r="AJ406" s="9" t="str">
        <f t="shared" ca="1" si="159"/>
        <v/>
      </c>
      <c r="AK406" s="9" t="str">
        <f t="shared" ca="1" si="160"/>
        <v/>
      </c>
      <c r="AL406" s="9" t="str">
        <f t="shared" ca="1" si="161"/>
        <v/>
      </c>
      <c r="AM406" s="9" t="str">
        <f t="shared" ca="1" si="162"/>
        <v/>
      </c>
      <c r="AN406" s="9" t="str">
        <f t="shared" ca="1" si="163"/>
        <v/>
      </c>
      <c r="AO406" s="9" t="str">
        <f t="shared" ca="1" si="164"/>
        <v/>
      </c>
      <c r="AP406" s="9" t="str">
        <f t="shared" ca="1" si="165"/>
        <v/>
      </c>
      <c r="AQ406" s="9"/>
      <c r="AR406" s="9"/>
      <c r="AS406" s="9"/>
      <c r="AT406" s="9"/>
      <c r="AU406" s="9"/>
    </row>
    <row r="407" spans="1:47" x14ac:dyDescent="0.3">
      <c r="A407" s="1">
        <v>44050</v>
      </c>
      <c r="B407" s="6">
        <v>449.57000699999998</v>
      </c>
      <c r="C407" s="6">
        <v>198.78999300000001</v>
      </c>
      <c r="D407" s="6">
        <v>41.595001000000003</v>
      </c>
      <c r="E407" s="6">
        <v>136.740005</v>
      </c>
      <c r="F407" s="6">
        <v>88.900002000000001</v>
      </c>
      <c r="G407" s="6">
        <v>35.889999000000003</v>
      </c>
      <c r="H407" s="6">
        <v>108.029999</v>
      </c>
      <c r="I407" s="6">
        <v>147.300003</v>
      </c>
      <c r="J407" s="6">
        <v>18.41</v>
      </c>
      <c r="K407" s="6">
        <v>20.98</v>
      </c>
      <c r="N407" s="19">
        <v>403</v>
      </c>
      <c r="O407" s="1">
        <v>44050</v>
      </c>
      <c r="P407" s="5">
        <f t="shared" si="166"/>
        <v>-3.1829974830450712E-2</v>
      </c>
      <c r="Q407" s="5">
        <f t="shared" si="167"/>
        <v>-1.7305017819977005E-2</v>
      </c>
      <c r="R407" s="5">
        <f t="shared" si="168"/>
        <v>-3.8392367772181598E-3</v>
      </c>
      <c r="S407" s="5">
        <f t="shared" si="169"/>
        <v>6.4563979277182252E-3</v>
      </c>
      <c r="T407" s="5">
        <f t="shared" si="170"/>
        <v>-8.4010573430744837E-3</v>
      </c>
      <c r="U407" s="5">
        <f t="shared" si="171"/>
        <v>1.1207654284295307E-2</v>
      </c>
      <c r="V407" s="5">
        <f t="shared" si="172"/>
        <v>2.6165519904294759E-2</v>
      </c>
      <c r="W407" s="5">
        <f t="shared" si="173"/>
        <v>7.2906465655639633E-3</v>
      </c>
      <c r="X407" s="5">
        <f t="shared" si="174"/>
        <v>-6.4970990188211401E-3</v>
      </c>
      <c r="Y407" s="5">
        <f t="shared" si="175"/>
        <v>-3.0511590764730232E-2</v>
      </c>
      <c r="Z407" s="33">
        <v>403</v>
      </c>
      <c r="AE407" s="20" t="str">
        <f t="shared" si="176"/>
        <v/>
      </c>
      <c r="AF407" s="22" t="str">
        <f t="shared" si="177"/>
        <v/>
      </c>
      <c r="AG407" s="9" t="str">
        <f t="shared" ca="1" si="156"/>
        <v/>
      </c>
      <c r="AH407" s="9" t="str">
        <f t="shared" ca="1" si="157"/>
        <v/>
      </c>
      <c r="AI407" s="9" t="str">
        <f t="shared" ca="1" si="158"/>
        <v/>
      </c>
      <c r="AJ407" s="9" t="str">
        <f t="shared" ca="1" si="159"/>
        <v/>
      </c>
      <c r="AK407" s="9" t="str">
        <f t="shared" ca="1" si="160"/>
        <v/>
      </c>
      <c r="AL407" s="9" t="str">
        <f t="shared" ca="1" si="161"/>
        <v/>
      </c>
      <c r="AM407" s="9" t="str">
        <f t="shared" ca="1" si="162"/>
        <v/>
      </c>
      <c r="AN407" s="9" t="str">
        <f t="shared" ca="1" si="163"/>
        <v/>
      </c>
      <c r="AO407" s="9" t="str">
        <f t="shared" ca="1" si="164"/>
        <v/>
      </c>
      <c r="AP407" s="9" t="str">
        <f t="shared" ca="1" si="165"/>
        <v/>
      </c>
      <c r="AQ407" s="9"/>
      <c r="AR407" s="9"/>
      <c r="AS407" s="9"/>
      <c r="AT407" s="9"/>
      <c r="AU407" s="9"/>
    </row>
    <row r="408" spans="1:47" x14ac:dyDescent="0.3">
      <c r="A408" s="1">
        <v>44053</v>
      </c>
      <c r="B408" s="6">
        <v>443.290009</v>
      </c>
      <c r="C408" s="6">
        <v>195.63999899999999</v>
      </c>
      <c r="D408" s="6">
        <v>41</v>
      </c>
      <c r="E408" s="6">
        <v>135.979996</v>
      </c>
      <c r="F408" s="6">
        <v>88.879997000000003</v>
      </c>
      <c r="G408" s="6">
        <v>35.970001000000003</v>
      </c>
      <c r="H408" s="6">
        <v>110.5</v>
      </c>
      <c r="I408" s="6">
        <v>150.08999600000001</v>
      </c>
      <c r="J408" s="6">
        <v>19.120000999999998</v>
      </c>
      <c r="K408" s="6">
        <v>21.780000999999999</v>
      </c>
      <c r="N408" s="18">
        <v>404</v>
      </c>
      <c r="O408" s="1">
        <v>44053</v>
      </c>
      <c r="P408" s="5">
        <f t="shared" si="166"/>
        <v>-1.4067382232757931E-2</v>
      </c>
      <c r="Q408" s="5">
        <f t="shared" si="167"/>
        <v>-1.5972725373663333E-2</v>
      </c>
      <c r="R408" s="5">
        <f t="shared" si="168"/>
        <v>-1.4407925072894194E-2</v>
      </c>
      <c r="S408" s="5">
        <f t="shared" si="169"/>
        <v>-5.5735623691698585E-3</v>
      </c>
      <c r="T408" s="5">
        <f t="shared" si="170"/>
        <v>-2.2505343904786224E-4</v>
      </c>
      <c r="U408" s="5">
        <f t="shared" si="171"/>
        <v>2.2266082118763209E-3</v>
      </c>
      <c r="V408" s="5">
        <f t="shared" si="172"/>
        <v>2.2606563885601994E-2</v>
      </c>
      <c r="W408" s="5">
        <f t="shared" si="173"/>
        <v>1.8763743682363655E-2</v>
      </c>
      <c r="X408" s="5">
        <f t="shared" si="174"/>
        <v>3.784096467952261E-2</v>
      </c>
      <c r="Y408" s="5">
        <f t="shared" si="175"/>
        <v>3.7422560450344332E-2</v>
      </c>
      <c r="Z408" s="33">
        <v>404</v>
      </c>
      <c r="AE408" s="20" t="str">
        <f t="shared" si="176"/>
        <v/>
      </c>
      <c r="AF408" s="22" t="str">
        <f t="shared" si="177"/>
        <v/>
      </c>
      <c r="AG408" s="9" t="str">
        <f t="shared" ca="1" si="156"/>
        <v/>
      </c>
      <c r="AH408" s="9" t="str">
        <f t="shared" ca="1" si="157"/>
        <v/>
      </c>
      <c r="AI408" s="9" t="str">
        <f t="shared" ca="1" si="158"/>
        <v/>
      </c>
      <c r="AJ408" s="9" t="str">
        <f t="shared" ca="1" si="159"/>
        <v/>
      </c>
      <c r="AK408" s="9" t="str">
        <f t="shared" ca="1" si="160"/>
        <v/>
      </c>
      <c r="AL408" s="9" t="str">
        <f t="shared" ca="1" si="161"/>
        <v/>
      </c>
      <c r="AM408" s="9" t="str">
        <f t="shared" ca="1" si="162"/>
        <v/>
      </c>
      <c r="AN408" s="9" t="str">
        <f t="shared" ca="1" si="163"/>
        <v/>
      </c>
      <c r="AO408" s="9" t="str">
        <f t="shared" ca="1" si="164"/>
        <v/>
      </c>
      <c r="AP408" s="9" t="str">
        <f t="shared" ca="1" si="165"/>
        <v/>
      </c>
      <c r="AQ408" s="9"/>
      <c r="AR408" s="9"/>
      <c r="AS408" s="9"/>
      <c r="AT408" s="9"/>
      <c r="AU408" s="9"/>
    </row>
    <row r="409" spans="1:47" x14ac:dyDescent="0.3">
      <c r="A409" s="1">
        <v>44054</v>
      </c>
      <c r="B409" s="6">
        <v>435.23001099999999</v>
      </c>
      <c r="C409" s="6">
        <v>191.03999300000001</v>
      </c>
      <c r="D409" s="6">
        <v>40.299999</v>
      </c>
      <c r="E409" s="6">
        <v>135.11999499999999</v>
      </c>
      <c r="F409" s="6">
        <v>89.370002999999997</v>
      </c>
      <c r="G409" s="6">
        <v>35.790000999999997</v>
      </c>
      <c r="H409" s="6">
        <v>112.360001</v>
      </c>
      <c r="I409" s="6">
        <v>153.88000500000001</v>
      </c>
      <c r="J409" s="6">
        <v>19.299999</v>
      </c>
      <c r="K409" s="6">
        <v>22.48</v>
      </c>
      <c r="N409" s="19">
        <v>405</v>
      </c>
      <c r="O409" s="1">
        <v>44054</v>
      </c>
      <c r="P409" s="5">
        <f t="shared" si="166"/>
        <v>-1.8349551448804142E-2</v>
      </c>
      <c r="Q409" s="5">
        <f t="shared" si="167"/>
        <v>-2.3793436997031601E-2</v>
      </c>
      <c r="R409" s="5">
        <f t="shared" si="168"/>
        <v>-1.7220622565566644E-2</v>
      </c>
      <c r="S409" s="5">
        <f t="shared" si="169"/>
        <v>-6.3445511868231563E-3</v>
      </c>
      <c r="T409" s="5">
        <f t="shared" si="170"/>
        <v>5.4979773836129273E-3</v>
      </c>
      <c r="U409" s="5">
        <f t="shared" si="171"/>
        <v>-5.0167327897780254E-3</v>
      </c>
      <c r="V409" s="5">
        <f t="shared" si="172"/>
        <v>1.6692490178199647E-2</v>
      </c>
      <c r="W409" s="5">
        <f t="shared" si="173"/>
        <v>2.4938022859398546E-2</v>
      </c>
      <c r="X409" s="5">
        <f t="shared" si="174"/>
        <v>9.3700841728580533E-3</v>
      </c>
      <c r="Y409" s="5">
        <f t="shared" si="175"/>
        <v>3.1633861606994745E-2</v>
      </c>
      <c r="Z409" s="33">
        <v>405</v>
      </c>
      <c r="AE409" s="20" t="str">
        <f t="shared" si="176"/>
        <v/>
      </c>
      <c r="AF409" s="22" t="str">
        <f t="shared" si="177"/>
        <v/>
      </c>
      <c r="AG409" s="9" t="str">
        <f t="shared" ca="1" si="156"/>
        <v/>
      </c>
      <c r="AH409" s="9" t="str">
        <f t="shared" ca="1" si="157"/>
        <v/>
      </c>
      <c r="AI409" s="9" t="str">
        <f t="shared" ca="1" si="158"/>
        <v/>
      </c>
      <c r="AJ409" s="9" t="str">
        <f t="shared" ca="1" si="159"/>
        <v/>
      </c>
      <c r="AK409" s="9" t="str">
        <f t="shared" ca="1" si="160"/>
        <v/>
      </c>
      <c r="AL409" s="9" t="str">
        <f t="shared" ca="1" si="161"/>
        <v/>
      </c>
      <c r="AM409" s="9" t="str">
        <f t="shared" ca="1" si="162"/>
        <v/>
      </c>
      <c r="AN409" s="9" t="str">
        <f t="shared" ca="1" si="163"/>
        <v/>
      </c>
      <c r="AO409" s="9" t="str">
        <f t="shared" ca="1" si="164"/>
        <v/>
      </c>
      <c r="AP409" s="9" t="str">
        <f t="shared" ca="1" si="165"/>
        <v/>
      </c>
      <c r="AQ409" s="9"/>
      <c r="AR409" s="9"/>
      <c r="AS409" s="9"/>
      <c r="AT409" s="9"/>
      <c r="AU409" s="9"/>
    </row>
    <row r="410" spans="1:47" x14ac:dyDescent="0.3">
      <c r="A410" s="1">
        <v>44055</v>
      </c>
      <c r="B410" s="6">
        <v>445.35998499999999</v>
      </c>
      <c r="C410" s="6">
        <v>194.33999600000001</v>
      </c>
      <c r="D410" s="6">
        <v>41.325001</v>
      </c>
      <c r="E410" s="6">
        <v>137.800003</v>
      </c>
      <c r="F410" s="6">
        <v>90.400002000000001</v>
      </c>
      <c r="G410" s="6">
        <v>35.889999000000003</v>
      </c>
      <c r="H410" s="6">
        <v>112.57</v>
      </c>
      <c r="I410" s="6">
        <v>153.38000500000001</v>
      </c>
      <c r="J410" s="6">
        <v>19</v>
      </c>
      <c r="K410" s="6">
        <v>21.82</v>
      </c>
      <c r="N410" s="18">
        <v>406</v>
      </c>
      <c r="O410" s="1">
        <v>44055</v>
      </c>
      <c r="P410" s="5">
        <f t="shared" si="166"/>
        <v>2.3008257931205735E-2</v>
      </c>
      <c r="Q410" s="5">
        <f t="shared" si="167"/>
        <v>1.7126388266112912E-2</v>
      </c>
      <c r="R410" s="5">
        <f t="shared" si="168"/>
        <v>2.5116223766773527E-2</v>
      </c>
      <c r="S410" s="5">
        <f t="shared" si="169"/>
        <v>1.9640144854840669E-2</v>
      </c>
      <c r="T410" s="5">
        <f t="shared" si="170"/>
        <v>1.1459200560412847E-2</v>
      </c>
      <c r="U410" s="5">
        <f t="shared" si="171"/>
        <v>2.7901245779016069E-3</v>
      </c>
      <c r="V410" s="5">
        <f t="shared" si="172"/>
        <v>1.86723923070522E-3</v>
      </c>
      <c r="W410" s="5">
        <f t="shared" si="173"/>
        <v>-3.2545754414584805E-3</v>
      </c>
      <c r="X410" s="5">
        <f t="shared" si="174"/>
        <v>-1.5666064930926593E-2</v>
      </c>
      <c r="Y410" s="5">
        <f t="shared" si="175"/>
        <v>-2.979904462056561E-2</v>
      </c>
      <c r="Z410" s="33">
        <v>406</v>
      </c>
      <c r="AE410" s="20" t="str">
        <f t="shared" si="176"/>
        <v/>
      </c>
      <c r="AF410" s="22" t="str">
        <f t="shared" si="177"/>
        <v/>
      </c>
      <c r="AG410" s="9" t="str">
        <f t="shared" ca="1" si="156"/>
        <v/>
      </c>
      <c r="AH410" s="9" t="str">
        <f t="shared" ca="1" si="157"/>
        <v/>
      </c>
      <c r="AI410" s="9" t="str">
        <f t="shared" ca="1" si="158"/>
        <v/>
      </c>
      <c r="AJ410" s="9" t="str">
        <f t="shared" ca="1" si="159"/>
        <v/>
      </c>
      <c r="AK410" s="9" t="str">
        <f t="shared" ca="1" si="160"/>
        <v/>
      </c>
      <c r="AL410" s="9" t="str">
        <f t="shared" ca="1" si="161"/>
        <v/>
      </c>
      <c r="AM410" s="9" t="str">
        <f t="shared" ca="1" si="162"/>
        <v/>
      </c>
      <c r="AN410" s="9" t="str">
        <f t="shared" ca="1" si="163"/>
        <v/>
      </c>
      <c r="AO410" s="9" t="str">
        <f t="shared" ca="1" si="164"/>
        <v/>
      </c>
      <c r="AP410" s="9" t="str">
        <f t="shared" ca="1" si="165"/>
        <v/>
      </c>
      <c r="AQ410" s="9"/>
      <c r="AR410" s="9"/>
      <c r="AS410" s="9"/>
      <c r="AT410" s="9"/>
      <c r="AU410" s="9"/>
    </row>
    <row r="411" spans="1:47" x14ac:dyDescent="0.3">
      <c r="A411" s="1">
        <v>44056</v>
      </c>
      <c r="B411" s="6">
        <v>450.01998900000001</v>
      </c>
      <c r="C411" s="6">
        <v>196.35000600000001</v>
      </c>
      <c r="D411" s="6">
        <v>41.91</v>
      </c>
      <c r="E411" s="6">
        <v>138.10000600000001</v>
      </c>
      <c r="F411" s="6">
        <v>87.940002000000007</v>
      </c>
      <c r="G411" s="6">
        <v>34.709999000000003</v>
      </c>
      <c r="H411" s="6">
        <v>112.099998</v>
      </c>
      <c r="I411" s="6">
        <v>153.10000600000001</v>
      </c>
      <c r="J411" s="6">
        <v>18.790001</v>
      </c>
      <c r="K411" s="6">
        <v>21.969999000000001</v>
      </c>
      <c r="N411" s="19">
        <v>407</v>
      </c>
      <c r="O411" s="1">
        <v>44056</v>
      </c>
      <c r="P411" s="5">
        <f t="shared" si="166"/>
        <v>1.0409091583192668E-2</v>
      </c>
      <c r="Q411" s="5">
        <f t="shared" si="167"/>
        <v>1.0289629752887235E-2</v>
      </c>
      <c r="R411" s="5">
        <f t="shared" si="168"/>
        <v>1.4056794031465413E-2</v>
      </c>
      <c r="S411" s="5">
        <f t="shared" si="169"/>
        <v>2.174723511783118E-3</v>
      </c>
      <c r="T411" s="5">
        <f t="shared" si="170"/>
        <v>-2.7589503026581291E-2</v>
      </c>
      <c r="U411" s="5">
        <f t="shared" si="171"/>
        <v>-3.3430876233047774E-2</v>
      </c>
      <c r="V411" s="5">
        <f t="shared" si="172"/>
        <v>-4.1839381298117654E-3</v>
      </c>
      <c r="W411" s="5">
        <f t="shared" si="173"/>
        <v>-1.8271930817778035E-3</v>
      </c>
      <c r="X411" s="5">
        <f t="shared" si="174"/>
        <v>-1.1114112521270184E-2</v>
      </c>
      <c r="Y411" s="5">
        <f t="shared" si="175"/>
        <v>6.8508604749794293E-3</v>
      </c>
      <c r="Z411" s="33">
        <v>407</v>
      </c>
      <c r="AE411" s="20" t="str">
        <f t="shared" si="176"/>
        <v/>
      </c>
      <c r="AF411" s="22" t="str">
        <f t="shared" si="177"/>
        <v/>
      </c>
      <c r="AG411" s="9" t="str">
        <f t="shared" ca="1" si="156"/>
        <v/>
      </c>
      <c r="AH411" s="9" t="str">
        <f t="shared" ca="1" si="157"/>
        <v/>
      </c>
      <c r="AI411" s="9" t="str">
        <f t="shared" ca="1" si="158"/>
        <v/>
      </c>
      <c r="AJ411" s="9" t="str">
        <f t="shared" ca="1" si="159"/>
        <v/>
      </c>
      <c r="AK411" s="9" t="str">
        <f t="shared" ca="1" si="160"/>
        <v/>
      </c>
      <c r="AL411" s="9" t="str">
        <f t="shared" ca="1" si="161"/>
        <v/>
      </c>
      <c r="AM411" s="9" t="str">
        <f t="shared" ca="1" si="162"/>
        <v/>
      </c>
      <c r="AN411" s="9" t="str">
        <f t="shared" ca="1" si="163"/>
        <v/>
      </c>
      <c r="AO411" s="9" t="str">
        <f t="shared" ca="1" si="164"/>
        <v/>
      </c>
      <c r="AP411" s="9" t="str">
        <f t="shared" ca="1" si="165"/>
        <v/>
      </c>
      <c r="AQ411" s="9"/>
      <c r="AR411" s="9"/>
      <c r="AS411" s="9"/>
      <c r="AT411" s="9"/>
      <c r="AU411" s="9"/>
    </row>
    <row r="412" spans="1:47" x14ac:dyDescent="0.3">
      <c r="A412" s="1">
        <v>44057</v>
      </c>
      <c r="B412" s="6">
        <v>447.60000600000001</v>
      </c>
      <c r="C412" s="6">
        <v>196.16000399999999</v>
      </c>
      <c r="D412" s="6">
        <v>41.66</v>
      </c>
      <c r="E412" s="6">
        <v>137.55999800000001</v>
      </c>
      <c r="F412" s="6">
        <v>88.18</v>
      </c>
      <c r="G412" s="6">
        <v>35.020000000000003</v>
      </c>
      <c r="H412" s="6">
        <v>111.519997</v>
      </c>
      <c r="I412" s="6">
        <v>153.63999899999999</v>
      </c>
      <c r="J412" s="6">
        <v>18.860001</v>
      </c>
      <c r="K412" s="6">
        <v>22.620000999999998</v>
      </c>
      <c r="N412" s="18">
        <v>408</v>
      </c>
      <c r="O412" s="1">
        <v>44057</v>
      </c>
      <c r="P412" s="5">
        <f t="shared" si="166"/>
        <v>-5.3920119352306849E-3</v>
      </c>
      <c r="Q412" s="5">
        <f t="shared" si="167"/>
        <v>-9.6813844233235521E-4</v>
      </c>
      <c r="R412" s="5">
        <f t="shared" si="168"/>
        <v>-5.9830261041541712E-3</v>
      </c>
      <c r="S412" s="5">
        <f t="shared" si="169"/>
        <v>-3.9179328370680579E-3</v>
      </c>
      <c r="T412" s="5">
        <f t="shared" si="170"/>
        <v>2.7253934343485493E-3</v>
      </c>
      <c r="U412" s="5">
        <f t="shared" si="171"/>
        <v>8.8915257941523697E-3</v>
      </c>
      <c r="V412" s="5">
        <f t="shared" si="172"/>
        <v>-5.1873921256917633E-3</v>
      </c>
      <c r="W412" s="5">
        <f t="shared" si="173"/>
        <v>3.5208551152731073E-3</v>
      </c>
      <c r="X412" s="5">
        <f t="shared" si="174"/>
        <v>3.7184635824090385E-3</v>
      </c>
      <c r="Y412" s="5">
        <f t="shared" si="175"/>
        <v>2.9156674016733941E-2</v>
      </c>
      <c r="Z412" s="33">
        <v>408</v>
      </c>
      <c r="AE412" s="20" t="str">
        <f t="shared" si="176"/>
        <v/>
      </c>
      <c r="AF412" s="22" t="str">
        <f t="shared" si="177"/>
        <v/>
      </c>
      <c r="AG412" s="9" t="str">
        <f t="shared" ca="1" si="156"/>
        <v/>
      </c>
      <c r="AH412" s="9" t="str">
        <f t="shared" ca="1" si="157"/>
        <v/>
      </c>
      <c r="AI412" s="9" t="str">
        <f t="shared" ca="1" si="158"/>
        <v/>
      </c>
      <c r="AJ412" s="9" t="str">
        <f t="shared" ca="1" si="159"/>
        <v/>
      </c>
      <c r="AK412" s="9" t="str">
        <f t="shared" ca="1" si="160"/>
        <v/>
      </c>
      <c r="AL412" s="9" t="str">
        <f t="shared" ca="1" si="161"/>
        <v/>
      </c>
      <c r="AM412" s="9" t="str">
        <f t="shared" ca="1" si="162"/>
        <v/>
      </c>
      <c r="AN412" s="9" t="str">
        <f t="shared" ca="1" si="163"/>
        <v/>
      </c>
      <c r="AO412" s="9" t="str">
        <f t="shared" ca="1" si="164"/>
        <v/>
      </c>
      <c r="AP412" s="9" t="str">
        <f t="shared" ca="1" si="165"/>
        <v/>
      </c>
      <c r="AQ412" s="9"/>
      <c r="AR412" s="9"/>
      <c r="AS412" s="9"/>
      <c r="AT412" s="9"/>
      <c r="AU412" s="9"/>
    </row>
    <row r="413" spans="1:47" x14ac:dyDescent="0.3">
      <c r="A413" s="1">
        <v>44060</v>
      </c>
      <c r="B413" s="6">
        <v>451.57998700000002</v>
      </c>
      <c r="C413" s="6">
        <v>200.21000699999999</v>
      </c>
      <c r="D413" s="6">
        <v>41.724997999999999</v>
      </c>
      <c r="E413" s="6">
        <v>137.91999799999999</v>
      </c>
      <c r="F413" s="6">
        <v>88.839995999999999</v>
      </c>
      <c r="G413" s="6">
        <v>35.049999</v>
      </c>
      <c r="H413" s="6">
        <v>111.889999</v>
      </c>
      <c r="I413" s="6">
        <v>153.13999899999999</v>
      </c>
      <c r="J413" s="6">
        <v>18.579999999999998</v>
      </c>
      <c r="K413" s="6">
        <v>22.09</v>
      </c>
      <c r="N413" s="19">
        <v>409</v>
      </c>
      <c r="O413" s="1">
        <v>44060</v>
      </c>
      <c r="P413" s="5">
        <f t="shared" si="166"/>
        <v>8.8525256847739372E-3</v>
      </c>
      <c r="Q413" s="5">
        <f t="shared" si="167"/>
        <v>2.0436177507532446E-2</v>
      </c>
      <c r="R413" s="5">
        <f t="shared" si="168"/>
        <v>1.5589857821779165E-3</v>
      </c>
      <c r="S413" s="5">
        <f t="shared" si="169"/>
        <v>2.6136213892674516E-3</v>
      </c>
      <c r="T413" s="5">
        <f t="shared" si="170"/>
        <v>7.4567740716704094E-3</v>
      </c>
      <c r="U413" s="5">
        <f t="shared" si="171"/>
        <v>8.5625809222235273E-4</v>
      </c>
      <c r="V413" s="5">
        <f t="shared" si="172"/>
        <v>3.3123167710714394E-3</v>
      </c>
      <c r="W413" s="5">
        <f t="shared" si="173"/>
        <v>-3.2596678139775845E-3</v>
      </c>
      <c r="X413" s="5">
        <f t="shared" si="174"/>
        <v>-1.4957596841887074E-2</v>
      </c>
      <c r="Y413" s="5">
        <f t="shared" si="175"/>
        <v>-2.3709497464612407E-2</v>
      </c>
      <c r="Z413" s="33">
        <v>409</v>
      </c>
      <c r="AE413" s="20" t="str">
        <f t="shared" si="176"/>
        <v/>
      </c>
      <c r="AF413" s="22" t="str">
        <f t="shared" si="177"/>
        <v/>
      </c>
      <c r="AG413" s="9" t="str">
        <f t="shared" ca="1" si="156"/>
        <v/>
      </c>
      <c r="AH413" s="9" t="str">
        <f t="shared" ca="1" si="157"/>
        <v/>
      </c>
      <c r="AI413" s="9" t="str">
        <f t="shared" ca="1" si="158"/>
        <v/>
      </c>
      <c r="AJ413" s="9" t="str">
        <f t="shared" ca="1" si="159"/>
        <v/>
      </c>
      <c r="AK413" s="9" t="str">
        <f t="shared" ca="1" si="160"/>
        <v/>
      </c>
      <c r="AL413" s="9" t="str">
        <f t="shared" ca="1" si="161"/>
        <v/>
      </c>
      <c r="AM413" s="9" t="str">
        <f t="shared" ca="1" si="162"/>
        <v/>
      </c>
      <c r="AN413" s="9" t="str">
        <f t="shared" ca="1" si="163"/>
        <v/>
      </c>
      <c r="AO413" s="9" t="str">
        <f t="shared" ca="1" si="164"/>
        <v/>
      </c>
      <c r="AP413" s="9" t="str">
        <f t="shared" ca="1" si="165"/>
        <v/>
      </c>
      <c r="AQ413" s="9"/>
      <c r="AR413" s="9"/>
      <c r="AS413" s="9"/>
      <c r="AT413" s="9"/>
      <c r="AU413" s="9"/>
    </row>
    <row r="414" spans="1:47" x14ac:dyDescent="0.3">
      <c r="A414" s="1">
        <v>44061</v>
      </c>
      <c r="B414" s="6">
        <v>463.51001000000002</v>
      </c>
      <c r="C414" s="6">
        <v>200.08999600000001</v>
      </c>
      <c r="D414" s="6">
        <v>41.490001999999997</v>
      </c>
      <c r="E414" s="6">
        <v>138.11000100000001</v>
      </c>
      <c r="F414" s="6">
        <v>88.400002000000001</v>
      </c>
      <c r="G414" s="6">
        <v>35.18</v>
      </c>
      <c r="H414" s="6">
        <v>111.050003</v>
      </c>
      <c r="I414" s="6">
        <v>151.770004</v>
      </c>
      <c r="J414" s="6">
        <v>18.440000999999999</v>
      </c>
      <c r="K414" s="6">
        <v>22.059999000000001</v>
      </c>
      <c r="N414" s="18">
        <v>410</v>
      </c>
      <c r="O414" s="1">
        <v>44061</v>
      </c>
      <c r="P414" s="5">
        <f t="shared" si="166"/>
        <v>2.6075465793342509E-2</v>
      </c>
      <c r="Q414" s="5">
        <f t="shared" si="167"/>
        <v>-5.9960530949872463E-4</v>
      </c>
      <c r="R414" s="5">
        <f t="shared" si="168"/>
        <v>-5.6479390658417785E-3</v>
      </c>
      <c r="S414" s="5">
        <f t="shared" si="169"/>
        <v>1.3766839162200066E-3</v>
      </c>
      <c r="T414" s="5">
        <f t="shared" si="170"/>
        <v>-4.9649617334301642E-3</v>
      </c>
      <c r="U414" s="5">
        <f t="shared" si="171"/>
        <v>3.7021543594839882E-3</v>
      </c>
      <c r="V414" s="5">
        <f t="shared" si="172"/>
        <v>-7.5356595269862785E-3</v>
      </c>
      <c r="W414" s="5">
        <f t="shared" si="173"/>
        <v>-8.9862858273808705E-3</v>
      </c>
      <c r="X414" s="5">
        <f t="shared" si="174"/>
        <v>-7.5634610273112223E-3</v>
      </c>
      <c r="Y414" s="5">
        <f t="shared" si="175"/>
        <v>-1.3590489375860946E-3</v>
      </c>
      <c r="Z414" s="33">
        <v>410</v>
      </c>
      <c r="AE414" s="20" t="str">
        <f t="shared" si="176"/>
        <v/>
      </c>
      <c r="AF414" s="22" t="str">
        <f t="shared" si="177"/>
        <v/>
      </c>
      <c r="AG414" s="9" t="str">
        <f t="shared" ca="1" si="156"/>
        <v/>
      </c>
      <c r="AH414" s="9" t="str">
        <f t="shared" ca="1" si="157"/>
        <v/>
      </c>
      <c r="AI414" s="9" t="str">
        <f t="shared" ca="1" si="158"/>
        <v/>
      </c>
      <c r="AJ414" s="9" t="str">
        <f t="shared" ca="1" si="159"/>
        <v/>
      </c>
      <c r="AK414" s="9" t="str">
        <f t="shared" ca="1" si="160"/>
        <v/>
      </c>
      <c r="AL414" s="9" t="str">
        <f t="shared" ca="1" si="161"/>
        <v/>
      </c>
      <c r="AM414" s="9" t="str">
        <f t="shared" ca="1" si="162"/>
        <v/>
      </c>
      <c r="AN414" s="9" t="str">
        <f t="shared" ca="1" si="163"/>
        <v/>
      </c>
      <c r="AO414" s="9" t="str">
        <f t="shared" ca="1" si="164"/>
        <v/>
      </c>
      <c r="AP414" s="9" t="str">
        <f t="shared" ca="1" si="165"/>
        <v/>
      </c>
      <c r="AQ414" s="9"/>
      <c r="AR414" s="9"/>
      <c r="AS414" s="9"/>
      <c r="AT414" s="9"/>
      <c r="AU414" s="9"/>
    </row>
    <row r="415" spans="1:47" x14ac:dyDescent="0.3">
      <c r="A415" s="1">
        <v>44062</v>
      </c>
      <c r="B415" s="6">
        <v>462.01001000000002</v>
      </c>
      <c r="C415" s="6">
        <v>198.220001</v>
      </c>
      <c r="D415" s="6">
        <v>41.334999000000003</v>
      </c>
      <c r="E415" s="6">
        <v>136.449997</v>
      </c>
      <c r="F415" s="6">
        <v>86.860000999999997</v>
      </c>
      <c r="G415" s="6">
        <v>34.18</v>
      </c>
      <c r="H415" s="6">
        <v>110.720001</v>
      </c>
      <c r="I415" s="6">
        <v>150.300003</v>
      </c>
      <c r="J415" s="6">
        <v>18.34</v>
      </c>
      <c r="K415" s="6">
        <v>22.219999000000001</v>
      </c>
      <c r="N415" s="19">
        <v>411</v>
      </c>
      <c r="O415" s="1">
        <v>44062</v>
      </c>
      <c r="P415" s="5">
        <f t="shared" si="166"/>
        <v>-3.2414238070253639E-3</v>
      </c>
      <c r="Q415" s="5">
        <f t="shared" si="167"/>
        <v>-9.3897153139353064E-3</v>
      </c>
      <c r="R415" s="5">
        <f t="shared" si="168"/>
        <v>-3.7429080370960655E-3</v>
      </c>
      <c r="S415" s="5">
        <f t="shared" si="169"/>
        <v>-1.2092251162170983E-2</v>
      </c>
      <c r="T415" s="5">
        <f t="shared" si="170"/>
        <v>-1.7574353648577009E-2</v>
      </c>
      <c r="U415" s="5">
        <f t="shared" si="171"/>
        <v>-2.8837061621967287E-2</v>
      </c>
      <c r="V415" s="5">
        <f t="shared" si="172"/>
        <v>-2.976076454142993E-3</v>
      </c>
      <c r="W415" s="5">
        <f t="shared" si="173"/>
        <v>-9.7329266086153502E-3</v>
      </c>
      <c r="X415" s="5">
        <f t="shared" si="174"/>
        <v>-5.437805530062379E-3</v>
      </c>
      <c r="Y415" s="5">
        <f t="shared" si="175"/>
        <v>7.226770712542803E-3</v>
      </c>
      <c r="Z415" s="33">
        <v>411</v>
      </c>
      <c r="AE415" s="20" t="str">
        <f t="shared" si="176"/>
        <v/>
      </c>
      <c r="AF415" s="22" t="str">
        <f t="shared" si="177"/>
        <v/>
      </c>
      <c r="AG415" s="9" t="str">
        <f t="shared" ca="1" si="156"/>
        <v/>
      </c>
      <c r="AH415" s="9" t="str">
        <f t="shared" ca="1" si="157"/>
        <v/>
      </c>
      <c r="AI415" s="9" t="str">
        <f t="shared" ca="1" si="158"/>
        <v/>
      </c>
      <c r="AJ415" s="9" t="str">
        <f t="shared" ca="1" si="159"/>
        <v/>
      </c>
      <c r="AK415" s="9" t="str">
        <f t="shared" ca="1" si="160"/>
        <v/>
      </c>
      <c r="AL415" s="9" t="str">
        <f t="shared" ca="1" si="161"/>
        <v/>
      </c>
      <c r="AM415" s="9" t="str">
        <f t="shared" ca="1" si="162"/>
        <v/>
      </c>
      <c r="AN415" s="9" t="str">
        <f t="shared" ca="1" si="163"/>
        <v/>
      </c>
      <c r="AO415" s="9" t="str">
        <f t="shared" ca="1" si="164"/>
        <v/>
      </c>
      <c r="AP415" s="9" t="str">
        <f t="shared" ca="1" si="165"/>
        <v/>
      </c>
      <c r="AQ415" s="9"/>
      <c r="AR415" s="9"/>
      <c r="AS415" s="9"/>
      <c r="AT415" s="9"/>
      <c r="AU415" s="9"/>
    </row>
    <row r="416" spans="1:47" x14ac:dyDescent="0.3">
      <c r="A416" s="1">
        <v>44063</v>
      </c>
      <c r="B416" s="6">
        <v>478.48001099999999</v>
      </c>
      <c r="C416" s="6">
        <v>215.16000399999999</v>
      </c>
      <c r="D416" s="6">
        <v>41.505001</v>
      </c>
      <c r="E416" s="6">
        <v>136.720001</v>
      </c>
      <c r="F416" s="6">
        <v>87.760002</v>
      </c>
      <c r="G416" s="6">
        <v>34.400002000000001</v>
      </c>
      <c r="H416" s="6">
        <v>109.989998</v>
      </c>
      <c r="I416" s="6">
        <v>148.86999499999999</v>
      </c>
      <c r="J416" s="6">
        <v>17.799999</v>
      </c>
      <c r="K416" s="6">
        <v>22.129999000000002</v>
      </c>
      <c r="N416" s="18">
        <v>412</v>
      </c>
      <c r="O416" s="1">
        <v>44063</v>
      </c>
      <c r="P416" s="5">
        <f t="shared" si="166"/>
        <v>3.5027878212081129E-2</v>
      </c>
      <c r="Q416" s="5">
        <f t="shared" si="167"/>
        <v>8.200442597239567E-2</v>
      </c>
      <c r="R416" s="5">
        <f t="shared" si="168"/>
        <v>4.1043514884155649E-3</v>
      </c>
      <c r="S416" s="5">
        <f t="shared" si="169"/>
        <v>1.9768209532824163E-3</v>
      </c>
      <c r="T416" s="5">
        <f t="shared" si="170"/>
        <v>1.0308200136945276E-2</v>
      </c>
      <c r="U416" s="5">
        <f t="shared" si="171"/>
        <v>6.4159448314410356E-3</v>
      </c>
      <c r="V416" s="5">
        <f t="shared" si="172"/>
        <v>-6.6150665155974295E-3</v>
      </c>
      <c r="W416" s="5">
        <f t="shared" si="173"/>
        <v>-9.5599084163937083E-3</v>
      </c>
      <c r="X416" s="5">
        <f t="shared" si="174"/>
        <v>-2.9886065710056222E-2</v>
      </c>
      <c r="Y416" s="5">
        <f t="shared" si="175"/>
        <v>-4.0586303315534753E-3</v>
      </c>
      <c r="Z416" s="33">
        <v>412</v>
      </c>
      <c r="AE416" s="20" t="str">
        <f t="shared" si="176"/>
        <v/>
      </c>
      <c r="AF416" s="22" t="str">
        <f t="shared" si="177"/>
        <v/>
      </c>
      <c r="AG416" s="9" t="str">
        <f t="shared" ca="1" si="156"/>
        <v/>
      </c>
      <c r="AH416" s="9" t="str">
        <f t="shared" ca="1" si="157"/>
        <v/>
      </c>
      <c r="AI416" s="9" t="str">
        <f t="shared" ca="1" si="158"/>
        <v/>
      </c>
      <c r="AJ416" s="9" t="str">
        <f t="shared" ca="1" si="159"/>
        <v/>
      </c>
      <c r="AK416" s="9" t="str">
        <f t="shared" ca="1" si="160"/>
        <v/>
      </c>
      <c r="AL416" s="9" t="str">
        <f t="shared" ca="1" si="161"/>
        <v/>
      </c>
      <c r="AM416" s="9" t="str">
        <f t="shared" ca="1" si="162"/>
        <v/>
      </c>
      <c r="AN416" s="9" t="str">
        <f t="shared" ca="1" si="163"/>
        <v/>
      </c>
      <c r="AO416" s="9" t="str">
        <f t="shared" ca="1" si="164"/>
        <v/>
      </c>
      <c r="AP416" s="9" t="str">
        <f t="shared" ca="1" si="165"/>
        <v/>
      </c>
      <c r="AQ416" s="9"/>
      <c r="AR416" s="9"/>
      <c r="AS416" s="9"/>
      <c r="AT416" s="9"/>
      <c r="AU416" s="9"/>
    </row>
    <row r="417" spans="1:47" x14ac:dyDescent="0.3">
      <c r="A417" s="1">
        <v>44064</v>
      </c>
      <c r="B417" s="6">
        <v>473.22000100000002</v>
      </c>
      <c r="C417" s="6">
        <v>213.10000600000001</v>
      </c>
      <c r="D417" s="6">
        <v>41.365001999999997</v>
      </c>
      <c r="E417" s="6">
        <v>136.46000699999999</v>
      </c>
      <c r="F417" s="6">
        <v>87.660004000000001</v>
      </c>
      <c r="G417" s="6">
        <v>34.080002</v>
      </c>
      <c r="H417" s="6">
        <v>109.94000200000001</v>
      </c>
      <c r="I417" s="6">
        <v>147.89999399999999</v>
      </c>
      <c r="J417" s="6">
        <v>17.48</v>
      </c>
      <c r="K417" s="6">
        <v>21.99</v>
      </c>
      <c r="N417" s="19">
        <v>413</v>
      </c>
      <c r="O417" s="1">
        <v>44064</v>
      </c>
      <c r="P417" s="5">
        <f t="shared" si="166"/>
        <v>-1.1054036974631301E-2</v>
      </c>
      <c r="Q417" s="5">
        <f t="shared" si="167"/>
        <v>-9.6203887354912258E-3</v>
      </c>
      <c r="R417" s="5">
        <f t="shared" si="168"/>
        <v>-3.3787650082819612E-3</v>
      </c>
      <c r="S417" s="5">
        <f t="shared" si="169"/>
        <v>-1.903463437194703E-3</v>
      </c>
      <c r="T417" s="5">
        <f t="shared" si="170"/>
        <v>-1.140098134891726E-3</v>
      </c>
      <c r="U417" s="5">
        <f t="shared" si="171"/>
        <v>-9.3458618723265916E-3</v>
      </c>
      <c r="V417" s="5">
        <f t="shared" si="172"/>
        <v>-4.5465376129873251E-4</v>
      </c>
      <c r="W417" s="5">
        <f t="shared" si="173"/>
        <v>-6.5370791538128161E-3</v>
      </c>
      <c r="X417" s="5">
        <f t="shared" si="174"/>
        <v>-1.8141030890873124E-2</v>
      </c>
      <c r="Y417" s="5">
        <f t="shared" si="175"/>
        <v>-6.3463043087593285E-3</v>
      </c>
      <c r="Z417" s="33">
        <v>413</v>
      </c>
      <c r="AE417" s="20" t="str">
        <f t="shared" si="176"/>
        <v/>
      </c>
      <c r="AF417" s="22" t="str">
        <f t="shared" si="177"/>
        <v/>
      </c>
      <c r="AG417" s="9" t="str">
        <f t="shared" ca="1" si="156"/>
        <v/>
      </c>
      <c r="AH417" s="9" t="str">
        <f t="shared" ca="1" si="157"/>
        <v/>
      </c>
      <c r="AI417" s="9" t="str">
        <f t="shared" ca="1" si="158"/>
        <v/>
      </c>
      <c r="AJ417" s="9" t="str">
        <f t="shared" ca="1" si="159"/>
        <v/>
      </c>
      <c r="AK417" s="9" t="str">
        <f t="shared" ca="1" si="160"/>
        <v/>
      </c>
      <c r="AL417" s="9" t="str">
        <f t="shared" ca="1" si="161"/>
        <v/>
      </c>
      <c r="AM417" s="9" t="str">
        <f t="shared" ca="1" si="162"/>
        <v/>
      </c>
      <c r="AN417" s="9" t="str">
        <f t="shared" ca="1" si="163"/>
        <v/>
      </c>
      <c r="AO417" s="9" t="str">
        <f t="shared" ca="1" si="164"/>
        <v/>
      </c>
      <c r="AP417" s="9" t="str">
        <f t="shared" ca="1" si="165"/>
        <v/>
      </c>
      <c r="AQ417" s="9"/>
      <c r="AR417" s="9"/>
      <c r="AS417" s="9"/>
      <c r="AT417" s="9"/>
      <c r="AU417" s="9"/>
    </row>
    <row r="418" spans="1:47" x14ac:dyDescent="0.3">
      <c r="A418" s="1">
        <v>44067</v>
      </c>
      <c r="B418" s="6">
        <v>476.29998799999998</v>
      </c>
      <c r="C418" s="6">
        <v>213.770004</v>
      </c>
      <c r="D418" s="6">
        <v>41.845001000000003</v>
      </c>
      <c r="E418" s="6">
        <v>137.63999899999999</v>
      </c>
      <c r="F418" s="6">
        <v>88.160004000000001</v>
      </c>
      <c r="G418" s="6">
        <v>34.529998999999997</v>
      </c>
      <c r="H418" s="6">
        <v>111.029999</v>
      </c>
      <c r="I418" s="6">
        <v>149.259995</v>
      </c>
      <c r="J418" s="6">
        <v>18.329999999999998</v>
      </c>
      <c r="K418" s="6">
        <v>22.809999000000001</v>
      </c>
      <c r="N418" s="18">
        <v>414</v>
      </c>
      <c r="O418" s="1">
        <v>44067</v>
      </c>
      <c r="P418" s="5">
        <f t="shared" si="166"/>
        <v>6.4874838614723306E-3</v>
      </c>
      <c r="Q418" s="5">
        <f t="shared" si="167"/>
        <v>3.1391221425221714E-3</v>
      </c>
      <c r="R418" s="5">
        <f t="shared" si="168"/>
        <v>1.1537178390355625E-2</v>
      </c>
      <c r="S418" s="5">
        <f t="shared" si="169"/>
        <v>8.609990979590032E-3</v>
      </c>
      <c r="T418" s="5">
        <f t="shared" si="170"/>
        <v>5.687650155145575E-3</v>
      </c>
      <c r="U418" s="5">
        <f t="shared" si="171"/>
        <v>1.3117721795016852E-2</v>
      </c>
      <c r="V418" s="5">
        <f t="shared" si="172"/>
        <v>9.8656454353442599E-3</v>
      </c>
      <c r="W418" s="5">
        <f t="shared" si="173"/>
        <v>9.1533890558457912E-3</v>
      </c>
      <c r="X418" s="5">
        <f t="shared" si="174"/>
        <v>4.7481691624224227E-2</v>
      </c>
      <c r="Y418" s="5">
        <f t="shared" si="175"/>
        <v>3.6611187889205171E-2</v>
      </c>
      <c r="Z418" s="33">
        <v>414</v>
      </c>
      <c r="AE418" s="20" t="str">
        <f t="shared" si="176"/>
        <v/>
      </c>
      <c r="AF418" s="22" t="str">
        <f t="shared" si="177"/>
        <v/>
      </c>
      <c r="AG418" s="9" t="str">
        <f t="shared" ca="1" si="156"/>
        <v/>
      </c>
      <c r="AH418" s="9" t="str">
        <f t="shared" ca="1" si="157"/>
        <v/>
      </c>
      <c r="AI418" s="9" t="str">
        <f t="shared" ca="1" si="158"/>
        <v/>
      </c>
      <c r="AJ418" s="9" t="str">
        <f t="shared" ca="1" si="159"/>
        <v/>
      </c>
      <c r="AK418" s="9" t="str">
        <f t="shared" ca="1" si="160"/>
        <v/>
      </c>
      <c r="AL418" s="9" t="str">
        <f t="shared" ca="1" si="161"/>
        <v/>
      </c>
      <c r="AM418" s="9" t="str">
        <f t="shared" ca="1" si="162"/>
        <v/>
      </c>
      <c r="AN418" s="9" t="str">
        <f t="shared" ca="1" si="163"/>
        <v/>
      </c>
      <c r="AO418" s="9" t="str">
        <f t="shared" ca="1" si="164"/>
        <v/>
      </c>
      <c r="AP418" s="9" t="str">
        <f t="shared" ca="1" si="165"/>
        <v/>
      </c>
      <c r="AQ418" s="9"/>
      <c r="AR418" s="9"/>
      <c r="AS418" s="9"/>
      <c r="AT418" s="9"/>
      <c r="AU418" s="9"/>
    </row>
    <row r="419" spans="1:47" x14ac:dyDescent="0.3">
      <c r="A419" s="1">
        <v>44068</v>
      </c>
      <c r="B419" s="6">
        <v>484.42999300000002</v>
      </c>
      <c r="C419" s="6">
        <v>216.16999799999999</v>
      </c>
      <c r="D419" s="6">
        <v>41.985000999999997</v>
      </c>
      <c r="E419" s="6">
        <v>137.300003</v>
      </c>
      <c r="F419" s="6">
        <v>89.139999000000003</v>
      </c>
      <c r="G419" s="6">
        <v>34.619999</v>
      </c>
      <c r="H419" s="6">
        <v>111.230003</v>
      </c>
      <c r="I419" s="6">
        <v>147.83000200000001</v>
      </c>
      <c r="J419" s="6">
        <v>18.129999000000002</v>
      </c>
      <c r="K419" s="6">
        <v>22.860001</v>
      </c>
      <c r="N419" s="19">
        <v>415</v>
      </c>
      <c r="O419" s="1">
        <v>44068</v>
      </c>
      <c r="P419" s="5">
        <f t="shared" si="166"/>
        <v>1.6925044985996854E-2</v>
      </c>
      <c r="Q419" s="5">
        <f t="shared" si="167"/>
        <v>1.1164436515095169E-2</v>
      </c>
      <c r="R419" s="5">
        <f t="shared" si="168"/>
        <v>3.3400960710014368E-3</v>
      </c>
      <c r="S419" s="5">
        <f t="shared" si="169"/>
        <v>-2.4732390400609636E-3</v>
      </c>
      <c r="T419" s="5">
        <f t="shared" si="170"/>
        <v>1.1054765523447346E-2</v>
      </c>
      <c r="U419" s="5">
        <f t="shared" si="171"/>
        <v>2.6030384214491531E-3</v>
      </c>
      <c r="V419" s="5">
        <f t="shared" si="172"/>
        <v>1.7997305154789714E-3</v>
      </c>
      <c r="W419" s="5">
        <f t="shared" si="173"/>
        <v>-9.6267397625956694E-3</v>
      </c>
      <c r="X419" s="5">
        <f t="shared" si="174"/>
        <v>-1.0971092242053313E-2</v>
      </c>
      <c r="Y419" s="5">
        <f t="shared" si="175"/>
        <v>2.1897096553207198E-3</v>
      </c>
      <c r="Z419" s="33">
        <v>415</v>
      </c>
      <c r="AE419" s="20" t="str">
        <f t="shared" si="176"/>
        <v/>
      </c>
      <c r="AF419" s="22" t="str">
        <f t="shared" si="177"/>
        <v/>
      </c>
      <c r="AG419" s="9" t="str">
        <f t="shared" ca="1" si="156"/>
        <v/>
      </c>
      <c r="AH419" s="9" t="str">
        <f t="shared" ca="1" si="157"/>
        <v/>
      </c>
      <c r="AI419" s="9" t="str">
        <f t="shared" ca="1" si="158"/>
        <v/>
      </c>
      <c r="AJ419" s="9" t="str">
        <f t="shared" ca="1" si="159"/>
        <v/>
      </c>
      <c r="AK419" s="9" t="str">
        <f t="shared" ca="1" si="160"/>
        <v/>
      </c>
      <c r="AL419" s="9" t="str">
        <f t="shared" ca="1" si="161"/>
        <v/>
      </c>
      <c r="AM419" s="9" t="str">
        <f t="shared" ca="1" si="162"/>
        <v/>
      </c>
      <c r="AN419" s="9" t="str">
        <f t="shared" ca="1" si="163"/>
        <v/>
      </c>
      <c r="AO419" s="9" t="str">
        <f t="shared" ca="1" si="164"/>
        <v/>
      </c>
      <c r="AP419" s="9" t="str">
        <f t="shared" ca="1" si="165"/>
        <v/>
      </c>
      <c r="AQ419" s="9"/>
      <c r="AR419" s="9"/>
      <c r="AS419" s="9"/>
      <c r="AT419" s="9"/>
      <c r="AU419" s="9"/>
    </row>
    <row r="420" spans="1:47" x14ac:dyDescent="0.3">
      <c r="A420" s="1">
        <v>44069</v>
      </c>
      <c r="B420" s="6">
        <v>528.48999000000003</v>
      </c>
      <c r="C420" s="6">
        <v>219.770004</v>
      </c>
      <c r="D420" s="6">
        <v>41.985000999999997</v>
      </c>
      <c r="E420" s="6">
        <v>138.470001</v>
      </c>
      <c r="F420" s="6">
        <v>86.730002999999996</v>
      </c>
      <c r="G420" s="6">
        <v>33.790000999999997</v>
      </c>
      <c r="H420" s="6">
        <v>111.480003</v>
      </c>
      <c r="I420" s="6">
        <v>147.21000699999999</v>
      </c>
      <c r="J420" s="6">
        <v>17.91</v>
      </c>
      <c r="K420" s="6">
        <v>22.77</v>
      </c>
      <c r="N420" s="18">
        <v>416</v>
      </c>
      <c r="O420" s="1">
        <v>44069</v>
      </c>
      <c r="P420" s="5">
        <f t="shared" si="166"/>
        <v>8.7050937134963993E-2</v>
      </c>
      <c r="Q420" s="5">
        <f t="shared" si="167"/>
        <v>1.6516437220981995E-2</v>
      </c>
      <c r="R420" s="5">
        <f t="shared" si="168"/>
        <v>0</v>
      </c>
      <c r="S420" s="5">
        <f t="shared" si="169"/>
        <v>8.48536826451474E-3</v>
      </c>
      <c r="T420" s="5">
        <f t="shared" si="170"/>
        <v>-2.7408277013630425E-2</v>
      </c>
      <c r="U420" s="5">
        <f t="shared" si="171"/>
        <v>-2.4266590542272537E-2</v>
      </c>
      <c r="V420" s="5">
        <f t="shared" si="172"/>
        <v>2.245072949325369E-3</v>
      </c>
      <c r="W420" s="5">
        <f t="shared" si="173"/>
        <v>-4.2027921210141131E-3</v>
      </c>
      <c r="X420" s="5">
        <f t="shared" si="174"/>
        <v>-1.220875353693983E-2</v>
      </c>
      <c r="Y420" s="5">
        <f t="shared" si="175"/>
        <v>-3.9448220355473964E-3</v>
      </c>
      <c r="Z420" s="33">
        <v>416</v>
      </c>
      <c r="AE420" s="20" t="str">
        <f t="shared" si="176"/>
        <v/>
      </c>
      <c r="AF420" s="22" t="str">
        <f t="shared" si="177"/>
        <v/>
      </c>
      <c r="AG420" s="9" t="str">
        <f t="shared" ca="1" si="156"/>
        <v/>
      </c>
      <c r="AH420" s="9" t="str">
        <f t="shared" ca="1" si="157"/>
        <v/>
      </c>
      <c r="AI420" s="9" t="str">
        <f t="shared" ca="1" si="158"/>
        <v/>
      </c>
      <c r="AJ420" s="9" t="str">
        <f t="shared" ca="1" si="159"/>
        <v/>
      </c>
      <c r="AK420" s="9" t="str">
        <f t="shared" ca="1" si="160"/>
        <v/>
      </c>
      <c r="AL420" s="9" t="str">
        <f t="shared" ca="1" si="161"/>
        <v/>
      </c>
      <c r="AM420" s="9" t="str">
        <f t="shared" ca="1" si="162"/>
        <v/>
      </c>
      <c r="AN420" s="9" t="str">
        <f t="shared" ca="1" si="163"/>
        <v/>
      </c>
      <c r="AO420" s="9" t="str">
        <f t="shared" ca="1" si="164"/>
        <v/>
      </c>
      <c r="AP420" s="9" t="str">
        <f t="shared" ca="1" si="165"/>
        <v/>
      </c>
      <c r="AQ420" s="9"/>
      <c r="AR420" s="9"/>
      <c r="AS420" s="9"/>
      <c r="AT420" s="9"/>
      <c r="AU420" s="9"/>
    </row>
    <row r="421" spans="1:47" x14ac:dyDescent="0.3">
      <c r="A421" s="1">
        <v>44070</v>
      </c>
      <c r="B421" s="6">
        <v>510.32000699999998</v>
      </c>
      <c r="C421" s="6">
        <v>217.16999799999999</v>
      </c>
      <c r="D421" s="6">
        <v>41.669998</v>
      </c>
      <c r="E421" s="6">
        <v>138.39999399999999</v>
      </c>
      <c r="F421" s="6">
        <v>89.669998000000007</v>
      </c>
      <c r="G421" s="6">
        <v>34.93</v>
      </c>
      <c r="H421" s="6">
        <v>111.519997</v>
      </c>
      <c r="I421" s="6">
        <v>147.61999499999999</v>
      </c>
      <c r="J421" s="6">
        <v>18.399999999999999</v>
      </c>
      <c r="K421" s="6">
        <v>22.860001</v>
      </c>
      <c r="N421" s="19">
        <v>417</v>
      </c>
      <c r="O421" s="1">
        <v>44070</v>
      </c>
      <c r="P421" s="5">
        <f t="shared" si="166"/>
        <v>-3.4985871082986585E-2</v>
      </c>
      <c r="Q421" s="5">
        <f t="shared" si="167"/>
        <v>-1.1901115375181086E-2</v>
      </c>
      <c r="R421" s="5">
        <f t="shared" si="168"/>
        <v>-7.5310380153557873E-3</v>
      </c>
      <c r="S421" s="5">
        <f t="shared" si="169"/>
        <v>-5.0570305743637101E-4</v>
      </c>
      <c r="T421" s="5">
        <f t="shared" si="170"/>
        <v>3.3336363373481476E-2</v>
      </c>
      <c r="U421" s="5">
        <f t="shared" si="171"/>
        <v>3.3181128497987974E-2</v>
      </c>
      <c r="V421" s="5">
        <f t="shared" si="172"/>
        <v>3.5869058680540754E-4</v>
      </c>
      <c r="W421" s="5">
        <f t="shared" si="173"/>
        <v>2.7811841501184952E-3</v>
      </c>
      <c r="X421" s="5">
        <f t="shared" si="174"/>
        <v>2.6991448542319364E-2</v>
      </c>
      <c r="Y421" s="5">
        <f t="shared" si="175"/>
        <v>3.9448220355473235E-3</v>
      </c>
      <c r="Z421" s="33">
        <v>417</v>
      </c>
      <c r="AE421" s="20" t="str">
        <f t="shared" si="176"/>
        <v/>
      </c>
      <c r="AF421" s="22" t="str">
        <f t="shared" si="177"/>
        <v/>
      </c>
      <c r="AG421" s="9" t="str">
        <f t="shared" ca="1" si="156"/>
        <v/>
      </c>
      <c r="AH421" s="9" t="str">
        <f t="shared" ca="1" si="157"/>
        <v/>
      </c>
      <c r="AI421" s="9" t="str">
        <f t="shared" ca="1" si="158"/>
        <v/>
      </c>
      <c r="AJ421" s="9" t="str">
        <f t="shared" ca="1" si="159"/>
        <v/>
      </c>
      <c r="AK421" s="9" t="str">
        <f t="shared" ca="1" si="160"/>
        <v/>
      </c>
      <c r="AL421" s="9" t="str">
        <f t="shared" ca="1" si="161"/>
        <v/>
      </c>
      <c r="AM421" s="9" t="str">
        <f t="shared" ca="1" si="162"/>
        <v/>
      </c>
      <c r="AN421" s="9" t="str">
        <f t="shared" ca="1" si="163"/>
        <v/>
      </c>
      <c r="AO421" s="9" t="str">
        <f t="shared" ca="1" si="164"/>
        <v/>
      </c>
      <c r="AP421" s="9" t="str">
        <f t="shared" ca="1" si="165"/>
        <v/>
      </c>
      <c r="AQ421" s="9"/>
      <c r="AR421" s="9"/>
      <c r="AS421" s="9"/>
      <c r="AT421" s="9"/>
      <c r="AU421" s="9"/>
    </row>
    <row r="422" spans="1:47" x14ac:dyDescent="0.3">
      <c r="A422" s="1">
        <v>44071</v>
      </c>
      <c r="B422" s="6">
        <v>516.44000200000005</v>
      </c>
      <c r="C422" s="6">
        <v>219.490005</v>
      </c>
      <c r="D422" s="6">
        <v>42.27</v>
      </c>
      <c r="E422" s="6">
        <v>139.94000199999999</v>
      </c>
      <c r="F422" s="6">
        <v>91.080001999999993</v>
      </c>
      <c r="G422" s="6">
        <v>35.090000000000003</v>
      </c>
      <c r="H422" s="6">
        <v>111.379997</v>
      </c>
      <c r="I422" s="6">
        <v>150.33999600000001</v>
      </c>
      <c r="J422" s="6">
        <v>18.540001</v>
      </c>
      <c r="K422" s="6">
        <v>22.879999000000002</v>
      </c>
      <c r="N422" s="18">
        <v>418</v>
      </c>
      <c r="O422" s="1">
        <v>44071</v>
      </c>
      <c r="P422" s="5">
        <f t="shared" si="166"/>
        <v>1.1921125528601488E-2</v>
      </c>
      <c r="Q422" s="5">
        <f t="shared" si="167"/>
        <v>1.062624840716082E-2</v>
      </c>
      <c r="R422" s="5">
        <f t="shared" si="168"/>
        <v>1.4296217140498084E-2</v>
      </c>
      <c r="S422" s="5">
        <f t="shared" si="169"/>
        <v>1.1065773778622936E-2</v>
      </c>
      <c r="T422" s="5">
        <f t="shared" si="170"/>
        <v>1.5602020494303816E-2</v>
      </c>
      <c r="U422" s="5">
        <f t="shared" si="171"/>
        <v>4.5701307763832758E-3</v>
      </c>
      <c r="V422" s="5">
        <f t="shared" si="172"/>
        <v>-1.2561688845046097E-3</v>
      </c>
      <c r="W422" s="5">
        <f t="shared" si="173"/>
        <v>1.8257998671807177E-2</v>
      </c>
      <c r="X422" s="5">
        <f t="shared" si="174"/>
        <v>7.5799494602004462E-3</v>
      </c>
      <c r="Y422" s="5">
        <f t="shared" si="175"/>
        <v>8.7442069410705232E-4</v>
      </c>
      <c r="Z422" s="33">
        <v>418</v>
      </c>
      <c r="AE422" s="20" t="str">
        <f t="shared" si="176"/>
        <v/>
      </c>
      <c r="AF422" s="22" t="str">
        <f t="shared" si="177"/>
        <v/>
      </c>
      <c r="AG422" s="9" t="str">
        <f t="shared" ca="1" si="156"/>
        <v/>
      </c>
      <c r="AH422" s="9" t="str">
        <f t="shared" ca="1" si="157"/>
        <v/>
      </c>
      <c r="AI422" s="9" t="str">
        <f t="shared" ca="1" si="158"/>
        <v/>
      </c>
      <c r="AJ422" s="9" t="str">
        <f t="shared" ca="1" si="159"/>
        <v/>
      </c>
      <c r="AK422" s="9" t="str">
        <f t="shared" ca="1" si="160"/>
        <v/>
      </c>
      <c r="AL422" s="9" t="str">
        <f t="shared" ca="1" si="161"/>
        <v/>
      </c>
      <c r="AM422" s="9" t="str">
        <f t="shared" ca="1" si="162"/>
        <v/>
      </c>
      <c r="AN422" s="9" t="str">
        <f t="shared" ca="1" si="163"/>
        <v/>
      </c>
      <c r="AO422" s="9" t="str">
        <f t="shared" ca="1" si="164"/>
        <v/>
      </c>
      <c r="AP422" s="9" t="str">
        <f t="shared" ca="1" si="165"/>
        <v/>
      </c>
      <c r="AQ422" s="9"/>
      <c r="AR422" s="9"/>
      <c r="AS422" s="9"/>
      <c r="AT422" s="9"/>
      <c r="AU422" s="9"/>
    </row>
    <row r="423" spans="1:47" x14ac:dyDescent="0.3">
      <c r="A423" s="1">
        <v>44074</v>
      </c>
      <c r="B423" s="6">
        <v>513.39001499999995</v>
      </c>
      <c r="C423" s="6">
        <v>221.300003</v>
      </c>
      <c r="D423" s="6">
        <v>41.93</v>
      </c>
      <c r="E423" s="6">
        <v>140.05999800000001</v>
      </c>
      <c r="F423" s="6">
        <v>90.940002000000007</v>
      </c>
      <c r="G423" s="6">
        <v>34.810001</v>
      </c>
      <c r="H423" s="6">
        <v>109.839996</v>
      </c>
      <c r="I423" s="6">
        <v>148.270004</v>
      </c>
      <c r="J423" s="6">
        <v>17.760000000000002</v>
      </c>
      <c r="K423" s="6">
        <v>22.07</v>
      </c>
      <c r="N423" s="19">
        <v>419</v>
      </c>
      <c r="O423" s="1">
        <v>44074</v>
      </c>
      <c r="P423" s="5">
        <f t="shared" si="166"/>
        <v>-5.9232997041611711E-3</v>
      </c>
      <c r="Q423" s="5">
        <f t="shared" si="167"/>
        <v>8.2125644423170479E-3</v>
      </c>
      <c r="R423" s="5">
        <f t="shared" si="168"/>
        <v>-8.0760533960273148E-3</v>
      </c>
      <c r="S423" s="5">
        <f t="shared" si="169"/>
        <v>8.5711433818727882E-4</v>
      </c>
      <c r="T423" s="5">
        <f t="shared" si="170"/>
        <v>-1.5382927648692599E-3</v>
      </c>
      <c r="U423" s="5">
        <f t="shared" si="171"/>
        <v>-8.0114590443995295E-3</v>
      </c>
      <c r="V423" s="5">
        <f t="shared" si="172"/>
        <v>-1.3923026183595482E-2</v>
      </c>
      <c r="W423" s="5">
        <f t="shared" si="173"/>
        <v>-1.3864406135218516E-2</v>
      </c>
      <c r="X423" s="5">
        <f t="shared" si="174"/>
        <v>-4.298187651111611E-2</v>
      </c>
      <c r="Y423" s="5">
        <f t="shared" si="175"/>
        <v>-3.6043902536657464E-2</v>
      </c>
      <c r="Z423" s="33">
        <v>419</v>
      </c>
      <c r="AE423" s="20" t="str">
        <f t="shared" si="176"/>
        <v/>
      </c>
      <c r="AF423" s="22" t="str">
        <f t="shared" si="177"/>
        <v/>
      </c>
      <c r="AG423" s="9" t="str">
        <f t="shared" ca="1" si="156"/>
        <v/>
      </c>
      <c r="AH423" s="9" t="str">
        <f t="shared" ca="1" si="157"/>
        <v/>
      </c>
      <c r="AI423" s="9" t="str">
        <f t="shared" ca="1" si="158"/>
        <v/>
      </c>
      <c r="AJ423" s="9" t="str">
        <f t="shared" ca="1" si="159"/>
        <v/>
      </c>
      <c r="AK423" s="9" t="str">
        <f t="shared" ca="1" si="160"/>
        <v/>
      </c>
      <c r="AL423" s="9" t="str">
        <f t="shared" ca="1" si="161"/>
        <v/>
      </c>
      <c r="AM423" s="9" t="str">
        <f t="shared" ca="1" si="162"/>
        <v/>
      </c>
      <c r="AN423" s="9" t="str">
        <f t="shared" ca="1" si="163"/>
        <v/>
      </c>
      <c r="AO423" s="9" t="str">
        <f t="shared" ca="1" si="164"/>
        <v/>
      </c>
      <c r="AP423" s="9" t="str">
        <f t="shared" ca="1" si="165"/>
        <v/>
      </c>
      <c r="AQ423" s="9"/>
      <c r="AR423" s="9"/>
      <c r="AS423" s="9"/>
      <c r="AT423" s="9"/>
      <c r="AU423" s="9"/>
    </row>
    <row r="424" spans="1:47" x14ac:dyDescent="0.3">
      <c r="A424" s="1">
        <v>44075</v>
      </c>
      <c r="B424" s="6">
        <v>527.95001200000002</v>
      </c>
      <c r="C424" s="6">
        <v>225.33999600000001</v>
      </c>
      <c r="D424" s="6">
        <v>42.419998</v>
      </c>
      <c r="E424" s="6">
        <v>139.19000199999999</v>
      </c>
      <c r="F424" s="6">
        <v>91</v>
      </c>
      <c r="G424" s="6">
        <v>34.599997999999999</v>
      </c>
      <c r="H424" s="6">
        <v>111.41999800000001</v>
      </c>
      <c r="I424" s="6">
        <v>151.33000200000001</v>
      </c>
      <c r="J424" s="6">
        <v>17.739999999999998</v>
      </c>
      <c r="K424" s="6">
        <v>21.42</v>
      </c>
      <c r="N424" s="18">
        <v>420</v>
      </c>
      <c r="O424" s="1">
        <v>44075</v>
      </c>
      <c r="P424" s="5">
        <f t="shared" si="166"/>
        <v>2.7965785506924915E-2</v>
      </c>
      <c r="Q424" s="5">
        <f t="shared" si="167"/>
        <v>1.8091094371803167E-2</v>
      </c>
      <c r="R424" s="5">
        <f t="shared" si="168"/>
        <v>1.1618340806292125E-2</v>
      </c>
      <c r="S424" s="5">
        <f t="shared" si="169"/>
        <v>-6.230967339619798E-3</v>
      </c>
      <c r="T424" s="5">
        <f t="shared" si="170"/>
        <v>6.5953612746323339E-4</v>
      </c>
      <c r="U424" s="5">
        <f t="shared" si="171"/>
        <v>-6.0511062905155939E-3</v>
      </c>
      <c r="V424" s="5">
        <f t="shared" si="172"/>
        <v>1.4282101599461741E-2</v>
      </c>
      <c r="W424" s="5">
        <f t="shared" si="173"/>
        <v>2.0427932907339776E-2</v>
      </c>
      <c r="X424" s="5">
        <f t="shared" si="174"/>
        <v>-1.1267606825907288E-3</v>
      </c>
      <c r="Y424" s="5">
        <f t="shared" si="175"/>
        <v>-2.9894155249042233E-2</v>
      </c>
      <c r="Z424" s="33">
        <v>420</v>
      </c>
      <c r="AE424" s="20" t="str">
        <f t="shared" si="176"/>
        <v/>
      </c>
      <c r="AF424" s="22" t="str">
        <f t="shared" si="177"/>
        <v/>
      </c>
      <c r="AG424" s="9" t="str">
        <f t="shared" ca="1" si="156"/>
        <v/>
      </c>
      <c r="AH424" s="9" t="str">
        <f t="shared" ca="1" si="157"/>
        <v/>
      </c>
      <c r="AI424" s="9" t="str">
        <f t="shared" ca="1" si="158"/>
        <v/>
      </c>
      <c r="AJ424" s="9" t="str">
        <f t="shared" ca="1" si="159"/>
        <v/>
      </c>
      <c r="AK424" s="9" t="str">
        <f t="shared" ca="1" si="160"/>
        <v/>
      </c>
      <c r="AL424" s="9" t="str">
        <f t="shared" ca="1" si="161"/>
        <v/>
      </c>
      <c r="AM424" s="9" t="str">
        <f t="shared" ca="1" si="162"/>
        <v/>
      </c>
      <c r="AN424" s="9" t="str">
        <f t="shared" ca="1" si="163"/>
        <v/>
      </c>
      <c r="AO424" s="9" t="str">
        <f t="shared" ca="1" si="164"/>
        <v/>
      </c>
      <c r="AP424" s="9" t="str">
        <f t="shared" ca="1" si="165"/>
        <v/>
      </c>
      <c r="AQ424" s="9"/>
      <c r="AR424" s="9"/>
      <c r="AS424" s="9"/>
      <c r="AT424" s="9"/>
      <c r="AU424" s="9"/>
    </row>
    <row r="425" spans="1:47" x14ac:dyDescent="0.3">
      <c r="A425" s="1">
        <v>44076</v>
      </c>
      <c r="B425" s="6">
        <v>533.79998799999998</v>
      </c>
      <c r="C425" s="6">
        <v>229.36000100000001</v>
      </c>
      <c r="D425" s="6">
        <v>43.264999000000003</v>
      </c>
      <c r="E425" s="6">
        <v>143.28999300000001</v>
      </c>
      <c r="F425" s="6">
        <v>91.790001000000004</v>
      </c>
      <c r="G425" s="6">
        <v>35.169998</v>
      </c>
      <c r="H425" s="6">
        <v>113.400002</v>
      </c>
      <c r="I425" s="6">
        <v>155.16000399999999</v>
      </c>
      <c r="J425" s="6">
        <v>17.950001</v>
      </c>
      <c r="K425" s="6">
        <v>21.809999000000001</v>
      </c>
      <c r="N425" s="19">
        <v>421</v>
      </c>
      <c r="O425" s="1">
        <v>44076</v>
      </c>
      <c r="P425" s="5">
        <f t="shared" si="166"/>
        <v>1.1019609508145551E-2</v>
      </c>
      <c r="Q425" s="5">
        <f t="shared" si="167"/>
        <v>1.7682470950006916E-2</v>
      </c>
      <c r="R425" s="5">
        <f t="shared" si="168"/>
        <v>1.9724068956367427E-2</v>
      </c>
      <c r="S425" s="5">
        <f t="shared" si="169"/>
        <v>2.9030579268374428E-2</v>
      </c>
      <c r="T425" s="5">
        <f t="shared" si="170"/>
        <v>8.6438636085824222E-3</v>
      </c>
      <c r="U425" s="5">
        <f t="shared" si="171"/>
        <v>1.6339765359033177E-2</v>
      </c>
      <c r="V425" s="5">
        <f t="shared" si="172"/>
        <v>1.7614582287765353E-2</v>
      </c>
      <c r="W425" s="5">
        <f t="shared" si="173"/>
        <v>2.4993972436521281E-2</v>
      </c>
      <c r="X425" s="5">
        <f t="shared" si="174"/>
        <v>1.1768193763159331E-2</v>
      </c>
      <c r="Y425" s="5">
        <f t="shared" si="175"/>
        <v>1.8043469343406681E-2</v>
      </c>
      <c r="Z425" s="33">
        <v>421</v>
      </c>
      <c r="AE425" s="20" t="str">
        <f t="shared" si="176"/>
        <v/>
      </c>
      <c r="AF425" s="22" t="str">
        <f t="shared" si="177"/>
        <v/>
      </c>
      <c r="AG425" s="9" t="str">
        <f t="shared" ca="1" si="156"/>
        <v/>
      </c>
      <c r="AH425" s="9" t="str">
        <f t="shared" ca="1" si="157"/>
        <v/>
      </c>
      <c r="AI425" s="9" t="str">
        <f t="shared" ca="1" si="158"/>
        <v/>
      </c>
      <c r="AJ425" s="9" t="str">
        <f t="shared" ca="1" si="159"/>
        <v/>
      </c>
      <c r="AK425" s="9" t="str">
        <f t="shared" ca="1" si="160"/>
        <v/>
      </c>
      <c r="AL425" s="9" t="str">
        <f t="shared" ca="1" si="161"/>
        <v/>
      </c>
      <c r="AM425" s="9" t="str">
        <f t="shared" ca="1" si="162"/>
        <v/>
      </c>
      <c r="AN425" s="9" t="str">
        <f t="shared" ca="1" si="163"/>
        <v/>
      </c>
      <c r="AO425" s="9" t="str">
        <f t="shared" ca="1" si="164"/>
        <v/>
      </c>
      <c r="AP425" s="9" t="str">
        <f t="shared" ca="1" si="165"/>
        <v/>
      </c>
      <c r="AQ425" s="9"/>
      <c r="AR425" s="9"/>
      <c r="AS425" s="9"/>
      <c r="AT425" s="9"/>
      <c r="AU425" s="9"/>
    </row>
    <row r="426" spans="1:47" x14ac:dyDescent="0.3">
      <c r="A426" s="1">
        <v>44077</v>
      </c>
      <c r="B426" s="6">
        <v>507.79998799999998</v>
      </c>
      <c r="C426" s="6">
        <v>214.78999300000001</v>
      </c>
      <c r="D426" s="6">
        <v>41.349997999999999</v>
      </c>
      <c r="E426" s="6">
        <v>139.36999499999999</v>
      </c>
      <c r="F426" s="6">
        <v>92.150002000000001</v>
      </c>
      <c r="G426" s="6">
        <v>35.139999000000003</v>
      </c>
      <c r="H426" s="6">
        <v>109.75</v>
      </c>
      <c r="I426" s="6">
        <v>151.300003</v>
      </c>
      <c r="J426" s="6">
        <v>17.860001</v>
      </c>
      <c r="K426" s="6">
        <v>21.639999</v>
      </c>
      <c r="N426" s="18">
        <v>422</v>
      </c>
      <c r="O426" s="1">
        <v>44077</v>
      </c>
      <c r="P426" s="5">
        <f t="shared" si="166"/>
        <v>-4.9933568850866895E-2</v>
      </c>
      <c r="Q426" s="5">
        <f t="shared" si="167"/>
        <v>-6.5632051908872766E-2</v>
      </c>
      <c r="R426" s="5">
        <f t="shared" si="168"/>
        <v>-4.5271597843225424E-2</v>
      </c>
      <c r="S426" s="5">
        <f t="shared" si="169"/>
        <v>-2.7738268620840764E-2</v>
      </c>
      <c r="T426" s="5">
        <f t="shared" si="170"/>
        <v>3.9143356941434837E-3</v>
      </c>
      <c r="U426" s="5">
        <f t="shared" si="171"/>
        <v>-8.5333531788906846E-4</v>
      </c>
      <c r="V426" s="5">
        <f t="shared" si="172"/>
        <v>-3.2716356975055129E-2</v>
      </c>
      <c r="W426" s="5">
        <f t="shared" si="173"/>
        <v>-2.5192227729140086E-2</v>
      </c>
      <c r="X426" s="5">
        <f t="shared" si="174"/>
        <v>-5.0265392051998693E-3</v>
      </c>
      <c r="Y426" s="5">
        <f t="shared" si="175"/>
        <v>-7.8251265954506679E-3</v>
      </c>
      <c r="Z426" s="33">
        <v>422</v>
      </c>
      <c r="AE426" s="20" t="str">
        <f t="shared" si="176"/>
        <v/>
      </c>
      <c r="AF426" s="22" t="str">
        <f t="shared" si="177"/>
        <v/>
      </c>
      <c r="AG426" s="9" t="str">
        <f t="shared" ca="1" si="156"/>
        <v/>
      </c>
      <c r="AH426" s="9" t="str">
        <f t="shared" ca="1" si="157"/>
        <v/>
      </c>
      <c r="AI426" s="9" t="str">
        <f t="shared" ca="1" si="158"/>
        <v/>
      </c>
      <c r="AJ426" s="9" t="str">
        <f t="shared" ca="1" si="159"/>
        <v/>
      </c>
      <c r="AK426" s="9" t="str">
        <f t="shared" ca="1" si="160"/>
        <v/>
      </c>
      <c r="AL426" s="9" t="str">
        <f t="shared" ca="1" si="161"/>
        <v/>
      </c>
      <c r="AM426" s="9" t="str">
        <f t="shared" ca="1" si="162"/>
        <v/>
      </c>
      <c r="AN426" s="9" t="str">
        <f t="shared" ca="1" si="163"/>
        <v/>
      </c>
      <c r="AO426" s="9" t="str">
        <f t="shared" ca="1" si="164"/>
        <v/>
      </c>
      <c r="AP426" s="9" t="str">
        <f t="shared" ca="1" si="165"/>
        <v/>
      </c>
      <c r="AQ426" s="9"/>
      <c r="AR426" s="9"/>
      <c r="AS426" s="9"/>
      <c r="AT426" s="9"/>
      <c r="AU426" s="9"/>
    </row>
    <row r="427" spans="1:47" x14ac:dyDescent="0.3">
      <c r="A427" s="1">
        <v>44078</v>
      </c>
      <c r="B427" s="6">
        <v>491.94000199999999</v>
      </c>
      <c r="C427" s="6">
        <v>208.979996</v>
      </c>
      <c r="D427" s="6">
        <v>41.134998000000003</v>
      </c>
      <c r="E427" s="6">
        <v>138.759995</v>
      </c>
      <c r="F427" s="6">
        <v>93.190002000000007</v>
      </c>
      <c r="G427" s="6">
        <v>35.310001</v>
      </c>
      <c r="H427" s="6">
        <v>109.620003</v>
      </c>
      <c r="I427" s="6">
        <v>151.220001</v>
      </c>
      <c r="J427" s="6">
        <v>17.84</v>
      </c>
      <c r="K427" s="6">
        <v>22.809999000000001</v>
      </c>
      <c r="N427" s="19">
        <v>423</v>
      </c>
      <c r="O427" s="1">
        <v>44078</v>
      </c>
      <c r="P427" s="5">
        <f t="shared" si="166"/>
        <v>-3.1730883737549037E-2</v>
      </c>
      <c r="Q427" s="5">
        <f t="shared" si="167"/>
        <v>-2.7422239560822785E-2</v>
      </c>
      <c r="R427" s="5">
        <f t="shared" si="168"/>
        <v>-5.2130811016091088E-3</v>
      </c>
      <c r="S427" s="5">
        <f t="shared" si="169"/>
        <v>-4.3864451875817055E-3</v>
      </c>
      <c r="T427" s="5">
        <f t="shared" si="170"/>
        <v>1.122273543951832E-2</v>
      </c>
      <c r="U427" s="5">
        <f t="shared" si="171"/>
        <v>4.8261839595311303E-3</v>
      </c>
      <c r="V427" s="5">
        <f t="shared" si="172"/>
        <v>-1.1851849700420709E-3</v>
      </c>
      <c r="W427" s="5">
        <f t="shared" si="173"/>
        <v>-5.2890387946036321E-4</v>
      </c>
      <c r="X427" s="5">
        <f t="shared" si="174"/>
        <v>-1.1205042875296212E-3</v>
      </c>
      <c r="Y427" s="5">
        <f t="shared" si="175"/>
        <v>5.2655584688316028E-2</v>
      </c>
      <c r="Z427" s="33">
        <v>423</v>
      </c>
      <c r="AE427" s="20" t="str">
        <f t="shared" si="176"/>
        <v/>
      </c>
      <c r="AF427" s="22" t="str">
        <f t="shared" si="177"/>
        <v/>
      </c>
      <c r="AG427" s="9" t="str">
        <f t="shared" ca="1" si="156"/>
        <v/>
      </c>
      <c r="AH427" s="9" t="str">
        <f t="shared" ca="1" si="157"/>
        <v/>
      </c>
      <c r="AI427" s="9" t="str">
        <f t="shared" ca="1" si="158"/>
        <v/>
      </c>
      <c r="AJ427" s="9" t="str">
        <f t="shared" ca="1" si="159"/>
        <v/>
      </c>
      <c r="AK427" s="9" t="str">
        <f t="shared" ca="1" si="160"/>
        <v/>
      </c>
      <c r="AL427" s="9" t="str">
        <f t="shared" ca="1" si="161"/>
        <v/>
      </c>
      <c r="AM427" s="9" t="str">
        <f t="shared" ca="1" si="162"/>
        <v/>
      </c>
      <c r="AN427" s="9" t="str">
        <f t="shared" ca="1" si="163"/>
        <v/>
      </c>
      <c r="AO427" s="9" t="str">
        <f t="shared" ca="1" si="164"/>
        <v/>
      </c>
      <c r="AP427" s="9" t="str">
        <f t="shared" ca="1" si="165"/>
        <v/>
      </c>
      <c r="AQ427" s="9"/>
      <c r="AR427" s="9"/>
      <c r="AS427" s="9"/>
      <c r="AT427" s="9"/>
      <c r="AU427" s="9"/>
    </row>
    <row r="428" spans="1:47" x14ac:dyDescent="0.3">
      <c r="A428" s="1">
        <v>44082</v>
      </c>
      <c r="B428" s="6">
        <v>462.13000499999998</v>
      </c>
      <c r="C428" s="6">
        <v>198.990005</v>
      </c>
      <c r="D428" s="6">
        <v>40.049999</v>
      </c>
      <c r="E428" s="6">
        <v>135.550003</v>
      </c>
      <c r="F428" s="6">
        <v>91.040001000000004</v>
      </c>
      <c r="G428" s="6">
        <v>34.619999</v>
      </c>
      <c r="H428" s="6">
        <v>108.139999</v>
      </c>
      <c r="I428" s="6">
        <v>147.66999799999999</v>
      </c>
      <c r="J428" s="6">
        <v>17.469999000000001</v>
      </c>
      <c r="K428" s="6">
        <v>22.5</v>
      </c>
      <c r="N428" s="18">
        <v>424</v>
      </c>
      <c r="O428" s="1">
        <v>44082</v>
      </c>
      <c r="P428" s="5">
        <f t="shared" si="166"/>
        <v>-6.2510514300500766E-2</v>
      </c>
      <c r="Q428" s="5">
        <f t="shared" si="167"/>
        <v>-4.8983937132912207E-2</v>
      </c>
      <c r="R428" s="5">
        <f t="shared" si="168"/>
        <v>-2.6730643454917394E-2</v>
      </c>
      <c r="S428" s="5">
        <f t="shared" si="169"/>
        <v>-2.3405187991380399E-2</v>
      </c>
      <c r="T428" s="5">
        <f t="shared" si="170"/>
        <v>-2.3341459896890654E-2</v>
      </c>
      <c r="U428" s="5">
        <f t="shared" si="171"/>
        <v>-1.9734717397858436E-2</v>
      </c>
      <c r="V428" s="5">
        <f t="shared" si="172"/>
        <v>-1.3593192278651921E-2</v>
      </c>
      <c r="W428" s="5">
        <f t="shared" si="173"/>
        <v>-2.3755695801035533E-2</v>
      </c>
      <c r="X428" s="5">
        <f t="shared" si="174"/>
        <v>-2.0958060246884212E-2</v>
      </c>
      <c r="Y428" s="5">
        <f t="shared" si="175"/>
        <v>-1.3683683245500488E-2</v>
      </c>
      <c r="Z428" s="33">
        <v>424</v>
      </c>
      <c r="AE428" s="20" t="str">
        <f t="shared" si="176"/>
        <v/>
      </c>
      <c r="AF428" s="22" t="str">
        <f t="shared" si="177"/>
        <v/>
      </c>
      <c r="AG428" s="9" t="str">
        <f t="shared" ca="1" si="156"/>
        <v/>
      </c>
      <c r="AH428" s="9" t="str">
        <f t="shared" ca="1" si="157"/>
        <v/>
      </c>
      <c r="AI428" s="9" t="str">
        <f t="shared" ca="1" si="158"/>
        <v/>
      </c>
      <c r="AJ428" s="9" t="str">
        <f t="shared" ca="1" si="159"/>
        <v/>
      </c>
      <c r="AK428" s="9" t="str">
        <f t="shared" ca="1" si="160"/>
        <v/>
      </c>
      <c r="AL428" s="9" t="str">
        <f t="shared" ca="1" si="161"/>
        <v/>
      </c>
      <c r="AM428" s="9" t="str">
        <f t="shared" ca="1" si="162"/>
        <v/>
      </c>
      <c r="AN428" s="9" t="str">
        <f t="shared" ca="1" si="163"/>
        <v/>
      </c>
      <c r="AO428" s="9" t="str">
        <f t="shared" ca="1" si="164"/>
        <v/>
      </c>
      <c r="AP428" s="9" t="str">
        <f t="shared" ca="1" si="165"/>
        <v/>
      </c>
      <c r="AQ428" s="9"/>
      <c r="AR428" s="9"/>
      <c r="AS428" s="9"/>
      <c r="AT428" s="9"/>
      <c r="AU428" s="9"/>
    </row>
    <row r="429" spans="1:47" x14ac:dyDescent="0.3">
      <c r="A429" s="1">
        <v>44083</v>
      </c>
      <c r="B429" s="6">
        <v>479.459991</v>
      </c>
      <c r="C429" s="6">
        <v>205.33000200000001</v>
      </c>
      <c r="D429" s="6">
        <v>41.369999</v>
      </c>
      <c r="E429" s="6">
        <v>137.11000100000001</v>
      </c>
      <c r="F429" s="6">
        <v>91.440002000000007</v>
      </c>
      <c r="G429" s="6">
        <v>34.450001</v>
      </c>
      <c r="H429" s="6">
        <v>111.510002</v>
      </c>
      <c r="I429" s="6">
        <v>150.449997</v>
      </c>
      <c r="J429" s="6">
        <v>17.200001</v>
      </c>
      <c r="K429" s="6">
        <v>23.059999000000001</v>
      </c>
      <c r="N429" s="19">
        <v>425</v>
      </c>
      <c r="O429" s="1">
        <v>44083</v>
      </c>
      <c r="P429" s="5">
        <f t="shared" si="166"/>
        <v>3.6814204242131776E-2</v>
      </c>
      <c r="Q429" s="5">
        <f t="shared" si="167"/>
        <v>3.136385337536049E-2</v>
      </c>
      <c r="R429" s="5">
        <f t="shared" si="168"/>
        <v>3.2427307755635564E-2</v>
      </c>
      <c r="S429" s="5">
        <f t="shared" si="169"/>
        <v>1.1442932585248762E-2</v>
      </c>
      <c r="T429" s="5">
        <f t="shared" si="170"/>
        <v>4.3840599966174362E-3</v>
      </c>
      <c r="U429" s="5">
        <f t="shared" si="171"/>
        <v>-4.9224943757818843E-3</v>
      </c>
      <c r="V429" s="5">
        <f t="shared" si="172"/>
        <v>3.0687616206294632E-2</v>
      </c>
      <c r="W429" s="5">
        <f t="shared" si="173"/>
        <v>1.8650742193904491E-2</v>
      </c>
      <c r="X429" s="5">
        <f t="shared" si="174"/>
        <v>-1.5575624946038496E-2</v>
      </c>
      <c r="Y429" s="5">
        <f t="shared" si="175"/>
        <v>2.4584162265403095E-2</v>
      </c>
      <c r="Z429" s="33">
        <v>425</v>
      </c>
      <c r="AE429" s="20" t="str">
        <f t="shared" si="176"/>
        <v/>
      </c>
      <c r="AF429" s="22" t="str">
        <f t="shared" si="177"/>
        <v/>
      </c>
      <c r="AG429" s="9" t="str">
        <f t="shared" ca="1" si="156"/>
        <v/>
      </c>
      <c r="AH429" s="9" t="str">
        <f t="shared" ca="1" si="157"/>
        <v/>
      </c>
      <c r="AI429" s="9" t="str">
        <f t="shared" ca="1" si="158"/>
        <v/>
      </c>
      <c r="AJ429" s="9" t="str">
        <f t="shared" ca="1" si="159"/>
        <v/>
      </c>
      <c r="AK429" s="9" t="str">
        <f t="shared" ca="1" si="160"/>
        <v/>
      </c>
      <c r="AL429" s="9" t="str">
        <f t="shared" ca="1" si="161"/>
        <v/>
      </c>
      <c r="AM429" s="9" t="str">
        <f t="shared" ca="1" si="162"/>
        <v/>
      </c>
      <c r="AN429" s="9" t="str">
        <f t="shared" ca="1" si="163"/>
        <v/>
      </c>
      <c r="AO429" s="9" t="str">
        <f t="shared" ca="1" si="164"/>
        <v/>
      </c>
      <c r="AP429" s="9" t="str">
        <f t="shared" ca="1" si="165"/>
        <v/>
      </c>
      <c r="AQ429" s="9"/>
      <c r="AR429" s="9"/>
      <c r="AS429" s="9"/>
      <c r="AT429" s="9"/>
      <c r="AU429" s="9"/>
    </row>
    <row r="430" spans="1:47" x14ac:dyDescent="0.3">
      <c r="A430" s="1">
        <v>44084</v>
      </c>
      <c r="B430" s="6">
        <v>476.26001000000002</v>
      </c>
      <c r="C430" s="6">
        <v>203.279999</v>
      </c>
      <c r="D430" s="6">
        <v>40.889999000000003</v>
      </c>
      <c r="E430" s="6">
        <v>134.759995</v>
      </c>
      <c r="F430" s="6">
        <v>90.440002000000007</v>
      </c>
      <c r="G430" s="6">
        <v>34.200001</v>
      </c>
      <c r="H430" s="6">
        <v>110.879997</v>
      </c>
      <c r="I430" s="6">
        <v>147.71000699999999</v>
      </c>
      <c r="J430" s="6">
        <v>16.940000999999999</v>
      </c>
      <c r="K430" s="6">
        <v>23.450001</v>
      </c>
      <c r="N430" s="18">
        <v>426</v>
      </c>
      <c r="O430" s="1">
        <v>44084</v>
      </c>
      <c r="P430" s="5">
        <f t="shared" si="166"/>
        <v>-6.6965072505775223E-3</v>
      </c>
      <c r="Q430" s="5">
        <f t="shared" si="167"/>
        <v>-1.0034116615239633E-2</v>
      </c>
      <c r="R430" s="5">
        <f t="shared" si="168"/>
        <v>-1.1670446380520944E-2</v>
      </c>
      <c r="S430" s="5">
        <f t="shared" si="169"/>
        <v>-1.7288149226624121E-2</v>
      </c>
      <c r="T430" s="5">
        <f t="shared" si="170"/>
        <v>-1.0996371834943255E-2</v>
      </c>
      <c r="U430" s="5">
        <f t="shared" si="171"/>
        <v>-7.2833531789182658E-3</v>
      </c>
      <c r="V430" s="5">
        <f t="shared" si="172"/>
        <v>-5.6657825275657665E-3</v>
      </c>
      <c r="W430" s="5">
        <f t="shared" si="173"/>
        <v>-1.8379843693210926E-2</v>
      </c>
      <c r="X430" s="5">
        <f t="shared" si="174"/>
        <v>-1.5231693703156789E-2</v>
      </c>
      <c r="Y430" s="5">
        <f t="shared" si="175"/>
        <v>1.6771066060433E-2</v>
      </c>
      <c r="Z430" s="33">
        <v>426</v>
      </c>
      <c r="AE430" s="20" t="str">
        <f t="shared" si="176"/>
        <v/>
      </c>
      <c r="AF430" s="22" t="str">
        <f t="shared" si="177"/>
        <v/>
      </c>
      <c r="AG430" s="9" t="str">
        <f t="shared" ca="1" si="156"/>
        <v/>
      </c>
      <c r="AH430" s="9" t="str">
        <f t="shared" ca="1" si="157"/>
        <v/>
      </c>
      <c r="AI430" s="9" t="str">
        <f t="shared" ca="1" si="158"/>
        <v/>
      </c>
      <c r="AJ430" s="9" t="str">
        <f t="shared" ca="1" si="159"/>
        <v/>
      </c>
      <c r="AK430" s="9" t="str">
        <f t="shared" ca="1" si="160"/>
        <v/>
      </c>
      <c r="AL430" s="9" t="str">
        <f t="shared" ca="1" si="161"/>
        <v/>
      </c>
      <c r="AM430" s="9" t="str">
        <f t="shared" ca="1" si="162"/>
        <v/>
      </c>
      <c r="AN430" s="9" t="str">
        <f t="shared" ca="1" si="163"/>
        <v/>
      </c>
      <c r="AO430" s="9" t="str">
        <f t="shared" ca="1" si="164"/>
        <v/>
      </c>
      <c r="AP430" s="9" t="str">
        <f t="shared" ca="1" si="165"/>
        <v/>
      </c>
      <c r="AQ430" s="9"/>
      <c r="AR430" s="9"/>
      <c r="AS430" s="9"/>
      <c r="AT430" s="9"/>
      <c r="AU430" s="9"/>
    </row>
    <row r="431" spans="1:47" x14ac:dyDescent="0.3">
      <c r="A431" s="1">
        <v>44085</v>
      </c>
      <c r="B431" s="6">
        <v>471.35000600000001</v>
      </c>
      <c r="C431" s="6">
        <v>200.240005</v>
      </c>
      <c r="D431" s="6">
        <v>40.669998</v>
      </c>
      <c r="E431" s="6">
        <v>135.80999800000001</v>
      </c>
      <c r="F431" s="6">
        <v>89.699996999999996</v>
      </c>
      <c r="G431" s="6">
        <v>33.659999999999997</v>
      </c>
      <c r="H431" s="6">
        <v>112.800003</v>
      </c>
      <c r="I431" s="6">
        <v>147.820007</v>
      </c>
      <c r="J431" s="6">
        <v>17.299999</v>
      </c>
      <c r="K431" s="6">
        <v>22.83</v>
      </c>
      <c r="N431" s="19">
        <v>427</v>
      </c>
      <c r="O431" s="1">
        <v>44085</v>
      </c>
      <c r="P431" s="5">
        <f t="shared" si="166"/>
        <v>-1.0363014021177704E-2</v>
      </c>
      <c r="Q431" s="5">
        <f t="shared" si="167"/>
        <v>-1.5067661999031123E-2</v>
      </c>
      <c r="R431" s="5">
        <f t="shared" si="168"/>
        <v>-5.394839177858558E-3</v>
      </c>
      <c r="S431" s="5">
        <f t="shared" si="169"/>
        <v>7.7614539541671843E-3</v>
      </c>
      <c r="T431" s="5">
        <f t="shared" si="170"/>
        <v>-8.2159339039439266E-3</v>
      </c>
      <c r="U431" s="5">
        <f t="shared" si="171"/>
        <v>-1.5915484545665305E-2</v>
      </c>
      <c r="V431" s="5">
        <f t="shared" si="172"/>
        <v>1.7167857274387254E-2</v>
      </c>
      <c r="W431" s="5">
        <f t="shared" si="173"/>
        <v>7.4442526896711567E-4</v>
      </c>
      <c r="X431" s="5">
        <f t="shared" si="174"/>
        <v>2.102869544447962E-2</v>
      </c>
      <c r="Y431" s="5">
        <f t="shared" si="175"/>
        <v>-2.6795076994506686E-2</v>
      </c>
      <c r="Z431" s="33">
        <v>427</v>
      </c>
      <c r="AE431" s="20" t="str">
        <f t="shared" si="176"/>
        <v/>
      </c>
      <c r="AF431" s="22" t="str">
        <f t="shared" si="177"/>
        <v/>
      </c>
      <c r="AG431" s="9" t="str">
        <f t="shared" ca="1" si="156"/>
        <v/>
      </c>
      <c r="AH431" s="9" t="str">
        <f t="shared" ca="1" si="157"/>
        <v/>
      </c>
      <c r="AI431" s="9" t="str">
        <f t="shared" ca="1" si="158"/>
        <v/>
      </c>
      <c r="AJ431" s="9" t="str">
        <f t="shared" ca="1" si="159"/>
        <v/>
      </c>
      <c r="AK431" s="9" t="str">
        <f t="shared" ca="1" si="160"/>
        <v/>
      </c>
      <c r="AL431" s="9" t="str">
        <f t="shared" ca="1" si="161"/>
        <v/>
      </c>
      <c r="AM431" s="9" t="str">
        <f t="shared" ca="1" si="162"/>
        <v/>
      </c>
      <c r="AN431" s="9" t="str">
        <f t="shared" ca="1" si="163"/>
        <v/>
      </c>
      <c r="AO431" s="9" t="str">
        <f t="shared" ca="1" si="164"/>
        <v/>
      </c>
      <c r="AP431" s="9" t="str">
        <f t="shared" ca="1" si="165"/>
        <v/>
      </c>
      <c r="AQ431" s="9"/>
      <c r="AR431" s="9"/>
      <c r="AS431" s="9"/>
      <c r="AT431" s="9"/>
      <c r="AU431" s="9"/>
    </row>
    <row r="432" spans="1:47" x14ac:dyDescent="0.3">
      <c r="A432" s="1">
        <v>44088</v>
      </c>
      <c r="B432" s="6">
        <v>485.91000400000001</v>
      </c>
      <c r="C432" s="6">
        <v>205.53999300000001</v>
      </c>
      <c r="D432" s="6">
        <v>41.445</v>
      </c>
      <c r="E432" s="6">
        <v>136.66999799999999</v>
      </c>
      <c r="F432" s="6">
        <v>93.199996999999996</v>
      </c>
      <c r="G432" s="6">
        <v>35.189999</v>
      </c>
      <c r="H432" s="6">
        <v>113.69000200000001</v>
      </c>
      <c r="I432" s="6">
        <v>152.83000200000001</v>
      </c>
      <c r="J432" s="6">
        <v>18.16</v>
      </c>
      <c r="K432" s="6">
        <v>23.77</v>
      </c>
      <c r="N432" s="18">
        <v>428</v>
      </c>
      <c r="O432" s="1">
        <v>44088</v>
      </c>
      <c r="P432" s="5">
        <f t="shared" si="166"/>
        <v>3.0422499226838477E-2</v>
      </c>
      <c r="Q432" s="5">
        <f t="shared" si="167"/>
        <v>2.6123956046740789E-2</v>
      </c>
      <c r="R432" s="5">
        <f t="shared" si="168"/>
        <v>1.8876576300654573E-2</v>
      </c>
      <c r="S432" s="5">
        <f t="shared" si="169"/>
        <v>6.3124109533987238E-3</v>
      </c>
      <c r="T432" s="5">
        <f t="shared" si="170"/>
        <v>3.827695388277004E-2</v>
      </c>
      <c r="U432" s="5">
        <f t="shared" si="171"/>
        <v>4.4451734153669507E-2</v>
      </c>
      <c r="V432" s="5">
        <f t="shared" si="172"/>
        <v>7.8590980730089636E-3</v>
      </c>
      <c r="W432" s="5">
        <f t="shared" si="173"/>
        <v>3.3330840914550165E-2</v>
      </c>
      <c r="X432" s="5">
        <f t="shared" si="174"/>
        <v>4.8514929472883876E-2</v>
      </c>
      <c r="Y432" s="5">
        <f t="shared" si="175"/>
        <v>4.0348820830398403E-2</v>
      </c>
      <c r="Z432" s="33">
        <v>428</v>
      </c>
      <c r="AE432" s="20" t="str">
        <f t="shared" si="176"/>
        <v/>
      </c>
      <c r="AF432" s="22" t="str">
        <f t="shared" si="177"/>
        <v/>
      </c>
      <c r="AG432" s="9" t="str">
        <f t="shared" ca="1" si="156"/>
        <v/>
      </c>
      <c r="AH432" s="9" t="str">
        <f t="shared" ca="1" si="157"/>
        <v/>
      </c>
      <c r="AI432" s="9" t="str">
        <f t="shared" ca="1" si="158"/>
        <v/>
      </c>
      <c r="AJ432" s="9" t="str">
        <f t="shared" ca="1" si="159"/>
        <v/>
      </c>
      <c r="AK432" s="9" t="str">
        <f t="shared" ca="1" si="160"/>
        <v/>
      </c>
      <c r="AL432" s="9" t="str">
        <f t="shared" ca="1" si="161"/>
        <v/>
      </c>
      <c r="AM432" s="9" t="str">
        <f t="shared" ca="1" si="162"/>
        <v/>
      </c>
      <c r="AN432" s="9" t="str">
        <f t="shared" ca="1" si="163"/>
        <v/>
      </c>
      <c r="AO432" s="9" t="str">
        <f t="shared" ca="1" si="164"/>
        <v/>
      </c>
      <c r="AP432" s="9" t="str">
        <f t="shared" ca="1" si="165"/>
        <v/>
      </c>
      <c r="AQ432" s="9"/>
      <c r="AR432" s="9"/>
      <c r="AS432" s="9"/>
      <c r="AT432" s="9"/>
      <c r="AU432" s="9"/>
    </row>
    <row r="433" spans="1:47" x14ac:dyDescent="0.3">
      <c r="A433" s="1">
        <v>44089</v>
      </c>
      <c r="B433" s="6">
        <v>497.67001299999998</v>
      </c>
      <c r="C433" s="6">
        <v>210.949997</v>
      </c>
      <c r="D433" s="6">
        <v>41.57</v>
      </c>
      <c r="E433" s="6">
        <v>135.61999499999999</v>
      </c>
      <c r="F433" s="6">
        <v>92.010002</v>
      </c>
      <c r="G433" s="6">
        <v>34.799999</v>
      </c>
      <c r="H433" s="6">
        <v>113.980003</v>
      </c>
      <c r="I433" s="6">
        <v>152.96000699999999</v>
      </c>
      <c r="J433" s="6">
        <v>18.049999</v>
      </c>
      <c r="K433" s="6">
        <v>23.82</v>
      </c>
      <c r="N433" s="19">
        <v>429</v>
      </c>
      <c r="O433" s="1">
        <v>44089</v>
      </c>
      <c r="P433" s="5">
        <f t="shared" si="166"/>
        <v>2.3913803095628235E-2</v>
      </c>
      <c r="Q433" s="5">
        <f t="shared" si="167"/>
        <v>2.5980496208672859E-2</v>
      </c>
      <c r="R433" s="5">
        <f t="shared" si="168"/>
        <v>3.0115062210564507E-3</v>
      </c>
      <c r="S433" s="5">
        <f t="shared" si="169"/>
        <v>-7.7124259549428194E-3</v>
      </c>
      <c r="T433" s="5">
        <f t="shared" si="170"/>
        <v>-1.2850400971666332E-2</v>
      </c>
      <c r="U433" s="5">
        <f t="shared" si="171"/>
        <v>-1.1144564871533404E-2</v>
      </c>
      <c r="V433" s="5">
        <f t="shared" si="172"/>
        <v>2.5475569945483788E-3</v>
      </c>
      <c r="W433" s="5">
        <f t="shared" si="173"/>
        <v>8.5028944050759628E-4</v>
      </c>
      <c r="X433" s="5">
        <f t="shared" si="174"/>
        <v>-6.0757437959209253E-3</v>
      </c>
      <c r="Y433" s="5">
        <f t="shared" si="175"/>
        <v>2.101282555051525E-3</v>
      </c>
      <c r="Z433" s="33">
        <v>429</v>
      </c>
      <c r="AE433" s="20" t="str">
        <f t="shared" si="176"/>
        <v/>
      </c>
      <c r="AF433" s="22" t="str">
        <f t="shared" si="177"/>
        <v/>
      </c>
      <c r="AG433" s="9" t="str">
        <f t="shared" ca="1" si="156"/>
        <v/>
      </c>
      <c r="AH433" s="9" t="str">
        <f t="shared" ca="1" si="157"/>
        <v/>
      </c>
      <c r="AI433" s="9" t="str">
        <f t="shared" ca="1" si="158"/>
        <v/>
      </c>
      <c r="AJ433" s="9" t="str">
        <f t="shared" ca="1" si="159"/>
        <v/>
      </c>
      <c r="AK433" s="9" t="str">
        <f t="shared" ca="1" si="160"/>
        <v/>
      </c>
      <c r="AL433" s="9" t="str">
        <f t="shared" ca="1" si="161"/>
        <v/>
      </c>
      <c r="AM433" s="9" t="str">
        <f t="shared" ca="1" si="162"/>
        <v/>
      </c>
      <c r="AN433" s="9" t="str">
        <f t="shared" ca="1" si="163"/>
        <v/>
      </c>
      <c r="AO433" s="9" t="str">
        <f t="shared" ca="1" si="164"/>
        <v/>
      </c>
      <c r="AP433" s="9" t="str">
        <f t="shared" ca="1" si="165"/>
        <v/>
      </c>
      <c r="AQ433" s="9"/>
      <c r="AR433" s="9"/>
      <c r="AS433" s="9"/>
      <c r="AT433" s="9"/>
      <c r="AU433" s="9"/>
    </row>
    <row r="434" spans="1:47" x14ac:dyDescent="0.3">
      <c r="A434" s="1">
        <v>44090</v>
      </c>
      <c r="B434" s="6">
        <v>476</v>
      </c>
      <c r="C434" s="6">
        <v>206.86000100000001</v>
      </c>
      <c r="D434" s="6">
        <v>40.935001</v>
      </c>
      <c r="E434" s="6">
        <v>134.979996</v>
      </c>
      <c r="F434" s="6">
        <v>92.510002</v>
      </c>
      <c r="G434" s="6">
        <v>34.959999000000003</v>
      </c>
      <c r="H434" s="6">
        <v>115.339996</v>
      </c>
      <c r="I434" s="6">
        <v>149.08999600000001</v>
      </c>
      <c r="J434" s="6">
        <v>18.52</v>
      </c>
      <c r="K434" s="6">
        <v>24.27</v>
      </c>
      <c r="N434" s="18">
        <v>430</v>
      </c>
      <c r="O434" s="1">
        <v>44090</v>
      </c>
      <c r="P434" s="5">
        <f t="shared" si="166"/>
        <v>-4.4519378662600209E-2</v>
      </c>
      <c r="Q434" s="5">
        <f t="shared" si="167"/>
        <v>-1.9578883565123138E-2</v>
      </c>
      <c r="R434" s="5">
        <f t="shared" si="168"/>
        <v>-1.5393286007162194E-2</v>
      </c>
      <c r="S434" s="5">
        <f t="shared" si="169"/>
        <v>-4.7302307067365315E-3</v>
      </c>
      <c r="T434" s="5">
        <f t="shared" si="170"/>
        <v>5.4194798714739811E-3</v>
      </c>
      <c r="U434" s="5">
        <f t="shared" si="171"/>
        <v>4.5871641384193544E-3</v>
      </c>
      <c r="V434" s="5">
        <f t="shared" si="172"/>
        <v>1.1861232779929492E-2</v>
      </c>
      <c r="W434" s="5">
        <f t="shared" si="173"/>
        <v>-2.5626371455812761E-2</v>
      </c>
      <c r="X434" s="5">
        <f t="shared" si="174"/>
        <v>2.5705599840807038E-2</v>
      </c>
      <c r="Y434" s="5">
        <f t="shared" si="175"/>
        <v>1.8715455811356002E-2</v>
      </c>
      <c r="Z434" s="33">
        <v>430</v>
      </c>
      <c r="AE434" s="20" t="str">
        <f t="shared" si="176"/>
        <v/>
      </c>
      <c r="AF434" s="22" t="str">
        <f t="shared" si="177"/>
        <v/>
      </c>
      <c r="AG434" s="9" t="str">
        <f t="shared" ca="1" si="156"/>
        <v/>
      </c>
      <c r="AH434" s="9" t="str">
        <f t="shared" ca="1" si="157"/>
        <v/>
      </c>
      <c r="AI434" s="9" t="str">
        <f t="shared" ca="1" si="158"/>
        <v/>
      </c>
      <c r="AJ434" s="9" t="str">
        <f t="shared" ca="1" si="159"/>
        <v/>
      </c>
      <c r="AK434" s="9" t="str">
        <f t="shared" ca="1" si="160"/>
        <v/>
      </c>
      <c r="AL434" s="9" t="str">
        <f t="shared" ca="1" si="161"/>
        <v/>
      </c>
      <c r="AM434" s="9" t="str">
        <f t="shared" ca="1" si="162"/>
        <v/>
      </c>
      <c r="AN434" s="9" t="str">
        <f t="shared" ca="1" si="163"/>
        <v/>
      </c>
      <c r="AO434" s="9" t="str">
        <f t="shared" ca="1" si="164"/>
        <v/>
      </c>
      <c r="AP434" s="9" t="str">
        <f t="shared" ca="1" si="165"/>
        <v/>
      </c>
      <c r="AQ434" s="9"/>
      <c r="AR434" s="9"/>
      <c r="AS434" s="9"/>
      <c r="AT434" s="9"/>
      <c r="AU434" s="9"/>
    </row>
    <row r="435" spans="1:47" x14ac:dyDescent="0.3">
      <c r="A435" s="1">
        <v>44091</v>
      </c>
      <c r="B435" s="6">
        <v>474.29998799999998</v>
      </c>
      <c r="C435" s="6">
        <v>201.86000100000001</v>
      </c>
      <c r="D435" s="6">
        <v>40.354999999999997</v>
      </c>
      <c r="E435" s="6">
        <v>133.199997</v>
      </c>
      <c r="F435" s="6">
        <v>91.330001999999993</v>
      </c>
      <c r="G435" s="6">
        <v>34.759998000000003</v>
      </c>
      <c r="H435" s="6">
        <v>115.379997</v>
      </c>
      <c r="I435" s="6">
        <v>148.71000699999999</v>
      </c>
      <c r="J435" s="6">
        <v>18.290001</v>
      </c>
      <c r="K435" s="6">
        <v>24.200001</v>
      </c>
      <c r="N435" s="19">
        <v>431</v>
      </c>
      <c r="O435" s="1">
        <v>44091</v>
      </c>
      <c r="P435" s="5">
        <f t="shared" si="166"/>
        <v>-3.5778466483271424E-3</v>
      </c>
      <c r="Q435" s="5">
        <f t="shared" si="167"/>
        <v>-2.4467848019203077E-2</v>
      </c>
      <c r="R435" s="5">
        <f t="shared" si="168"/>
        <v>-1.4270164481048318E-2</v>
      </c>
      <c r="S435" s="5">
        <f t="shared" si="169"/>
        <v>-1.3274854097474217E-2</v>
      </c>
      <c r="T435" s="5">
        <f t="shared" si="170"/>
        <v>-1.2837425800314748E-2</v>
      </c>
      <c r="U435" s="5">
        <f t="shared" si="171"/>
        <v>-5.7372793234250338E-3</v>
      </c>
      <c r="V435" s="5">
        <f t="shared" si="172"/>
        <v>3.4674932051327611E-4</v>
      </c>
      <c r="W435" s="5">
        <f t="shared" si="173"/>
        <v>-2.5519758388031755E-3</v>
      </c>
      <c r="X435" s="5">
        <f t="shared" si="174"/>
        <v>-1.249671214057489E-2</v>
      </c>
      <c r="Y435" s="5">
        <f t="shared" si="175"/>
        <v>-2.8883452535561171E-3</v>
      </c>
      <c r="Z435" s="33">
        <v>431</v>
      </c>
      <c r="AE435" s="20" t="str">
        <f t="shared" si="176"/>
        <v/>
      </c>
      <c r="AF435" s="22" t="str">
        <f t="shared" si="177"/>
        <v/>
      </c>
      <c r="AG435" s="9" t="str">
        <f t="shared" ca="1" si="156"/>
        <v/>
      </c>
      <c r="AH435" s="9" t="str">
        <f t="shared" ca="1" si="157"/>
        <v/>
      </c>
      <c r="AI435" s="9" t="str">
        <f t="shared" ca="1" si="158"/>
        <v/>
      </c>
      <c r="AJ435" s="9" t="str">
        <f t="shared" ca="1" si="159"/>
        <v/>
      </c>
      <c r="AK435" s="9" t="str">
        <f t="shared" ca="1" si="160"/>
        <v/>
      </c>
      <c r="AL435" s="9" t="str">
        <f t="shared" ca="1" si="161"/>
        <v/>
      </c>
      <c r="AM435" s="9" t="str">
        <f t="shared" ca="1" si="162"/>
        <v/>
      </c>
      <c r="AN435" s="9" t="str">
        <f t="shared" ca="1" si="163"/>
        <v/>
      </c>
      <c r="AO435" s="9" t="str">
        <f t="shared" ca="1" si="164"/>
        <v/>
      </c>
      <c r="AP435" s="9" t="str">
        <f t="shared" ca="1" si="165"/>
        <v/>
      </c>
      <c r="AQ435" s="9"/>
      <c r="AR435" s="9"/>
      <c r="AS435" s="9"/>
      <c r="AT435" s="9"/>
      <c r="AU435" s="9"/>
    </row>
    <row r="436" spans="1:47" x14ac:dyDescent="0.3">
      <c r="A436" s="1">
        <v>44092</v>
      </c>
      <c r="B436" s="6">
        <v>467.54998799999998</v>
      </c>
      <c r="C436" s="6">
        <v>197.929993</v>
      </c>
      <c r="D436" s="6">
        <v>39.494999</v>
      </c>
      <c r="E436" s="6">
        <v>131.470001</v>
      </c>
      <c r="F436" s="6">
        <v>88.970000999999996</v>
      </c>
      <c r="G436" s="6">
        <v>33.900002000000001</v>
      </c>
      <c r="H436" s="6">
        <v>112.599998</v>
      </c>
      <c r="I436" s="6">
        <v>147.529999</v>
      </c>
      <c r="J436" s="6">
        <v>17.829999999999998</v>
      </c>
      <c r="K436" s="6">
        <v>23.879999000000002</v>
      </c>
      <c r="N436" s="18">
        <v>432</v>
      </c>
      <c r="O436" s="1">
        <v>44092</v>
      </c>
      <c r="P436" s="5">
        <f t="shared" si="166"/>
        <v>-1.433373836734171E-2</v>
      </c>
      <c r="Q436" s="5">
        <f t="shared" si="167"/>
        <v>-1.9660995298037335E-2</v>
      </c>
      <c r="R436" s="5">
        <f t="shared" si="168"/>
        <v>-2.1541246479614244E-2</v>
      </c>
      <c r="S436" s="5">
        <f t="shared" si="169"/>
        <v>-1.3073039268955063E-2</v>
      </c>
      <c r="T436" s="5">
        <f t="shared" si="170"/>
        <v>-2.6180097105777053E-2</v>
      </c>
      <c r="U436" s="5">
        <f t="shared" si="171"/>
        <v>-2.5052169476337437E-2</v>
      </c>
      <c r="V436" s="5">
        <f t="shared" si="172"/>
        <v>-2.4389304884102517E-2</v>
      </c>
      <c r="W436" s="5">
        <f t="shared" si="173"/>
        <v>-7.9666096208792416E-3</v>
      </c>
      <c r="X436" s="5">
        <f t="shared" si="174"/>
        <v>-2.5472085202409536E-2</v>
      </c>
      <c r="Y436" s="5">
        <f t="shared" si="175"/>
        <v>-1.3311427836600345E-2</v>
      </c>
      <c r="Z436" s="33">
        <v>432</v>
      </c>
      <c r="AE436" s="20" t="str">
        <f t="shared" si="176"/>
        <v/>
      </c>
      <c r="AF436" s="22" t="str">
        <f t="shared" si="177"/>
        <v/>
      </c>
      <c r="AG436" s="9" t="str">
        <f t="shared" ca="1" si="156"/>
        <v/>
      </c>
      <c r="AH436" s="9" t="str">
        <f t="shared" ca="1" si="157"/>
        <v/>
      </c>
      <c r="AI436" s="9" t="str">
        <f t="shared" ca="1" si="158"/>
        <v/>
      </c>
      <c r="AJ436" s="9" t="str">
        <f t="shared" ca="1" si="159"/>
        <v/>
      </c>
      <c r="AK436" s="9" t="str">
        <f t="shared" ca="1" si="160"/>
        <v/>
      </c>
      <c r="AL436" s="9" t="str">
        <f t="shared" ca="1" si="161"/>
        <v/>
      </c>
      <c r="AM436" s="9" t="str">
        <f t="shared" ca="1" si="162"/>
        <v/>
      </c>
      <c r="AN436" s="9" t="str">
        <f t="shared" ca="1" si="163"/>
        <v/>
      </c>
      <c r="AO436" s="9" t="str">
        <f t="shared" ca="1" si="164"/>
        <v/>
      </c>
      <c r="AP436" s="9" t="str">
        <f t="shared" ca="1" si="165"/>
        <v/>
      </c>
      <c r="AQ436" s="9"/>
      <c r="AR436" s="9"/>
      <c r="AS436" s="9"/>
      <c r="AT436" s="9"/>
      <c r="AU436" s="9"/>
    </row>
    <row r="437" spans="1:47" x14ac:dyDescent="0.3">
      <c r="A437" s="1">
        <v>44095</v>
      </c>
      <c r="B437" s="6">
        <v>475.64001500000001</v>
      </c>
      <c r="C437" s="6">
        <v>201.979996</v>
      </c>
      <c r="D437" s="6">
        <v>39.189999</v>
      </c>
      <c r="E437" s="6">
        <v>131.240005</v>
      </c>
      <c r="F437" s="6">
        <v>86.599997999999999</v>
      </c>
      <c r="G437" s="6">
        <v>32.150002000000001</v>
      </c>
      <c r="H437" s="6">
        <v>107.449997</v>
      </c>
      <c r="I437" s="6">
        <v>140.91999799999999</v>
      </c>
      <c r="J437" s="6">
        <v>16.93</v>
      </c>
      <c r="K437" s="6">
        <v>22.42</v>
      </c>
      <c r="N437" s="19">
        <v>433</v>
      </c>
      <c r="O437" s="1">
        <v>44095</v>
      </c>
      <c r="P437" s="5">
        <f t="shared" si="166"/>
        <v>1.7155027890082601E-2</v>
      </c>
      <c r="Q437" s="5">
        <f t="shared" si="167"/>
        <v>2.0255265327865112E-2</v>
      </c>
      <c r="R437" s="5">
        <f t="shared" si="168"/>
        <v>-7.7524696018950656E-3</v>
      </c>
      <c r="S437" s="5">
        <f t="shared" si="169"/>
        <v>-1.750950123769893E-3</v>
      </c>
      <c r="T437" s="5">
        <f t="shared" si="170"/>
        <v>-2.6999453022718584E-2</v>
      </c>
      <c r="U437" s="5">
        <f t="shared" si="171"/>
        <v>-5.3002560491428416E-2</v>
      </c>
      <c r="V437" s="5">
        <f t="shared" si="172"/>
        <v>-4.681610277504427E-2</v>
      </c>
      <c r="W437" s="5">
        <f t="shared" si="173"/>
        <v>-4.5839198870606071E-2</v>
      </c>
      <c r="X437" s="5">
        <f t="shared" si="174"/>
        <v>-5.1795235730005017E-2</v>
      </c>
      <c r="Y437" s="5">
        <f t="shared" si="175"/>
        <v>-6.3087829004339638E-2</v>
      </c>
      <c r="Z437" s="33">
        <v>433</v>
      </c>
      <c r="AE437" s="20" t="str">
        <f t="shared" si="176"/>
        <v/>
      </c>
      <c r="AF437" s="22" t="str">
        <f t="shared" si="177"/>
        <v/>
      </c>
      <c r="AG437" s="9" t="str">
        <f t="shared" ca="1" si="156"/>
        <v/>
      </c>
      <c r="AH437" s="9" t="str">
        <f t="shared" ca="1" si="157"/>
        <v/>
      </c>
      <c r="AI437" s="9" t="str">
        <f t="shared" ca="1" si="158"/>
        <v/>
      </c>
      <c r="AJ437" s="9" t="str">
        <f t="shared" ca="1" si="159"/>
        <v/>
      </c>
      <c r="AK437" s="9" t="str">
        <f t="shared" ca="1" si="160"/>
        <v/>
      </c>
      <c r="AL437" s="9" t="str">
        <f t="shared" ca="1" si="161"/>
        <v/>
      </c>
      <c r="AM437" s="9" t="str">
        <f t="shared" ca="1" si="162"/>
        <v/>
      </c>
      <c r="AN437" s="9" t="str">
        <f t="shared" ca="1" si="163"/>
        <v/>
      </c>
      <c r="AO437" s="9" t="str">
        <f t="shared" ca="1" si="164"/>
        <v/>
      </c>
      <c r="AP437" s="9" t="str">
        <f t="shared" ca="1" si="165"/>
        <v/>
      </c>
      <c r="AQ437" s="9"/>
      <c r="AR437" s="9"/>
      <c r="AS437" s="9"/>
      <c r="AT437" s="9"/>
      <c r="AU437" s="9"/>
    </row>
    <row r="438" spans="1:47" x14ac:dyDescent="0.3">
      <c r="A438" s="1">
        <v>44096</v>
      </c>
      <c r="B438" s="6">
        <v>486.77999899999998</v>
      </c>
      <c r="C438" s="6">
        <v>204.800003</v>
      </c>
      <c r="D438" s="6">
        <v>39.615001999999997</v>
      </c>
      <c r="E438" s="6">
        <v>132.14999399999999</v>
      </c>
      <c r="F438" s="6">
        <v>88.620002999999997</v>
      </c>
      <c r="G438" s="6">
        <v>32.849997999999999</v>
      </c>
      <c r="H438" s="6">
        <v>107.55999799999999</v>
      </c>
      <c r="I438" s="6">
        <v>144.490005</v>
      </c>
      <c r="J438" s="6">
        <v>16.68</v>
      </c>
      <c r="K438" s="6">
        <v>22.33</v>
      </c>
      <c r="N438" s="18">
        <v>434</v>
      </c>
      <c r="O438" s="1">
        <v>44096</v>
      </c>
      <c r="P438" s="5">
        <f t="shared" si="166"/>
        <v>2.315097647487882E-2</v>
      </c>
      <c r="Q438" s="5">
        <f t="shared" si="167"/>
        <v>1.3865245019320465E-2</v>
      </c>
      <c r="R438" s="5">
        <f t="shared" si="168"/>
        <v>1.078629820830467E-2</v>
      </c>
      <c r="S438" s="5">
        <f t="shared" si="169"/>
        <v>6.9098494563049609E-3</v>
      </c>
      <c r="T438" s="5">
        <f t="shared" si="170"/>
        <v>2.3057807150045333E-2</v>
      </c>
      <c r="U438" s="5">
        <f t="shared" si="171"/>
        <v>2.1539171155792475E-2</v>
      </c>
      <c r="V438" s="5">
        <f t="shared" si="172"/>
        <v>1.0232176378345342E-3</v>
      </c>
      <c r="W438" s="5">
        <f t="shared" si="173"/>
        <v>2.5017996329402967E-2</v>
      </c>
      <c r="X438" s="5">
        <f t="shared" si="174"/>
        <v>-1.4876799214443199E-2</v>
      </c>
      <c r="Y438" s="5">
        <f t="shared" si="175"/>
        <v>-4.022351791947462E-3</v>
      </c>
      <c r="Z438" s="33">
        <v>434</v>
      </c>
      <c r="AE438" s="20" t="str">
        <f t="shared" si="176"/>
        <v/>
      </c>
      <c r="AF438" s="22" t="str">
        <f t="shared" si="177"/>
        <v/>
      </c>
      <c r="AG438" s="9" t="str">
        <f t="shared" ca="1" si="156"/>
        <v/>
      </c>
      <c r="AH438" s="9" t="str">
        <f t="shared" ca="1" si="157"/>
        <v/>
      </c>
      <c r="AI438" s="9" t="str">
        <f t="shared" ca="1" si="158"/>
        <v/>
      </c>
      <c r="AJ438" s="9" t="str">
        <f t="shared" ca="1" si="159"/>
        <v/>
      </c>
      <c r="AK438" s="9" t="str">
        <f t="shared" ca="1" si="160"/>
        <v/>
      </c>
      <c r="AL438" s="9" t="str">
        <f t="shared" ca="1" si="161"/>
        <v/>
      </c>
      <c r="AM438" s="9" t="str">
        <f t="shared" ca="1" si="162"/>
        <v/>
      </c>
      <c r="AN438" s="9" t="str">
        <f t="shared" ca="1" si="163"/>
        <v/>
      </c>
      <c r="AO438" s="9" t="str">
        <f t="shared" ca="1" si="164"/>
        <v/>
      </c>
      <c r="AP438" s="9" t="str">
        <f t="shared" ca="1" si="165"/>
        <v/>
      </c>
      <c r="AQ438" s="9"/>
      <c r="AR438" s="9"/>
      <c r="AS438" s="9"/>
      <c r="AT438" s="9"/>
      <c r="AU438" s="9"/>
    </row>
    <row r="439" spans="1:47" x14ac:dyDescent="0.3">
      <c r="A439" s="1">
        <v>44097</v>
      </c>
      <c r="B439" s="6">
        <v>470.39001500000001</v>
      </c>
      <c r="C439" s="6">
        <v>197.86000100000001</v>
      </c>
      <c r="D439" s="6">
        <v>38.895000000000003</v>
      </c>
      <c r="E439" s="6">
        <v>131</v>
      </c>
      <c r="F439" s="6">
        <v>88.019997000000004</v>
      </c>
      <c r="G439" s="6">
        <v>32</v>
      </c>
      <c r="H439" s="6">
        <v>106.949997</v>
      </c>
      <c r="I439" s="6">
        <v>141.08999600000001</v>
      </c>
      <c r="J439" s="6">
        <v>16.200001</v>
      </c>
      <c r="K439" s="6">
        <v>21.120000999999998</v>
      </c>
      <c r="N439" s="19">
        <v>435</v>
      </c>
      <c r="O439" s="1">
        <v>44097</v>
      </c>
      <c r="P439" s="5">
        <f t="shared" si="166"/>
        <v>-3.4250103837229331E-2</v>
      </c>
      <c r="Q439" s="5">
        <f t="shared" si="167"/>
        <v>-3.4474192864634899E-2</v>
      </c>
      <c r="R439" s="5">
        <f t="shared" si="168"/>
        <v>-1.8342177244393458E-2</v>
      </c>
      <c r="S439" s="5">
        <f t="shared" si="169"/>
        <v>-8.7402724461944081E-3</v>
      </c>
      <c r="T439" s="5">
        <f t="shared" si="170"/>
        <v>-6.7935723239644806E-3</v>
      </c>
      <c r="U439" s="5">
        <f t="shared" si="171"/>
        <v>-2.6215781248090448E-2</v>
      </c>
      <c r="V439" s="5">
        <f t="shared" si="172"/>
        <v>-5.6874053284674082E-3</v>
      </c>
      <c r="W439" s="5">
        <f t="shared" si="173"/>
        <v>-2.3812379335622337E-2</v>
      </c>
      <c r="X439" s="5">
        <f t="shared" si="174"/>
        <v>-2.9199092963869119E-2</v>
      </c>
      <c r="Y439" s="5">
        <f t="shared" si="175"/>
        <v>-5.571055966552204E-2</v>
      </c>
      <c r="Z439" s="33">
        <v>435</v>
      </c>
      <c r="AE439" s="20" t="str">
        <f t="shared" si="176"/>
        <v/>
      </c>
      <c r="AF439" s="22" t="str">
        <f t="shared" si="177"/>
        <v/>
      </c>
      <c r="AG439" s="9" t="str">
        <f t="shared" ca="1" si="156"/>
        <v/>
      </c>
      <c r="AH439" s="9" t="str">
        <f t="shared" ca="1" si="157"/>
        <v/>
      </c>
      <c r="AI439" s="9" t="str">
        <f t="shared" ca="1" si="158"/>
        <v/>
      </c>
      <c r="AJ439" s="9" t="str">
        <f t="shared" ca="1" si="159"/>
        <v/>
      </c>
      <c r="AK439" s="9" t="str">
        <f t="shared" ca="1" si="160"/>
        <v/>
      </c>
      <c r="AL439" s="9" t="str">
        <f t="shared" ca="1" si="161"/>
        <v/>
      </c>
      <c r="AM439" s="9" t="str">
        <f t="shared" ca="1" si="162"/>
        <v/>
      </c>
      <c r="AN439" s="9" t="str">
        <f t="shared" ca="1" si="163"/>
        <v/>
      </c>
      <c r="AO439" s="9" t="str">
        <f t="shared" ca="1" si="164"/>
        <v/>
      </c>
      <c r="AP439" s="9" t="str">
        <f t="shared" ca="1" si="165"/>
        <v/>
      </c>
      <c r="AQ439" s="9"/>
      <c r="AR439" s="9"/>
      <c r="AS439" s="9"/>
      <c r="AT439" s="9"/>
      <c r="AU439" s="9"/>
    </row>
    <row r="440" spans="1:47" x14ac:dyDescent="0.3">
      <c r="A440" s="1">
        <v>44098</v>
      </c>
      <c r="B440" s="6">
        <v>467.67001299999998</v>
      </c>
      <c r="C440" s="6">
        <v>201.509995</v>
      </c>
      <c r="D440" s="6">
        <v>39</v>
      </c>
      <c r="E440" s="6">
        <v>131.58000200000001</v>
      </c>
      <c r="F440" s="6">
        <v>88.220000999999996</v>
      </c>
      <c r="G440" s="6">
        <v>31.84</v>
      </c>
      <c r="H440" s="6">
        <v>107.139999</v>
      </c>
      <c r="I440" s="6">
        <v>141.38999899999999</v>
      </c>
      <c r="J440" s="6">
        <v>16.280000999999999</v>
      </c>
      <c r="K440" s="6">
        <v>21.32</v>
      </c>
      <c r="N440" s="18">
        <v>436</v>
      </c>
      <c r="O440" s="1">
        <v>44098</v>
      </c>
      <c r="P440" s="5">
        <f t="shared" si="166"/>
        <v>-5.7992229534058271E-3</v>
      </c>
      <c r="Q440" s="5">
        <f t="shared" si="167"/>
        <v>1.8279268185062942E-2</v>
      </c>
      <c r="R440" s="5">
        <f t="shared" si="168"/>
        <v>2.6959384709090246E-3</v>
      </c>
      <c r="S440" s="5">
        <f t="shared" si="169"/>
        <v>4.4177236565787203E-3</v>
      </c>
      <c r="T440" s="5">
        <f t="shared" si="170"/>
        <v>2.269678712309845E-3</v>
      </c>
      <c r="U440" s="5">
        <f t="shared" si="171"/>
        <v>-5.0125418235442863E-3</v>
      </c>
      <c r="V440" s="5">
        <f t="shared" si="172"/>
        <v>1.7749736413086436E-3</v>
      </c>
      <c r="W440" s="5">
        <f t="shared" si="173"/>
        <v>2.1240662567452791E-3</v>
      </c>
      <c r="X440" s="5">
        <f t="shared" si="174"/>
        <v>4.9261180327222313E-3</v>
      </c>
      <c r="Y440" s="5">
        <f t="shared" si="175"/>
        <v>9.4250931110995244E-3</v>
      </c>
      <c r="Z440" s="33">
        <v>436</v>
      </c>
      <c r="AE440" s="20" t="str">
        <f t="shared" si="176"/>
        <v/>
      </c>
      <c r="AF440" s="22" t="str">
        <f t="shared" si="177"/>
        <v/>
      </c>
      <c r="AG440" s="9" t="str">
        <f t="shared" ca="1" si="156"/>
        <v/>
      </c>
      <c r="AH440" s="9" t="str">
        <f t="shared" ca="1" si="157"/>
        <v/>
      </c>
      <c r="AI440" s="9" t="str">
        <f t="shared" ca="1" si="158"/>
        <v/>
      </c>
      <c r="AJ440" s="9" t="str">
        <f t="shared" ca="1" si="159"/>
        <v/>
      </c>
      <c r="AK440" s="9" t="str">
        <f t="shared" ca="1" si="160"/>
        <v/>
      </c>
      <c r="AL440" s="9" t="str">
        <f t="shared" ca="1" si="161"/>
        <v/>
      </c>
      <c r="AM440" s="9" t="str">
        <f t="shared" ca="1" si="162"/>
        <v/>
      </c>
      <c r="AN440" s="9" t="str">
        <f t="shared" ca="1" si="163"/>
        <v/>
      </c>
      <c r="AO440" s="9" t="str">
        <f t="shared" ca="1" si="164"/>
        <v/>
      </c>
      <c r="AP440" s="9" t="str">
        <f t="shared" ca="1" si="165"/>
        <v/>
      </c>
      <c r="AQ440" s="9"/>
      <c r="AR440" s="9"/>
      <c r="AS440" s="9"/>
      <c r="AT440" s="9"/>
      <c r="AU440" s="9"/>
    </row>
    <row r="441" spans="1:47" x14ac:dyDescent="0.3">
      <c r="A441" s="1">
        <v>44099</v>
      </c>
      <c r="B441" s="6">
        <v>479.77999899999998</v>
      </c>
      <c r="C441" s="6">
        <v>208.5</v>
      </c>
      <c r="D441" s="6">
        <v>39.395000000000003</v>
      </c>
      <c r="E441" s="6">
        <v>133.550003</v>
      </c>
      <c r="F441" s="6">
        <v>90.339995999999999</v>
      </c>
      <c r="G441" s="6">
        <v>32.409999999999997</v>
      </c>
      <c r="H441" s="6">
        <v>108.5</v>
      </c>
      <c r="I441" s="6">
        <v>142.03999300000001</v>
      </c>
      <c r="J441" s="6">
        <v>16.870000999999998</v>
      </c>
      <c r="K441" s="6">
        <v>21.33</v>
      </c>
      <c r="N441" s="19">
        <v>437</v>
      </c>
      <c r="O441" s="1">
        <v>44099</v>
      </c>
      <c r="P441" s="5">
        <f t="shared" si="166"/>
        <v>2.5564716627410097E-2</v>
      </c>
      <c r="Q441" s="5">
        <f t="shared" si="167"/>
        <v>3.4100058104637961E-2</v>
      </c>
      <c r="R441" s="5">
        <f t="shared" si="168"/>
        <v>1.0077258568005084E-2</v>
      </c>
      <c r="S441" s="5">
        <f t="shared" si="169"/>
        <v>1.486091516173639E-2</v>
      </c>
      <c r="T441" s="5">
        <f t="shared" si="170"/>
        <v>2.3746579937190232E-2</v>
      </c>
      <c r="U441" s="5">
        <f t="shared" si="171"/>
        <v>1.7743656177273651E-2</v>
      </c>
      <c r="V441" s="5">
        <f t="shared" si="172"/>
        <v>1.2613791861282159E-2</v>
      </c>
      <c r="W441" s="5">
        <f t="shared" si="173"/>
        <v>4.5866362618804035E-3</v>
      </c>
      <c r="X441" s="5">
        <f t="shared" si="174"/>
        <v>3.5599533835244189E-2</v>
      </c>
      <c r="Y441" s="5">
        <f t="shared" si="175"/>
        <v>4.6893318561525639E-4</v>
      </c>
      <c r="Z441" s="33">
        <v>437</v>
      </c>
      <c r="AE441" s="20" t="str">
        <f t="shared" si="176"/>
        <v/>
      </c>
      <c r="AF441" s="22" t="str">
        <f t="shared" si="177"/>
        <v/>
      </c>
      <c r="AG441" s="9" t="str">
        <f t="shared" ca="1" si="156"/>
        <v/>
      </c>
      <c r="AH441" s="9" t="str">
        <f t="shared" ca="1" si="157"/>
        <v/>
      </c>
      <c r="AI441" s="9" t="str">
        <f t="shared" ca="1" si="158"/>
        <v/>
      </c>
      <c r="AJ441" s="9" t="str">
        <f t="shared" ca="1" si="159"/>
        <v/>
      </c>
      <c r="AK441" s="9" t="str">
        <f t="shared" ca="1" si="160"/>
        <v/>
      </c>
      <c r="AL441" s="9" t="str">
        <f t="shared" ca="1" si="161"/>
        <v/>
      </c>
      <c r="AM441" s="9" t="str">
        <f t="shared" ca="1" si="162"/>
        <v/>
      </c>
      <c r="AN441" s="9" t="str">
        <f t="shared" ca="1" si="163"/>
        <v/>
      </c>
      <c r="AO441" s="9" t="str">
        <f t="shared" ca="1" si="164"/>
        <v/>
      </c>
      <c r="AP441" s="9" t="str">
        <f t="shared" ca="1" si="165"/>
        <v/>
      </c>
      <c r="AQ441" s="9"/>
      <c r="AR441" s="9"/>
      <c r="AS441" s="9"/>
      <c r="AT441" s="9"/>
      <c r="AU441" s="9"/>
    </row>
    <row r="442" spans="1:47" x14ac:dyDescent="0.3">
      <c r="A442" s="1">
        <v>44102</v>
      </c>
      <c r="B442" s="6">
        <v>488.51001000000002</v>
      </c>
      <c r="C442" s="6">
        <v>212.63999899999999</v>
      </c>
      <c r="D442" s="6">
        <v>40.255001</v>
      </c>
      <c r="E442" s="6">
        <v>137.970001</v>
      </c>
      <c r="F442" s="6">
        <v>90.970000999999996</v>
      </c>
      <c r="G442" s="6">
        <v>33</v>
      </c>
      <c r="H442" s="6">
        <v>108.779999</v>
      </c>
      <c r="I442" s="6">
        <v>146.71000699999999</v>
      </c>
      <c r="J442" s="6">
        <v>17.049999</v>
      </c>
      <c r="K442" s="6">
        <v>21.950001</v>
      </c>
      <c r="N442" s="18">
        <v>438</v>
      </c>
      <c r="O442" s="1">
        <v>44102</v>
      </c>
      <c r="P442" s="5">
        <f t="shared" si="166"/>
        <v>1.8032299155303997E-2</v>
      </c>
      <c r="Q442" s="5">
        <f t="shared" si="167"/>
        <v>1.9661549023294901E-2</v>
      </c>
      <c r="R442" s="5">
        <f t="shared" si="168"/>
        <v>2.1595339895926827E-2</v>
      </c>
      <c r="S442" s="5">
        <f t="shared" si="169"/>
        <v>3.2560315448428009E-2</v>
      </c>
      <c r="T442" s="5">
        <f t="shared" si="170"/>
        <v>6.9495068773234268E-3</v>
      </c>
      <c r="U442" s="5">
        <f t="shared" si="171"/>
        <v>1.8040544313024282E-2</v>
      </c>
      <c r="V442" s="5">
        <f t="shared" si="172"/>
        <v>2.5773118214340892E-3</v>
      </c>
      <c r="W442" s="5">
        <f t="shared" si="173"/>
        <v>3.234923807173349E-2</v>
      </c>
      <c r="X442" s="5">
        <f t="shared" si="174"/>
        <v>1.0613189243799807E-2</v>
      </c>
      <c r="Y442" s="5">
        <f t="shared" si="175"/>
        <v>2.8652652596006734E-2</v>
      </c>
      <c r="Z442" s="33">
        <v>438</v>
      </c>
      <c r="AE442" s="20" t="str">
        <f t="shared" si="176"/>
        <v/>
      </c>
      <c r="AF442" s="22" t="str">
        <f t="shared" si="177"/>
        <v/>
      </c>
      <c r="AG442" s="9" t="str">
        <f t="shared" ca="1" si="156"/>
        <v/>
      </c>
      <c r="AH442" s="9" t="str">
        <f t="shared" ca="1" si="157"/>
        <v/>
      </c>
      <c r="AI442" s="9" t="str">
        <f t="shared" ca="1" si="158"/>
        <v/>
      </c>
      <c r="AJ442" s="9" t="str">
        <f t="shared" ca="1" si="159"/>
        <v/>
      </c>
      <c r="AK442" s="9" t="str">
        <f t="shared" ca="1" si="160"/>
        <v/>
      </c>
      <c r="AL442" s="9" t="str">
        <f t="shared" ca="1" si="161"/>
        <v/>
      </c>
      <c r="AM442" s="9" t="str">
        <f t="shared" ca="1" si="162"/>
        <v/>
      </c>
      <c r="AN442" s="9" t="str">
        <f t="shared" ca="1" si="163"/>
        <v/>
      </c>
      <c r="AO442" s="9" t="str">
        <f t="shared" ca="1" si="164"/>
        <v/>
      </c>
      <c r="AP442" s="9" t="str">
        <f t="shared" ca="1" si="165"/>
        <v/>
      </c>
      <c r="AQ442" s="9"/>
      <c r="AR442" s="9"/>
      <c r="AS442" s="9"/>
      <c r="AT442" s="9"/>
      <c r="AU442" s="9"/>
    </row>
    <row r="443" spans="1:47" x14ac:dyDescent="0.3">
      <c r="A443" s="1">
        <v>44103</v>
      </c>
      <c r="B443" s="6">
        <v>489.32998700000002</v>
      </c>
      <c r="C443" s="6">
        <v>212.320007</v>
      </c>
      <c r="D443" s="6">
        <v>39.895000000000003</v>
      </c>
      <c r="E443" s="6">
        <v>137.16000399999999</v>
      </c>
      <c r="F443" s="6">
        <v>89.419998000000007</v>
      </c>
      <c r="G443" s="6">
        <v>32.32</v>
      </c>
      <c r="H443" s="6">
        <v>108.239998</v>
      </c>
      <c r="I443" s="6">
        <v>145.39999399999999</v>
      </c>
      <c r="J443" s="6">
        <v>16.620000999999998</v>
      </c>
      <c r="K443" s="6">
        <v>21.75</v>
      </c>
      <c r="N443" s="19">
        <v>439</v>
      </c>
      <c r="O443" s="1">
        <v>44103</v>
      </c>
      <c r="P443" s="5">
        <f t="shared" si="166"/>
        <v>1.6771193543184883E-3</v>
      </c>
      <c r="Q443" s="5">
        <f t="shared" si="167"/>
        <v>-1.5059867091510239E-3</v>
      </c>
      <c r="R443" s="5">
        <f t="shared" si="168"/>
        <v>-8.9832418333340349E-3</v>
      </c>
      <c r="S443" s="5">
        <f t="shared" si="169"/>
        <v>-5.8881207101541553E-3</v>
      </c>
      <c r="T443" s="5">
        <f t="shared" si="170"/>
        <v>-1.7185444387131914E-2</v>
      </c>
      <c r="U443" s="5">
        <f t="shared" si="171"/>
        <v>-2.0821327813585627E-2</v>
      </c>
      <c r="V443" s="5">
        <f t="shared" si="172"/>
        <v>-4.9765194168734546E-3</v>
      </c>
      <c r="W443" s="5">
        <f t="shared" si="173"/>
        <v>-8.9693730307836006E-3</v>
      </c>
      <c r="X443" s="5">
        <f t="shared" si="174"/>
        <v>-2.5543295482725759E-2</v>
      </c>
      <c r="Y443" s="5">
        <f t="shared" si="175"/>
        <v>-9.1534275445728074E-3</v>
      </c>
      <c r="Z443" s="33">
        <v>439</v>
      </c>
      <c r="AE443" s="20" t="str">
        <f t="shared" si="176"/>
        <v/>
      </c>
      <c r="AF443" s="22" t="str">
        <f t="shared" si="177"/>
        <v/>
      </c>
      <c r="AG443" s="9" t="str">
        <f t="shared" ca="1" si="156"/>
        <v/>
      </c>
      <c r="AH443" s="9" t="str">
        <f t="shared" ca="1" si="157"/>
        <v/>
      </c>
      <c r="AI443" s="9" t="str">
        <f t="shared" ca="1" si="158"/>
        <v/>
      </c>
      <c r="AJ443" s="9" t="str">
        <f t="shared" ca="1" si="159"/>
        <v/>
      </c>
      <c r="AK443" s="9" t="str">
        <f t="shared" ca="1" si="160"/>
        <v/>
      </c>
      <c r="AL443" s="9" t="str">
        <f t="shared" ca="1" si="161"/>
        <v/>
      </c>
      <c r="AM443" s="9" t="str">
        <f t="shared" ca="1" si="162"/>
        <v/>
      </c>
      <c r="AN443" s="9" t="str">
        <f t="shared" ca="1" si="163"/>
        <v/>
      </c>
      <c r="AO443" s="9" t="str">
        <f t="shared" ca="1" si="164"/>
        <v/>
      </c>
      <c r="AP443" s="9" t="str">
        <f t="shared" ca="1" si="165"/>
        <v/>
      </c>
      <c r="AQ443" s="9"/>
      <c r="AR443" s="9"/>
      <c r="AS443" s="9"/>
      <c r="AT443" s="9"/>
      <c r="AU443" s="9"/>
    </row>
    <row r="444" spans="1:47" x14ac:dyDescent="0.3">
      <c r="A444" s="1">
        <v>44104</v>
      </c>
      <c r="B444" s="6">
        <v>490.42999300000002</v>
      </c>
      <c r="C444" s="6">
        <v>213.979996</v>
      </c>
      <c r="D444" s="6">
        <v>40.099997999999999</v>
      </c>
      <c r="E444" s="6">
        <v>138.60000600000001</v>
      </c>
      <c r="F444" s="6">
        <v>88.980002999999996</v>
      </c>
      <c r="G444" s="6">
        <v>32.610000999999997</v>
      </c>
      <c r="H444" s="6">
        <v>108.339996</v>
      </c>
      <c r="I444" s="6">
        <v>147.13000500000001</v>
      </c>
      <c r="J444" s="6">
        <v>16.670000000000002</v>
      </c>
      <c r="K444" s="6">
        <v>21.77</v>
      </c>
      <c r="N444" s="18">
        <v>440</v>
      </c>
      <c r="O444" s="1">
        <v>44104</v>
      </c>
      <c r="P444" s="5">
        <f t="shared" si="166"/>
        <v>2.2454611020028188E-3</v>
      </c>
      <c r="Q444" s="5">
        <f t="shared" si="167"/>
        <v>7.7879304641243138E-3</v>
      </c>
      <c r="R444" s="5">
        <f t="shared" si="168"/>
        <v>5.1252816769661348E-3</v>
      </c>
      <c r="S444" s="5">
        <f t="shared" si="169"/>
        <v>1.0443973288104938E-2</v>
      </c>
      <c r="T444" s="5">
        <f t="shared" si="170"/>
        <v>-4.9326893461366607E-3</v>
      </c>
      <c r="U444" s="5">
        <f t="shared" si="171"/>
        <v>8.9327868137725024E-3</v>
      </c>
      <c r="V444" s="5">
        <f t="shared" si="172"/>
        <v>9.2342792387239937E-4</v>
      </c>
      <c r="W444" s="5">
        <f t="shared" si="173"/>
        <v>1.1828059859463641E-2</v>
      </c>
      <c r="X444" s="5">
        <f t="shared" si="174"/>
        <v>3.003847166930744E-3</v>
      </c>
      <c r="Y444" s="5">
        <f t="shared" si="175"/>
        <v>9.1911771176285504E-4</v>
      </c>
      <c r="Z444" s="33">
        <v>440</v>
      </c>
      <c r="AE444" s="20" t="str">
        <f t="shared" si="176"/>
        <v/>
      </c>
      <c r="AF444" s="22" t="str">
        <f t="shared" si="177"/>
        <v/>
      </c>
      <c r="AG444" s="9" t="str">
        <f t="shared" ca="1" si="156"/>
        <v/>
      </c>
      <c r="AH444" s="9" t="str">
        <f t="shared" ca="1" si="157"/>
        <v/>
      </c>
      <c r="AI444" s="9" t="str">
        <f t="shared" ca="1" si="158"/>
        <v/>
      </c>
      <c r="AJ444" s="9" t="str">
        <f t="shared" ca="1" si="159"/>
        <v/>
      </c>
      <c r="AK444" s="9" t="str">
        <f t="shared" ca="1" si="160"/>
        <v/>
      </c>
      <c r="AL444" s="9" t="str">
        <f t="shared" ca="1" si="161"/>
        <v/>
      </c>
      <c r="AM444" s="9" t="str">
        <f t="shared" ca="1" si="162"/>
        <v/>
      </c>
      <c r="AN444" s="9" t="str">
        <f t="shared" ca="1" si="163"/>
        <v/>
      </c>
      <c r="AO444" s="9" t="str">
        <f t="shared" ca="1" si="164"/>
        <v/>
      </c>
      <c r="AP444" s="9" t="str">
        <f t="shared" ca="1" si="165"/>
        <v/>
      </c>
      <c r="AQ444" s="9"/>
      <c r="AR444" s="9"/>
      <c r="AS444" s="9"/>
      <c r="AT444" s="9"/>
      <c r="AU444" s="9"/>
    </row>
    <row r="445" spans="1:47" x14ac:dyDescent="0.3">
      <c r="A445" s="1">
        <v>44105</v>
      </c>
      <c r="B445" s="6">
        <v>499.51001000000002</v>
      </c>
      <c r="C445" s="6">
        <v>217.08999600000001</v>
      </c>
      <c r="D445" s="6">
        <v>40.740001999999997</v>
      </c>
      <c r="E445" s="6">
        <v>140.800003</v>
      </c>
      <c r="F445" s="6">
        <v>91.989998</v>
      </c>
      <c r="G445" s="6">
        <v>33.799999</v>
      </c>
      <c r="H445" s="6">
        <v>107.139999</v>
      </c>
      <c r="I445" s="6">
        <v>145.11999499999999</v>
      </c>
      <c r="J445" s="6">
        <v>16.77</v>
      </c>
      <c r="K445" s="6">
        <v>21.51</v>
      </c>
      <c r="N445" s="19">
        <v>441</v>
      </c>
      <c r="O445" s="1">
        <v>44105</v>
      </c>
      <c r="P445" s="5">
        <f t="shared" si="166"/>
        <v>1.8345094898736588E-2</v>
      </c>
      <c r="Q445" s="5">
        <f t="shared" si="167"/>
        <v>1.4429461658001602E-2</v>
      </c>
      <c r="R445" s="5">
        <f t="shared" si="168"/>
        <v>1.5834175453249586E-2</v>
      </c>
      <c r="S445" s="5">
        <f t="shared" si="169"/>
        <v>1.5748334984914819E-2</v>
      </c>
      <c r="T445" s="5">
        <f t="shared" si="170"/>
        <v>3.3268194654235292E-2</v>
      </c>
      <c r="U445" s="5">
        <f t="shared" si="171"/>
        <v>3.5841752436506606E-2</v>
      </c>
      <c r="V445" s="5">
        <f t="shared" si="172"/>
        <v>-1.1138012189715234E-2</v>
      </c>
      <c r="W445" s="5">
        <f t="shared" si="173"/>
        <v>-1.3755631780826089E-2</v>
      </c>
      <c r="X445" s="5">
        <f t="shared" si="174"/>
        <v>5.9808790724146478E-3</v>
      </c>
      <c r="Y445" s="5">
        <f t="shared" si="175"/>
        <v>-1.2014931966817285E-2</v>
      </c>
      <c r="Z445" s="33">
        <v>441</v>
      </c>
      <c r="AE445" s="20" t="str">
        <f t="shared" si="176"/>
        <v/>
      </c>
      <c r="AF445" s="22" t="str">
        <f t="shared" si="177"/>
        <v/>
      </c>
      <c r="AG445" s="9" t="str">
        <f t="shared" ca="1" si="156"/>
        <v/>
      </c>
      <c r="AH445" s="9" t="str">
        <f t="shared" ca="1" si="157"/>
        <v/>
      </c>
      <c r="AI445" s="9" t="str">
        <f t="shared" ca="1" si="158"/>
        <v/>
      </c>
      <c r="AJ445" s="9" t="str">
        <f t="shared" ca="1" si="159"/>
        <v/>
      </c>
      <c r="AK445" s="9" t="str">
        <f t="shared" ca="1" si="160"/>
        <v/>
      </c>
      <c r="AL445" s="9" t="str">
        <f t="shared" ca="1" si="161"/>
        <v/>
      </c>
      <c r="AM445" s="9" t="str">
        <f t="shared" ca="1" si="162"/>
        <v/>
      </c>
      <c r="AN445" s="9" t="str">
        <f t="shared" ca="1" si="163"/>
        <v/>
      </c>
      <c r="AO445" s="9" t="str">
        <f t="shared" ca="1" si="164"/>
        <v/>
      </c>
      <c r="AP445" s="9" t="str">
        <f t="shared" ca="1" si="165"/>
        <v/>
      </c>
      <c r="AQ445" s="9"/>
      <c r="AR445" s="9"/>
      <c r="AS445" s="9"/>
      <c r="AT445" s="9"/>
      <c r="AU445" s="9"/>
    </row>
    <row r="446" spans="1:47" x14ac:dyDescent="0.3">
      <c r="A446" s="1">
        <v>44106</v>
      </c>
      <c r="B446" s="6">
        <v>478.98998999999998</v>
      </c>
      <c r="C446" s="6">
        <v>212.050003</v>
      </c>
      <c r="D446" s="6">
        <v>39.775002000000001</v>
      </c>
      <c r="E446" s="6">
        <v>138.05999800000001</v>
      </c>
      <c r="F446" s="6">
        <v>94.839995999999999</v>
      </c>
      <c r="G446" s="6">
        <v>34.740001999999997</v>
      </c>
      <c r="H446" s="6">
        <v>110.050003</v>
      </c>
      <c r="I446" s="6">
        <v>148.11999499999999</v>
      </c>
      <c r="J446" s="6">
        <v>17.41</v>
      </c>
      <c r="K446" s="6">
        <v>21.5</v>
      </c>
      <c r="N446" s="18">
        <v>442</v>
      </c>
      <c r="O446" s="1">
        <v>44106</v>
      </c>
      <c r="P446" s="5">
        <f t="shared" si="166"/>
        <v>-4.1947938438843244E-2</v>
      </c>
      <c r="Q446" s="5">
        <f t="shared" si="167"/>
        <v>-2.3489885606919756E-2</v>
      </c>
      <c r="R446" s="5">
        <f t="shared" si="168"/>
        <v>-2.3971835383769818E-2</v>
      </c>
      <c r="S446" s="5">
        <f t="shared" si="169"/>
        <v>-1.9652106241885743E-2</v>
      </c>
      <c r="T446" s="5">
        <f t="shared" si="170"/>
        <v>3.0511365273334916E-2</v>
      </c>
      <c r="U446" s="5">
        <f t="shared" si="171"/>
        <v>2.7431045480307094E-2</v>
      </c>
      <c r="V446" s="5">
        <f t="shared" si="172"/>
        <v>2.6798454113574427E-2</v>
      </c>
      <c r="W446" s="5">
        <f t="shared" si="173"/>
        <v>2.046177037641643E-2</v>
      </c>
      <c r="X446" s="5">
        <f t="shared" si="174"/>
        <v>3.7453177944980293E-2</v>
      </c>
      <c r="Y446" s="5">
        <f t="shared" si="175"/>
        <v>-4.6500814602158739E-4</v>
      </c>
      <c r="Z446" s="33">
        <v>442</v>
      </c>
      <c r="AE446" s="20" t="str">
        <f t="shared" si="176"/>
        <v/>
      </c>
      <c r="AF446" s="22" t="str">
        <f t="shared" si="177"/>
        <v/>
      </c>
      <c r="AG446" s="9" t="str">
        <f t="shared" ca="1" si="156"/>
        <v/>
      </c>
      <c r="AH446" s="9" t="str">
        <f t="shared" ca="1" si="157"/>
        <v/>
      </c>
      <c r="AI446" s="9" t="str">
        <f t="shared" ca="1" si="158"/>
        <v/>
      </c>
      <c r="AJ446" s="9" t="str">
        <f t="shared" ca="1" si="159"/>
        <v/>
      </c>
      <c r="AK446" s="9" t="str">
        <f t="shared" ca="1" si="160"/>
        <v/>
      </c>
      <c r="AL446" s="9" t="str">
        <f t="shared" ca="1" si="161"/>
        <v/>
      </c>
      <c r="AM446" s="9" t="str">
        <f t="shared" ca="1" si="162"/>
        <v/>
      </c>
      <c r="AN446" s="9" t="str">
        <f t="shared" ca="1" si="163"/>
        <v/>
      </c>
      <c r="AO446" s="9" t="str">
        <f t="shared" ca="1" si="164"/>
        <v/>
      </c>
      <c r="AP446" s="9" t="str">
        <f t="shared" ca="1" si="165"/>
        <v/>
      </c>
      <c r="AQ446" s="9"/>
      <c r="AR446" s="9"/>
      <c r="AS446" s="9"/>
      <c r="AT446" s="9"/>
      <c r="AU446" s="9"/>
    </row>
    <row r="447" spans="1:47" x14ac:dyDescent="0.3">
      <c r="A447" s="1">
        <v>44109</v>
      </c>
      <c r="B447" s="6">
        <v>486.47000100000002</v>
      </c>
      <c r="C447" s="6">
        <v>216.63999899999999</v>
      </c>
      <c r="D447" s="6">
        <v>39.334999000000003</v>
      </c>
      <c r="E447" s="6">
        <v>137.929993</v>
      </c>
      <c r="F447" s="6">
        <v>96.559997999999993</v>
      </c>
      <c r="G447" s="6">
        <v>35.110000999999997</v>
      </c>
      <c r="H447" s="6">
        <v>111.33000199999999</v>
      </c>
      <c r="I447" s="6">
        <v>151.63000500000001</v>
      </c>
      <c r="J447" s="6">
        <v>17.620000999999998</v>
      </c>
      <c r="K447" s="6">
        <v>21.91</v>
      </c>
      <c r="N447" s="19">
        <v>443</v>
      </c>
      <c r="O447" s="1">
        <v>44109</v>
      </c>
      <c r="P447" s="5">
        <f t="shared" si="166"/>
        <v>1.5495537337566168E-2</v>
      </c>
      <c r="Q447" s="5">
        <f t="shared" si="167"/>
        <v>2.1414875039750984E-2</v>
      </c>
      <c r="R447" s="5">
        <f t="shared" si="168"/>
        <v>-1.1123942148136346E-2</v>
      </c>
      <c r="S447" s="5">
        <f t="shared" si="169"/>
        <v>-9.4209945182778597E-4</v>
      </c>
      <c r="T447" s="5">
        <f t="shared" si="170"/>
        <v>1.7973337055858445E-2</v>
      </c>
      <c r="U447" s="5">
        <f t="shared" si="171"/>
        <v>1.05942002787734E-2</v>
      </c>
      <c r="V447" s="5">
        <f t="shared" si="172"/>
        <v>1.1563946472418823E-2</v>
      </c>
      <c r="W447" s="5">
        <f t="shared" si="173"/>
        <v>2.3420653498854867E-2</v>
      </c>
      <c r="X447" s="5">
        <f t="shared" si="174"/>
        <v>1.1989923481623165E-2</v>
      </c>
      <c r="Y447" s="5">
        <f t="shared" si="175"/>
        <v>1.8890218473758082E-2</v>
      </c>
      <c r="Z447" s="33">
        <v>443</v>
      </c>
      <c r="AE447" s="20" t="str">
        <f t="shared" si="176"/>
        <v/>
      </c>
      <c r="AF447" s="22" t="str">
        <f t="shared" si="177"/>
        <v/>
      </c>
      <c r="AG447" s="9" t="str">
        <f t="shared" ca="1" si="156"/>
        <v/>
      </c>
      <c r="AH447" s="9" t="str">
        <f t="shared" ca="1" si="157"/>
        <v/>
      </c>
      <c r="AI447" s="9" t="str">
        <f t="shared" ca="1" si="158"/>
        <v/>
      </c>
      <c r="AJ447" s="9" t="str">
        <f t="shared" ca="1" si="159"/>
        <v/>
      </c>
      <c r="AK447" s="9" t="str">
        <f t="shared" ca="1" si="160"/>
        <v/>
      </c>
      <c r="AL447" s="9" t="str">
        <f t="shared" ca="1" si="161"/>
        <v/>
      </c>
      <c r="AM447" s="9" t="str">
        <f t="shared" ca="1" si="162"/>
        <v/>
      </c>
      <c r="AN447" s="9" t="str">
        <f t="shared" ca="1" si="163"/>
        <v/>
      </c>
      <c r="AO447" s="9" t="str">
        <f t="shared" ca="1" si="164"/>
        <v/>
      </c>
      <c r="AP447" s="9" t="str">
        <f t="shared" ca="1" si="165"/>
        <v/>
      </c>
      <c r="AQ447" s="9"/>
      <c r="AR447" s="9"/>
      <c r="AS447" s="9"/>
      <c r="AT447" s="9"/>
      <c r="AU447" s="9"/>
    </row>
    <row r="448" spans="1:47" x14ac:dyDescent="0.3">
      <c r="A448" s="1">
        <v>44110</v>
      </c>
      <c r="B448" s="6">
        <v>478.98001099999999</v>
      </c>
      <c r="C448" s="6">
        <v>214.33999600000001</v>
      </c>
      <c r="D448" s="6">
        <v>38.814999</v>
      </c>
      <c r="E448" s="6">
        <v>135.699997</v>
      </c>
      <c r="F448" s="6">
        <v>96.870002999999997</v>
      </c>
      <c r="G448" s="6">
        <v>35.060001</v>
      </c>
      <c r="H448" s="6">
        <v>110.089996</v>
      </c>
      <c r="I448" s="6">
        <v>156.050003</v>
      </c>
      <c r="J448" s="6">
        <v>17.48</v>
      </c>
      <c r="K448" s="6">
        <v>21.52</v>
      </c>
      <c r="N448" s="18">
        <v>444</v>
      </c>
      <c r="O448" s="1">
        <v>44110</v>
      </c>
      <c r="P448" s="5">
        <f t="shared" si="166"/>
        <v>-1.5516370975341833E-2</v>
      </c>
      <c r="Q448" s="5">
        <f t="shared" si="167"/>
        <v>-1.0673464485045503E-2</v>
      </c>
      <c r="R448" s="5">
        <f t="shared" si="168"/>
        <v>-1.3307938264146557E-2</v>
      </c>
      <c r="S448" s="5">
        <f t="shared" si="169"/>
        <v>-1.6299714603813631E-2</v>
      </c>
      <c r="T448" s="5">
        <f t="shared" si="170"/>
        <v>3.205348330868012E-3</v>
      </c>
      <c r="U448" s="5">
        <f t="shared" si="171"/>
        <v>-1.4251106466335673E-3</v>
      </c>
      <c r="V448" s="5">
        <f t="shared" si="172"/>
        <v>-1.1200604956822941E-2</v>
      </c>
      <c r="W448" s="5">
        <f t="shared" si="173"/>
        <v>2.8733112153543468E-2</v>
      </c>
      <c r="X448" s="5">
        <f t="shared" si="174"/>
        <v>-7.9773070343313272E-3</v>
      </c>
      <c r="Y448" s="5">
        <f t="shared" si="175"/>
        <v>-1.7960418313791561E-2</v>
      </c>
      <c r="Z448" s="33">
        <v>444</v>
      </c>
      <c r="AE448" s="20" t="str">
        <f t="shared" si="176"/>
        <v/>
      </c>
      <c r="AF448" s="22" t="str">
        <f t="shared" si="177"/>
        <v/>
      </c>
      <c r="AG448" s="9" t="str">
        <f t="shared" ca="1" si="156"/>
        <v/>
      </c>
      <c r="AH448" s="9" t="str">
        <f t="shared" ca="1" si="157"/>
        <v/>
      </c>
      <c r="AI448" s="9" t="str">
        <f t="shared" ca="1" si="158"/>
        <v/>
      </c>
      <c r="AJ448" s="9" t="str">
        <f t="shared" ca="1" si="159"/>
        <v/>
      </c>
      <c r="AK448" s="9" t="str">
        <f t="shared" ca="1" si="160"/>
        <v/>
      </c>
      <c r="AL448" s="9" t="str">
        <f t="shared" ca="1" si="161"/>
        <v/>
      </c>
      <c r="AM448" s="9" t="str">
        <f t="shared" ca="1" si="162"/>
        <v/>
      </c>
      <c r="AN448" s="9" t="str">
        <f t="shared" ca="1" si="163"/>
        <v/>
      </c>
      <c r="AO448" s="9" t="str">
        <f t="shared" ca="1" si="164"/>
        <v/>
      </c>
      <c r="AP448" s="9" t="str">
        <f t="shared" ca="1" si="165"/>
        <v/>
      </c>
      <c r="AQ448" s="9"/>
      <c r="AR448" s="9"/>
      <c r="AS448" s="9"/>
      <c r="AT448" s="9"/>
      <c r="AU448" s="9"/>
    </row>
    <row r="449" spans="1:47" x14ac:dyDescent="0.3">
      <c r="A449" s="1">
        <v>44111</v>
      </c>
      <c r="B449" s="6">
        <v>493.14999399999999</v>
      </c>
      <c r="C449" s="6">
        <v>219.529999</v>
      </c>
      <c r="D449" s="6">
        <v>39.380001</v>
      </c>
      <c r="E449" s="6">
        <v>137.009995</v>
      </c>
      <c r="F449" s="6">
        <v>96.5</v>
      </c>
      <c r="G449" s="6">
        <v>35.209999000000003</v>
      </c>
      <c r="H449" s="6">
        <v>111.699997</v>
      </c>
      <c r="I449" s="6">
        <v>158.39999399999999</v>
      </c>
      <c r="J449" s="6">
        <v>18.030000999999999</v>
      </c>
      <c r="K449" s="6">
        <v>22.190000999999999</v>
      </c>
      <c r="N449" s="19">
        <v>445</v>
      </c>
      <c r="O449" s="1">
        <v>44111</v>
      </c>
      <c r="P449" s="5">
        <f t="shared" si="166"/>
        <v>2.9154509382088269E-2</v>
      </c>
      <c r="Q449" s="5">
        <f t="shared" si="167"/>
        <v>2.3925372257733394E-2</v>
      </c>
      <c r="R449" s="5">
        <f t="shared" si="168"/>
        <v>1.4451354510172586E-2</v>
      </c>
      <c r="S449" s="5">
        <f t="shared" si="169"/>
        <v>9.6073346380972351E-3</v>
      </c>
      <c r="T449" s="5">
        <f t="shared" si="170"/>
        <v>-3.8268960626931556E-3</v>
      </c>
      <c r="U449" s="5">
        <f t="shared" si="171"/>
        <v>4.2691967503175046E-3</v>
      </c>
      <c r="V449" s="5">
        <f t="shared" si="172"/>
        <v>1.4518502469097692E-2</v>
      </c>
      <c r="W449" s="5">
        <f t="shared" si="173"/>
        <v>1.4946953560141073E-2</v>
      </c>
      <c r="X449" s="5">
        <f t="shared" si="174"/>
        <v>3.0979722450951805E-2</v>
      </c>
      <c r="Y449" s="5">
        <f t="shared" si="175"/>
        <v>3.0659046716262541E-2</v>
      </c>
      <c r="Z449" s="33">
        <v>445</v>
      </c>
      <c r="AE449" s="20" t="str">
        <f t="shared" si="176"/>
        <v/>
      </c>
      <c r="AF449" s="22" t="str">
        <f t="shared" si="177"/>
        <v/>
      </c>
      <c r="AG449" s="9" t="str">
        <f t="shared" ca="1" si="156"/>
        <v/>
      </c>
      <c r="AH449" s="9" t="str">
        <f t="shared" ca="1" si="157"/>
        <v/>
      </c>
      <c r="AI449" s="9" t="str">
        <f t="shared" ca="1" si="158"/>
        <v/>
      </c>
      <c r="AJ449" s="9" t="str">
        <f t="shared" ca="1" si="159"/>
        <v/>
      </c>
      <c r="AK449" s="9" t="str">
        <f t="shared" ca="1" si="160"/>
        <v/>
      </c>
      <c r="AL449" s="9" t="str">
        <f t="shared" ca="1" si="161"/>
        <v/>
      </c>
      <c r="AM449" s="9" t="str">
        <f t="shared" ca="1" si="162"/>
        <v/>
      </c>
      <c r="AN449" s="9" t="str">
        <f t="shared" ca="1" si="163"/>
        <v/>
      </c>
      <c r="AO449" s="9" t="str">
        <f t="shared" ca="1" si="164"/>
        <v/>
      </c>
      <c r="AP449" s="9" t="str">
        <f t="shared" ca="1" si="165"/>
        <v/>
      </c>
      <c r="AQ449" s="9"/>
      <c r="AR449" s="9"/>
      <c r="AS449" s="9"/>
      <c r="AT449" s="9"/>
      <c r="AU449" s="9"/>
    </row>
    <row r="450" spans="1:47" x14ac:dyDescent="0.3">
      <c r="A450" s="1">
        <v>44112</v>
      </c>
      <c r="B450" s="6">
        <v>490.83999599999999</v>
      </c>
      <c r="C450" s="6">
        <v>219.029999</v>
      </c>
      <c r="D450" s="6">
        <v>39.584999000000003</v>
      </c>
      <c r="E450" s="6">
        <v>137.85000600000001</v>
      </c>
      <c r="F450" s="6">
        <v>98.059997999999993</v>
      </c>
      <c r="G450" s="6">
        <v>35.740001999999997</v>
      </c>
      <c r="H450" s="6">
        <v>112.93</v>
      </c>
      <c r="I450" s="6">
        <v>158.38999899999999</v>
      </c>
      <c r="J450" s="6">
        <v>18.34</v>
      </c>
      <c r="K450" s="6">
        <v>22.77</v>
      </c>
      <c r="N450" s="18">
        <v>446</v>
      </c>
      <c r="O450" s="1">
        <v>44112</v>
      </c>
      <c r="P450" s="5">
        <f t="shared" si="166"/>
        <v>-4.6951742742669597E-3</v>
      </c>
      <c r="Q450" s="5">
        <f t="shared" si="167"/>
        <v>-2.2801907101258597E-3</v>
      </c>
      <c r="R450" s="5">
        <f t="shared" si="168"/>
        <v>5.1921347567227384E-3</v>
      </c>
      <c r="S450" s="5">
        <f t="shared" si="169"/>
        <v>6.1123016240461252E-3</v>
      </c>
      <c r="T450" s="5">
        <f t="shared" si="170"/>
        <v>1.6036507482470531E-2</v>
      </c>
      <c r="U450" s="5">
        <f t="shared" si="171"/>
        <v>1.4940460925050957E-2</v>
      </c>
      <c r="V450" s="5">
        <f t="shared" si="172"/>
        <v>1.0951478518078693E-2</v>
      </c>
      <c r="W450" s="5">
        <f t="shared" si="173"/>
        <v>-6.3101740737924819E-5</v>
      </c>
      <c r="X450" s="5">
        <f t="shared" si="174"/>
        <v>1.7047374149977434E-2</v>
      </c>
      <c r="Y450" s="5">
        <f t="shared" si="175"/>
        <v>2.5802098065801984E-2</v>
      </c>
      <c r="Z450" s="33">
        <v>446</v>
      </c>
      <c r="AE450" s="20" t="str">
        <f t="shared" si="176"/>
        <v/>
      </c>
      <c r="AF450" s="22" t="str">
        <f t="shared" si="177"/>
        <v/>
      </c>
      <c r="AG450" s="9" t="str">
        <f t="shared" ca="1" si="156"/>
        <v/>
      </c>
      <c r="AH450" s="9" t="str">
        <f t="shared" ca="1" si="157"/>
        <v/>
      </c>
      <c r="AI450" s="9" t="str">
        <f t="shared" ca="1" si="158"/>
        <v/>
      </c>
      <c r="AJ450" s="9" t="str">
        <f t="shared" ca="1" si="159"/>
        <v/>
      </c>
      <c r="AK450" s="9" t="str">
        <f t="shared" ca="1" si="160"/>
        <v/>
      </c>
      <c r="AL450" s="9" t="str">
        <f t="shared" ca="1" si="161"/>
        <v/>
      </c>
      <c r="AM450" s="9" t="str">
        <f t="shared" ca="1" si="162"/>
        <v/>
      </c>
      <c r="AN450" s="9" t="str">
        <f t="shared" ca="1" si="163"/>
        <v/>
      </c>
      <c r="AO450" s="9" t="str">
        <f t="shared" ca="1" si="164"/>
        <v/>
      </c>
      <c r="AP450" s="9" t="str">
        <f t="shared" ca="1" si="165"/>
        <v/>
      </c>
      <c r="AQ450" s="9"/>
      <c r="AR450" s="9"/>
      <c r="AS450" s="9"/>
      <c r="AT450" s="9"/>
      <c r="AU450" s="9"/>
    </row>
    <row r="451" spans="1:47" x14ac:dyDescent="0.3">
      <c r="A451" s="1">
        <v>44113</v>
      </c>
      <c r="B451" s="6">
        <v>502.16000400000001</v>
      </c>
      <c r="C451" s="6">
        <v>222.820007</v>
      </c>
      <c r="D451" s="6">
        <v>40.474997999999999</v>
      </c>
      <c r="E451" s="6">
        <v>138.44000199999999</v>
      </c>
      <c r="F451" s="6">
        <v>96.32</v>
      </c>
      <c r="G451" s="6">
        <v>35.470001000000003</v>
      </c>
      <c r="H451" s="6">
        <v>113.08000199999999</v>
      </c>
      <c r="I451" s="6">
        <v>157.21000699999999</v>
      </c>
      <c r="J451" s="6">
        <v>18.360001</v>
      </c>
      <c r="K451" s="6">
        <v>22.24</v>
      </c>
      <c r="N451" s="19">
        <v>447</v>
      </c>
      <c r="O451" s="1">
        <v>44113</v>
      </c>
      <c r="P451" s="5">
        <f t="shared" si="166"/>
        <v>2.2800601015813091E-2</v>
      </c>
      <c r="Q451" s="5">
        <f t="shared" si="167"/>
        <v>1.7155599876142784E-2</v>
      </c>
      <c r="R451" s="5">
        <f t="shared" si="168"/>
        <v>2.2234216789176871E-2</v>
      </c>
      <c r="S451" s="5">
        <f t="shared" si="169"/>
        <v>4.2708522184589578E-3</v>
      </c>
      <c r="T451" s="5">
        <f t="shared" si="170"/>
        <v>-1.7903534266899907E-2</v>
      </c>
      <c r="U451" s="5">
        <f t="shared" si="171"/>
        <v>-7.5832687126201866E-3</v>
      </c>
      <c r="V451" s="5">
        <f t="shared" si="172"/>
        <v>1.3273927764038981E-3</v>
      </c>
      <c r="W451" s="5">
        <f t="shared" si="173"/>
        <v>-7.4778040309478183E-3</v>
      </c>
      <c r="X451" s="5">
        <f t="shared" si="174"/>
        <v>1.0899728302551338E-3</v>
      </c>
      <c r="Y451" s="5">
        <f t="shared" si="175"/>
        <v>-2.3551410693266689E-2</v>
      </c>
      <c r="Z451" s="33">
        <v>447</v>
      </c>
      <c r="AE451" s="20" t="str">
        <f t="shared" si="176"/>
        <v/>
      </c>
      <c r="AF451" s="22" t="str">
        <f t="shared" si="177"/>
        <v/>
      </c>
      <c r="AG451" s="9" t="str">
        <f t="shared" ca="1" si="156"/>
        <v/>
      </c>
      <c r="AH451" s="9" t="str">
        <f t="shared" ca="1" si="157"/>
        <v/>
      </c>
      <c r="AI451" s="9" t="str">
        <f t="shared" ca="1" si="158"/>
        <v/>
      </c>
      <c r="AJ451" s="9" t="str">
        <f t="shared" ca="1" si="159"/>
        <v/>
      </c>
      <c r="AK451" s="9" t="str">
        <f t="shared" ca="1" si="160"/>
        <v/>
      </c>
      <c r="AL451" s="9" t="str">
        <f t="shared" ca="1" si="161"/>
        <v/>
      </c>
      <c r="AM451" s="9" t="str">
        <f t="shared" ca="1" si="162"/>
        <v/>
      </c>
      <c r="AN451" s="9" t="str">
        <f t="shared" ca="1" si="163"/>
        <v/>
      </c>
      <c r="AO451" s="9" t="str">
        <f t="shared" ca="1" si="164"/>
        <v/>
      </c>
      <c r="AP451" s="9" t="str">
        <f t="shared" ca="1" si="165"/>
        <v/>
      </c>
      <c r="AQ451" s="9"/>
      <c r="AR451" s="9"/>
      <c r="AS451" s="9"/>
      <c r="AT451" s="9"/>
      <c r="AU451" s="9"/>
    </row>
    <row r="452" spans="1:47" x14ac:dyDescent="0.3">
      <c r="A452" s="1">
        <v>44116</v>
      </c>
      <c r="B452" s="6">
        <v>510.89001500000001</v>
      </c>
      <c r="C452" s="6">
        <v>228.929993</v>
      </c>
      <c r="D452" s="6">
        <v>41.389999000000003</v>
      </c>
      <c r="E452" s="6">
        <v>142.13000500000001</v>
      </c>
      <c r="F452" s="6">
        <v>97.120002999999997</v>
      </c>
      <c r="G452" s="6">
        <v>35.540000999999997</v>
      </c>
      <c r="H452" s="6">
        <v>113.970001</v>
      </c>
      <c r="I452" s="6">
        <v>157.759995</v>
      </c>
      <c r="J452" s="6">
        <v>18.549999</v>
      </c>
      <c r="K452" s="6">
        <v>22.34</v>
      </c>
      <c r="N452" s="18">
        <v>448</v>
      </c>
      <c r="O452" s="1">
        <v>44116</v>
      </c>
      <c r="P452" s="5">
        <f t="shared" si="166"/>
        <v>1.7235530228838981E-2</v>
      </c>
      <c r="Q452" s="5">
        <f t="shared" si="167"/>
        <v>2.7051947345956368E-2</v>
      </c>
      <c r="R452" s="5">
        <f t="shared" si="168"/>
        <v>2.2354831449736077E-2</v>
      </c>
      <c r="S452" s="5">
        <f t="shared" si="169"/>
        <v>2.6305133716146248E-2</v>
      </c>
      <c r="T452" s="5">
        <f t="shared" si="170"/>
        <v>8.271376640297954E-3</v>
      </c>
      <c r="U452" s="5">
        <f t="shared" si="171"/>
        <v>1.9715538854455706E-3</v>
      </c>
      <c r="V452" s="5">
        <f t="shared" si="172"/>
        <v>7.8397141298997726E-3</v>
      </c>
      <c r="W452" s="5">
        <f t="shared" si="173"/>
        <v>3.4923234307616571E-3</v>
      </c>
      <c r="X452" s="5">
        <f t="shared" si="174"/>
        <v>1.0295295486513013E-2</v>
      </c>
      <c r="Y452" s="5">
        <f t="shared" si="175"/>
        <v>4.4863242586731062E-3</v>
      </c>
      <c r="Z452" s="33">
        <v>448</v>
      </c>
      <c r="AE452" s="20" t="str">
        <f t="shared" si="176"/>
        <v/>
      </c>
      <c r="AF452" s="22" t="str">
        <f t="shared" si="177"/>
        <v/>
      </c>
      <c r="AG452" s="9" t="str">
        <f t="shared" ca="1" si="156"/>
        <v/>
      </c>
      <c r="AH452" s="9" t="str">
        <f t="shared" ca="1" si="157"/>
        <v/>
      </c>
      <c r="AI452" s="9" t="str">
        <f t="shared" ca="1" si="158"/>
        <v/>
      </c>
      <c r="AJ452" s="9" t="str">
        <f t="shared" ca="1" si="159"/>
        <v/>
      </c>
      <c r="AK452" s="9" t="str">
        <f t="shared" ca="1" si="160"/>
        <v/>
      </c>
      <c r="AL452" s="9" t="str">
        <f t="shared" ca="1" si="161"/>
        <v/>
      </c>
      <c r="AM452" s="9" t="str">
        <f t="shared" ca="1" si="162"/>
        <v/>
      </c>
      <c r="AN452" s="9" t="str">
        <f t="shared" ca="1" si="163"/>
        <v/>
      </c>
      <c r="AO452" s="9" t="str">
        <f t="shared" ca="1" si="164"/>
        <v/>
      </c>
      <c r="AP452" s="9" t="str">
        <f t="shared" ca="1" si="165"/>
        <v/>
      </c>
      <c r="AQ452" s="9"/>
      <c r="AR452" s="9"/>
      <c r="AS452" s="9"/>
      <c r="AT452" s="9"/>
      <c r="AU452" s="9"/>
    </row>
    <row r="453" spans="1:47" x14ac:dyDescent="0.3">
      <c r="A453" s="1">
        <v>44117</v>
      </c>
      <c r="B453" s="6">
        <v>514.30999799999995</v>
      </c>
      <c r="C453" s="6">
        <v>228.179993</v>
      </c>
      <c r="D453" s="6">
        <v>41.744999</v>
      </c>
      <c r="E453" s="6">
        <v>143.53999300000001</v>
      </c>
      <c r="F453" s="6">
        <v>96.440002000000007</v>
      </c>
      <c r="G453" s="6">
        <v>34.419998</v>
      </c>
      <c r="H453" s="6">
        <v>112.43</v>
      </c>
      <c r="I453" s="6">
        <v>155.470001</v>
      </c>
      <c r="J453" s="6">
        <v>17.93</v>
      </c>
      <c r="K453" s="6">
        <v>21.57</v>
      </c>
      <c r="N453" s="19">
        <v>449</v>
      </c>
      <c r="O453" s="1">
        <v>44117</v>
      </c>
      <c r="P453" s="5">
        <f t="shared" si="166"/>
        <v>6.6718604037670328E-3</v>
      </c>
      <c r="Q453" s="5">
        <f t="shared" si="167"/>
        <v>-3.2814889019312375E-3</v>
      </c>
      <c r="R453" s="5">
        <f t="shared" si="168"/>
        <v>8.5403780907831687E-3</v>
      </c>
      <c r="S453" s="5">
        <f t="shared" si="169"/>
        <v>9.8715263050490991E-3</v>
      </c>
      <c r="T453" s="5">
        <f t="shared" si="170"/>
        <v>-7.0262841495556429E-3</v>
      </c>
      <c r="U453" s="5">
        <f t="shared" si="171"/>
        <v>-3.2021118186175639E-2</v>
      </c>
      <c r="V453" s="5">
        <f t="shared" si="172"/>
        <v>-1.3604458880214386E-2</v>
      </c>
      <c r="W453" s="5">
        <f t="shared" si="173"/>
        <v>-1.4622065766854439E-2</v>
      </c>
      <c r="X453" s="5">
        <f t="shared" si="174"/>
        <v>-3.3994447528045403E-2</v>
      </c>
      <c r="Y453" s="5">
        <f t="shared" si="175"/>
        <v>-3.5075333239989633E-2</v>
      </c>
      <c r="Z453" s="33">
        <v>449</v>
      </c>
      <c r="AE453" s="20" t="str">
        <f t="shared" si="176"/>
        <v/>
      </c>
      <c r="AF453" s="22" t="str">
        <f t="shared" si="177"/>
        <v/>
      </c>
      <c r="AG453" s="9" t="str">
        <f t="shared" ref="AG453:AG516" ca="1" si="178">IF($AE453="","",OFFSET(P$4,$AE453,0))</f>
        <v/>
      </c>
      <c r="AH453" s="9" t="str">
        <f t="shared" ref="AH453:AH516" ca="1" si="179">IF($AE453="","",OFFSET(Q$4,$AE453,0))</f>
        <v/>
      </c>
      <c r="AI453" s="9" t="str">
        <f t="shared" ref="AI453:AI516" ca="1" si="180">IF($AE453="","",OFFSET(R$4,$AE453,0))</f>
        <v/>
      </c>
      <c r="AJ453" s="9" t="str">
        <f t="shared" ref="AJ453:AJ516" ca="1" si="181">IF($AE453="","",OFFSET(S$4,$AE453,0))</f>
        <v/>
      </c>
      <c r="AK453" s="9" t="str">
        <f t="shared" ref="AK453:AK516" ca="1" si="182">IF($AE453="","",OFFSET(T$4,$AE453,0))</f>
        <v/>
      </c>
      <c r="AL453" s="9" t="str">
        <f t="shared" ref="AL453:AL516" ca="1" si="183">IF($AE453="","",OFFSET(U$4,$AE453,0))</f>
        <v/>
      </c>
      <c r="AM453" s="9" t="str">
        <f t="shared" ref="AM453:AM516" ca="1" si="184">IF($AE453="","",OFFSET(V$4,$AE453,0))</f>
        <v/>
      </c>
      <c r="AN453" s="9" t="str">
        <f t="shared" ref="AN453:AN516" ca="1" si="185">IF($AE453="","",OFFSET(W$4,$AE453,0))</f>
        <v/>
      </c>
      <c r="AO453" s="9" t="str">
        <f t="shared" ref="AO453:AO516" ca="1" si="186">IF($AE453="","",OFFSET(X$4,$AE453,0))</f>
        <v/>
      </c>
      <c r="AP453" s="9" t="str">
        <f t="shared" ref="AP453:AP516" ca="1" si="187">IF($AE453="","",OFFSET(Y$4,$AE453,0))</f>
        <v/>
      </c>
      <c r="AQ453" s="9"/>
      <c r="AR453" s="9"/>
      <c r="AS453" s="9"/>
      <c r="AT453" s="9"/>
      <c r="AU453" s="9"/>
    </row>
    <row r="454" spans="1:47" x14ac:dyDescent="0.3">
      <c r="A454" s="1">
        <v>44118</v>
      </c>
      <c r="B454" s="6">
        <v>506.30999800000001</v>
      </c>
      <c r="C454" s="6">
        <v>226.80999800000001</v>
      </c>
      <c r="D454" s="6">
        <v>41.400002000000001</v>
      </c>
      <c r="E454" s="6">
        <v>142.520004</v>
      </c>
      <c r="F454" s="6">
        <v>95.190002000000007</v>
      </c>
      <c r="G454" s="6">
        <v>33.860000999999997</v>
      </c>
      <c r="H454" s="6">
        <v>113.620003</v>
      </c>
      <c r="I454" s="6">
        <v>156.83000200000001</v>
      </c>
      <c r="J454" s="6">
        <v>18.07</v>
      </c>
      <c r="K454" s="6">
        <v>20.93</v>
      </c>
      <c r="N454" s="18">
        <v>450</v>
      </c>
      <c r="O454" s="1">
        <v>44118</v>
      </c>
      <c r="P454" s="5">
        <f t="shared" ref="P454:P517" si="188">LN(B454/B453)</f>
        <v>-1.5677066641117281E-2</v>
      </c>
      <c r="Q454" s="5">
        <f t="shared" ref="Q454:Q517" si="189">LN(C454/C453)</f>
        <v>-6.0221067162964321E-3</v>
      </c>
      <c r="R454" s="5">
        <f t="shared" ref="R454:R517" si="190">LN(D454/D453)</f>
        <v>-8.2987305505524949E-3</v>
      </c>
      <c r="S454" s="5">
        <f t="shared" ref="S454:S517" si="191">LN(E454/E453)</f>
        <v>-7.1313244311592867E-3</v>
      </c>
      <c r="T454" s="5">
        <f t="shared" ref="T454:T517" si="192">LN(F454/F453)</f>
        <v>-1.3046158777428901E-2</v>
      </c>
      <c r="U454" s="5">
        <f t="shared" ref="U454:U517" si="193">LN(G454/G453)</f>
        <v>-1.6403326439277711E-2</v>
      </c>
      <c r="V454" s="5">
        <f t="shared" ref="V454:V517" si="194">LN(H454/H453)</f>
        <v>1.0528767771114266E-2</v>
      </c>
      <c r="W454" s="5">
        <f t="shared" ref="W454:W517" si="195">LN(I454/I453)</f>
        <v>8.709635505236837E-3</v>
      </c>
      <c r="X454" s="5">
        <f t="shared" ref="X454:X517" si="196">LN(J454/J453)</f>
        <v>7.7778169870955701E-3</v>
      </c>
      <c r="Y454" s="5">
        <f t="shared" ref="Y454:Y517" si="197">LN(K454/K453)</f>
        <v>-3.0119923943156719E-2</v>
      </c>
      <c r="Z454" s="33">
        <v>450</v>
      </c>
      <c r="AE454" s="20" t="str">
        <f t="shared" ref="AE454:AE517" si="198">IF(AE453="","",IF(AE453+1&lt;=$AC$5,AE453+1,""))</f>
        <v/>
      </c>
      <c r="AF454" s="22" t="str">
        <f t="shared" ref="AF454:AF517" si="199">IF(AE454="","",VLOOKUP(AE454,N453:O1710,2))</f>
        <v/>
      </c>
      <c r="AG454" s="9" t="str">
        <f t="shared" ca="1" si="178"/>
        <v/>
      </c>
      <c r="AH454" s="9" t="str">
        <f t="shared" ca="1" si="179"/>
        <v/>
      </c>
      <c r="AI454" s="9" t="str">
        <f t="shared" ca="1" si="180"/>
        <v/>
      </c>
      <c r="AJ454" s="9" t="str">
        <f t="shared" ca="1" si="181"/>
        <v/>
      </c>
      <c r="AK454" s="9" t="str">
        <f t="shared" ca="1" si="182"/>
        <v/>
      </c>
      <c r="AL454" s="9" t="str">
        <f t="shared" ca="1" si="183"/>
        <v/>
      </c>
      <c r="AM454" s="9" t="str">
        <f t="shared" ca="1" si="184"/>
        <v/>
      </c>
      <c r="AN454" s="9" t="str">
        <f t="shared" ca="1" si="185"/>
        <v/>
      </c>
      <c r="AO454" s="9" t="str">
        <f t="shared" ca="1" si="186"/>
        <v/>
      </c>
      <c r="AP454" s="9" t="str">
        <f t="shared" ca="1" si="187"/>
        <v/>
      </c>
      <c r="AQ454" s="9"/>
      <c r="AR454" s="9"/>
      <c r="AS454" s="9"/>
      <c r="AT454" s="9"/>
      <c r="AU454" s="9"/>
    </row>
    <row r="455" spans="1:47" x14ac:dyDescent="0.3">
      <c r="A455" s="1">
        <v>44119</v>
      </c>
      <c r="B455" s="6">
        <v>501.14999399999999</v>
      </c>
      <c r="C455" s="6">
        <v>228.029999</v>
      </c>
      <c r="D455" s="6">
        <v>40.695</v>
      </c>
      <c r="E455" s="6">
        <v>141.429993</v>
      </c>
      <c r="F455" s="6">
        <v>94.470000999999996</v>
      </c>
      <c r="G455" s="6">
        <v>33.810001</v>
      </c>
      <c r="H455" s="6">
        <v>113.900002</v>
      </c>
      <c r="I455" s="6">
        <v>157.970001</v>
      </c>
      <c r="J455" s="6">
        <v>17.959999</v>
      </c>
      <c r="K455" s="6">
        <v>20.969999000000001</v>
      </c>
      <c r="N455" s="19">
        <v>451</v>
      </c>
      <c r="O455" s="1">
        <v>44119</v>
      </c>
      <c r="P455" s="5">
        <f t="shared" si="188"/>
        <v>-1.0243680467941812E-2</v>
      </c>
      <c r="Q455" s="5">
        <f t="shared" si="189"/>
        <v>5.3645410862797078E-3</v>
      </c>
      <c r="R455" s="5">
        <f t="shared" si="190"/>
        <v>-1.7175694361441566E-2</v>
      </c>
      <c r="S455" s="5">
        <f t="shared" si="191"/>
        <v>-7.6775232659136213E-3</v>
      </c>
      <c r="T455" s="5">
        <f t="shared" si="192"/>
        <v>-7.5925809074102561E-3</v>
      </c>
      <c r="U455" s="5">
        <f t="shared" si="193"/>
        <v>-1.4777599415190187E-3</v>
      </c>
      <c r="V455" s="5">
        <f t="shared" si="194"/>
        <v>2.4613144796162036E-3</v>
      </c>
      <c r="W455" s="5">
        <f t="shared" si="195"/>
        <v>7.2427190123263924E-3</v>
      </c>
      <c r="X455" s="5">
        <f t="shared" si="196"/>
        <v>-6.1060974093724773E-3</v>
      </c>
      <c r="Y455" s="5">
        <f t="shared" si="197"/>
        <v>1.9092607687470906E-3</v>
      </c>
      <c r="Z455" s="33">
        <v>451</v>
      </c>
      <c r="AE455" s="20" t="str">
        <f t="shared" si="198"/>
        <v/>
      </c>
      <c r="AF455" s="22" t="str">
        <f t="shared" si="199"/>
        <v/>
      </c>
      <c r="AG455" s="9" t="str">
        <f t="shared" ca="1" si="178"/>
        <v/>
      </c>
      <c r="AH455" s="9" t="str">
        <f t="shared" ca="1" si="179"/>
        <v/>
      </c>
      <c r="AI455" s="9" t="str">
        <f t="shared" ca="1" si="180"/>
        <v/>
      </c>
      <c r="AJ455" s="9" t="str">
        <f t="shared" ca="1" si="181"/>
        <v/>
      </c>
      <c r="AK455" s="9" t="str">
        <f t="shared" ca="1" si="182"/>
        <v/>
      </c>
      <c r="AL455" s="9" t="str">
        <f t="shared" ca="1" si="183"/>
        <v/>
      </c>
      <c r="AM455" s="9" t="str">
        <f t="shared" ca="1" si="184"/>
        <v/>
      </c>
      <c r="AN455" s="9" t="str">
        <f t="shared" ca="1" si="185"/>
        <v/>
      </c>
      <c r="AO455" s="9" t="str">
        <f t="shared" ca="1" si="186"/>
        <v/>
      </c>
      <c r="AP455" s="9" t="str">
        <f t="shared" ca="1" si="187"/>
        <v/>
      </c>
      <c r="AQ455" s="9"/>
      <c r="AR455" s="9"/>
      <c r="AS455" s="9"/>
      <c r="AT455" s="9"/>
      <c r="AU455" s="9"/>
    </row>
    <row r="456" spans="1:47" x14ac:dyDescent="0.3">
      <c r="A456" s="1">
        <v>44120</v>
      </c>
      <c r="B456" s="6">
        <v>502.82000699999998</v>
      </c>
      <c r="C456" s="6">
        <v>226.479996</v>
      </c>
      <c r="D456" s="6">
        <v>40.380001</v>
      </c>
      <c r="E456" s="6">
        <v>141.729996</v>
      </c>
      <c r="F456" s="6">
        <v>92.18</v>
      </c>
      <c r="G456" s="6">
        <v>33.009998000000003</v>
      </c>
      <c r="H456" s="6">
        <v>114.07</v>
      </c>
      <c r="I456" s="6">
        <v>159.16000399999999</v>
      </c>
      <c r="J456" s="6">
        <v>18.260000000000002</v>
      </c>
      <c r="K456" s="6">
        <v>20.959999</v>
      </c>
      <c r="N456" s="18">
        <v>452</v>
      </c>
      <c r="O456" s="1">
        <v>44120</v>
      </c>
      <c r="P456" s="5">
        <f t="shared" si="188"/>
        <v>3.326821595483951E-3</v>
      </c>
      <c r="Q456" s="5">
        <f t="shared" si="189"/>
        <v>-6.8205717186305337E-3</v>
      </c>
      <c r="R456" s="5">
        <f t="shared" si="190"/>
        <v>-7.7705971295786401E-3</v>
      </c>
      <c r="S456" s="5">
        <f t="shared" si="191"/>
        <v>2.1189654181790708E-3</v>
      </c>
      <c r="T456" s="5">
        <f t="shared" si="192"/>
        <v>-2.453914707405155E-2</v>
      </c>
      <c r="U456" s="5">
        <f t="shared" si="193"/>
        <v>-2.3946161019443205E-2</v>
      </c>
      <c r="V456" s="5">
        <f t="shared" si="194"/>
        <v>1.4914070274076288E-3</v>
      </c>
      <c r="W456" s="5">
        <f t="shared" si="195"/>
        <v>7.5048627793485824E-3</v>
      </c>
      <c r="X456" s="5">
        <f t="shared" si="196"/>
        <v>1.656586797205771E-2</v>
      </c>
      <c r="Y456" s="5">
        <f t="shared" si="197"/>
        <v>-4.769854837388101E-4</v>
      </c>
      <c r="Z456" s="33">
        <v>452</v>
      </c>
      <c r="AE456" s="20" t="str">
        <f t="shared" si="198"/>
        <v/>
      </c>
      <c r="AF456" s="22" t="str">
        <f t="shared" si="199"/>
        <v/>
      </c>
      <c r="AG456" s="9" t="str">
        <f t="shared" ca="1" si="178"/>
        <v/>
      </c>
      <c r="AH456" s="9" t="str">
        <f t="shared" ca="1" si="179"/>
        <v/>
      </c>
      <c r="AI456" s="9" t="str">
        <f t="shared" ca="1" si="180"/>
        <v/>
      </c>
      <c r="AJ456" s="9" t="str">
        <f t="shared" ca="1" si="181"/>
        <v/>
      </c>
      <c r="AK456" s="9" t="str">
        <f t="shared" ca="1" si="182"/>
        <v/>
      </c>
      <c r="AL456" s="9" t="str">
        <f t="shared" ca="1" si="183"/>
        <v/>
      </c>
      <c r="AM456" s="9" t="str">
        <f t="shared" ca="1" si="184"/>
        <v/>
      </c>
      <c r="AN456" s="9" t="str">
        <f t="shared" ca="1" si="185"/>
        <v/>
      </c>
      <c r="AO456" s="9" t="str">
        <f t="shared" ca="1" si="186"/>
        <v/>
      </c>
      <c r="AP456" s="9" t="str">
        <f t="shared" ca="1" si="187"/>
        <v/>
      </c>
      <c r="AQ456" s="9"/>
      <c r="AR456" s="9"/>
      <c r="AS456" s="9"/>
      <c r="AT456" s="9"/>
      <c r="AU456" s="9"/>
    </row>
    <row r="457" spans="1:47" x14ac:dyDescent="0.3">
      <c r="A457" s="1">
        <v>44123</v>
      </c>
      <c r="B457" s="6">
        <v>495.20001200000002</v>
      </c>
      <c r="C457" s="6">
        <v>224.36999499999999</v>
      </c>
      <c r="D457" s="6">
        <v>40.005001</v>
      </c>
      <c r="E457" s="6">
        <v>139.679993</v>
      </c>
      <c r="F457" s="6">
        <v>90.989998</v>
      </c>
      <c r="G457" s="6">
        <v>32.139999000000003</v>
      </c>
      <c r="H457" s="6">
        <v>112.769997</v>
      </c>
      <c r="I457" s="6">
        <v>155.96000699999999</v>
      </c>
      <c r="J457" s="6">
        <v>17.739999999999998</v>
      </c>
      <c r="K457" s="6">
        <v>20.200001</v>
      </c>
      <c r="N457" s="19">
        <v>453</v>
      </c>
      <c r="O457" s="1">
        <v>44123</v>
      </c>
      <c r="P457" s="5">
        <f t="shared" si="188"/>
        <v>-1.5270521490876394E-2</v>
      </c>
      <c r="Q457" s="5">
        <f t="shared" si="189"/>
        <v>-9.360170554973863E-3</v>
      </c>
      <c r="R457" s="5">
        <f t="shared" si="190"/>
        <v>-9.3301663504638099E-3</v>
      </c>
      <c r="S457" s="5">
        <f t="shared" si="191"/>
        <v>-1.4569768979393407E-2</v>
      </c>
      <c r="T457" s="5">
        <f t="shared" si="192"/>
        <v>-1.2993598904200555E-2</v>
      </c>
      <c r="U457" s="5">
        <f t="shared" si="193"/>
        <v>-2.6709156081909904E-2</v>
      </c>
      <c r="V457" s="5">
        <f t="shared" si="194"/>
        <v>-1.1461975398430397E-2</v>
      </c>
      <c r="W457" s="5">
        <f t="shared" si="195"/>
        <v>-2.0310401692971311E-2</v>
      </c>
      <c r="X457" s="5">
        <f t="shared" si="196"/>
        <v>-2.8890898285389197E-2</v>
      </c>
      <c r="Y457" s="5">
        <f t="shared" si="197"/>
        <v>-3.6933157830808229E-2</v>
      </c>
      <c r="Z457" s="33">
        <v>453</v>
      </c>
      <c r="AE457" s="20" t="str">
        <f t="shared" si="198"/>
        <v/>
      </c>
      <c r="AF457" s="22" t="str">
        <f t="shared" si="199"/>
        <v/>
      </c>
      <c r="AG457" s="9" t="str">
        <f t="shared" ca="1" si="178"/>
        <v/>
      </c>
      <c r="AH457" s="9" t="str">
        <f t="shared" ca="1" si="179"/>
        <v/>
      </c>
      <c r="AI457" s="9" t="str">
        <f t="shared" ca="1" si="180"/>
        <v/>
      </c>
      <c r="AJ457" s="9" t="str">
        <f t="shared" ca="1" si="181"/>
        <v/>
      </c>
      <c r="AK457" s="9" t="str">
        <f t="shared" ca="1" si="182"/>
        <v/>
      </c>
      <c r="AL457" s="9" t="str">
        <f t="shared" ca="1" si="183"/>
        <v/>
      </c>
      <c r="AM457" s="9" t="str">
        <f t="shared" ca="1" si="184"/>
        <v/>
      </c>
      <c r="AN457" s="9" t="str">
        <f t="shared" ca="1" si="185"/>
        <v/>
      </c>
      <c r="AO457" s="9" t="str">
        <f t="shared" ca="1" si="186"/>
        <v/>
      </c>
      <c r="AP457" s="9" t="str">
        <f t="shared" ca="1" si="187"/>
        <v/>
      </c>
      <c r="AQ457" s="9"/>
      <c r="AR457" s="9"/>
      <c r="AS457" s="9"/>
      <c r="AT457" s="9"/>
      <c r="AU457" s="9"/>
    </row>
    <row r="458" spans="1:47" x14ac:dyDescent="0.3">
      <c r="A458" s="1">
        <v>44124</v>
      </c>
      <c r="B458" s="6">
        <v>494.57998700000002</v>
      </c>
      <c r="C458" s="6">
        <v>226.39999399999999</v>
      </c>
      <c r="D458" s="6">
        <v>40.099997999999999</v>
      </c>
      <c r="E458" s="6">
        <v>139.71000699999999</v>
      </c>
      <c r="F458" s="6">
        <v>91.279999000000004</v>
      </c>
      <c r="G458" s="6">
        <v>32.32</v>
      </c>
      <c r="H458" s="6">
        <v>114.239998</v>
      </c>
      <c r="I458" s="6">
        <v>154.929993</v>
      </c>
      <c r="J458" s="6">
        <v>18</v>
      </c>
      <c r="K458" s="6">
        <v>20.25</v>
      </c>
      <c r="N458" s="18">
        <v>454</v>
      </c>
      <c r="O458" s="1">
        <v>44124</v>
      </c>
      <c r="P458" s="5">
        <f t="shared" si="188"/>
        <v>-1.2528543347571819E-3</v>
      </c>
      <c r="Q458" s="5">
        <f t="shared" si="189"/>
        <v>9.0068672401943193E-3</v>
      </c>
      <c r="R458" s="5">
        <f t="shared" si="190"/>
        <v>2.3718131382480857E-3</v>
      </c>
      <c r="S458" s="5">
        <f t="shared" si="191"/>
        <v>2.1485378943740012E-4</v>
      </c>
      <c r="T458" s="5">
        <f t="shared" si="192"/>
        <v>3.1821062103560673E-3</v>
      </c>
      <c r="U458" s="5">
        <f t="shared" si="193"/>
        <v>5.5849044574053028E-3</v>
      </c>
      <c r="V458" s="5">
        <f t="shared" si="194"/>
        <v>1.29511614428953E-2</v>
      </c>
      <c r="W458" s="5">
        <f t="shared" si="195"/>
        <v>-6.6262521711944666E-3</v>
      </c>
      <c r="X458" s="5">
        <f t="shared" si="196"/>
        <v>1.4549781014731365E-2</v>
      </c>
      <c r="Y458" s="5">
        <f t="shared" si="197"/>
        <v>2.4721396404398369E-3</v>
      </c>
      <c r="Z458" s="33">
        <v>454</v>
      </c>
      <c r="AE458" s="20" t="str">
        <f t="shared" si="198"/>
        <v/>
      </c>
      <c r="AF458" s="22" t="str">
        <f t="shared" si="199"/>
        <v/>
      </c>
      <c r="AG458" s="9" t="str">
        <f t="shared" ca="1" si="178"/>
        <v/>
      </c>
      <c r="AH458" s="9" t="str">
        <f t="shared" ca="1" si="179"/>
        <v/>
      </c>
      <c r="AI458" s="9" t="str">
        <f t="shared" ca="1" si="180"/>
        <v/>
      </c>
      <c r="AJ458" s="9" t="str">
        <f t="shared" ca="1" si="181"/>
        <v/>
      </c>
      <c r="AK458" s="9" t="str">
        <f t="shared" ca="1" si="182"/>
        <v/>
      </c>
      <c r="AL458" s="9" t="str">
        <f t="shared" ca="1" si="183"/>
        <v/>
      </c>
      <c r="AM458" s="9" t="str">
        <f t="shared" ca="1" si="184"/>
        <v/>
      </c>
      <c r="AN458" s="9" t="str">
        <f t="shared" ca="1" si="185"/>
        <v/>
      </c>
      <c r="AO458" s="9" t="str">
        <f t="shared" ca="1" si="186"/>
        <v/>
      </c>
      <c r="AP458" s="9" t="str">
        <f t="shared" ca="1" si="187"/>
        <v/>
      </c>
      <c r="AQ458" s="9"/>
      <c r="AR458" s="9"/>
      <c r="AS458" s="9"/>
      <c r="AT458" s="9"/>
      <c r="AU458" s="9"/>
    </row>
    <row r="459" spans="1:47" x14ac:dyDescent="0.3">
      <c r="A459" s="1">
        <v>44125</v>
      </c>
      <c r="B459" s="6">
        <v>495.959991</v>
      </c>
      <c r="C459" s="6">
        <v>227.449997</v>
      </c>
      <c r="D459" s="6">
        <v>40.044998</v>
      </c>
      <c r="E459" s="6">
        <v>139.60000600000001</v>
      </c>
      <c r="F459" s="6">
        <v>91.339995999999999</v>
      </c>
      <c r="G459" s="6">
        <v>32.419998</v>
      </c>
      <c r="H459" s="6">
        <v>113.730003</v>
      </c>
      <c r="I459" s="6">
        <v>155.270004</v>
      </c>
      <c r="J459" s="6">
        <v>18.700001</v>
      </c>
      <c r="K459" s="6">
        <v>20.719999000000001</v>
      </c>
      <c r="N459" s="19">
        <v>455</v>
      </c>
      <c r="O459" s="1">
        <v>44125</v>
      </c>
      <c r="P459" s="5">
        <f t="shared" si="188"/>
        <v>2.7863688967542056E-3</v>
      </c>
      <c r="Q459" s="5">
        <f t="shared" si="189"/>
        <v>4.6271009990402475E-3</v>
      </c>
      <c r="R459" s="5">
        <f t="shared" si="190"/>
        <v>-1.3725126053793922E-3</v>
      </c>
      <c r="S459" s="5">
        <f t="shared" si="191"/>
        <v>-7.8766245796670932E-4</v>
      </c>
      <c r="T459" s="5">
        <f t="shared" si="192"/>
        <v>6.5706936591013046E-4</v>
      </c>
      <c r="U459" s="5">
        <f t="shared" si="193"/>
        <v>3.0892209643187834E-3</v>
      </c>
      <c r="V459" s="5">
        <f t="shared" si="194"/>
        <v>-4.4742365096541959E-3</v>
      </c>
      <c r="W459" s="5">
        <f t="shared" si="195"/>
        <v>2.1922059281503396E-3</v>
      </c>
      <c r="X459" s="5">
        <f t="shared" si="196"/>
        <v>3.8151819440310666E-2</v>
      </c>
      <c r="Y459" s="5">
        <f t="shared" si="197"/>
        <v>2.294457557618482E-2</v>
      </c>
      <c r="Z459" s="33">
        <v>455</v>
      </c>
      <c r="AE459" s="20" t="str">
        <f t="shared" si="198"/>
        <v/>
      </c>
      <c r="AF459" s="22" t="str">
        <f t="shared" si="199"/>
        <v/>
      </c>
      <c r="AG459" s="9" t="str">
        <f t="shared" ca="1" si="178"/>
        <v/>
      </c>
      <c r="AH459" s="9" t="str">
        <f t="shared" ca="1" si="179"/>
        <v/>
      </c>
      <c r="AI459" s="9" t="str">
        <f t="shared" ca="1" si="180"/>
        <v/>
      </c>
      <c r="AJ459" s="9" t="str">
        <f t="shared" ca="1" si="181"/>
        <v/>
      </c>
      <c r="AK459" s="9" t="str">
        <f t="shared" ca="1" si="182"/>
        <v/>
      </c>
      <c r="AL459" s="9" t="str">
        <f t="shared" ca="1" si="183"/>
        <v/>
      </c>
      <c r="AM459" s="9" t="str">
        <f t="shared" ca="1" si="184"/>
        <v/>
      </c>
      <c r="AN459" s="9" t="str">
        <f t="shared" ca="1" si="185"/>
        <v/>
      </c>
      <c r="AO459" s="9" t="str">
        <f t="shared" ca="1" si="186"/>
        <v/>
      </c>
      <c r="AP459" s="9" t="str">
        <f t="shared" ca="1" si="187"/>
        <v/>
      </c>
      <c r="AQ459" s="9"/>
      <c r="AR459" s="9"/>
      <c r="AS459" s="9"/>
      <c r="AT459" s="9"/>
      <c r="AU459" s="9"/>
    </row>
    <row r="460" spans="1:47" x14ac:dyDescent="0.3">
      <c r="A460" s="1">
        <v>44126</v>
      </c>
      <c r="B460" s="6">
        <v>483.60000600000001</v>
      </c>
      <c r="C460" s="6">
        <v>225.16999799999999</v>
      </c>
      <c r="D460" s="6">
        <v>40.279998999999997</v>
      </c>
      <c r="E460" s="6">
        <v>139.61000100000001</v>
      </c>
      <c r="F460" s="6">
        <v>92.199996999999996</v>
      </c>
      <c r="G460" s="6">
        <v>32.779998999999997</v>
      </c>
      <c r="H460" s="6">
        <v>115.239998</v>
      </c>
      <c r="I460" s="6">
        <v>169.449997</v>
      </c>
      <c r="J460" s="6">
        <v>19.149999999999999</v>
      </c>
      <c r="K460" s="6">
        <v>21.18</v>
      </c>
      <c r="N460" s="18">
        <v>456</v>
      </c>
      <c r="O460" s="1">
        <v>44126</v>
      </c>
      <c r="P460" s="5">
        <f t="shared" si="188"/>
        <v>-2.5237129017431022E-2</v>
      </c>
      <c r="Q460" s="5">
        <f t="shared" si="189"/>
        <v>-1.0074757236910283E-2</v>
      </c>
      <c r="R460" s="5">
        <f t="shared" si="190"/>
        <v>5.8512711923135816E-3</v>
      </c>
      <c r="S460" s="5">
        <f t="shared" si="191"/>
        <v>7.1594855153427582E-5</v>
      </c>
      <c r="T460" s="5">
        <f t="shared" si="192"/>
        <v>9.3713340601586717E-3</v>
      </c>
      <c r="U460" s="5">
        <f t="shared" si="193"/>
        <v>1.1043088192063151E-2</v>
      </c>
      <c r="V460" s="5">
        <f t="shared" si="194"/>
        <v>1.3189648286625435E-2</v>
      </c>
      <c r="W460" s="5">
        <f t="shared" si="195"/>
        <v>8.7392317594067973E-2</v>
      </c>
      <c r="X460" s="5">
        <f t="shared" si="196"/>
        <v>2.3779138290179535E-2</v>
      </c>
      <c r="Y460" s="5">
        <f t="shared" si="197"/>
        <v>2.1957971044527475E-2</v>
      </c>
      <c r="Z460" s="33">
        <v>456</v>
      </c>
      <c r="AE460" s="20" t="str">
        <f t="shared" si="198"/>
        <v/>
      </c>
      <c r="AF460" s="22" t="str">
        <f t="shared" si="199"/>
        <v/>
      </c>
      <c r="AG460" s="9" t="str">
        <f t="shared" ca="1" si="178"/>
        <v/>
      </c>
      <c r="AH460" s="9" t="str">
        <f t="shared" ca="1" si="179"/>
        <v/>
      </c>
      <c r="AI460" s="9" t="str">
        <f t="shared" ca="1" si="180"/>
        <v/>
      </c>
      <c r="AJ460" s="9" t="str">
        <f t="shared" ca="1" si="181"/>
        <v/>
      </c>
      <c r="AK460" s="9" t="str">
        <f t="shared" ca="1" si="182"/>
        <v/>
      </c>
      <c r="AL460" s="9" t="str">
        <f t="shared" ca="1" si="183"/>
        <v/>
      </c>
      <c r="AM460" s="9" t="str">
        <f t="shared" ca="1" si="184"/>
        <v/>
      </c>
      <c r="AN460" s="9" t="str">
        <f t="shared" ca="1" si="185"/>
        <v/>
      </c>
      <c r="AO460" s="9" t="str">
        <f t="shared" ca="1" si="186"/>
        <v/>
      </c>
      <c r="AP460" s="9" t="str">
        <f t="shared" ca="1" si="187"/>
        <v/>
      </c>
      <c r="AQ460" s="9"/>
      <c r="AR460" s="9"/>
      <c r="AS460" s="9"/>
      <c r="AT460" s="9"/>
      <c r="AU460" s="9"/>
    </row>
    <row r="461" spans="1:47" x14ac:dyDescent="0.3">
      <c r="A461" s="1">
        <v>44127</v>
      </c>
      <c r="B461" s="6">
        <v>488.5</v>
      </c>
      <c r="C461" s="6">
        <v>226.740005</v>
      </c>
      <c r="D461" s="6">
        <v>40.195</v>
      </c>
      <c r="E461" s="6">
        <v>139.55999800000001</v>
      </c>
      <c r="F461" s="6">
        <v>92.389999000000003</v>
      </c>
      <c r="G461" s="6">
        <v>32.790000999999997</v>
      </c>
      <c r="H461" s="6">
        <v>116.269997</v>
      </c>
      <c r="I461" s="6">
        <v>169.38999899999999</v>
      </c>
      <c r="J461" s="6">
        <v>19.34</v>
      </c>
      <c r="K461" s="6">
        <v>21.1</v>
      </c>
      <c r="N461" s="19">
        <v>457</v>
      </c>
      <c r="O461" s="1">
        <v>44127</v>
      </c>
      <c r="P461" s="5">
        <f t="shared" si="188"/>
        <v>1.0081340335251992E-2</v>
      </c>
      <c r="Q461" s="5">
        <f t="shared" si="189"/>
        <v>6.9483450517507624E-3</v>
      </c>
      <c r="R461" s="5">
        <f t="shared" si="190"/>
        <v>-2.1124332442205261E-3</v>
      </c>
      <c r="S461" s="5">
        <f t="shared" si="191"/>
        <v>-3.5822617554781533E-4</v>
      </c>
      <c r="T461" s="5">
        <f t="shared" si="192"/>
        <v>2.058638834384906E-3</v>
      </c>
      <c r="U461" s="5">
        <f t="shared" si="193"/>
        <v>3.0507854438243531E-4</v>
      </c>
      <c r="V461" s="5">
        <f t="shared" si="194"/>
        <v>8.8981540172615083E-3</v>
      </c>
      <c r="W461" s="5">
        <f t="shared" si="195"/>
        <v>-3.5413765396838484E-4</v>
      </c>
      <c r="X461" s="5">
        <f t="shared" si="196"/>
        <v>9.8727743984932982E-3</v>
      </c>
      <c r="Y461" s="5">
        <f t="shared" si="197"/>
        <v>-3.7842996912395067E-3</v>
      </c>
      <c r="Z461" s="33">
        <v>457</v>
      </c>
      <c r="AE461" s="20" t="str">
        <f t="shared" si="198"/>
        <v/>
      </c>
      <c r="AF461" s="22" t="str">
        <f t="shared" si="199"/>
        <v/>
      </c>
      <c r="AG461" s="9" t="str">
        <f t="shared" ca="1" si="178"/>
        <v/>
      </c>
      <c r="AH461" s="9" t="str">
        <f t="shared" ca="1" si="179"/>
        <v/>
      </c>
      <c r="AI461" s="9" t="str">
        <f t="shared" ca="1" si="180"/>
        <v/>
      </c>
      <c r="AJ461" s="9" t="str">
        <f t="shared" ca="1" si="181"/>
        <v/>
      </c>
      <c r="AK461" s="9" t="str">
        <f t="shared" ca="1" si="182"/>
        <v/>
      </c>
      <c r="AL461" s="9" t="str">
        <f t="shared" ca="1" si="183"/>
        <v/>
      </c>
      <c r="AM461" s="9" t="str">
        <f t="shared" ca="1" si="184"/>
        <v/>
      </c>
      <c r="AN461" s="9" t="str">
        <f t="shared" ca="1" si="185"/>
        <v/>
      </c>
      <c r="AO461" s="9" t="str">
        <f t="shared" ca="1" si="186"/>
        <v/>
      </c>
      <c r="AP461" s="9" t="str">
        <f t="shared" ca="1" si="187"/>
        <v/>
      </c>
      <c r="AQ461" s="9"/>
      <c r="AR461" s="9"/>
      <c r="AS461" s="9"/>
      <c r="AT461" s="9"/>
      <c r="AU461" s="9"/>
    </row>
    <row r="462" spans="1:47" x14ac:dyDescent="0.3">
      <c r="A462" s="1">
        <v>44130</v>
      </c>
      <c r="B462" s="6">
        <v>475.20001200000002</v>
      </c>
      <c r="C462" s="6">
        <v>220.63000500000001</v>
      </c>
      <c r="D462" s="6">
        <v>39.424999</v>
      </c>
      <c r="E462" s="6">
        <v>138.05999800000001</v>
      </c>
      <c r="F462" s="6">
        <v>90.82</v>
      </c>
      <c r="G462" s="6">
        <v>31.950001</v>
      </c>
      <c r="H462" s="6">
        <v>113.82</v>
      </c>
      <c r="I462" s="6">
        <v>164.25</v>
      </c>
      <c r="J462" s="6">
        <v>19</v>
      </c>
      <c r="K462" s="6">
        <v>20.52</v>
      </c>
      <c r="N462" s="18">
        <v>458</v>
      </c>
      <c r="O462" s="1">
        <v>44130</v>
      </c>
      <c r="P462" s="5">
        <f t="shared" si="188"/>
        <v>-2.7603678181877287E-2</v>
      </c>
      <c r="Q462" s="5">
        <f t="shared" si="189"/>
        <v>-2.7316895658485534E-2</v>
      </c>
      <c r="R462" s="5">
        <f t="shared" si="190"/>
        <v>-1.9342502295438799E-2</v>
      </c>
      <c r="S462" s="5">
        <f t="shared" si="191"/>
        <v>-1.0806243198945175E-2</v>
      </c>
      <c r="T462" s="5">
        <f t="shared" si="192"/>
        <v>-1.7139211189166496E-2</v>
      </c>
      <c r="U462" s="5">
        <f t="shared" si="193"/>
        <v>-2.5951409231211208E-2</v>
      </c>
      <c r="V462" s="5">
        <f t="shared" si="194"/>
        <v>-2.1296793703526183E-2</v>
      </c>
      <c r="W462" s="5">
        <f t="shared" si="195"/>
        <v>-3.0814085330034255E-2</v>
      </c>
      <c r="X462" s="5">
        <f t="shared" si="196"/>
        <v>-1.7736510858707831E-2</v>
      </c>
      <c r="Y462" s="5">
        <f t="shared" si="197"/>
        <v>-2.787302017945209E-2</v>
      </c>
      <c r="Z462" s="33">
        <v>458</v>
      </c>
      <c r="AE462" s="20" t="str">
        <f t="shared" si="198"/>
        <v/>
      </c>
      <c r="AF462" s="22" t="str">
        <f t="shared" si="199"/>
        <v/>
      </c>
      <c r="AG462" s="9" t="str">
        <f t="shared" ca="1" si="178"/>
        <v/>
      </c>
      <c r="AH462" s="9" t="str">
        <f t="shared" ca="1" si="179"/>
        <v/>
      </c>
      <c r="AI462" s="9" t="str">
        <f t="shared" ca="1" si="180"/>
        <v/>
      </c>
      <c r="AJ462" s="9" t="str">
        <f t="shared" ca="1" si="181"/>
        <v/>
      </c>
      <c r="AK462" s="9" t="str">
        <f t="shared" ca="1" si="182"/>
        <v/>
      </c>
      <c r="AL462" s="9" t="str">
        <f t="shared" ca="1" si="183"/>
        <v/>
      </c>
      <c r="AM462" s="9" t="str">
        <f t="shared" ca="1" si="184"/>
        <v/>
      </c>
      <c r="AN462" s="9" t="str">
        <f t="shared" ca="1" si="185"/>
        <v/>
      </c>
      <c r="AO462" s="9" t="str">
        <f t="shared" ca="1" si="186"/>
        <v/>
      </c>
      <c r="AP462" s="9" t="str">
        <f t="shared" ca="1" si="187"/>
        <v/>
      </c>
      <c r="AQ462" s="9"/>
      <c r="AR462" s="9"/>
      <c r="AS462" s="9"/>
      <c r="AT462" s="9"/>
      <c r="AU462" s="9"/>
    </row>
    <row r="463" spans="1:47" x14ac:dyDescent="0.3">
      <c r="A463" s="1">
        <v>44131</v>
      </c>
      <c r="B463" s="6">
        <v>478.55999800000001</v>
      </c>
      <c r="C463" s="6">
        <v>222.91000399999999</v>
      </c>
      <c r="D463" s="6">
        <v>40.195</v>
      </c>
      <c r="E463" s="6">
        <v>139.11999499999999</v>
      </c>
      <c r="F463" s="6">
        <v>89.300003000000004</v>
      </c>
      <c r="G463" s="6">
        <v>31.09</v>
      </c>
      <c r="H463" s="6">
        <v>111.550003</v>
      </c>
      <c r="I463" s="6">
        <v>158.41999799999999</v>
      </c>
      <c r="J463" s="6">
        <v>18.850000000000001</v>
      </c>
      <c r="K463" s="6">
        <v>20.100000000000001</v>
      </c>
      <c r="N463" s="19">
        <v>459</v>
      </c>
      <c r="O463" s="1">
        <v>44131</v>
      </c>
      <c r="P463" s="5">
        <f t="shared" si="188"/>
        <v>7.0457974014734321E-3</v>
      </c>
      <c r="Q463" s="5">
        <f t="shared" si="189"/>
        <v>1.0281007514646659E-2</v>
      </c>
      <c r="R463" s="5">
        <f t="shared" si="190"/>
        <v>1.9342502295438834E-2</v>
      </c>
      <c r="S463" s="5">
        <f t="shared" si="191"/>
        <v>7.6484753169570987E-3</v>
      </c>
      <c r="T463" s="5">
        <f t="shared" si="192"/>
        <v>-1.687800419272734E-2</v>
      </c>
      <c r="U463" s="5">
        <f t="shared" si="193"/>
        <v>-2.7285988051785403E-2</v>
      </c>
      <c r="V463" s="5">
        <f t="shared" si="194"/>
        <v>-2.0145305402667003E-2</v>
      </c>
      <c r="W463" s="5">
        <f t="shared" si="195"/>
        <v>-3.613993595325498E-2</v>
      </c>
      <c r="X463" s="5">
        <f t="shared" si="196"/>
        <v>-7.9260652724206029E-3</v>
      </c>
      <c r="Y463" s="5">
        <f t="shared" si="197"/>
        <v>-2.0680205237538631E-2</v>
      </c>
      <c r="Z463" s="33">
        <v>459</v>
      </c>
      <c r="AE463" s="20" t="str">
        <f t="shared" si="198"/>
        <v/>
      </c>
      <c r="AF463" s="22" t="str">
        <f t="shared" si="199"/>
        <v/>
      </c>
      <c r="AG463" s="9" t="str">
        <f t="shared" ca="1" si="178"/>
        <v/>
      </c>
      <c r="AH463" s="9" t="str">
        <f t="shared" ca="1" si="179"/>
        <v/>
      </c>
      <c r="AI463" s="9" t="str">
        <f t="shared" ca="1" si="180"/>
        <v/>
      </c>
      <c r="AJ463" s="9" t="str">
        <f t="shared" ca="1" si="181"/>
        <v/>
      </c>
      <c r="AK463" s="9" t="str">
        <f t="shared" ca="1" si="182"/>
        <v/>
      </c>
      <c r="AL463" s="9" t="str">
        <f t="shared" ca="1" si="183"/>
        <v/>
      </c>
      <c r="AM463" s="9" t="str">
        <f t="shared" ca="1" si="184"/>
        <v/>
      </c>
      <c r="AN463" s="9" t="str">
        <f t="shared" ca="1" si="185"/>
        <v/>
      </c>
      <c r="AO463" s="9" t="str">
        <f t="shared" ca="1" si="186"/>
        <v/>
      </c>
      <c r="AP463" s="9" t="str">
        <f t="shared" ca="1" si="187"/>
        <v/>
      </c>
      <c r="AQ463" s="9"/>
      <c r="AR463" s="9"/>
      <c r="AS463" s="9"/>
      <c r="AT463" s="9"/>
      <c r="AU463" s="9"/>
    </row>
    <row r="464" spans="1:47" x14ac:dyDescent="0.3">
      <c r="A464" s="1">
        <v>44132</v>
      </c>
      <c r="B464" s="6">
        <v>456.97000100000002</v>
      </c>
      <c r="C464" s="6">
        <v>217.820007</v>
      </c>
      <c r="D464" s="6">
        <v>38.685001</v>
      </c>
      <c r="E464" s="6">
        <v>134.16999799999999</v>
      </c>
      <c r="F464" s="6">
        <v>88.18</v>
      </c>
      <c r="G464" s="6">
        <v>29.6</v>
      </c>
      <c r="H464" s="6">
        <v>109.290001</v>
      </c>
      <c r="I464" s="6">
        <v>154.679993</v>
      </c>
      <c r="J464" s="6">
        <v>17.829999999999998</v>
      </c>
      <c r="K464" s="6">
        <v>19.27</v>
      </c>
      <c r="N464" s="18">
        <v>460</v>
      </c>
      <c r="O464" s="1">
        <v>44132</v>
      </c>
      <c r="P464" s="5">
        <f t="shared" si="188"/>
        <v>-4.6163845288885647E-2</v>
      </c>
      <c r="Q464" s="5">
        <f t="shared" si="189"/>
        <v>-2.3099054713136207E-2</v>
      </c>
      <c r="R464" s="5">
        <f t="shared" si="190"/>
        <v>-3.8290655928694073E-2</v>
      </c>
      <c r="S464" s="5">
        <f t="shared" si="191"/>
        <v>-3.622919640991322E-2</v>
      </c>
      <c r="T464" s="5">
        <f t="shared" si="192"/>
        <v>-1.2621341547286079E-2</v>
      </c>
      <c r="U464" s="5">
        <f t="shared" si="193"/>
        <v>-4.9111862740647681E-2</v>
      </c>
      <c r="V464" s="5">
        <f t="shared" si="194"/>
        <v>-2.0468038933760712E-2</v>
      </c>
      <c r="W464" s="5">
        <f t="shared" si="195"/>
        <v>-2.3891299927089028E-2</v>
      </c>
      <c r="X464" s="5">
        <f t="shared" si="196"/>
        <v>-5.5630482018970945E-2</v>
      </c>
      <c r="Y464" s="5">
        <f t="shared" si="197"/>
        <v>-4.2170332638755158E-2</v>
      </c>
      <c r="Z464" s="33">
        <v>460</v>
      </c>
      <c r="AE464" s="20" t="str">
        <f t="shared" si="198"/>
        <v/>
      </c>
      <c r="AF464" s="22" t="str">
        <f t="shared" si="199"/>
        <v/>
      </c>
      <c r="AG464" s="9" t="str">
        <f t="shared" ca="1" si="178"/>
        <v/>
      </c>
      <c r="AH464" s="9" t="str">
        <f t="shared" ca="1" si="179"/>
        <v/>
      </c>
      <c r="AI464" s="9" t="str">
        <f t="shared" ca="1" si="180"/>
        <v/>
      </c>
      <c r="AJ464" s="9" t="str">
        <f t="shared" ca="1" si="181"/>
        <v/>
      </c>
      <c r="AK464" s="9" t="str">
        <f t="shared" ca="1" si="182"/>
        <v/>
      </c>
      <c r="AL464" s="9" t="str">
        <f t="shared" ca="1" si="183"/>
        <v/>
      </c>
      <c r="AM464" s="9" t="str">
        <f t="shared" ca="1" si="184"/>
        <v/>
      </c>
      <c r="AN464" s="9" t="str">
        <f t="shared" ca="1" si="185"/>
        <v/>
      </c>
      <c r="AO464" s="9" t="str">
        <f t="shared" ca="1" si="186"/>
        <v/>
      </c>
      <c r="AP464" s="9" t="str">
        <f t="shared" ca="1" si="187"/>
        <v/>
      </c>
      <c r="AQ464" s="9"/>
      <c r="AR464" s="9"/>
      <c r="AS464" s="9"/>
      <c r="AT464" s="9"/>
      <c r="AU464" s="9"/>
    </row>
    <row r="465" spans="1:47" x14ac:dyDescent="0.3">
      <c r="A465" s="1">
        <v>44133</v>
      </c>
      <c r="B465" s="6">
        <v>461.10998499999999</v>
      </c>
      <c r="C465" s="6">
        <v>219.46000699999999</v>
      </c>
      <c r="D465" s="6">
        <v>38.770000000000003</v>
      </c>
      <c r="E465" s="6">
        <v>133.990005</v>
      </c>
      <c r="F465" s="6">
        <v>87.800003000000004</v>
      </c>
      <c r="G465" s="6">
        <v>29.92</v>
      </c>
      <c r="H465" s="6">
        <v>110.089996</v>
      </c>
      <c r="I465" s="6">
        <v>155.91000399999999</v>
      </c>
      <c r="J465" s="6">
        <v>18.309999000000001</v>
      </c>
      <c r="K465" s="6">
        <v>19.739999999999998</v>
      </c>
      <c r="N465" s="19">
        <v>461</v>
      </c>
      <c r="O465" s="1">
        <v>44133</v>
      </c>
      <c r="P465" s="5">
        <f t="shared" si="188"/>
        <v>9.0188483033198305E-3</v>
      </c>
      <c r="Q465" s="5">
        <f t="shared" si="189"/>
        <v>7.5009496749592107E-3</v>
      </c>
      <c r="R465" s="5">
        <f t="shared" si="190"/>
        <v>2.1947978316078825E-3</v>
      </c>
      <c r="S465" s="5">
        <f t="shared" si="191"/>
        <v>-1.3424300791846067E-3</v>
      </c>
      <c r="T465" s="5">
        <f t="shared" si="192"/>
        <v>-4.3186451201562412E-3</v>
      </c>
      <c r="U465" s="5">
        <f t="shared" si="193"/>
        <v>1.0752791776261915E-2</v>
      </c>
      <c r="V465" s="5">
        <f t="shared" si="194"/>
        <v>7.2932679098523393E-3</v>
      </c>
      <c r="W465" s="5">
        <f t="shared" si="195"/>
        <v>7.920521859910894E-3</v>
      </c>
      <c r="X465" s="5">
        <f t="shared" si="196"/>
        <v>2.6564872196404528E-2</v>
      </c>
      <c r="Y465" s="5">
        <f t="shared" si="197"/>
        <v>2.4097551579060524E-2</v>
      </c>
      <c r="Z465" s="33">
        <v>461</v>
      </c>
      <c r="AE465" s="20" t="str">
        <f t="shared" si="198"/>
        <v/>
      </c>
      <c r="AF465" s="22" t="str">
        <f t="shared" si="199"/>
        <v/>
      </c>
      <c r="AG465" s="9" t="str">
        <f t="shared" ca="1" si="178"/>
        <v/>
      </c>
      <c r="AH465" s="9" t="str">
        <f t="shared" ca="1" si="179"/>
        <v/>
      </c>
      <c r="AI465" s="9" t="str">
        <f t="shared" ca="1" si="180"/>
        <v/>
      </c>
      <c r="AJ465" s="9" t="str">
        <f t="shared" ca="1" si="181"/>
        <v/>
      </c>
      <c r="AK465" s="9" t="str">
        <f t="shared" ca="1" si="182"/>
        <v/>
      </c>
      <c r="AL465" s="9" t="str">
        <f t="shared" ca="1" si="183"/>
        <v/>
      </c>
      <c r="AM465" s="9" t="str">
        <f t="shared" ca="1" si="184"/>
        <v/>
      </c>
      <c r="AN465" s="9" t="str">
        <f t="shared" ca="1" si="185"/>
        <v/>
      </c>
      <c r="AO465" s="9" t="str">
        <f t="shared" ca="1" si="186"/>
        <v/>
      </c>
      <c r="AP465" s="9" t="str">
        <f t="shared" ca="1" si="187"/>
        <v/>
      </c>
      <c r="AQ465" s="9"/>
      <c r="AR465" s="9"/>
      <c r="AS465" s="9"/>
      <c r="AT465" s="9"/>
      <c r="AU465" s="9"/>
    </row>
    <row r="466" spans="1:47" x14ac:dyDescent="0.3">
      <c r="A466" s="1">
        <v>44134</v>
      </c>
      <c r="B466" s="6">
        <v>447.10000600000001</v>
      </c>
      <c r="C466" s="6">
        <v>213.86000100000001</v>
      </c>
      <c r="D466" s="6">
        <v>38.284999999999997</v>
      </c>
      <c r="E466" s="6">
        <v>133.28999300000001</v>
      </c>
      <c r="F466" s="6">
        <v>92.239998</v>
      </c>
      <c r="G466" s="6">
        <v>31.24</v>
      </c>
      <c r="H466" s="6">
        <v>110.709999</v>
      </c>
      <c r="I466" s="6">
        <v>157.529999</v>
      </c>
      <c r="J466" s="6">
        <v>18.09</v>
      </c>
      <c r="K466" s="6">
        <v>20.239999999999998</v>
      </c>
      <c r="N466" s="18">
        <v>462</v>
      </c>
      <c r="O466" s="1">
        <v>44134</v>
      </c>
      <c r="P466" s="5">
        <f t="shared" si="188"/>
        <v>-3.0854297057116328E-2</v>
      </c>
      <c r="Q466" s="5">
        <f t="shared" si="189"/>
        <v>-2.5848415454658803E-2</v>
      </c>
      <c r="R466" s="5">
        <f t="shared" si="190"/>
        <v>-1.2588577117751135E-2</v>
      </c>
      <c r="S466" s="5">
        <f t="shared" si="191"/>
        <v>-5.2380545178761471E-3</v>
      </c>
      <c r="T466" s="5">
        <f t="shared" si="192"/>
        <v>4.9332319468600776E-2</v>
      </c>
      <c r="U466" s="5">
        <f t="shared" si="193"/>
        <v>4.3172171865208574E-2</v>
      </c>
      <c r="V466" s="5">
        <f t="shared" si="194"/>
        <v>5.6159840903652379E-3</v>
      </c>
      <c r="W466" s="5">
        <f t="shared" si="195"/>
        <v>1.0336966625593668E-2</v>
      </c>
      <c r="X466" s="5">
        <f t="shared" si="196"/>
        <v>-1.2088004664249658E-2</v>
      </c>
      <c r="Y466" s="5">
        <f t="shared" si="197"/>
        <v>2.5013810413929229E-2</v>
      </c>
      <c r="Z466" s="33">
        <v>462</v>
      </c>
      <c r="AE466" s="20" t="str">
        <f t="shared" si="198"/>
        <v/>
      </c>
      <c r="AF466" s="22" t="str">
        <f t="shared" si="199"/>
        <v/>
      </c>
      <c r="AG466" s="9" t="str">
        <f t="shared" ca="1" si="178"/>
        <v/>
      </c>
      <c r="AH466" s="9" t="str">
        <f t="shared" ca="1" si="179"/>
        <v/>
      </c>
      <c r="AI466" s="9" t="str">
        <f t="shared" ca="1" si="180"/>
        <v/>
      </c>
      <c r="AJ466" s="9" t="str">
        <f t="shared" ca="1" si="181"/>
        <v/>
      </c>
      <c r="AK466" s="9" t="str">
        <f t="shared" ca="1" si="182"/>
        <v/>
      </c>
      <c r="AL466" s="9" t="str">
        <f t="shared" ca="1" si="183"/>
        <v/>
      </c>
      <c r="AM466" s="9" t="str">
        <f t="shared" ca="1" si="184"/>
        <v/>
      </c>
      <c r="AN466" s="9" t="str">
        <f t="shared" ca="1" si="185"/>
        <v/>
      </c>
      <c r="AO466" s="9" t="str">
        <f t="shared" ca="1" si="186"/>
        <v/>
      </c>
      <c r="AP466" s="9" t="str">
        <f t="shared" ca="1" si="187"/>
        <v/>
      </c>
      <c r="AQ466" s="9"/>
      <c r="AR466" s="9"/>
      <c r="AS466" s="9"/>
      <c r="AT466" s="9"/>
      <c r="AU466" s="9"/>
    </row>
    <row r="467" spans="1:47" x14ac:dyDescent="0.3">
      <c r="A467" s="1">
        <v>44137</v>
      </c>
      <c r="B467" s="6">
        <v>444.94000199999999</v>
      </c>
      <c r="C467" s="6">
        <v>215.779999</v>
      </c>
      <c r="D467" s="6">
        <v>38.959999000000003</v>
      </c>
      <c r="E467" s="6">
        <v>135.14999399999999</v>
      </c>
      <c r="F467" s="6">
        <v>94.510002</v>
      </c>
      <c r="G467" s="6">
        <v>32.790000999999997</v>
      </c>
      <c r="H467" s="6">
        <v>114.870003</v>
      </c>
      <c r="I467" s="6">
        <v>163.80999800000001</v>
      </c>
      <c r="J467" s="6">
        <v>18.920000000000002</v>
      </c>
      <c r="K467" s="6">
        <v>21.120000999999998</v>
      </c>
      <c r="N467" s="19">
        <v>463</v>
      </c>
      <c r="O467" s="1">
        <v>44137</v>
      </c>
      <c r="P467" s="5">
        <f t="shared" si="188"/>
        <v>-4.8428505497759358E-3</v>
      </c>
      <c r="Q467" s="5">
        <f t="shared" si="189"/>
        <v>8.9377654843774464E-3</v>
      </c>
      <c r="R467" s="5">
        <f t="shared" si="190"/>
        <v>1.7477278541896228E-2</v>
      </c>
      <c r="S467" s="5">
        <f t="shared" si="191"/>
        <v>1.3858075228481571E-2</v>
      </c>
      <c r="T467" s="5">
        <f t="shared" si="192"/>
        <v>2.4311815890510274E-2</v>
      </c>
      <c r="U467" s="5">
        <f t="shared" si="193"/>
        <v>4.8424296382173854E-2</v>
      </c>
      <c r="V467" s="5">
        <f t="shared" si="194"/>
        <v>3.6886919435024389E-2</v>
      </c>
      <c r="W467" s="5">
        <f t="shared" si="195"/>
        <v>3.9091297437392647E-2</v>
      </c>
      <c r="X467" s="5">
        <f t="shared" si="196"/>
        <v>4.486026421652857E-2</v>
      </c>
      <c r="Y467" s="5">
        <f t="shared" si="197"/>
        <v>4.2559661767279627E-2</v>
      </c>
      <c r="Z467" s="33">
        <v>463</v>
      </c>
      <c r="AE467" s="20" t="str">
        <f t="shared" si="198"/>
        <v/>
      </c>
      <c r="AF467" s="22" t="str">
        <f t="shared" si="199"/>
        <v/>
      </c>
      <c r="AG467" s="9" t="str">
        <f t="shared" ca="1" si="178"/>
        <v/>
      </c>
      <c r="AH467" s="9" t="str">
        <f t="shared" ca="1" si="179"/>
        <v/>
      </c>
      <c r="AI467" s="9" t="str">
        <f t="shared" ca="1" si="180"/>
        <v/>
      </c>
      <c r="AJ467" s="9" t="str">
        <f t="shared" ca="1" si="181"/>
        <v/>
      </c>
      <c r="AK467" s="9" t="str">
        <f t="shared" ca="1" si="182"/>
        <v/>
      </c>
      <c r="AL467" s="9" t="str">
        <f t="shared" ca="1" si="183"/>
        <v/>
      </c>
      <c r="AM467" s="9" t="str">
        <f t="shared" ca="1" si="184"/>
        <v/>
      </c>
      <c r="AN467" s="9" t="str">
        <f t="shared" ca="1" si="185"/>
        <v/>
      </c>
      <c r="AO467" s="9" t="str">
        <f t="shared" ca="1" si="186"/>
        <v/>
      </c>
      <c r="AP467" s="9" t="str">
        <f t="shared" ca="1" si="187"/>
        <v/>
      </c>
      <c r="AQ467" s="9"/>
      <c r="AR467" s="9"/>
      <c r="AS467" s="9"/>
      <c r="AT467" s="9"/>
      <c r="AU467" s="9"/>
    </row>
    <row r="468" spans="1:47" x14ac:dyDescent="0.3">
      <c r="A468" s="1">
        <v>44138</v>
      </c>
      <c r="B468" s="6">
        <v>454.01998900000001</v>
      </c>
      <c r="C468" s="6">
        <v>221.740005</v>
      </c>
      <c r="D468" s="6">
        <v>39.759998000000003</v>
      </c>
      <c r="E468" s="6">
        <v>137.03999300000001</v>
      </c>
      <c r="F468" s="6">
        <v>98.379997000000003</v>
      </c>
      <c r="G468" s="6">
        <v>34.57</v>
      </c>
      <c r="H468" s="6">
        <v>117.160004</v>
      </c>
      <c r="I468" s="6">
        <v>163.91999799999999</v>
      </c>
      <c r="J468" s="6">
        <v>19.350000000000001</v>
      </c>
      <c r="K468" s="6">
        <v>21.120000999999998</v>
      </c>
      <c r="N468" s="18">
        <v>464</v>
      </c>
      <c r="O468" s="1">
        <v>44138</v>
      </c>
      <c r="P468" s="5">
        <f t="shared" si="188"/>
        <v>2.0201779596501778E-2</v>
      </c>
      <c r="Q468" s="5">
        <f t="shared" si="189"/>
        <v>2.724618140429225E-2</v>
      </c>
      <c r="R468" s="5">
        <f t="shared" si="190"/>
        <v>2.0325878379578281E-2</v>
      </c>
      <c r="S468" s="5">
        <f t="shared" si="191"/>
        <v>1.3887574608547658E-2</v>
      </c>
      <c r="T468" s="5">
        <f t="shared" si="192"/>
        <v>4.0131830704444045E-2</v>
      </c>
      <c r="U468" s="5">
        <f t="shared" si="193"/>
        <v>5.2862632579874128E-2</v>
      </c>
      <c r="V468" s="5">
        <f t="shared" si="194"/>
        <v>1.9739475827085441E-2</v>
      </c>
      <c r="W468" s="5">
        <f t="shared" si="195"/>
        <v>6.7128432229748597E-4</v>
      </c>
      <c r="X468" s="5">
        <f t="shared" si="196"/>
        <v>2.2472855852058576E-2</v>
      </c>
      <c r="Y468" s="5">
        <f t="shared" si="197"/>
        <v>0</v>
      </c>
      <c r="Z468" s="33">
        <v>464</v>
      </c>
      <c r="AE468" s="20" t="str">
        <f t="shared" si="198"/>
        <v/>
      </c>
      <c r="AF468" s="22" t="str">
        <f t="shared" si="199"/>
        <v/>
      </c>
      <c r="AG468" s="9" t="str">
        <f t="shared" ca="1" si="178"/>
        <v/>
      </c>
      <c r="AH468" s="9" t="str">
        <f t="shared" ca="1" si="179"/>
        <v/>
      </c>
      <c r="AI468" s="9" t="str">
        <f t="shared" ca="1" si="180"/>
        <v/>
      </c>
      <c r="AJ468" s="9" t="str">
        <f t="shared" ca="1" si="181"/>
        <v/>
      </c>
      <c r="AK468" s="9" t="str">
        <f t="shared" ca="1" si="182"/>
        <v/>
      </c>
      <c r="AL468" s="9" t="str">
        <f t="shared" ca="1" si="183"/>
        <v/>
      </c>
      <c r="AM468" s="9" t="str">
        <f t="shared" ca="1" si="184"/>
        <v/>
      </c>
      <c r="AN468" s="9" t="str">
        <f t="shared" ca="1" si="185"/>
        <v/>
      </c>
      <c r="AO468" s="9" t="str">
        <f t="shared" ca="1" si="186"/>
        <v/>
      </c>
      <c r="AP468" s="9" t="str">
        <f t="shared" ca="1" si="187"/>
        <v/>
      </c>
      <c r="AQ468" s="9"/>
      <c r="AR468" s="9"/>
      <c r="AS468" s="9"/>
      <c r="AT468" s="9"/>
      <c r="AU468" s="9"/>
    </row>
    <row r="469" spans="1:47" x14ac:dyDescent="0.3">
      <c r="A469" s="1">
        <v>44139</v>
      </c>
      <c r="B469" s="6">
        <v>487.23001099999999</v>
      </c>
      <c r="C469" s="6">
        <v>233.30999800000001</v>
      </c>
      <c r="D469" s="6">
        <v>41.360000999999997</v>
      </c>
      <c r="E469" s="6">
        <v>137.86000100000001</v>
      </c>
      <c r="F469" s="6">
        <v>97.379997000000003</v>
      </c>
      <c r="G469" s="6">
        <v>34.229999999999997</v>
      </c>
      <c r="H469" s="6">
        <v>114.07</v>
      </c>
      <c r="I469" s="6">
        <v>157.63000500000001</v>
      </c>
      <c r="J469" s="6">
        <v>18.899999999999999</v>
      </c>
      <c r="K469" s="6">
        <v>20.530000999999999</v>
      </c>
      <c r="N469" s="19">
        <v>465</v>
      </c>
      <c r="O469" s="1">
        <v>44139</v>
      </c>
      <c r="P469" s="5">
        <f t="shared" si="188"/>
        <v>7.0595087724750025E-2</v>
      </c>
      <c r="Q469" s="5">
        <f t="shared" si="189"/>
        <v>5.0862485909539359E-2</v>
      </c>
      <c r="R469" s="5">
        <f t="shared" si="190"/>
        <v>3.9452922891561819E-2</v>
      </c>
      <c r="S469" s="5">
        <f t="shared" si="191"/>
        <v>5.9658817753550112E-3</v>
      </c>
      <c r="T469" s="5">
        <f t="shared" si="192"/>
        <v>-1.0216680925783378E-2</v>
      </c>
      <c r="U469" s="5">
        <f t="shared" si="193"/>
        <v>-9.8838013914393404E-3</v>
      </c>
      <c r="V469" s="5">
        <f t="shared" si="194"/>
        <v>-2.6728261061070881E-2</v>
      </c>
      <c r="W469" s="5">
        <f t="shared" si="195"/>
        <v>-3.9127945371269651E-2</v>
      </c>
      <c r="X469" s="5">
        <f t="shared" si="196"/>
        <v>-2.3530497410194272E-2</v>
      </c>
      <c r="Y469" s="5">
        <f t="shared" si="197"/>
        <v>-2.8333226446497359E-2</v>
      </c>
      <c r="Z469" s="33">
        <v>465</v>
      </c>
      <c r="AE469" s="20" t="str">
        <f t="shared" si="198"/>
        <v/>
      </c>
      <c r="AF469" s="22" t="str">
        <f t="shared" si="199"/>
        <v/>
      </c>
      <c r="AG469" s="9" t="str">
        <f t="shared" ca="1" si="178"/>
        <v/>
      </c>
      <c r="AH469" s="9" t="str">
        <f t="shared" ca="1" si="179"/>
        <v/>
      </c>
      <c r="AI469" s="9" t="str">
        <f t="shared" ca="1" si="180"/>
        <v/>
      </c>
      <c r="AJ469" s="9" t="str">
        <f t="shared" ca="1" si="181"/>
        <v/>
      </c>
      <c r="AK469" s="9" t="str">
        <f t="shared" ca="1" si="182"/>
        <v/>
      </c>
      <c r="AL469" s="9" t="str">
        <f t="shared" ca="1" si="183"/>
        <v/>
      </c>
      <c r="AM469" s="9" t="str">
        <f t="shared" ca="1" si="184"/>
        <v/>
      </c>
      <c r="AN469" s="9" t="str">
        <f t="shared" ca="1" si="185"/>
        <v/>
      </c>
      <c r="AO469" s="9" t="str">
        <f t="shared" ca="1" si="186"/>
        <v/>
      </c>
      <c r="AP469" s="9" t="str">
        <f t="shared" ca="1" si="187"/>
        <v/>
      </c>
      <c r="AQ469" s="9"/>
      <c r="AR469" s="9"/>
      <c r="AS469" s="9"/>
      <c r="AT469" s="9"/>
      <c r="AU469" s="9"/>
    </row>
    <row r="470" spans="1:47" x14ac:dyDescent="0.3">
      <c r="A470" s="1">
        <v>44140</v>
      </c>
      <c r="B470" s="6">
        <v>496.47000100000002</v>
      </c>
      <c r="C470" s="6">
        <v>240.55999800000001</v>
      </c>
      <c r="D470" s="6">
        <v>41.84</v>
      </c>
      <c r="E470" s="6">
        <v>138.050003</v>
      </c>
      <c r="F470" s="6">
        <v>97.459998999999996</v>
      </c>
      <c r="G470" s="6">
        <v>33.849997999999999</v>
      </c>
      <c r="H470" s="6">
        <v>117.370003</v>
      </c>
      <c r="I470" s="6">
        <v>161.71000699999999</v>
      </c>
      <c r="J470" s="6">
        <v>19.530000999999999</v>
      </c>
      <c r="K470" s="6">
        <v>21.43</v>
      </c>
      <c r="N470" s="18">
        <v>466</v>
      </c>
      <c r="O470" s="1">
        <v>44140</v>
      </c>
      <c r="P470" s="5">
        <f t="shared" si="188"/>
        <v>1.8786747281954622E-2</v>
      </c>
      <c r="Q470" s="5">
        <f t="shared" si="189"/>
        <v>3.0601497563663652E-2</v>
      </c>
      <c r="R470" s="5">
        <f t="shared" si="190"/>
        <v>1.1538565378544587E-2</v>
      </c>
      <c r="S470" s="5">
        <f t="shared" si="191"/>
        <v>1.3772753961784228E-3</v>
      </c>
      <c r="T470" s="5">
        <f t="shared" si="192"/>
        <v>8.2120720733315727E-4</v>
      </c>
      <c r="U470" s="5">
        <f t="shared" si="193"/>
        <v>-1.1163512268006633E-2</v>
      </c>
      <c r="V470" s="5">
        <f t="shared" si="194"/>
        <v>2.8519068632419958E-2</v>
      </c>
      <c r="W470" s="5">
        <f t="shared" si="195"/>
        <v>2.5554104518916938E-2</v>
      </c>
      <c r="X470" s="5">
        <f t="shared" si="196"/>
        <v>3.2789874026266548E-2</v>
      </c>
      <c r="Y470" s="5">
        <f t="shared" si="197"/>
        <v>4.2904529745438728E-2</v>
      </c>
      <c r="Z470" s="33">
        <v>466</v>
      </c>
      <c r="AE470" s="20" t="str">
        <f t="shared" si="198"/>
        <v/>
      </c>
      <c r="AF470" s="22" t="str">
        <f t="shared" si="199"/>
        <v/>
      </c>
      <c r="AG470" s="9" t="str">
        <f t="shared" ca="1" si="178"/>
        <v/>
      </c>
      <c r="AH470" s="9" t="str">
        <f t="shared" ca="1" si="179"/>
        <v/>
      </c>
      <c r="AI470" s="9" t="str">
        <f t="shared" ca="1" si="180"/>
        <v/>
      </c>
      <c r="AJ470" s="9" t="str">
        <f t="shared" ca="1" si="181"/>
        <v/>
      </c>
      <c r="AK470" s="9" t="str">
        <f t="shared" ca="1" si="182"/>
        <v/>
      </c>
      <c r="AL470" s="9" t="str">
        <f t="shared" ca="1" si="183"/>
        <v/>
      </c>
      <c r="AM470" s="9" t="str">
        <f t="shared" ca="1" si="184"/>
        <v/>
      </c>
      <c r="AN470" s="9" t="str">
        <f t="shared" ca="1" si="185"/>
        <v/>
      </c>
      <c r="AO470" s="9" t="str">
        <f t="shared" ca="1" si="186"/>
        <v/>
      </c>
      <c r="AP470" s="9" t="str">
        <f t="shared" ca="1" si="187"/>
        <v/>
      </c>
      <c r="AQ470" s="9"/>
      <c r="AR470" s="9"/>
      <c r="AS470" s="9"/>
      <c r="AT470" s="9"/>
      <c r="AU470" s="9"/>
    </row>
    <row r="471" spans="1:47" x14ac:dyDescent="0.3">
      <c r="A471" s="1">
        <v>44141</v>
      </c>
      <c r="B471" s="6">
        <v>494.63000499999998</v>
      </c>
      <c r="C471" s="6">
        <v>241.779999</v>
      </c>
      <c r="D471" s="6">
        <v>41.630001</v>
      </c>
      <c r="E471" s="6">
        <v>138.38000500000001</v>
      </c>
      <c r="F471" s="6">
        <v>95.599997999999999</v>
      </c>
      <c r="G471" s="6">
        <v>33.520000000000003</v>
      </c>
      <c r="H471" s="6">
        <v>116.41999800000001</v>
      </c>
      <c r="I471" s="6">
        <v>162.64999399999999</v>
      </c>
      <c r="J471" s="6">
        <v>18.989999999999998</v>
      </c>
      <c r="K471" s="6">
        <v>20.93</v>
      </c>
      <c r="N471" s="19">
        <v>467</v>
      </c>
      <c r="O471" s="1">
        <v>44141</v>
      </c>
      <c r="P471" s="5">
        <f t="shared" si="188"/>
        <v>-3.7130422819369956E-3</v>
      </c>
      <c r="Q471" s="5">
        <f t="shared" si="189"/>
        <v>5.0586872715150718E-3</v>
      </c>
      <c r="R471" s="5">
        <f t="shared" si="190"/>
        <v>-5.0317345286451272E-3</v>
      </c>
      <c r="S471" s="5">
        <f t="shared" si="191"/>
        <v>2.3876000956336001E-3</v>
      </c>
      <c r="T471" s="5">
        <f t="shared" si="192"/>
        <v>-1.9269228017887014E-2</v>
      </c>
      <c r="U471" s="5">
        <f t="shared" si="193"/>
        <v>-9.7966646602048544E-3</v>
      </c>
      <c r="V471" s="5">
        <f t="shared" si="194"/>
        <v>-8.1270390078159345E-3</v>
      </c>
      <c r="W471" s="5">
        <f t="shared" si="195"/>
        <v>5.7959651531164537E-3</v>
      </c>
      <c r="X471" s="5">
        <f t="shared" si="196"/>
        <v>-2.8039271267668763E-2</v>
      </c>
      <c r="Y471" s="5">
        <f t="shared" si="197"/>
        <v>-2.3608273027577276E-2</v>
      </c>
      <c r="Z471" s="33">
        <v>467</v>
      </c>
      <c r="AE471" s="20" t="str">
        <f t="shared" si="198"/>
        <v/>
      </c>
      <c r="AF471" s="22" t="str">
        <f t="shared" si="199"/>
        <v/>
      </c>
      <c r="AG471" s="9" t="str">
        <f t="shared" ca="1" si="178"/>
        <v/>
      </c>
      <c r="AH471" s="9" t="str">
        <f t="shared" ca="1" si="179"/>
        <v/>
      </c>
      <c r="AI471" s="9" t="str">
        <f t="shared" ca="1" si="180"/>
        <v/>
      </c>
      <c r="AJ471" s="9" t="str">
        <f t="shared" ca="1" si="181"/>
        <v/>
      </c>
      <c r="AK471" s="9" t="str">
        <f t="shared" ca="1" si="182"/>
        <v/>
      </c>
      <c r="AL471" s="9" t="str">
        <f t="shared" ca="1" si="183"/>
        <v/>
      </c>
      <c r="AM471" s="9" t="str">
        <f t="shared" ca="1" si="184"/>
        <v/>
      </c>
      <c r="AN471" s="9" t="str">
        <f t="shared" ca="1" si="185"/>
        <v/>
      </c>
      <c r="AO471" s="9" t="str">
        <f t="shared" ca="1" si="186"/>
        <v/>
      </c>
      <c r="AP471" s="9" t="str">
        <f t="shared" ca="1" si="187"/>
        <v/>
      </c>
      <c r="AQ471" s="9"/>
      <c r="AR471" s="9"/>
      <c r="AS471" s="9"/>
      <c r="AT471" s="9"/>
      <c r="AU471" s="9"/>
    </row>
    <row r="472" spans="1:47" x14ac:dyDescent="0.3">
      <c r="A472" s="1">
        <v>44144</v>
      </c>
      <c r="B472" s="6">
        <v>471.14001500000001</v>
      </c>
      <c r="C472" s="6">
        <v>233.78999300000001</v>
      </c>
      <c r="D472" s="6">
        <v>40.674999</v>
      </c>
      <c r="E472" s="6">
        <v>138.449997</v>
      </c>
      <c r="F472" s="6">
        <v>98.599997999999999</v>
      </c>
      <c r="G472" s="6">
        <v>38.150002000000001</v>
      </c>
      <c r="H472" s="6">
        <v>119.720001</v>
      </c>
      <c r="I472" s="6">
        <v>168.259995</v>
      </c>
      <c r="J472" s="6">
        <v>21.09</v>
      </c>
      <c r="K472" s="6">
        <v>22.120000999999998</v>
      </c>
      <c r="N472" s="18">
        <v>468</v>
      </c>
      <c r="O472" s="1">
        <v>44144</v>
      </c>
      <c r="P472" s="5">
        <f t="shared" si="188"/>
        <v>-4.8654696829114739E-2</v>
      </c>
      <c r="Q472" s="5">
        <f t="shared" si="189"/>
        <v>-3.3604971055675996E-2</v>
      </c>
      <c r="R472" s="5">
        <f t="shared" si="190"/>
        <v>-2.3207456708047195E-2</v>
      </c>
      <c r="S472" s="5">
        <f t="shared" si="191"/>
        <v>5.0566774544466922E-4</v>
      </c>
      <c r="T472" s="5">
        <f t="shared" si="192"/>
        <v>3.0898442187760635E-2</v>
      </c>
      <c r="U472" s="5">
        <f t="shared" si="193"/>
        <v>0.12938353454122184</v>
      </c>
      <c r="V472" s="5">
        <f t="shared" si="194"/>
        <v>2.795136667291083E-2</v>
      </c>
      <c r="W472" s="5">
        <f t="shared" si="195"/>
        <v>3.390975637641714E-2</v>
      </c>
      <c r="X472" s="5">
        <f t="shared" si="196"/>
        <v>0.10488646966648887</v>
      </c>
      <c r="Y472" s="5">
        <f t="shared" si="197"/>
        <v>5.5298685404181223E-2</v>
      </c>
      <c r="Z472" s="33">
        <v>468</v>
      </c>
      <c r="AE472" s="20" t="str">
        <f t="shared" si="198"/>
        <v/>
      </c>
      <c r="AF472" s="22" t="str">
        <f t="shared" si="199"/>
        <v/>
      </c>
      <c r="AG472" s="9" t="str">
        <f t="shared" ca="1" si="178"/>
        <v/>
      </c>
      <c r="AH472" s="9" t="str">
        <f t="shared" ca="1" si="179"/>
        <v/>
      </c>
      <c r="AI472" s="9" t="str">
        <f t="shared" ca="1" si="180"/>
        <v/>
      </c>
      <c r="AJ472" s="9" t="str">
        <f t="shared" ca="1" si="181"/>
        <v/>
      </c>
      <c r="AK472" s="9" t="str">
        <f t="shared" ca="1" si="182"/>
        <v/>
      </c>
      <c r="AL472" s="9" t="str">
        <f t="shared" ca="1" si="183"/>
        <v/>
      </c>
      <c r="AM472" s="9" t="str">
        <f t="shared" ca="1" si="184"/>
        <v/>
      </c>
      <c r="AN472" s="9" t="str">
        <f t="shared" ca="1" si="185"/>
        <v/>
      </c>
      <c r="AO472" s="9" t="str">
        <f t="shared" ca="1" si="186"/>
        <v/>
      </c>
      <c r="AP472" s="9" t="str">
        <f t="shared" ca="1" si="187"/>
        <v/>
      </c>
      <c r="AQ472" s="9"/>
      <c r="AR472" s="9"/>
      <c r="AS472" s="9"/>
      <c r="AT472" s="9"/>
      <c r="AU472" s="9"/>
    </row>
    <row r="473" spans="1:47" x14ac:dyDescent="0.3">
      <c r="A473" s="1">
        <v>44145</v>
      </c>
      <c r="B473" s="6">
        <v>452</v>
      </c>
      <c r="C473" s="6">
        <v>219.33000200000001</v>
      </c>
      <c r="D473" s="6">
        <v>40.790000999999997</v>
      </c>
      <c r="E473" s="6">
        <v>141.720001</v>
      </c>
      <c r="F473" s="6">
        <v>101.400002</v>
      </c>
      <c r="G473" s="6">
        <v>39.919998</v>
      </c>
      <c r="H473" s="6">
        <v>119.80999799999999</v>
      </c>
      <c r="I473" s="6">
        <v>172.66999799999999</v>
      </c>
      <c r="J473" s="6">
        <v>21.42</v>
      </c>
      <c r="K473" s="6">
        <v>22.92</v>
      </c>
      <c r="N473" s="19">
        <v>469</v>
      </c>
      <c r="O473" s="1">
        <v>44145</v>
      </c>
      <c r="P473" s="5">
        <f t="shared" si="188"/>
        <v>-4.1473141769899045E-2</v>
      </c>
      <c r="Q473" s="5">
        <f t="shared" si="189"/>
        <v>-6.384579249016456E-2</v>
      </c>
      <c r="R473" s="5">
        <f t="shared" si="190"/>
        <v>2.8233493253041089E-3</v>
      </c>
      <c r="S473" s="5">
        <f t="shared" si="191"/>
        <v>2.334405910494014E-2</v>
      </c>
      <c r="T473" s="5">
        <f t="shared" si="192"/>
        <v>2.8001869556334564E-2</v>
      </c>
      <c r="U473" s="5">
        <f t="shared" si="193"/>
        <v>4.535159118795741E-2</v>
      </c>
      <c r="V473" s="5">
        <f t="shared" si="194"/>
        <v>7.5144662138864021E-4</v>
      </c>
      <c r="W473" s="5">
        <f t="shared" si="195"/>
        <v>2.5871874434799449E-2</v>
      </c>
      <c r="X473" s="5">
        <f t="shared" si="196"/>
        <v>1.55260705289196E-2</v>
      </c>
      <c r="Y473" s="5">
        <f t="shared" si="197"/>
        <v>3.5527669984449339E-2</v>
      </c>
      <c r="Z473" s="33">
        <v>469</v>
      </c>
      <c r="AE473" s="20" t="str">
        <f t="shared" si="198"/>
        <v/>
      </c>
      <c r="AF473" s="22" t="str">
        <f t="shared" si="199"/>
        <v/>
      </c>
      <c r="AG473" s="9" t="str">
        <f t="shared" ca="1" si="178"/>
        <v/>
      </c>
      <c r="AH473" s="9" t="str">
        <f t="shared" ca="1" si="179"/>
        <v/>
      </c>
      <c r="AI473" s="9" t="str">
        <f t="shared" ca="1" si="180"/>
        <v/>
      </c>
      <c r="AJ473" s="9" t="str">
        <f t="shared" ca="1" si="181"/>
        <v/>
      </c>
      <c r="AK473" s="9" t="str">
        <f t="shared" ca="1" si="182"/>
        <v/>
      </c>
      <c r="AL473" s="9" t="str">
        <f t="shared" ca="1" si="183"/>
        <v/>
      </c>
      <c r="AM473" s="9" t="str">
        <f t="shared" ca="1" si="184"/>
        <v/>
      </c>
      <c r="AN473" s="9" t="str">
        <f t="shared" ca="1" si="185"/>
        <v/>
      </c>
      <c r="AO473" s="9" t="str">
        <f t="shared" ca="1" si="186"/>
        <v/>
      </c>
      <c r="AP473" s="9" t="str">
        <f t="shared" ca="1" si="187"/>
        <v/>
      </c>
      <c r="AQ473" s="9"/>
      <c r="AR473" s="9"/>
      <c r="AS473" s="9"/>
      <c r="AT473" s="9"/>
      <c r="AU473" s="9"/>
    </row>
    <row r="474" spans="1:47" x14ac:dyDescent="0.3">
      <c r="A474" s="1">
        <v>44146</v>
      </c>
      <c r="B474" s="6">
        <v>467.75</v>
      </c>
      <c r="C474" s="6">
        <v>224.89999399999999</v>
      </c>
      <c r="D474" s="6">
        <v>42.25</v>
      </c>
      <c r="E474" s="6">
        <v>143.89999399999999</v>
      </c>
      <c r="F474" s="6">
        <v>100</v>
      </c>
      <c r="G474" s="6">
        <v>38.68</v>
      </c>
      <c r="H474" s="6">
        <v>120.870003</v>
      </c>
      <c r="I474" s="6">
        <v>170.179993</v>
      </c>
      <c r="J474" s="6">
        <v>20.77</v>
      </c>
      <c r="K474" s="6">
        <v>22.440000999999999</v>
      </c>
      <c r="N474" s="18">
        <v>470</v>
      </c>
      <c r="O474" s="1">
        <v>44146</v>
      </c>
      <c r="P474" s="5">
        <f t="shared" si="188"/>
        <v>3.4251785321967744E-2</v>
      </c>
      <c r="Q474" s="5">
        <f t="shared" si="189"/>
        <v>2.5078378194731996E-2</v>
      </c>
      <c r="R474" s="5">
        <f t="shared" si="190"/>
        <v>3.5167375957903355E-2</v>
      </c>
      <c r="S474" s="5">
        <f t="shared" si="191"/>
        <v>1.5265285144260867E-2</v>
      </c>
      <c r="T474" s="5">
        <f t="shared" si="192"/>
        <v>-1.390292489285712E-2</v>
      </c>
      <c r="U474" s="5">
        <f t="shared" si="193"/>
        <v>-3.1554730757967983E-2</v>
      </c>
      <c r="V474" s="5">
        <f t="shared" si="194"/>
        <v>8.80847473270969E-3</v>
      </c>
      <c r="W474" s="5">
        <f t="shared" si="195"/>
        <v>-1.4525587553058541E-2</v>
      </c>
      <c r="X474" s="5">
        <f t="shared" si="196"/>
        <v>-3.0815427131581891E-2</v>
      </c>
      <c r="Y474" s="5">
        <f t="shared" si="197"/>
        <v>-2.1164766628764483E-2</v>
      </c>
      <c r="Z474" s="33">
        <v>470</v>
      </c>
      <c r="AE474" s="20" t="str">
        <f t="shared" si="198"/>
        <v/>
      </c>
      <c r="AF474" s="22" t="str">
        <f t="shared" si="199"/>
        <v/>
      </c>
      <c r="AG474" s="9" t="str">
        <f t="shared" ca="1" si="178"/>
        <v/>
      </c>
      <c r="AH474" s="9" t="str">
        <f t="shared" ca="1" si="179"/>
        <v/>
      </c>
      <c r="AI474" s="9" t="str">
        <f t="shared" ca="1" si="180"/>
        <v/>
      </c>
      <c r="AJ474" s="9" t="str">
        <f t="shared" ca="1" si="181"/>
        <v/>
      </c>
      <c r="AK474" s="9" t="str">
        <f t="shared" ca="1" si="182"/>
        <v/>
      </c>
      <c r="AL474" s="9" t="str">
        <f t="shared" ca="1" si="183"/>
        <v/>
      </c>
      <c r="AM474" s="9" t="str">
        <f t="shared" ca="1" si="184"/>
        <v/>
      </c>
      <c r="AN474" s="9" t="str">
        <f t="shared" ca="1" si="185"/>
        <v/>
      </c>
      <c r="AO474" s="9" t="str">
        <f t="shared" ca="1" si="186"/>
        <v/>
      </c>
      <c r="AP474" s="9" t="str">
        <f t="shared" ca="1" si="187"/>
        <v/>
      </c>
      <c r="AQ474" s="9"/>
      <c r="AR474" s="9"/>
      <c r="AS474" s="9"/>
      <c r="AT474" s="9"/>
      <c r="AU474" s="9"/>
    </row>
    <row r="475" spans="1:47" x14ac:dyDescent="0.3">
      <c r="A475" s="1">
        <v>44147</v>
      </c>
      <c r="B475" s="6">
        <v>462.57998700000002</v>
      </c>
      <c r="C475" s="6">
        <v>223.759995</v>
      </c>
      <c r="D475" s="6">
        <v>41.48</v>
      </c>
      <c r="E475" s="6">
        <v>143.83999600000001</v>
      </c>
      <c r="F475" s="6">
        <v>99.910004000000001</v>
      </c>
      <c r="G475" s="6">
        <v>38.119999</v>
      </c>
      <c r="H475" s="6">
        <v>120</v>
      </c>
      <c r="I475" s="6">
        <v>167.41999799999999</v>
      </c>
      <c r="J475" s="6">
        <v>20.48</v>
      </c>
      <c r="K475" s="6">
        <v>21.799999</v>
      </c>
      <c r="N475" s="19">
        <v>471</v>
      </c>
      <c r="O475" s="1">
        <v>44147</v>
      </c>
      <c r="P475" s="5">
        <f t="shared" si="188"/>
        <v>-1.1114478290093342E-2</v>
      </c>
      <c r="Q475" s="5">
        <f t="shared" si="189"/>
        <v>-5.0818057384118334E-3</v>
      </c>
      <c r="R475" s="5">
        <f t="shared" si="190"/>
        <v>-1.8392970441856352E-2</v>
      </c>
      <c r="S475" s="5">
        <f t="shared" si="191"/>
        <v>-4.1702928306570225E-4</v>
      </c>
      <c r="T475" s="5">
        <f t="shared" si="192"/>
        <v>-9.0036520713254839E-4</v>
      </c>
      <c r="U475" s="5">
        <f t="shared" si="193"/>
        <v>-1.4583618032041137E-2</v>
      </c>
      <c r="V475" s="5">
        <f t="shared" si="194"/>
        <v>-7.2238699093739034E-3</v>
      </c>
      <c r="W475" s="5">
        <f t="shared" si="195"/>
        <v>-1.6351046002586161E-2</v>
      </c>
      <c r="X475" s="5">
        <f t="shared" si="196"/>
        <v>-1.4060837716713813E-2</v>
      </c>
      <c r="Y475" s="5">
        <f t="shared" si="197"/>
        <v>-2.8935201294291706E-2</v>
      </c>
      <c r="Z475" s="33">
        <v>471</v>
      </c>
      <c r="AE475" s="20" t="str">
        <f t="shared" si="198"/>
        <v/>
      </c>
      <c r="AF475" s="22" t="str">
        <f t="shared" si="199"/>
        <v/>
      </c>
      <c r="AG475" s="9" t="str">
        <f t="shared" ca="1" si="178"/>
        <v/>
      </c>
      <c r="AH475" s="9" t="str">
        <f t="shared" ca="1" si="179"/>
        <v/>
      </c>
      <c r="AI475" s="9" t="str">
        <f t="shared" ca="1" si="180"/>
        <v/>
      </c>
      <c r="AJ475" s="9" t="str">
        <f t="shared" ca="1" si="181"/>
        <v/>
      </c>
      <c r="AK475" s="9" t="str">
        <f t="shared" ca="1" si="182"/>
        <v/>
      </c>
      <c r="AL475" s="9" t="str">
        <f t="shared" ca="1" si="183"/>
        <v/>
      </c>
      <c r="AM475" s="9" t="str">
        <f t="shared" ca="1" si="184"/>
        <v/>
      </c>
      <c r="AN475" s="9" t="str">
        <f t="shared" ca="1" si="185"/>
        <v/>
      </c>
      <c r="AO475" s="9" t="str">
        <f t="shared" ca="1" si="186"/>
        <v/>
      </c>
      <c r="AP475" s="9" t="str">
        <f t="shared" ca="1" si="187"/>
        <v/>
      </c>
      <c r="AQ475" s="9"/>
      <c r="AR475" s="9"/>
      <c r="AS475" s="9"/>
      <c r="AT475" s="9"/>
      <c r="AU475" s="9"/>
    </row>
    <row r="476" spans="1:47" x14ac:dyDescent="0.3">
      <c r="A476" s="1">
        <v>44148</v>
      </c>
      <c r="B476" s="6">
        <v>469.33999599999999</v>
      </c>
      <c r="C476" s="6">
        <v>226.229996</v>
      </c>
      <c r="D476" s="6">
        <v>42.009998000000003</v>
      </c>
      <c r="E476" s="6">
        <v>144.71000699999999</v>
      </c>
      <c r="F476" s="6">
        <v>100.30999799999999</v>
      </c>
      <c r="G476" s="6">
        <v>38.869999</v>
      </c>
      <c r="H476" s="6">
        <v>122.279999</v>
      </c>
      <c r="I476" s="6">
        <v>171.320007</v>
      </c>
      <c r="J476" s="6">
        <v>21.16</v>
      </c>
      <c r="K476" s="6">
        <v>23.120000999999998</v>
      </c>
      <c r="N476" s="18">
        <v>472</v>
      </c>
      <c r="O476" s="1">
        <v>44148</v>
      </c>
      <c r="P476" s="5">
        <f t="shared" si="188"/>
        <v>1.4507957107736971E-2</v>
      </c>
      <c r="Q476" s="5">
        <f t="shared" si="189"/>
        <v>1.0978136653210242E-2</v>
      </c>
      <c r="R476" s="5">
        <f t="shared" si="190"/>
        <v>1.2696254212250702E-2</v>
      </c>
      <c r="S476" s="5">
        <f t="shared" si="191"/>
        <v>6.0302452078737911E-3</v>
      </c>
      <c r="T476" s="5">
        <f t="shared" si="192"/>
        <v>3.9955501762429816E-3</v>
      </c>
      <c r="U476" s="5">
        <f t="shared" si="193"/>
        <v>1.9483666584297461E-2</v>
      </c>
      <c r="V476" s="5">
        <f t="shared" si="194"/>
        <v>1.8821746062635591E-2</v>
      </c>
      <c r="W476" s="5">
        <f t="shared" si="195"/>
        <v>2.3027580320474146E-2</v>
      </c>
      <c r="X476" s="5">
        <f t="shared" si="196"/>
        <v>3.2663806818791594E-2</v>
      </c>
      <c r="Y476" s="5">
        <f t="shared" si="197"/>
        <v>5.878816313328819E-2</v>
      </c>
      <c r="Z476" s="33">
        <v>472</v>
      </c>
      <c r="AE476" s="20" t="str">
        <f t="shared" si="198"/>
        <v/>
      </c>
      <c r="AF476" s="22" t="str">
        <f t="shared" si="199"/>
        <v/>
      </c>
      <c r="AG476" s="9" t="str">
        <f t="shared" ca="1" si="178"/>
        <v/>
      </c>
      <c r="AH476" s="9" t="str">
        <f t="shared" ca="1" si="179"/>
        <v/>
      </c>
      <c r="AI476" s="9" t="str">
        <f t="shared" ca="1" si="180"/>
        <v/>
      </c>
      <c r="AJ476" s="9" t="str">
        <f t="shared" ca="1" si="181"/>
        <v/>
      </c>
      <c r="AK476" s="9" t="str">
        <f t="shared" ca="1" si="182"/>
        <v/>
      </c>
      <c r="AL476" s="9" t="str">
        <f t="shared" ca="1" si="183"/>
        <v/>
      </c>
      <c r="AM476" s="9" t="str">
        <f t="shared" ca="1" si="184"/>
        <v/>
      </c>
      <c r="AN476" s="9" t="str">
        <f t="shared" ca="1" si="185"/>
        <v/>
      </c>
      <c r="AO476" s="9" t="str">
        <f t="shared" ca="1" si="186"/>
        <v/>
      </c>
      <c r="AP476" s="9" t="str">
        <f t="shared" ca="1" si="187"/>
        <v/>
      </c>
      <c r="AQ476" s="9"/>
      <c r="AR476" s="9"/>
      <c r="AS476" s="9"/>
      <c r="AT476" s="9"/>
      <c r="AU476" s="9"/>
    </row>
    <row r="477" spans="1:47" x14ac:dyDescent="0.3">
      <c r="A477" s="1">
        <v>44151</v>
      </c>
      <c r="B477" s="6">
        <v>460.95001200000002</v>
      </c>
      <c r="C477" s="6">
        <v>222.33999600000001</v>
      </c>
      <c r="D477" s="6">
        <v>41.790000999999997</v>
      </c>
      <c r="E477" s="6">
        <v>145.759995</v>
      </c>
      <c r="F477" s="6">
        <v>101.760002</v>
      </c>
      <c r="G477" s="6">
        <v>40.270000000000003</v>
      </c>
      <c r="H477" s="6">
        <v>125.800003</v>
      </c>
      <c r="I477" s="6">
        <v>174.61000100000001</v>
      </c>
      <c r="J477" s="6">
        <v>21.639999</v>
      </c>
      <c r="K477" s="6">
        <v>24.07</v>
      </c>
      <c r="N477" s="19">
        <v>473</v>
      </c>
      <c r="O477" s="1">
        <v>44151</v>
      </c>
      <c r="P477" s="5">
        <f t="shared" si="188"/>
        <v>-1.8037840694047319E-2</v>
      </c>
      <c r="Q477" s="5">
        <f t="shared" si="189"/>
        <v>-1.734443938654039E-2</v>
      </c>
      <c r="R477" s="5">
        <f t="shared" si="190"/>
        <v>-5.2505371845838582E-3</v>
      </c>
      <c r="S477" s="5">
        <f t="shared" si="191"/>
        <v>7.2296110861763798E-3</v>
      </c>
      <c r="T477" s="5">
        <f t="shared" si="192"/>
        <v>1.435174828869799E-2</v>
      </c>
      <c r="U477" s="5">
        <f t="shared" si="193"/>
        <v>3.5384055726013046E-2</v>
      </c>
      <c r="V477" s="5">
        <f t="shared" si="194"/>
        <v>2.8379879269035117E-2</v>
      </c>
      <c r="W477" s="5">
        <f t="shared" si="195"/>
        <v>1.9021727654704796E-2</v>
      </c>
      <c r="X477" s="5">
        <f t="shared" si="196"/>
        <v>2.2430800777460212E-2</v>
      </c>
      <c r="Y477" s="5">
        <f t="shared" si="197"/>
        <v>4.0268164738209621E-2</v>
      </c>
      <c r="Z477" s="33">
        <v>473</v>
      </c>
      <c r="AE477" s="20" t="str">
        <f t="shared" si="198"/>
        <v/>
      </c>
      <c r="AF477" s="22" t="str">
        <f t="shared" si="199"/>
        <v/>
      </c>
      <c r="AG477" s="9" t="str">
        <f t="shared" ca="1" si="178"/>
        <v/>
      </c>
      <c r="AH477" s="9" t="str">
        <f t="shared" ca="1" si="179"/>
        <v/>
      </c>
      <c r="AI477" s="9" t="str">
        <f t="shared" ca="1" si="180"/>
        <v/>
      </c>
      <c r="AJ477" s="9" t="str">
        <f t="shared" ca="1" si="181"/>
        <v/>
      </c>
      <c r="AK477" s="9" t="str">
        <f t="shared" ca="1" si="182"/>
        <v/>
      </c>
      <c r="AL477" s="9" t="str">
        <f t="shared" ca="1" si="183"/>
        <v/>
      </c>
      <c r="AM477" s="9" t="str">
        <f t="shared" ca="1" si="184"/>
        <v/>
      </c>
      <c r="AN477" s="9" t="str">
        <f t="shared" ca="1" si="185"/>
        <v/>
      </c>
      <c r="AO477" s="9" t="str">
        <f t="shared" ca="1" si="186"/>
        <v/>
      </c>
      <c r="AP477" s="9" t="str">
        <f t="shared" ca="1" si="187"/>
        <v/>
      </c>
      <c r="AQ477" s="9"/>
      <c r="AR477" s="9"/>
      <c r="AS477" s="9"/>
      <c r="AT477" s="9"/>
      <c r="AU477" s="9"/>
    </row>
    <row r="478" spans="1:47" x14ac:dyDescent="0.3">
      <c r="A478" s="1">
        <v>44152</v>
      </c>
      <c r="B478" s="6">
        <v>467.95001200000002</v>
      </c>
      <c r="C478" s="6">
        <v>221.199997</v>
      </c>
      <c r="D478" s="6">
        <v>42.77</v>
      </c>
      <c r="E478" s="6">
        <v>145.240005</v>
      </c>
      <c r="F478" s="6">
        <v>101.80999799999999</v>
      </c>
      <c r="G478" s="6">
        <v>40.279998999999997</v>
      </c>
      <c r="H478" s="6">
        <v>125.410004</v>
      </c>
      <c r="I478" s="6">
        <v>172.58000200000001</v>
      </c>
      <c r="J478" s="6">
        <v>21.9</v>
      </c>
      <c r="K478" s="6">
        <v>24.299999</v>
      </c>
      <c r="N478" s="18">
        <v>474</v>
      </c>
      <c r="O478" s="1">
        <v>44152</v>
      </c>
      <c r="P478" s="5">
        <f t="shared" si="188"/>
        <v>1.5071874969235174E-2</v>
      </c>
      <c r="Q478" s="5">
        <f t="shared" si="189"/>
        <v>-5.1404677292110953E-3</v>
      </c>
      <c r="R478" s="5">
        <f t="shared" si="190"/>
        <v>2.3179821849823954E-2</v>
      </c>
      <c r="S478" s="5">
        <f t="shared" si="191"/>
        <v>-3.5738182367713689E-3</v>
      </c>
      <c r="T478" s="5">
        <f t="shared" si="192"/>
        <v>4.9119222876854067E-4</v>
      </c>
      <c r="U478" s="5">
        <f t="shared" si="193"/>
        <v>2.4826816078176681E-4</v>
      </c>
      <c r="V478" s="5">
        <f t="shared" si="194"/>
        <v>-3.1049663823757025E-3</v>
      </c>
      <c r="W478" s="5">
        <f t="shared" si="195"/>
        <v>-1.1694012592095262E-2</v>
      </c>
      <c r="X478" s="5">
        <f t="shared" si="196"/>
        <v>1.1943229054896226E-2</v>
      </c>
      <c r="Y478" s="5">
        <f t="shared" si="197"/>
        <v>9.5100573992580369E-3</v>
      </c>
      <c r="Z478" s="33">
        <v>474</v>
      </c>
      <c r="AE478" s="20" t="str">
        <f t="shared" si="198"/>
        <v/>
      </c>
      <c r="AF478" s="22" t="str">
        <f t="shared" si="199"/>
        <v/>
      </c>
      <c r="AG478" s="9" t="str">
        <f t="shared" ca="1" si="178"/>
        <v/>
      </c>
      <c r="AH478" s="9" t="str">
        <f t="shared" ca="1" si="179"/>
        <v/>
      </c>
      <c r="AI478" s="9" t="str">
        <f t="shared" ca="1" si="180"/>
        <v/>
      </c>
      <c r="AJ478" s="9" t="str">
        <f t="shared" ca="1" si="181"/>
        <v/>
      </c>
      <c r="AK478" s="9" t="str">
        <f t="shared" ca="1" si="182"/>
        <v/>
      </c>
      <c r="AL478" s="9" t="str">
        <f t="shared" ca="1" si="183"/>
        <v/>
      </c>
      <c r="AM478" s="9" t="str">
        <f t="shared" ca="1" si="184"/>
        <v/>
      </c>
      <c r="AN478" s="9" t="str">
        <f t="shared" ca="1" si="185"/>
        <v/>
      </c>
      <c r="AO478" s="9" t="str">
        <f t="shared" ca="1" si="186"/>
        <v/>
      </c>
      <c r="AP478" s="9" t="str">
        <f t="shared" ca="1" si="187"/>
        <v/>
      </c>
      <c r="AQ478" s="9"/>
      <c r="AR478" s="9"/>
      <c r="AS478" s="9"/>
      <c r="AT478" s="9"/>
      <c r="AU478" s="9"/>
    </row>
    <row r="479" spans="1:47" x14ac:dyDescent="0.3">
      <c r="A479" s="1">
        <v>44153</v>
      </c>
      <c r="B479" s="6">
        <v>459.47000100000002</v>
      </c>
      <c r="C479" s="6">
        <v>218.19000199999999</v>
      </c>
      <c r="D479" s="6">
        <v>42.110000999999997</v>
      </c>
      <c r="E479" s="6">
        <v>143.38000500000001</v>
      </c>
      <c r="F479" s="6">
        <v>97.919998000000007</v>
      </c>
      <c r="G479" s="6">
        <v>38.619999</v>
      </c>
      <c r="H479" s="6">
        <v>124.360001</v>
      </c>
      <c r="I479" s="6">
        <v>171.21000699999999</v>
      </c>
      <c r="J479" s="6">
        <v>21.4</v>
      </c>
      <c r="K479" s="6">
        <v>24.5</v>
      </c>
      <c r="N479" s="19">
        <v>475</v>
      </c>
      <c r="O479" s="1">
        <v>44153</v>
      </c>
      <c r="P479" s="5">
        <f t="shared" si="188"/>
        <v>-1.8287824763155325E-2</v>
      </c>
      <c r="Q479" s="5">
        <f t="shared" si="189"/>
        <v>-1.3701004084910758E-2</v>
      </c>
      <c r="R479" s="5">
        <f t="shared" si="190"/>
        <v>-1.5551656317652859E-2</v>
      </c>
      <c r="S479" s="5">
        <f t="shared" si="191"/>
        <v>-1.2889097674819713E-2</v>
      </c>
      <c r="T479" s="5">
        <f t="shared" si="192"/>
        <v>-3.8957513135489182E-2</v>
      </c>
      <c r="U479" s="5">
        <f t="shared" si="193"/>
        <v>-4.2084791917096159E-2</v>
      </c>
      <c r="V479" s="5">
        <f t="shared" si="194"/>
        <v>-8.4078084996172635E-3</v>
      </c>
      <c r="W479" s="5">
        <f t="shared" si="195"/>
        <v>-7.9699945668020335E-3</v>
      </c>
      <c r="X479" s="5">
        <f t="shared" si="196"/>
        <v>-2.3095714794649395E-2</v>
      </c>
      <c r="Y479" s="5">
        <f t="shared" si="197"/>
        <v>8.1968083564427571E-3</v>
      </c>
      <c r="Z479" s="33">
        <v>475</v>
      </c>
      <c r="AE479" s="20" t="str">
        <f t="shared" si="198"/>
        <v/>
      </c>
      <c r="AF479" s="22" t="str">
        <f t="shared" si="199"/>
        <v/>
      </c>
      <c r="AG479" s="9" t="str">
        <f t="shared" ca="1" si="178"/>
        <v/>
      </c>
      <c r="AH479" s="9" t="str">
        <f t="shared" ca="1" si="179"/>
        <v/>
      </c>
      <c r="AI479" s="9" t="str">
        <f t="shared" ca="1" si="180"/>
        <v/>
      </c>
      <c r="AJ479" s="9" t="str">
        <f t="shared" ca="1" si="181"/>
        <v/>
      </c>
      <c r="AK479" s="9" t="str">
        <f t="shared" ca="1" si="182"/>
        <v/>
      </c>
      <c r="AL479" s="9" t="str">
        <f t="shared" ca="1" si="183"/>
        <v/>
      </c>
      <c r="AM479" s="9" t="str">
        <f t="shared" ca="1" si="184"/>
        <v/>
      </c>
      <c r="AN479" s="9" t="str">
        <f t="shared" ca="1" si="185"/>
        <v/>
      </c>
      <c r="AO479" s="9" t="str">
        <f t="shared" ca="1" si="186"/>
        <v/>
      </c>
      <c r="AP479" s="9" t="str">
        <f t="shared" ca="1" si="187"/>
        <v/>
      </c>
      <c r="AQ479" s="9"/>
      <c r="AR479" s="9"/>
      <c r="AS479" s="9"/>
      <c r="AT479" s="9"/>
      <c r="AU479" s="9"/>
    </row>
    <row r="480" spans="1:47" x14ac:dyDescent="0.3">
      <c r="A480" s="1">
        <v>44154</v>
      </c>
      <c r="B480" s="6">
        <v>466.41000400000001</v>
      </c>
      <c r="C480" s="6">
        <v>221.279999</v>
      </c>
      <c r="D480" s="6">
        <v>41.865001999999997</v>
      </c>
      <c r="E480" s="6">
        <v>143.320007</v>
      </c>
      <c r="F480" s="6">
        <v>97.849997999999999</v>
      </c>
      <c r="G480" s="6">
        <v>38.799999</v>
      </c>
      <c r="H480" s="6">
        <v>124.68</v>
      </c>
      <c r="I480" s="6">
        <v>171.720001</v>
      </c>
      <c r="J480" s="6">
        <v>21.59</v>
      </c>
      <c r="K480" s="6">
        <v>25.030000999999999</v>
      </c>
      <c r="N480" s="18">
        <v>476</v>
      </c>
      <c r="O480" s="1">
        <v>44154</v>
      </c>
      <c r="P480" s="5">
        <f t="shared" si="188"/>
        <v>1.4991430722029268E-2</v>
      </c>
      <c r="Q480" s="5">
        <f t="shared" si="189"/>
        <v>1.4062611396404997E-2</v>
      </c>
      <c r="R480" s="5">
        <f t="shared" si="190"/>
        <v>-5.8350624921681415E-3</v>
      </c>
      <c r="S480" s="5">
        <f t="shared" si="191"/>
        <v>-4.1854201858818301E-4</v>
      </c>
      <c r="T480" s="5">
        <f t="shared" si="192"/>
        <v>-7.1512493654231064E-4</v>
      </c>
      <c r="U480" s="5">
        <f t="shared" si="193"/>
        <v>4.6499697489830608E-3</v>
      </c>
      <c r="V480" s="5">
        <f t="shared" si="194"/>
        <v>2.5698616674125364E-3</v>
      </c>
      <c r="W480" s="5">
        <f t="shared" si="195"/>
        <v>2.9743350776054158E-3</v>
      </c>
      <c r="X480" s="5">
        <f t="shared" si="196"/>
        <v>8.8393224989101824E-3</v>
      </c>
      <c r="Y480" s="5">
        <f t="shared" si="197"/>
        <v>2.1402027845058326E-2</v>
      </c>
      <c r="Z480" s="33">
        <v>476</v>
      </c>
      <c r="AE480" s="20" t="str">
        <f t="shared" si="198"/>
        <v/>
      </c>
      <c r="AF480" s="22" t="str">
        <f t="shared" si="199"/>
        <v/>
      </c>
      <c r="AG480" s="9" t="str">
        <f t="shared" ca="1" si="178"/>
        <v/>
      </c>
      <c r="AH480" s="9" t="str">
        <f t="shared" ca="1" si="179"/>
        <v/>
      </c>
      <c r="AI480" s="9" t="str">
        <f t="shared" ca="1" si="180"/>
        <v/>
      </c>
      <c r="AJ480" s="9" t="str">
        <f t="shared" ca="1" si="181"/>
        <v/>
      </c>
      <c r="AK480" s="9" t="str">
        <f t="shared" ca="1" si="182"/>
        <v/>
      </c>
      <c r="AL480" s="9" t="str">
        <f t="shared" ca="1" si="183"/>
        <v/>
      </c>
      <c r="AM480" s="9" t="str">
        <f t="shared" ca="1" si="184"/>
        <v/>
      </c>
      <c r="AN480" s="9" t="str">
        <f t="shared" ca="1" si="185"/>
        <v/>
      </c>
      <c r="AO480" s="9" t="str">
        <f t="shared" ca="1" si="186"/>
        <v/>
      </c>
      <c r="AP480" s="9" t="str">
        <f t="shared" ca="1" si="187"/>
        <v/>
      </c>
      <c r="AQ480" s="9"/>
      <c r="AR480" s="9"/>
      <c r="AS480" s="9"/>
      <c r="AT480" s="9"/>
      <c r="AU480" s="9"/>
    </row>
    <row r="481" spans="1:47" x14ac:dyDescent="0.3">
      <c r="A481" s="1">
        <v>44155</v>
      </c>
      <c r="B481" s="6">
        <v>462.92001299999998</v>
      </c>
      <c r="C481" s="6">
        <v>218.509995</v>
      </c>
      <c r="D481" s="6">
        <v>41.759998000000003</v>
      </c>
      <c r="E481" s="6">
        <v>143.41999799999999</v>
      </c>
      <c r="F481" s="6">
        <v>99.699996999999996</v>
      </c>
      <c r="G481" s="6">
        <v>39.229999999999997</v>
      </c>
      <c r="H481" s="6">
        <v>123.480003</v>
      </c>
      <c r="I481" s="6">
        <v>172.91999799999999</v>
      </c>
      <c r="J481" s="6">
        <v>21.65</v>
      </c>
      <c r="K481" s="6">
        <v>25.49</v>
      </c>
      <c r="N481" s="19">
        <v>477</v>
      </c>
      <c r="O481" s="1">
        <v>44155</v>
      </c>
      <c r="P481" s="5">
        <f t="shared" si="188"/>
        <v>-7.5108031434218238E-3</v>
      </c>
      <c r="Q481" s="5">
        <f t="shared" si="189"/>
        <v>-1.2597106200759663E-2</v>
      </c>
      <c r="R481" s="5">
        <f t="shared" si="190"/>
        <v>-2.5113077473344308E-3</v>
      </c>
      <c r="S481" s="5">
        <f t="shared" si="191"/>
        <v>6.9743323086750156E-4</v>
      </c>
      <c r="T481" s="5">
        <f t="shared" si="192"/>
        <v>1.8729973474884549E-2</v>
      </c>
      <c r="U481" s="5">
        <f t="shared" si="193"/>
        <v>1.10215393654296E-2</v>
      </c>
      <c r="V481" s="5">
        <f t="shared" si="194"/>
        <v>-9.6712309697456738E-3</v>
      </c>
      <c r="W481" s="5">
        <f t="shared" si="195"/>
        <v>6.963799053595501E-3</v>
      </c>
      <c r="X481" s="5">
        <f t="shared" si="196"/>
        <v>2.7752099217827849E-3</v>
      </c>
      <c r="Y481" s="5">
        <f t="shared" si="197"/>
        <v>1.8211072992284551E-2</v>
      </c>
      <c r="Z481" s="33">
        <v>477</v>
      </c>
      <c r="AE481" s="20" t="str">
        <f t="shared" si="198"/>
        <v/>
      </c>
      <c r="AF481" s="22" t="str">
        <f t="shared" si="199"/>
        <v/>
      </c>
      <c r="AG481" s="9" t="str">
        <f t="shared" ca="1" si="178"/>
        <v/>
      </c>
      <c r="AH481" s="9" t="str">
        <f t="shared" ca="1" si="179"/>
        <v/>
      </c>
      <c r="AI481" s="9" t="str">
        <f t="shared" ca="1" si="180"/>
        <v/>
      </c>
      <c r="AJ481" s="9" t="str">
        <f t="shared" ca="1" si="181"/>
        <v/>
      </c>
      <c r="AK481" s="9" t="str">
        <f t="shared" ca="1" si="182"/>
        <v/>
      </c>
      <c r="AL481" s="9" t="str">
        <f t="shared" ca="1" si="183"/>
        <v/>
      </c>
      <c r="AM481" s="9" t="str">
        <f t="shared" ca="1" si="184"/>
        <v/>
      </c>
      <c r="AN481" s="9" t="str">
        <f t="shared" ca="1" si="185"/>
        <v/>
      </c>
      <c r="AO481" s="9" t="str">
        <f t="shared" ca="1" si="186"/>
        <v/>
      </c>
      <c r="AP481" s="9" t="str">
        <f t="shared" ca="1" si="187"/>
        <v/>
      </c>
      <c r="AQ481" s="9"/>
      <c r="AR481" s="9"/>
      <c r="AS481" s="9"/>
      <c r="AT481" s="9"/>
      <c r="AU481" s="9"/>
    </row>
    <row r="482" spans="1:47" x14ac:dyDescent="0.3">
      <c r="A482" s="1">
        <v>44158</v>
      </c>
      <c r="B482" s="6">
        <v>460.60998499999999</v>
      </c>
      <c r="C482" s="6">
        <v>216</v>
      </c>
      <c r="D482" s="6">
        <v>42.034999999999997</v>
      </c>
      <c r="E482" s="6">
        <v>143.020004</v>
      </c>
      <c r="F482" s="6">
        <v>98.639999000000003</v>
      </c>
      <c r="G482" s="6">
        <v>39.669998</v>
      </c>
      <c r="H482" s="6">
        <v>123.43</v>
      </c>
      <c r="I482" s="6">
        <v>176.029999</v>
      </c>
      <c r="J482" s="6">
        <v>22.09</v>
      </c>
      <c r="K482" s="6">
        <v>26.5</v>
      </c>
      <c r="N482" s="18">
        <v>478</v>
      </c>
      <c r="O482" s="1">
        <v>44158</v>
      </c>
      <c r="P482" s="5">
        <f t="shared" si="188"/>
        <v>-5.0026156651012685E-3</v>
      </c>
      <c r="Q482" s="5">
        <f t="shared" si="189"/>
        <v>-1.1553349512362254E-2</v>
      </c>
      <c r="R482" s="5">
        <f t="shared" si="190"/>
        <v>6.5637089055982289E-3</v>
      </c>
      <c r="S482" s="5">
        <f t="shared" si="191"/>
        <v>-2.7928659210063249E-3</v>
      </c>
      <c r="T482" s="5">
        <f t="shared" si="192"/>
        <v>-1.0688798159307605E-2</v>
      </c>
      <c r="U482" s="5">
        <f t="shared" si="193"/>
        <v>1.1153423888844962E-2</v>
      </c>
      <c r="V482" s="5">
        <f t="shared" si="194"/>
        <v>-4.0503017355336365E-4</v>
      </c>
      <c r="W482" s="5">
        <f t="shared" si="195"/>
        <v>1.7825381143642256E-2</v>
      </c>
      <c r="X482" s="5">
        <f t="shared" si="196"/>
        <v>2.0119562983527108E-2</v>
      </c>
      <c r="Y482" s="5">
        <f t="shared" si="197"/>
        <v>3.8858514604152454E-2</v>
      </c>
      <c r="Z482" s="33">
        <v>478</v>
      </c>
      <c r="AE482" s="20" t="str">
        <f t="shared" si="198"/>
        <v/>
      </c>
      <c r="AF482" s="22" t="str">
        <f t="shared" si="199"/>
        <v/>
      </c>
      <c r="AG482" s="9" t="str">
        <f t="shared" ca="1" si="178"/>
        <v/>
      </c>
      <c r="AH482" s="9" t="str">
        <f t="shared" ca="1" si="179"/>
        <v/>
      </c>
      <c r="AI482" s="9" t="str">
        <f t="shared" ca="1" si="180"/>
        <v/>
      </c>
      <c r="AJ482" s="9" t="str">
        <f t="shared" ca="1" si="181"/>
        <v/>
      </c>
      <c r="AK482" s="9" t="str">
        <f t="shared" ca="1" si="182"/>
        <v/>
      </c>
      <c r="AL482" s="9" t="str">
        <f t="shared" ca="1" si="183"/>
        <v/>
      </c>
      <c r="AM482" s="9" t="str">
        <f t="shared" ca="1" si="184"/>
        <v/>
      </c>
      <c r="AN482" s="9" t="str">
        <f t="shared" ca="1" si="185"/>
        <v/>
      </c>
      <c r="AO482" s="9" t="str">
        <f t="shared" ca="1" si="186"/>
        <v/>
      </c>
      <c r="AP482" s="9" t="str">
        <f t="shared" ca="1" si="187"/>
        <v/>
      </c>
      <c r="AQ482" s="9"/>
      <c r="AR482" s="9"/>
      <c r="AS482" s="9"/>
      <c r="AT482" s="9"/>
      <c r="AU482" s="9"/>
    </row>
    <row r="483" spans="1:47" x14ac:dyDescent="0.3">
      <c r="A483" s="1">
        <v>44159</v>
      </c>
      <c r="B483" s="6">
        <v>462.70001200000002</v>
      </c>
      <c r="C483" s="6">
        <v>215.490005</v>
      </c>
      <c r="D483" s="6">
        <v>42.095001000000003</v>
      </c>
      <c r="E483" s="6">
        <v>144.029999</v>
      </c>
      <c r="F483" s="6">
        <v>100.19000200000001</v>
      </c>
      <c r="G483" s="6">
        <v>40.139999000000003</v>
      </c>
      <c r="H483" s="6">
        <v>126.339996</v>
      </c>
      <c r="I483" s="6">
        <v>179.05999800000001</v>
      </c>
      <c r="J483" s="6">
        <v>23.23</v>
      </c>
      <c r="K483" s="6">
        <v>27.200001</v>
      </c>
      <c r="N483" s="19">
        <v>479</v>
      </c>
      <c r="O483" s="1">
        <v>44159</v>
      </c>
      <c r="P483" s="5">
        <f t="shared" si="188"/>
        <v>4.5272564503031016E-3</v>
      </c>
      <c r="Q483" s="5">
        <f t="shared" si="189"/>
        <v>-2.3638797264125002E-3</v>
      </c>
      <c r="R483" s="5">
        <f t="shared" si="190"/>
        <v>1.4263879581575374E-3</v>
      </c>
      <c r="S483" s="5">
        <f t="shared" si="191"/>
        <v>7.0370956795949213E-3</v>
      </c>
      <c r="T483" s="5">
        <f t="shared" si="192"/>
        <v>1.5591554515029901E-2</v>
      </c>
      <c r="U483" s="5">
        <f t="shared" si="193"/>
        <v>1.1778134345080613E-2</v>
      </c>
      <c r="V483" s="5">
        <f t="shared" si="194"/>
        <v>2.330246005411803E-2</v>
      </c>
      <c r="W483" s="5">
        <f t="shared" si="195"/>
        <v>1.7066504659538496E-2</v>
      </c>
      <c r="X483" s="5">
        <f t="shared" si="196"/>
        <v>5.0319529350292054E-2</v>
      </c>
      <c r="Y483" s="5">
        <f t="shared" si="197"/>
        <v>2.6072277074480364E-2</v>
      </c>
      <c r="Z483" s="33">
        <v>479</v>
      </c>
      <c r="AE483" s="20" t="str">
        <f t="shared" si="198"/>
        <v/>
      </c>
      <c r="AF483" s="22" t="str">
        <f t="shared" si="199"/>
        <v/>
      </c>
      <c r="AG483" s="9" t="str">
        <f t="shared" ca="1" si="178"/>
        <v/>
      </c>
      <c r="AH483" s="9" t="str">
        <f t="shared" ca="1" si="179"/>
        <v/>
      </c>
      <c r="AI483" s="9" t="str">
        <f t="shared" ca="1" si="180"/>
        <v/>
      </c>
      <c r="AJ483" s="9" t="str">
        <f t="shared" ca="1" si="181"/>
        <v/>
      </c>
      <c r="AK483" s="9" t="str">
        <f t="shared" ca="1" si="182"/>
        <v/>
      </c>
      <c r="AL483" s="9" t="str">
        <f t="shared" ca="1" si="183"/>
        <v/>
      </c>
      <c r="AM483" s="9" t="str">
        <f t="shared" ca="1" si="184"/>
        <v/>
      </c>
      <c r="AN483" s="9" t="str">
        <f t="shared" ca="1" si="185"/>
        <v/>
      </c>
      <c r="AO483" s="9" t="str">
        <f t="shared" ca="1" si="186"/>
        <v/>
      </c>
      <c r="AP483" s="9" t="str">
        <f t="shared" ca="1" si="187"/>
        <v/>
      </c>
      <c r="AQ483" s="9"/>
      <c r="AR483" s="9"/>
      <c r="AS483" s="9"/>
      <c r="AT483" s="9"/>
      <c r="AU483" s="9"/>
    </row>
    <row r="484" spans="1:47" x14ac:dyDescent="0.3">
      <c r="A484" s="1">
        <v>44160</v>
      </c>
      <c r="B484" s="6">
        <v>470.07998700000002</v>
      </c>
      <c r="C484" s="6">
        <v>217.020004</v>
      </c>
      <c r="D484" s="6">
        <v>42.040000999999997</v>
      </c>
      <c r="E484" s="6">
        <v>144.16000399999999</v>
      </c>
      <c r="F484" s="6">
        <v>98.620002999999997</v>
      </c>
      <c r="G484" s="6">
        <v>39.759998000000003</v>
      </c>
      <c r="H484" s="6">
        <v>124.120003</v>
      </c>
      <c r="I484" s="6">
        <v>174.96000699999999</v>
      </c>
      <c r="J484" s="6">
        <v>23.110001</v>
      </c>
      <c r="K484" s="6">
        <v>27.299999</v>
      </c>
      <c r="N484" s="18">
        <v>480</v>
      </c>
      <c r="O484" s="1">
        <v>44160</v>
      </c>
      <c r="P484" s="5">
        <f t="shared" si="188"/>
        <v>1.582394348296039E-2</v>
      </c>
      <c r="Q484" s="5">
        <f t="shared" si="189"/>
        <v>7.0750056657898491E-3</v>
      </c>
      <c r="R484" s="5">
        <f t="shared" si="190"/>
        <v>-1.3074227497979205E-3</v>
      </c>
      <c r="S484" s="5">
        <f t="shared" si="191"/>
        <v>9.0221733901436018E-4</v>
      </c>
      <c r="T484" s="5">
        <f t="shared" si="192"/>
        <v>-1.5794292017470853E-2</v>
      </c>
      <c r="U484" s="5">
        <f t="shared" si="193"/>
        <v>-9.5119869688254297E-3</v>
      </c>
      <c r="V484" s="5">
        <f t="shared" si="194"/>
        <v>-1.7727790059618415E-2</v>
      </c>
      <c r="W484" s="5">
        <f t="shared" si="195"/>
        <v>-2.3163517658912988E-2</v>
      </c>
      <c r="X484" s="5">
        <f t="shared" si="196"/>
        <v>-5.1790792247182159E-3</v>
      </c>
      <c r="Y484" s="5">
        <f t="shared" si="197"/>
        <v>3.66965549421998E-3</v>
      </c>
      <c r="Z484" s="33">
        <v>480</v>
      </c>
      <c r="AE484" s="20" t="str">
        <f t="shared" si="198"/>
        <v/>
      </c>
      <c r="AF484" s="22" t="str">
        <f t="shared" si="199"/>
        <v/>
      </c>
      <c r="AG484" s="9" t="str">
        <f t="shared" ca="1" si="178"/>
        <v/>
      </c>
      <c r="AH484" s="9" t="str">
        <f t="shared" ca="1" si="179"/>
        <v/>
      </c>
      <c r="AI484" s="9" t="str">
        <f t="shared" ca="1" si="180"/>
        <v/>
      </c>
      <c r="AJ484" s="9" t="str">
        <f t="shared" ca="1" si="181"/>
        <v/>
      </c>
      <c r="AK484" s="9" t="str">
        <f t="shared" ca="1" si="182"/>
        <v/>
      </c>
      <c r="AL484" s="9" t="str">
        <f t="shared" ca="1" si="183"/>
        <v/>
      </c>
      <c r="AM484" s="9" t="str">
        <f t="shared" ca="1" si="184"/>
        <v/>
      </c>
      <c r="AN484" s="9" t="str">
        <f t="shared" ca="1" si="185"/>
        <v/>
      </c>
      <c r="AO484" s="9" t="str">
        <f t="shared" ca="1" si="186"/>
        <v/>
      </c>
      <c r="AP484" s="9" t="str">
        <f t="shared" ca="1" si="187"/>
        <v/>
      </c>
      <c r="AQ484" s="9"/>
      <c r="AR484" s="9"/>
      <c r="AS484" s="9"/>
      <c r="AT484" s="9"/>
      <c r="AU484" s="9"/>
    </row>
    <row r="485" spans="1:47" x14ac:dyDescent="0.3">
      <c r="A485" s="1">
        <v>44162</v>
      </c>
      <c r="B485" s="6">
        <v>477.02999899999998</v>
      </c>
      <c r="C485" s="6">
        <v>225.41999799999999</v>
      </c>
      <c r="D485" s="6">
        <v>42.075001</v>
      </c>
      <c r="E485" s="6">
        <v>144.60000600000001</v>
      </c>
      <c r="F485" s="6">
        <v>97.739998</v>
      </c>
      <c r="G485" s="6">
        <v>39.220001000000003</v>
      </c>
      <c r="H485" s="6">
        <v>123.879997</v>
      </c>
      <c r="I485" s="6">
        <v>177</v>
      </c>
      <c r="J485" s="6">
        <v>22.799999</v>
      </c>
      <c r="K485" s="6">
        <v>27.48</v>
      </c>
      <c r="N485" s="19">
        <v>481</v>
      </c>
      <c r="O485" s="1">
        <v>44162</v>
      </c>
      <c r="P485" s="5">
        <f t="shared" si="188"/>
        <v>1.4676514565466019E-2</v>
      </c>
      <c r="Q485" s="5">
        <f t="shared" si="189"/>
        <v>3.7975786318062907E-2</v>
      </c>
      <c r="R485" s="5">
        <f t="shared" si="190"/>
        <v>8.3219404833246029E-4</v>
      </c>
      <c r="S485" s="5">
        <f t="shared" si="191"/>
        <v>3.047529611464339E-3</v>
      </c>
      <c r="T485" s="5">
        <f t="shared" si="192"/>
        <v>-8.9632398362155773E-3</v>
      </c>
      <c r="U485" s="5">
        <f t="shared" si="193"/>
        <v>-1.3674485221165919E-2</v>
      </c>
      <c r="V485" s="5">
        <f t="shared" si="194"/>
        <v>-1.9355328623193973E-3</v>
      </c>
      <c r="W485" s="5">
        <f t="shared" si="195"/>
        <v>1.1592316196172554E-2</v>
      </c>
      <c r="X485" s="5">
        <f t="shared" si="196"/>
        <v>-1.3504975456854595E-2</v>
      </c>
      <c r="Y485" s="5">
        <f t="shared" si="197"/>
        <v>6.5718017932718123E-3</v>
      </c>
      <c r="Z485" s="33">
        <v>481</v>
      </c>
      <c r="AE485" s="20" t="str">
        <f t="shared" si="198"/>
        <v/>
      </c>
      <c r="AF485" s="22" t="str">
        <f t="shared" si="199"/>
        <v/>
      </c>
      <c r="AG485" s="9" t="str">
        <f t="shared" ca="1" si="178"/>
        <v/>
      </c>
      <c r="AH485" s="9" t="str">
        <f t="shared" ca="1" si="179"/>
        <v/>
      </c>
      <c r="AI485" s="9" t="str">
        <f t="shared" ca="1" si="180"/>
        <v/>
      </c>
      <c r="AJ485" s="9" t="str">
        <f t="shared" ca="1" si="181"/>
        <v/>
      </c>
      <c r="AK485" s="9" t="str">
        <f t="shared" ca="1" si="182"/>
        <v/>
      </c>
      <c r="AL485" s="9" t="str">
        <f t="shared" ca="1" si="183"/>
        <v/>
      </c>
      <c r="AM485" s="9" t="str">
        <f t="shared" ca="1" si="184"/>
        <v/>
      </c>
      <c r="AN485" s="9" t="str">
        <f t="shared" ca="1" si="185"/>
        <v/>
      </c>
      <c r="AO485" s="9" t="str">
        <f t="shared" ca="1" si="186"/>
        <v/>
      </c>
      <c r="AP485" s="9" t="str">
        <f t="shared" ca="1" si="187"/>
        <v/>
      </c>
      <c r="AQ485" s="9"/>
      <c r="AR485" s="9"/>
      <c r="AS485" s="9"/>
      <c r="AT485" s="9"/>
      <c r="AU485" s="9"/>
    </row>
    <row r="486" spans="1:47" x14ac:dyDescent="0.3">
      <c r="A486" s="1">
        <v>44165</v>
      </c>
      <c r="B486" s="6">
        <v>478.47000100000002</v>
      </c>
      <c r="C486" s="6">
        <v>227.5</v>
      </c>
      <c r="D486" s="6">
        <v>42.389999000000003</v>
      </c>
      <c r="E486" s="6">
        <v>144.229996</v>
      </c>
      <c r="F486" s="6">
        <v>98.830001999999993</v>
      </c>
      <c r="G486" s="6">
        <v>38.470001000000003</v>
      </c>
      <c r="H486" s="6">
        <v>122.029999</v>
      </c>
      <c r="I486" s="6">
        <v>175.85000600000001</v>
      </c>
      <c r="J486" s="6">
        <v>22.280000999999999</v>
      </c>
      <c r="K486" s="6">
        <v>26.91</v>
      </c>
      <c r="N486" s="18">
        <v>482</v>
      </c>
      <c r="O486" s="1">
        <v>44165</v>
      </c>
      <c r="P486" s="5">
        <f t="shared" si="188"/>
        <v>3.0141351966566391E-3</v>
      </c>
      <c r="Q486" s="5">
        <f t="shared" si="189"/>
        <v>9.1849184493998873E-3</v>
      </c>
      <c r="R486" s="5">
        <f t="shared" si="190"/>
        <v>7.4586979301241385E-3</v>
      </c>
      <c r="S486" s="5">
        <f t="shared" si="191"/>
        <v>-2.5621313565022093E-3</v>
      </c>
      <c r="T486" s="5">
        <f t="shared" si="192"/>
        <v>1.1090351245305212E-2</v>
      </c>
      <c r="U486" s="5">
        <f t="shared" si="193"/>
        <v>-1.9308103506910482E-2</v>
      </c>
      <c r="V486" s="5">
        <f t="shared" si="194"/>
        <v>-1.504642293897566E-2</v>
      </c>
      <c r="W486" s="5">
        <f t="shared" si="195"/>
        <v>-6.5183395338495468E-3</v>
      </c>
      <c r="X486" s="5">
        <f t="shared" si="196"/>
        <v>-2.3071032158359338E-2</v>
      </c>
      <c r="Y486" s="5">
        <f t="shared" si="197"/>
        <v>-2.0960502615334112E-2</v>
      </c>
      <c r="Z486" s="33">
        <v>482</v>
      </c>
      <c r="AE486" s="20" t="str">
        <f t="shared" si="198"/>
        <v/>
      </c>
      <c r="AF486" s="22" t="str">
        <f t="shared" si="199"/>
        <v/>
      </c>
      <c r="AG486" s="9" t="str">
        <f t="shared" ca="1" si="178"/>
        <v/>
      </c>
      <c r="AH486" s="9" t="str">
        <f t="shared" ca="1" si="179"/>
        <v/>
      </c>
      <c r="AI486" s="9" t="str">
        <f t="shared" ca="1" si="180"/>
        <v/>
      </c>
      <c r="AJ486" s="9" t="str">
        <f t="shared" ca="1" si="181"/>
        <v/>
      </c>
      <c r="AK486" s="9" t="str">
        <f t="shared" ca="1" si="182"/>
        <v/>
      </c>
      <c r="AL486" s="9" t="str">
        <f t="shared" ca="1" si="183"/>
        <v/>
      </c>
      <c r="AM486" s="9" t="str">
        <f t="shared" ca="1" si="184"/>
        <v/>
      </c>
      <c r="AN486" s="9" t="str">
        <f t="shared" ca="1" si="185"/>
        <v/>
      </c>
      <c r="AO486" s="9" t="str">
        <f t="shared" ca="1" si="186"/>
        <v/>
      </c>
      <c r="AP486" s="9" t="str">
        <f t="shared" ca="1" si="187"/>
        <v/>
      </c>
      <c r="AQ486" s="9"/>
      <c r="AR486" s="9"/>
      <c r="AS486" s="9"/>
      <c r="AT486" s="9"/>
      <c r="AU486" s="9"/>
    </row>
    <row r="487" spans="1:47" x14ac:dyDescent="0.3">
      <c r="A487" s="1">
        <v>44166</v>
      </c>
      <c r="B487" s="6">
        <v>479.14999399999999</v>
      </c>
      <c r="C487" s="6">
        <v>230.020004</v>
      </c>
      <c r="D487" s="6">
        <v>43.34</v>
      </c>
      <c r="E487" s="6">
        <v>146.070007</v>
      </c>
      <c r="F487" s="6">
        <v>98.720000999999996</v>
      </c>
      <c r="G487" s="6">
        <v>38.630001</v>
      </c>
      <c r="H487" s="6">
        <v>122.639999</v>
      </c>
      <c r="I487" s="6">
        <v>175.78999300000001</v>
      </c>
      <c r="J487" s="6">
        <v>22.790001</v>
      </c>
      <c r="K487" s="6">
        <v>27.68</v>
      </c>
      <c r="N487" s="19">
        <v>483</v>
      </c>
      <c r="O487" s="1">
        <v>44166</v>
      </c>
      <c r="P487" s="5">
        <f t="shared" si="188"/>
        <v>1.4201731748286928E-3</v>
      </c>
      <c r="Q487" s="5">
        <f t="shared" si="189"/>
        <v>1.1016040663222329E-2</v>
      </c>
      <c r="R487" s="5">
        <f t="shared" si="190"/>
        <v>2.2163534334136922E-2</v>
      </c>
      <c r="S487" s="5">
        <f t="shared" si="191"/>
        <v>1.2676786923009997E-2</v>
      </c>
      <c r="T487" s="5">
        <f t="shared" si="192"/>
        <v>-1.1136523381251938E-3</v>
      </c>
      <c r="U487" s="5">
        <f t="shared" si="193"/>
        <v>4.1504598063214267E-3</v>
      </c>
      <c r="V487" s="5">
        <f t="shared" si="194"/>
        <v>4.9863184605702824E-3</v>
      </c>
      <c r="W487" s="5">
        <f t="shared" si="195"/>
        <v>-3.4133204842071846E-4</v>
      </c>
      <c r="X487" s="5">
        <f t="shared" si="196"/>
        <v>2.26324271941005E-2</v>
      </c>
      <c r="Y487" s="5">
        <f t="shared" si="197"/>
        <v>2.8212166010654332E-2</v>
      </c>
      <c r="Z487" s="33">
        <v>483</v>
      </c>
      <c r="AE487" s="20" t="str">
        <f t="shared" si="198"/>
        <v/>
      </c>
      <c r="AF487" s="22" t="str">
        <f t="shared" si="199"/>
        <v/>
      </c>
      <c r="AG487" s="9" t="str">
        <f t="shared" ca="1" si="178"/>
        <v/>
      </c>
      <c r="AH487" s="9" t="str">
        <f t="shared" ca="1" si="179"/>
        <v/>
      </c>
      <c r="AI487" s="9" t="str">
        <f t="shared" ca="1" si="180"/>
        <v/>
      </c>
      <c r="AJ487" s="9" t="str">
        <f t="shared" ca="1" si="181"/>
        <v/>
      </c>
      <c r="AK487" s="9" t="str">
        <f t="shared" ca="1" si="182"/>
        <v/>
      </c>
      <c r="AL487" s="9" t="str">
        <f t="shared" ca="1" si="183"/>
        <v/>
      </c>
      <c r="AM487" s="9" t="str">
        <f t="shared" ca="1" si="184"/>
        <v/>
      </c>
      <c r="AN487" s="9" t="str">
        <f t="shared" ca="1" si="185"/>
        <v/>
      </c>
      <c r="AO487" s="9" t="str">
        <f t="shared" ca="1" si="186"/>
        <v/>
      </c>
      <c r="AP487" s="9" t="str">
        <f t="shared" ca="1" si="187"/>
        <v/>
      </c>
      <c r="AQ487" s="9"/>
      <c r="AR487" s="9"/>
      <c r="AS487" s="9"/>
      <c r="AT487" s="9"/>
      <c r="AU487" s="9"/>
    </row>
    <row r="488" spans="1:47" x14ac:dyDescent="0.3">
      <c r="A488" s="1">
        <v>44167</v>
      </c>
      <c r="B488" s="6">
        <v>481.26001000000002</v>
      </c>
      <c r="C488" s="6">
        <v>224.720001</v>
      </c>
      <c r="D488" s="6">
        <v>43.130001</v>
      </c>
      <c r="E488" s="6">
        <v>144.61999499999999</v>
      </c>
      <c r="F488" s="6">
        <v>99.209998999999996</v>
      </c>
      <c r="G488" s="6">
        <v>39.380001</v>
      </c>
      <c r="H488" s="6">
        <v>122.290001</v>
      </c>
      <c r="I488" s="6">
        <v>176.020004</v>
      </c>
      <c r="J488" s="6">
        <v>23.200001</v>
      </c>
      <c r="K488" s="6">
        <v>28.370000999999998</v>
      </c>
      <c r="N488" s="18">
        <v>484</v>
      </c>
      <c r="O488" s="1">
        <v>44167</v>
      </c>
      <c r="P488" s="5">
        <f t="shared" si="188"/>
        <v>4.3939971180805082E-3</v>
      </c>
      <c r="Q488" s="5">
        <f t="shared" si="189"/>
        <v>-2.3311091808256992E-2</v>
      </c>
      <c r="R488" s="5">
        <f t="shared" si="190"/>
        <v>-4.8571622627439602E-3</v>
      </c>
      <c r="S488" s="5">
        <f t="shared" si="191"/>
        <v>-9.9764286115067817E-3</v>
      </c>
      <c r="T488" s="5">
        <f t="shared" si="192"/>
        <v>4.9512352954448153E-3</v>
      </c>
      <c r="U488" s="5">
        <f t="shared" si="193"/>
        <v>1.922889603977377E-2</v>
      </c>
      <c r="V488" s="5">
        <f t="shared" si="194"/>
        <v>-2.857945031050157E-3</v>
      </c>
      <c r="W488" s="5">
        <f t="shared" si="195"/>
        <v>1.3075866787969359E-3</v>
      </c>
      <c r="X488" s="5">
        <f t="shared" si="196"/>
        <v>1.7830434639225495E-2</v>
      </c>
      <c r="Y488" s="5">
        <f t="shared" si="197"/>
        <v>2.4622153319792544E-2</v>
      </c>
      <c r="Z488" s="33">
        <v>484</v>
      </c>
      <c r="AE488" s="20" t="str">
        <f t="shared" si="198"/>
        <v/>
      </c>
      <c r="AF488" s="22" t="str">
        <f t="shared" si="199"/>
        <v/>
      </c>
      <c r="AG488" s="9" t="str">
        <f t="shared" ca="1" si="178"/>
        <v/>
      </c>
      <c r="AH488" s="9" t="str">
        <f t="shared" ca="1" si="179"/>
        <v/>
      </c>
      <c r="AI488" s="9" t="str">
        <f t="shared" ca="1" si="180"/>
        <v/>
      </c>
      <c r="AJ488" s="9" t="str">
        <f t="shared" ca="1" si="181"/>
        <v/>
      </c>
      <c r="AK488" s="9" t="str">
        <f t="shared" ca="1" si="182"/>
        <v/>
      </c>
      <c r="AL488" s="9" t="str">
        <f t="shared" ca="1" si="183"/>
        <v/>
      </c>
      <c r="AM488" s="9" t="str">
        <f t="shared" ca="1" si="184"/>
        <v/>
      </c>
      <c r="AN488" s="9" t="str">
        <f t="shared" ca="1" si="185"/>
        <v/>
      </c>
      <c r="AO488" s="9" t="str">
        <f t="shared" ca="1" si="186"/>
        <v/>
      </c>
      <c r="AP488" s="9" t="str">
        <f t="shared" ca="1" si="187"/>
        <v/>
      </c>
      <c r="AQ488" s="9"/>
      <c r="AR488" s="9"/>
      <c r="AS488" s="9"/>
      <c r="AT488" s="9"/>
      <c r="AU488" s="9"/>
    </row>
    <row r="489" spans="1:47" x14ac:dyDescent="0.3">
      <c r="A489" s="1">
        <v>44168</v>
      </c>
      <c r="B489" s="6">
        <v>484.27999899999998</v>
      </c>
      <c r="C489" s="6">
        <v>234.470001</v>
      </c>
      <c r="D489" s="6">
        <v>43.259998000000003</v>
      </c>
      <c r="E489" s="6">
        <v>144.449997</v>
      </c>
      <c r="F489" s="6">
        <v>100.07</v>
      </c>
      <c r="G489" s="6">
        <v>40</v>
      </c>
      <c r="H489" s="6">
        <v>121.139999</v>
      </c>
      <c r="I489" s="6">
        <v>177.449997</v>
      </c>
      <c r="J489" s="6">
        <v>23.690000999999999</v>
      </c>
      <c r="K489" s="6">
        <v>28.24</v>
      </c>
      <c r="N489" s="19">
        <v>485</v>
      </c>
      <c r="O489" s="1">
        <v>44168</v>
      </c>
      <c r="P489" s="5">
        <f t="shared" si="188"/>
        <v>6.2555643889413062E-3</v>
      </c>
      <c r="Q489" s="5">
        <f t="shared" si="189"/>
        <v>4.2472464951611964E-2</v>
      </c>
      <c r="R489" s="5">
        <f t="shared" si="190"/>
        <v>3.0095404473574777E-3</v>
      </c>
      <c r="S489" s="5">
        <f t="shared" si="191"/>
        <v>-1.176172029628376E-3</v>
      </c>
      <c r="T489" s="5">
        <f t="shared" si="192"/>
        <v>8.6311355201827665E-3</v>
      </c>
      <c r="U489" s="5">
        <f t="shared" si="193"/>
        <v>1.5621355509356222E-2</v>
      </c>
      <c r="V489" s="5">
        <f t="shared" si="194"/>
        <v>-9.4483880806725783E-3</v>
      </c>
      <c r="W489" s="5">
        <f t="shared" si="195"/>
        <v>8.0912145159788024E-3</v>
      </c>
      <c r="X489" s="5">
        <f t="shared" si="196"/>
        <v>2.0900738606885332E-2</v>
      </c>
      <c r="Y489" s="5">
        <f t="shared" si="197"/>
        <v>-4.592871444219937E-3</v>
      </c>
      <c r="Z489" s="33">
        <v>485</v>
      </c>
      <c r="AE489" s="20" t="str">
        <f t="shared" si="198"/>
        <v/>
      </c>
      <c r="AF489" s="22" t="str">
        <f t="shared" si="199"/>
        <v/>
      </c>
      <c r="AG489" s="9" t="str">
        <f t="shared" ca="1" si="178"/>
        <v/>
      </c>
      <c r="AH489" s="9" t="str">
        <f t="shared" ca="1" si="179"/>
        <v/>
      </c>
      <c r="AI489" s="9" t="str">
        <f t="shared" ca="1" si="180"/>
        <v/>
      </c>
      <c r="AJ489" s="9" t="str">
        <f t="shared" ca="1" si="181"/>
        <v/>
      </c>
      <c r="AK489" s="9" t="str">
        <f t="shared" ca="1" si="182"/>
        <v/>
      </c>
      <c r="AL489" s="9" t="str">
        <f t="shared" ca="1" si="183"/>
        <v/>
      </c>
      <c r="AM489" s="9" t="str">
        <f t="shared" ca="1" si="184"/>
        <v/>
      </c>
      <c r="AN489" s="9" t="str">
        <f t="shared" ca="1" si="185"/>
        <v/>
      </c>
      <c r="AO489" s="9" t="str">
        <f t="shared" ca="1" si="186"/>
        <v/>
      </c>
      <c r="AP489" s="9" t="str">
        <f t="shared" ca="1" si="187"/>
        <v/>
      </c>
      <c r="AQ489" s="9"/>
      <c r="AR489" s="9"/>
      <c r="AS489" s="9"/>
      <c r="AT489" s="9"/>
      <c r="AU489" s="9"/>
    </row>
    <row r="490" spans="1:47" x14ac:dyDescent="0.3">
      <c r="A490" s="1">
        <v>44169</v>
      </c>
      <c r="B490" s="6">
        <v>486</v>
      </c>
      <c r="C490" s="6">
        <v>236.88000500000001</v>
      </c>
      <c r="D490" s="6">
        <v>43.720001000000003</v>
      </c>
      <c r="E490" s="6">
        <v>145.85000600000001</v>
      </c>
      <c r="F490" s="6">
        <v>100.739998</v>
      </c>
      <c r="G490" s="6">
        <v>40.68</v>
      </c>
      <c r="H490" s="6">
        <v>123.540001</v>
      </c>
      <c r="I490" s="6">
        <v>181.13000500000001</v>
      </c>
      <c r="J490" s="6">
        <v>23.959999</v>
      </c>
      <c r="K490" s="6">
        <v>28.48</v>
      </c>
      <c r="N490" s="18">
        <v>486</v>
      </c>
      <c r="O490" s="1">
        <v>44169</v>
      </c>
      <c r="P490" s="5">
        <f t="shared" si="188"/>
        <v>3.5453741258754498E-3</v>
      </c>
      <c r="Q490" s="5">
        <f t="shared" si="189"/>
        <v>1.022605270348712E-2</v>
      </c>
      <c r="R490" s="5">
        <f t="shared" si="190"/>
        <v>1.057731188833806E-2</v>
      </c>
      <c r="S490" s="5">
        <f t="shared" si="191"/>
        <v>9.6453313080732614E-3</v>
      </c>
      <c r="T490" s="5">
        <f t="shared" si="192"/>
        <v>6.6729793620524365E-3</v>
      </c>
      <c r="U490" s="5">
        <f t="shared" si="193"/>
        <v>1.6857117066422806E-2</v>
      </c>
      <c r="V490" s="5">
        <f t="shared" si="194"/>
        <v>1.9618105064407813E-2</v>
      </c>
      <c r="W490" s="5">
        <f t="shared" si="195"/>
        <v>2.0526170922973222E-2</v>
      </c>
      <c r="X490" s="5">
        <f t="shared" si="196"/>
        <v>1.1332671128423828E-2</v>
      </c>
      <c r="Y490" s="5">
        <f t="shared" si="197"/>
        <v>8.4626739187337284E-3</v>
      </c>
      <c r="Z490" s="33">
        <v>486</v>
      </c>
      <c r="AE490" s="20" t="str">
        <f t="shared" si="198"/>
        <v/>
      </c>
      <c r="AF490" s="22" t="str">
        <f t="shared" si="199"/>
        <v/>
      </c>
      <c r="AG490" s="9" t="str">
        <f t="shared" ca="1" si="178"/>
        <v/>
      </c>
      <c r="AH490" s="9" t="str">
        <f t="shared" ca="1" si="179"/>
        <v/>
      </c>
      <c r="AI490" s="9" t="str">
        <f t="shared" ca="1" si="180"/>
        <v/>
      </c>
      <c r="AJ490" s="9" t="str">
        <f t="shared" ca="1" si="181"/>
        <v/>
      </c>
      <c r="AK490" s="9" t="str">
        <f t="shared" ca="1" si="182"/>
        <v/>
      </c>
      <c r="AL490" s="9" t="str">
        <f t="shared" ca="1" si="183"/>
        <v/>
      </c>
      <c r="AM490" s="9" t="str">
        <f t="shared" ca="1" si="184"/>
        <v/>
      </c>
      <c r="AN490" s="9" t="str">
        <f t="shared" ca="1" si="185"/>
        <v/>
      </c>
      <c r="AO490" s="9" t="str">
        <f t="shared" ca="1" si="186"/>
        <v/>
      </c>
      <c r="AP490" s="9" t="str">
        <f t="shared" ca="1" si="187"/>
        <v/>
      </c>
      <c r="AQ490" s="9"/>
      <c r="AR490" s="9"/>
      <c r="AS490" s="9"/>
      <c r="AT490" s="9"/>
      <c r="AU490" s="9"/>
    </row>
    <row r="491" spans="1:47" x14ac:dyDescent="0.3">
      <c r="A491" s="1">
        <v>44172</v>
      </c>
      <c r="B491" s="6">
        <v>492.25</v>
      </c>
      <c r="C491" s="6">
        <v>239.16999799999999</v>
      </c>
      <c r="D491" s="6">
        <v>43.584999000000003</v>
      </c>
      <c r="E491" s="6">
        <v>145.36999499999999</v>
      </c>
      <c r="F491" s="6">
        <v>101.099998</v>
      </c>
      <c r="G491" s="6">
        <v>40.610000999999997</v>
      </c>
      <c r="H491" s="6">
        <v>122.239998</v>
      </c>
      <c r="I491" s="6">
        <v>179.85000600000001</v>
      </c>
      <c r="J491" s="6">
        <v>23.84</v>
      </c>
      <c r="K491" s="6">
        <v>28.799999</v>
      </c>
      <c r="N491" s="19">
        <v>487</v>
      </c>
      <c r="O491" s="1">
        <v>44172</v>
      </c>
      <c r="P491" s="5">
        <f t="shared" si="188"/>
        <v>1.2778093618741248E-2</v>
      </c>
      <c r="Q491" s="5">
        <f t="shared" si="189"/>
        <v>9.6208828874510752E-3</v>
      </c>
      <c r="R491" s="5">
        <f t="shared" si="190"/>
        <v>-3.0926546612987968E-3</v>
      </c>
      <c r="S491" s="5">
        <f t="shared" si="191"/>
        <v>-3.2965554086444655E-3</v>
      </c>
      <c r="T491" s="5">
        <f t="shared" si="192"/>
        <v>3.5671857796148328E-3</v>
      </c>
      <c r="U491" s="5">
        <f t="shared" si="193"/>
        <v>-1.7222048576764112E-3</v>
      </c>
      <c r="V491" s="5">
        <f t="shared" si="194"/>
        <v>-1.057868930534364E-2</v>
      </c>
      <c r="W491" s="5">
        <f t="shared" si="195"/>
        <v>-7.0918296065411793E-3</v>
      </c>
      <c r="X491" s="5">
        <f t="shared" si="196"/>
        <v>-5.0208893138716784E-3</v>
      </c>
      <c r="Y491" s="5">
        <f t="shared" si="197"/>
        <v>1.1173265875902297E-2</v>
      </c>
      <c r="Z491" s="33">
        <v>487</v>
      </c>
      <c r="AE491" s="20" t="str">
        <f t="shared" si="198"/>
        <v/>
      </c>
      <c r="AF491" s="22" t="str">
        <f t="shared" si="199"/>
        <v/>
      </c>
      <c r="AG491" s="9" t="str">
        <f t="shared" ca="1" si="178"/>
        <v/>
      </c>
      <c r="AH491" s="9" t="str">
        <f t="shared" ca="1" si="179"/>
        <v/>
      </c>
      <c r="AI491" s="9" t="str">
        <f t="shared" ca="1" si="180"/>
        <v/>
      </c>
      <c r="AJ491" s="9" t="str">
        <f t="shared" ca="1" si="181"/>
        <v/>
      </c>
      <c r="AK491" s="9" t="str">
        <f t="shared" ca="1" si="182"/>
        <v/>
      </c>
      <c r="AL491" s="9" t="str">
        <f t="shared" ca="1" si="183"/>
        <v/>
      </c>
      <c r="AM491" s="9" t="str">
        <f t="shared" ca="1" si="184"/>
        <v/>
      </c>
      <c r="AN491" s="9" t="str">
        <f t="shared" ca="1" si="185"/>
        <v/>
      </c>
      <c r="AO491" s="9" t="str">
        <f t="shared" ca="1" si="186"/>
        <v/>
      </c>
      <c r="AP491" s="9" t="str">
        <f t="shared" ca="1" si="187"/>
        <v/>
      </c>
      <c r="AQ491" s="9"/>
      <c r="AR491" s="9"/>
      <c r="AS491" s="9"/>
      <c r="AT491" s="9"/>
      <c r="AU491" s="9"/>
    </row>
    <row r="492" spans="1:47" x14ac:dyDescent="0.3">
      <c r="A492" s="1">
        <v>44173</v>
      </c>
      <c r="B492" s="6">
        <v>495.27999899999998</v>
      </c>
      <c r="C492" s="6">
        <v>238.759995</v>
      </c>
      <c r="D492" s="6">
        <v>44.099997999999999</v>
      </c>
      <c r="E492" s="6">
        <v>145.520004</v>
      </c>
      <c r="F492" s="6">
        <v>99.410004000000001</v>
      </c>
      <c r="G492" s="6">
        <v>40.18</v>
      </c>
      <c r="H492" s="6">
        <v>121.93</v>
      </c>
      <c r="I492" s="6">
        <v>180.91999799999999</v>
      </c>
      <c r="J492" s="6">
        <v>23.66</v>
      </c>
      <c r="K492" s="6">
        <v>28.09</v>
      </c>
      <c r="N492" s="18">
        <v>488</v>
      </c>
      <c r="O492" s="1">
        <v>44173</v>
      </c>
      <c r="P492" s="5">
        <f t="shared" si="188"/>
        <v>6.1365396726818129E-3</v>
      </c>
      <c r="Q492" s="5">
        <f t="shared" si="189"/>
        <v>-1.7157454296028623E-3</v>
      </c>
      <c r="R492" s="5">
        <f t="shared" si="190"/>
        <v>1.1746705581459462E-2</v>
      </c>
      <c r="S492" s="5">
        <f t="shared" si="191"/>
        <v>1.0313796542563165E-3</v>
      </c>
      <c r="T492" s="5">
        <f t="shared" si="192"/>
        <v>-1.6857353782578282E-2</v>
      </c>
      <c r="U492" s="5">
        <f t="shared" si="193"/>
        <v>-1.064500693589439E-2</v>
      </c>
      <c r="V492" s="5">
        <f t="shared" si="194"/>
        <v>-2.5391994847801889E-3</v>
      </c>
      <c r="W492" s="5">
        <f t="shared" si="195"/>
        <v>5.9317300522659317E-3</v>
      </c>
      <c r="X492" s="5">
        <f t="shared" si="196"/>
        <v>-7.5789836469082952E-3</v>
      </c>
      <c r="Y492" s="5">
        <f t="shared" si="197"/>
        <v>-2.4961711303525098E-2</v>
      </c>
      <c r="Z492" s="33">
        <v>488</v>
      </c>
      <c r="AE492" s="20" t="str">
        <f t="shared" si="198"/>
        <v/>
      </c>
      <c r="AF492" s="22" t="str">
        <f t="shared" si="199"/>
        <v/>
      </c>
      <c r="AG492" s="9" t="str">
        <f t="shared" ca="1" si="178"/>
        <v/>
      </c>
      <c r="AH492" s="9" t="str">
        <f t="shared" ca="1" si="179"/>
        <v/>
      </c>
      <c r="AI492" s="9" t="str">
        <f t="shared" ca="1" si="180"/>
        <v/>
      </c>
      <c r="AJ492" s="9" t="str">
        <f t="shared" ca="1" si="181"/>
        <v/>
      </c>
      <c r="AK492" s="9" t="str">
        <f t="shared" ca="1" si="182"/>
        <v/>
      </c>
      <c r="AL492" s="9" t="str">
        <f t="shared" ca="1" si="183"/>
        <v/>
      </c>
      <c r="AM492" s="9" t="str">
        <f t="shared" ca="1" si="184"/>
        <v/>
      </c>
      <c r="AN492" s="9" t="str">
        <f t="shared" ca="1" si="185"/>
        <v/>
      </c>
      <c r="AO492" s="9" t="str">
        <f t="shared" ca="1" si="186"/>
        <v/>
      </c>
      <c r="AP492" s="9" t="str">
        <f t="shared" ca="1" si="187"/>
        <v/>
      </c>
      <c r="AQ492" s="9"/>
      <c r="AR492" s="9"/>
      <c r="AS492" s="9"/>
      <c r="AT492" s="9"/>
      <c r="AU492" s="9"/>
    </row>
    <row r="493" spans="1:47" x14ac:dyDescent="0.3">
      <c r="A493" s="1">
        <v>44174</v>
      </c>
      <c r="B493" s="6">
        <v>483.73998999999998</v>
      </c>
      <c r="C493" s="6">
        <v>232.770004</v>
      </c>
      <c r="D493" s="6">
        <v>43.950001</v>
      </c>
      <c r="E493" s="6">
        <v>145.69000199999999</v>
      </c>
      <c r="F493" s="6">
        <v>98.309997999999993</v>
      </c>
      <c r="G493" s="6">
        <v>39.619999</v>
      </c>
      <c r="H493" s="6">
        <v>123.239998</v>
      </c>
      <c r="I493" s="6">
        <v>182.08000200000001</v>
      </c>
      <c r="J493" s="6">
        <v>23.700001</v>
      </c>
      <c r="K493" s="6">
        <v>28.5</v>
      </c>
      <c r="N493" s="19">
        <v>489</v>
      </c>
      <c r="O493" s="1">
        <v>44174</v>
      </c>
      <c r="P493" s="5">
        <f t="shared" si="188"/>
        <v>-2.3575705568477989E-2</v>
      </c>
      <c r="Q493" s="5">
        <f t="shared" si="189"/>
        <v>-2.5407983600605193E-2</v>
      </c>
      <c r="R493" s="5">
        <f t="shared" si="190"/>
        <v>-3.4070902170110552E-3</v>
      </c>
      <c r="S493" s="5">
        <f t="shared" si="191"/>
        <v>1.1675286961855237E-3</v>
      </c>
      <c r="T493" s="5">
        <f t="shared" si="192"/>
        <v>-1.1127021426431419E-2</v>
      </c>
      <c r="U493" s="5">
        <f t="shared" si="193"/>
        <v>-1.4035343356161698E-2</v>
      </c>
      <c r="V493" s="5">
        <f t="shared" si="194"/>
        <v>1.0686547927796252E-2</v>
      </c>
      <c r="W493" s="5">
        <f t="shared" si="195"/>
        <v>6.3912283671164203E-3</v>
      </c>
      <c r="X493" s="5">
        <f t="shared" si="196"/>
        <v>1.6892317849367519E-3</v>
      </c>
      <c r="Y493" s="5">
        <f t="shared" si="197"/>
        <v>1.4490446158452571E-2</v>
      </c>
      <c r="Z493" s="33">
        <v>489</v>
      </c>
      <c r="AE493" s="20" t="str">
        <f t="shared" si="198"/>
        <v/>
      </c>
      <c r="AF493" s="22" t="str">
        <f t="shared" si="199"/>
        <v/>
      </c>
      <c r="AG493" s="9" t="str">
        <f t="shared" ca="1" si="178"/>
        <v/>
      </c>
      <c r="AH493" s="9" t="str">
        <f t="shared" ca="1" si="179"/>
        <v/>
      </c>
      <c r="AI493" s="9" t="str">
        <f t="shared" ca="1" si="180"/>
        <v/>
      </c>
      <c r="AJ493" s="9" t="str">
        <f t="shared" ca="1" si="181"/>
        <v/>
      </c>
      <c r="AK493" s="9" t="str">
        <f t="shared" ca="1" si="182"/>
        <v/>
      </c>
      <c r="AL493" s="9" t="str">
        <f t="shared" ca="1" si="183"/>
        <v/>
      </c>
      <c r="AM493" s="9" t="str">
        <f t="shared" ca="1" si="184"/>
        <v/>
      </c>
      <c r="AN493" s="9" t="str">
        <f t="shared" ca="1" si="185"/>
        <v/>
      </c>
      <c r="AO493" s="9" t="str">
        <f t="shared" ca="1" si="186"/>
        <v/>
      </c>
      <c r="AP493" s="9" t="str">
        <f t="shared" ca="1" si="187"/>
        <v/>
      </c>
      <c r="AQ493" s="9"/>
      <c r="AR493" s="9"/>
      <c r="AS493" s="9"/>
      <c r="AT493" s="9"/>
      <c r="AU493" s="9"/>
    </row>
    <row r="494" spans="1:47" x14ac:dyDescent="0.3">
      <c r="A494" s="1">
        <v>44175</v>
      </c>
      <c r="B494" s="6">
        <v>476.86999500000002</v>
      </c>
      <c r="C494" s="6">
        <v>234.16999799999999</v>
      </c>
      <c r="D494" s="6">
        <v>44.014999000000003</v>
      </c>
      <c r="E494" s="6">
        <v>144.66999799999999</v>
      </c>
      <c r="F494" s="6">
        <v>95.889999000000003</v>
      </c>
      <c r="G494" s="6">
        <v>38.330002</v>
      </c>
      <c r="H494" s="6">
        <v>121.370003</v>
      </c>
      <c r="I494" s="6">
        <v>180.779999</v>
      </c>
      <c r="J494" s="6">
        <v>23.639999</v>
      </c>
      <c r="K494" s="6">
        <v>28.790001</v>
      </c>
      <c r="N494" s="18">
        <v>490</v>
      </c>
      <c r="O494" s="1">
        <v>44175</v>
      </c>
      <c r="P494" s="5">
        <f t="shared" si="188"/>
        <v>-1.4303645052638498E-2</v>
      </c>
      <c r="Q494" s="5">
        <f t="shared" si="189"/>
        <v>5.9964800148047739E-3</v>
      </c>
      <c r="R494" s="5">
        <f t="shared" si="190"/>
        <v>1.4778153090275403E-3</v>
      </c>
      <c r="S494" s="5">
        <f t="shared" si="191"/>
        <v>-7.0258175767500472E-3</v>
      </c>
      <c r="T494" s="5">
        <f t="shared" si="192"/>
        <v>-2.4924040298048577E-2</v>
      </c>
      <c r="U494" s="5">
        <f t="shared" si="193"/>
        <v>-3.3101084459714027E-2</v>
      </c>
      <c r="V494" s="5">
        <f t="shared" si="194"/>
        <v>-1.5289901663894987E-2</v>
      </c>
      <c r="W494" s="5">
        <f t="shared" si="195"/>
        <v>-7.1653450834692854E-3</v>
      </c>
      <c r="X494" s="5">
        <f t="shared" si="196"/>
        <v>-2.5349400984653889E-3</v>
      </c>
      <c r="Y494" s="5">
        <f t="shared" si="197"/>
        <v>1.0124052083761836E-2</v>
      </c>
      <c r="Z494" s="33">
        <v>490</v>
      </c>
      <c r="AE494" s="20" t="str">
        <f t="shared" si="198"/>
        <v/>
      </c>
      <c r="AF494" s="22" t="str">
        <f t="shared" si="199"/>
        <v/>
      </c>
      <c r="AG494" s="9" t="str">
        <f t="shared" ca="1" si="178"/>
        <v/>
      </c>
      <c r="AH494" s="9" t="str">
        <f t="shared" ca="1" si="179"/>
        <v/>
      </c>
      <c r="AI494" s="9" t="str">
        <f t="shared" ca="1" si="180"/>
        <v/>
      </c>
      <c r="AJ494" s="9" t="str">
        <f t="shared" ca="1" si="181"/>
        <v/>
      </c>
      <c r="AK494" s="9" t="str">
        <f t="shared" ca="1" si="182"/>
        <v/>
      </c>
      <c r="AL494" s="9" t="str">
        <f t="shared" ca="1" si="183"/>
        <v/>
      </c>
      <c r="AM494" s="9" t="str">
        <f t="shared" ca="1" si="184"/>
        <v/>
      </c>
      <c r="AN494" s="9" t="str">
        <f t="shared" ca="1" si="185"/>
        <v/>
      </c>
      <c r="AO494" s="9" t="str">
        <f t="shared" ca="1" si="186"/>
        <v/>
      </c>
      <c r="AP494" s="9" t="str">
        <f t="shared" ca="1" si="187"/>
        <v/>
      </c>
      <c r="AQ494" s="9"/>
      <c r="AR494" s="9"/>
      <c r="AS494" s="9"/>
      <c r="AT494" s="9"/>
      <c r="AU494" s="9"/>
    </row>
    <row r="495" spans="1:47" x14ac:dyDescent="0.3">
      <c r="A495" s="1">
        <v>44176</v>
      </c>
      <c r="B495" s="6">
        <v>475.91000400000001</v>
      </c>
      <c r="C495" s="6">
        <v>236.38999899999999</v>
      </c>
      <c r="D495" s="6">
        <v>44.009998000000003</v>
      </c>
      <c r="E495" s="6">
        <v>144.970001</v>
      </c>
      <c r="F495" s="6">
        <v>95.959998999999996</v>
      </c>
      <c r="G495" s="6">
        <v>38.139999000000003</v>
      </c>
      <c r="H495" s="6">
        <v>121.370003</v>
      </c>
      <c r="I495" s="6">
        <v>180.779999</v>
      </c>
      <c r="J495" s="6">
        <v>23.92</v>
      </c>
      <c r="K495" s="6">
        <v>28.93</v>
      </c>
      <c r="N495" s="19">
        <v>491</v>
      </c>
      <c r="O495" s="1">
        <v>44176</v>
      </c>
      <c r="P495" s="5">
        <f t="shared" si="188"/>
        <v>-2.0151374417321901E-3</v>
      </c>
      <c r="Q495" s="5">
        <f t="shared" si="189"/>
        <v>9.4356404493749196E-3</v>
      </c>
      <c r="R495" s="5">
        <f t="shared" si="190"/>
        <v>-1.136268145599707E-4</v>
      </c>
      <c r="S495" s="5">
        <f t="shared" si="191"/>
        <v>2.0715585438525561E-3</v>
      </c>
      <c r="T495" s="5">
        <f t="shared" si="192"/>
        <v>7.2973681351126338E-4</v>
      </c>
      <c r="U495" s="5">
        <f t="shared" si="193"/>
        <v>-4.9693576178323276E-3</v>
      </c>
      <c r="V495" s="5">
        <f t="shared" si="194"/>
        <v>0</v>
      </c>
      <c r="W495" s="5">
        <f t="shared" si="195"/>
        <v>0</v>
      </c>
      <c r="X495" s="5">
        <f t="shared" si="196"/>
        <v>1.1774778845718913E-2</v>
      </c>
      <c r="Y495" s="5">
        <f t="shared" si="197"/>
        <v>4.8509796296771039E-3</v>
      </c>
      <c r="Z495" s="33">
        <v>491</v>
      </c>
      <c r="AE495" s="20" t="str">
        <f t="shared" si="198"/>
        <v/>
      </c>
      <c r="AF495" s="22" t="str">
        <f t="shared" si="199"/>
        <v/>
      </c>
      <c r="AG495" s="9" t="str">
        <f t="shared" ca="1" si="178"/>
        <v/>
      </c>
      <c r="AH495" s="9" t="str">
        <f t="shared" ca="1" si="179"/>
        <v/>
      </c>
      <c r="AI495" s="9" t="str">
        <f t="shared" ca="1" si="180"/>
        <v/>
      </c>
      <c r="AJ495" s="9" t="str">
        <f t="shared" ca="1" si="181"/>
        <v/>
      </c>
      <c r="AK495" s="9" t="str">
        <f t="shared" ca="1" si="182"/>
        <v/>
      </c>
      <c r="AL495" s="9" t="str">
        <f t="shared" ca="1" si="183"/>
        <v/>
      </c>
      <c r="AM495" s="9" t="str">
        <f t="shared" ca="1" si="184"/>
        <v/>
      </c>
      <c r="AN495" s="9" t="str">
        <f t="shared" ca="1" si="185"/>
        <v/>
      </c>
      <c r="AO495" s="9" t="str">
        <f t="shared" ca="1" si="186"/>
        <v/>
      </c>
      <c r="AP495" s="9" t="str">
        <f t="shared" ca="1" si="187"/>
        <v/>
      </c>
      <c r="AQ495" s="9"/>
      <c r="AR495" s="9"/>
      <c r="AS495" s="9"/>
      <c r="AT495" s="9"/>
      <c r="AU495" s="9"/>
    </row>
    <row r="496" spans="1:47" x14ac:dyDescent="0.3">
      <c r="A496" s="1">
        <v>44179</v>
      </c>
      <c r="B496" s="6">
        <v>486.42001299999998</v>
      </c>
      <c r="C496" s="6">
        <v>238.86000100000001</v>
      </c>
      <c r="D496" s="6">
        <v>44.209999000000003</v>
      </c>
      <c r="E496" s="6">
        <v>144.229996</v>
      </c>
      <c r="F496" s="6">
        <v>96.5</v>
      </c>
      <c r="G496" s="6">
        <v>37.590000000000003</v>
      </c>
      <c r="H496" s="6">
        <v>120.129997</v>
      </c>
      <c r="I496" s="6">
        <v>175.179993</v>
      </c>
      <c r="J496" s="6">
        <v>23.700001</v>
      </c>
      <c r="K496" s="6">
        <v>28.65</v>
      </c>
      <c r="N496" s="18">
        <v>492</v>
      </c>
      <c r="O496" s="1">
        <v>44179</v>
      </c>
      <c r="P496" s="5">
        <f t="shared" si="188"/>
        <v>2.1843705824477169E-2</v>
      </c>
      <c r="Q496" s="5">
        <f t="shared" si="189"/>
        <v>1.0394631204341559E-2</v>
      </c>
      <c r="R496" s="5">
        <f t="shared" si="190"/>
        <v>4.5341498400529893E-3</v>
      </c>
      <c r="S496" s="5">
        <f t="shared" si="191"/>
        <v>-5.1176114988477212E-3</v>
      </c>
      <c r="T496" s="5">
        <f t="shared" si="192"/>
        <v>5.6115807944552383E-3</v>
      </c>
      <c r="U496" s="5">
        <f t="shared" si="193"/>
        <v>-1.4525516376993612E-2</v>
      </c>
      <c r="V496" s="5">
        <f t="shared" si="194"/>
        <v>-1.0269291075737336E-2</v>
      </c>
      <c r="W496" s="5">
        <f t="shared" si="195"/>
        <v>-3.1466840062636878E-2</v>
      </c>
      <c r="X496" s="5">
        <f t="shared" si="196"/>
        <v>-9.2398387472535752E-3</v>
      </c>
      <c r="Y496" s="5">
        <f t="shared" si="197"/>
        <v>-9.7256758272951677E-3</v>
      </c>
      <c r="Z496" s="33">
        <v>492</v>
      </c>
      <c r="AE496" s="20" t="str">
        <f t="shared" si="198"/>
        <v/>
      </c>
      <c r="AF496" s="22" t="str">
        <f t="shared" si="199"/>
        <v/>
      </c>
      <c r="AG496" s="9" t="str">
        <f t="shared" ca="1" si="178"/>
        <v/>
      </c>
      <c r="AH496" s="9" t="str">
        <f t="shared" ca="1" si="179"/>
        <v/>
      </c>
      <c r="AI496" s="9" t="str">
        <f t="shared" ca="1" si="180"/>
        <v/>
      </c>
      <c r="AJ496" s="9" t="str">
        <f t="shared" ca="1" si="181"/>
        <v/>
      </c>
      <c r="AK496" s="9" t="str">
        <f t="shared" ca="1" si="182"/>
        <v/>
      </c>
      <c r="AL496" s="9" t="str">
        <f t="shared" ca="1" si="183"/>
        <v/>
      </c>
      <c r="AM496" s="9" t="str">
        <f t="shared" ca="1" si="184"/>
        <v/>
      </c>
      <c r="AN496" s="9" t="str">
        <f t="shared" ca="1" si="185"/>
        <v/>
      </c>
      <c r="AO496" s="9" t="str">
        <f t="shared" ca="1" si="186"/>
        <v/>
      </c>
      <c r="AP496" s="9" t="str">
        <f t="shared" ca="1" si="187"/>
        <v/>
      </c>
      <c r="AQ496" s="9"/>
      <c r="AR496" s="9"/>
      <c r="AS496" s="9"/>
      <c r="AT496" s="9"/>
      <c r="AU496" s="9"/>
    </row>
    <row r="497" spans="1:47" x14ac:dyDescent="0.3">
      <c r="A497" s="1">
        <v>44180</v>
      </c>
      <c r="B497" s="6">
        <v>482.64001500000001</v>
      </c>
      <c r="C497" s="6">
        <v>242.740005</v>
      </c>
      <c r="D497" s="6">
        <v>44.290000999999997</v>
      </c>
      <c r="E497" s="6">
        <v>144.770004</v>
      </c>
      <c r="F497" s="6">
        <v>98.110000999999997</v>
      </c>
      <c r="G497" s="6">
        <v>38.389999000000003</v>
      </c>
      <c r="H497" s="6">
        <v>121.839996</v>
      </c>
      <c r="I497" s="6">
        <v>174.94000199999999</v>
      </c>
      <c r="J497" s="6">
        <v>24.190000999999999</v>
      </c>
      <c r="K497" s="6">
        <v>28.719999000000001</v>
      </c>
      <c r="N497" s="19">
        <v>493</v>
      </c>
      <c r="O497" s="1">
        <v>44180</v>
      </c>
      <c r="P497" s="5">
        <f t="shared" si="188"/>
        <v>-7.8014097419742013E-3</v>
      </c>
      <c r="Q497" s="5">
        <f t="shared" si="189"/>
        <v>1.6113321849552376E-2</v>
      </c>
      <c r="R497" s="5">
        <f t="shared" si="190"/>
        <v>1.8079552947319819E-3</v>
      </c>
      <c r="S497" s="5">
        <f t="shared" si="191"/>
        <v>3.7370839340485234E-3</v>
      </c>
      <c r="T497" s="5">
        <f t="shared" si="192"/>
        <v>1.6546300022999973E-2</v>
      </c>
      <c r="U497" s="5">
        <f t="shared" si="193"/>
        <v>2.1058925388169253E-2</v>
      </c>
      <c r="V497" s="5">
        <f t="shared" si="194"/>
        <v>1.4134210996627506E-2</v>
      </c>
      <c r="W497" s="5">
        <f t="shared" si="195"/>
        <v>-1.3709073518428051E-3</v>
      </c>
      <c r="X497" s="5">
        <f t="shared" si="196"/>
        <v>2.0464275626154067E-2</v>
      </c>
      <c r="Y497" s="5">
        <f t="shared" si="197"/>
        <v>2.4402662003329217E-3</v>
      </c>
      <c r="Z497" s="33">
        <v>493</v>
      </c>
      <c r="AE497" s="20" t="str">
        <f t="shared" si="198"/>
        <v/>
      </c>
      <c r="AF497" s="22" t="str">
        <f t="shared" si="199"/>
        <v/>
      </c>
      <c r="AG497" s="9" t="str">
        <f t="shared" ca="1" si="178"/>
        <v/>
      </c>
      <c r="AH497" s="9" t="str">
        <f t="shared" ca="1" si="179"/>
        <v/>
      </c>
      <c r="AI497" s="9" t="str">
        <f t="shared" ca="1" si="180"/>
        <v/>
      </c>
      <c r="AJ497" s="9" t="str">
        <f t="shared" ca="1" si="181"/>
        <v/>
      </c>
      <c r="AK497" s="9" t="str">
        <f t="shared" ca="1" si="182"/>
        <v/>
      </c>
      <c r="AL497" s="9" t="str">
        <f t="shared" ca="1" si="183"/>
        <v/>
      </c>
      <c r="AM497" s="9" t="str">
        <f t="shared" ca="1" si="184"/>
        <v/>
      </c>
      <c r="AN497" s="9" t="str">
        <f t="shared" ca="1" si="185"/>
        <v/>
      </c>
      <c r="AO497" s="9" t="str">
        <f t="shared" ca="1" si="186"/>
        <v/>
      </c>
      <c r="AP497" s="9" t="str">
        <f t="shared" ca="1" si="187"/>
        <v/>
      </c>
      <c r="AQ497" s="9"/>
      <c r="AR497" s="9"/>
      <c r="AS497" s="9"/>
      <c r="AT497" s="9"/>
      <c r="AU497" s="9"/>
    </row>
    <row r="498" spans="1:47" x14ac:dyDescent="0.3">
      <c r="A498" s="1">
        <v>44181</v>
      </c>
      <c r="B498" s="6">
        <v>489.89999399999999</v>
      </c>
      <c r="C498" s="6">
        <v>248.10000600000001</v>
      </c>
      <c r="D498" s="6">
        <v>44.900002000000001</v>
      </c>
      <c r="E498" s="6">
        <v>144.88999899999999</v>
      </c>
      <c r="F498" s="6">
        <v>98.599997999999999</v>
      </c>
      <c r="G498" s="6">
        <v>37.990001999999997</v>
      </c>
      <c r="H498" s="6">
        <v>120.870003</v>
      </c>
      <c r="I498" s="6">
        <v>171.91999799999999</v>
      </c>
      <c r="J498" s="6">
        <v>24.1</v>
      </c>
      <c r="K498" s="6">
        <v>28.790001</v>
      </c>
      <c r="N498" s="18">
        <v>494</v>
      </c>
      <c r="O498" s="1">
        <v>44181</v>
      </c>
      <c r="P498" s="5">
        <f t="shared" si="188"/>
        <v>1.4930211185560663E-2</v>
      </c>
      <c r="Q498" s="5">
        <f t="shared" si="189"/>
        <v>2.1840982605165836E-2</v>
      </c>
      <c r="R498" s="5">
        <f t="shared" si="190"/>
        <v>1.3678898778070939E-2</v>
      </c>
      <c r="S498" s="5">
        <f t="shared" si="191"/>
        <v>8.2852313485766514E-4</v>
      </c>
      <c r="T498" s="5">
        <f t="shared" si="192"/>
        <v>4.9819329566736723E-3</v>
      </c>
      <c r="U498" s="5">
        <f t="shared" si="193"/>
        <v>-1.0473963119290261E-2</v>
      </c>
      <c r="V498" s="5">
        <f t="shared" si="194"/>
        <v>-7.9930630655451005E-3</v>
      </c>
      <c r="W498" s="5">
        <f t="shared" si="195"/>
        <v>-1.7413828723262782E-2</v>
      </c>
      <c r="X498" s="5">
        <f t="shared" si="196"/>
        <v>-3.7275254647220635E-3</v>
      </c>
      <c r="Y498" s="5">
        <f t="shared" si="197"/>
        <v>2.434429997285307E-3</v>
      </c>
      <c r="Z498" s="33">
        <v>494</v>
      </c>
      <c r="AE498" s="20" t="str">
        <f t="shared" si="198"/>
        <v/>
      </c>
      <c r="AF498" s="22" t="str">
        <f t="shared" si="199"/>
        <v/>
      </c>
      <c r="AG498" s="9" t="str">
        <f t="shared" ca="1" si="178"/>
        <v/>
      </c>
      <c r="AH498" s="9" t="str">
        <f t="shared" ca="1" si="179"/>
        <v/>
      </c>
      <c r="AI498" s="9" t="str">
        <f t="shared" ca="1" si="180"/>
        <v/>
      </c>
      <c r="AJ498" s="9" t="str">
        <f t="shared" ca="1" si="181"/>
        <v/>
      </c>
      <c r="AK498" s="9" t="str">
        <f t="shared" ca="1" si="182"/>
        <v/>
      </c>
      <c r="AL498" s="9" t="str">
        <f t="shared" ca="1" si="183"/>
        <v/>
      </c>
      <c r="AM498" s="9" t="str">
        <f t="shared" ca="1" si="184"/>
        <v/>
      </c>
      <c r="AN498" s="9" t="str">
        <f t="shared" ca="1" si="185"/>
        <v/>
      </c>
      <c r="AO498" s="9" t="str">
        <f t="shared" ca="1" si="186"/>
        <v/>
      </c>
      <c r="AP498" s="9" t="str">
        <f t="shared" ca="1" si="187"/>
        <v/>
      </c>
      <c r="AQ498" s="9"/>
      <c r="AR498" s="9"/>
      <c r="AS498" s="9"/>
      <c r="AT498" s="9"/>
      <c r="AU498" s="9"/>
    </row>
    <row r="499" spans="1:47" x14ac:dyDescent="0.3">
      <c r="A499" s="1">
        <v>44182</v>
      </c>
      <c r="B499" s="6">
        <v>495.35998499999999</v>
      </c>
      <c r="C499" s="6">
        <v>250.28999300000001</v>
      </c>
      <c r="D499" s="6">
        <v>45.07</v>
      </c>
      <c r="E499" s="6">
        <v>145.71000699999999</v>
      </c>
      <c r="F499" s="6">
        <v>99.769997000000004</v>
      </c>
      <c r="G499" s="6">
        <v>38.389999000000003</v>
      </c>
      <c r="H499" s="6">
        <v>123.760002</v>
      </c>
      <c r="I499" s="6">
        <v>171.16000399999999</v>
      </c>
      <c r="J499" s="6">
        <v>23.799999</v>
      </c>
      <c r="K499" s="6">
        <v>28.74</v>
      </c>
      <c r="N499" s="19">
        <v>495</v>
      </c>
      <c r="O499" s="1">
        <v>44182</v>
      </c>
      <c r="P499" s="5">
        <f t="shared" si="188"/>
        <v>1.1083464283167681E-2</v>
      </c>
      <c r="Q499" s="5">
        <f t="shared" si="189"/>
        <v>8.7883027329829673E-3</v>
      </c>
      <c r="R499" s="5">
        <f t="shared" si="190"/>
        <v>3.778997410919414E-3</v>
      </c>
      <c r="S499" s="5">
        <f t="shared" si="191"/>
        <v>5.6435661355472714E-3</v>
      </c>
      <c r="T499" s="5">
        <f t="shared" si="192"/>
        <v>1.1796265531642506E-2</v>
      </c>
      <c r="U499" s="5">
        <f t="shared" si="193"/>
        <v>1.0473963119290242E-2</v>
      </c>
      <c r="V499" s="5">
        <f t="shared" si="194"/>
        <v>2.3628609733700866E-2</v>
      </c>
      <c r="W499" s="5">
        <f t="shared" si="195"/>
        <v>-4.4304257823751299E-3</v>
      </c>
      <c r="X499" s="5">
        <f t="shared" si="196"/>
        <v>-1.2526301835988012E-2</v>
      </c>
      <c r="Y499" s="5">
        <f t="shared" si="197"/>
        <v>-1.7382587074877781E-3</v>
      </c>
      <c r="Z499" s="33">
        <v>495</v>
      </c>
      <c r="AE499" s="20" t="str">
        <f t="shared" si="198"/>
        <v/>
      </c>
      <c r="AF499" s="22" t="str">
        <f t="shared" si="199"/>
        <v/>
      </c>
      <c r="AG499" s="9" t="str">
        <f t="shared" ca="1" si="178"/>
        <v/>
      </c>
      <c r="AH499" s="9" t="str">
        <f t="shared" ca="1" si="179"/>
        <v/>
      </c>
      <c r="AI499" s="9" t="str">
        <f t="shared" ca="1" si="180"/>
        <v/>
      </c>
      <c r="AJ499" s="9" t="str">
        <f t="shared" ca="1" si="181"/>
        <v/>
      </c>
      <c r="AK499" s="9" t="str">
        <f t="shared" ca="1" si="182"/>
        <v/>
      </c>
      <c r="AL499" s="9" t="str">
        <f t="shared" ca="1" si="183"/>
        <v/>
      </c>
      <c r="AM499" s="9" t="str">
        <f t="shared" ca="1" si="184"/>
        <v/>
      </c>
      <c r="AN499" s="9" t="str">
        <f t="shared" ca="1" si="185"/>
        <v/>
      </c>
      <c r="AO499" s="9" t="str">
        <f t="shared" ca="1" si="186"/>
        <v/>
      </c>
      <c r="AP499" s="9" t="str">
        <f t="shared" ca="1" si="187"/>
        <v/>
      </c>
      <c r="AQ499" s="9"/>
      <c r="AR499" s="9"/>
      <c r="AS499" s="9"/>
      <c r="AT499" s="9"/>
      <c r="AU499" s="9"/>
    </row>
    <row r="500" spans="1:47" x14ac:dyDescent="0.3">
      <c r="A500" s="1">
        <v>44183</v>
      </c>
      <c r="B500" s="6">
        <v>502.95001200000002</v>
      </c>
      <c r="C500" s="6">
        <v>255</v>
      </c>
      <c r="D500" s="6">
        <v>45.064999</v>
      </c>
      <c r="E500" s="6">
        <v>146.929993</v>
      </c>
      <c r="F500" s="6">
        <v>96.480002999999996</v>
      </c>
      <c r="G500" s="6">
        <v>37.009998000000003</v>
      </c>
      <c r="H500" s="6">
        <v>123.860001</v>
      </c>
      <c r="I500" s="6">
        <v>169.86000100000001</v>
      </c>
      <c r="J500" s="6">
        <v>23.940000999999999</v>
      </c>
      <c r="K500" s="6">
        <v>27.799999</v>
      </c>
      <c r="N500" s="18">
        <v>496</v>
      </c>
      <c r="O500" s="1">
        <v>44183</v>
      </c>
      <c r="P500" s="5">
        <f t="shared" si="188"/>
        <v>1.5206044759278142E-2</v>
      </c>
      <c r="Q500" s="5">
        <f t="shared" si="189"/>
        <v>1.864332754389119E-2</v>
      </c>
      <c r="R500" s="5">
        <f t="shared" si="190"/>
        <v>-1.1096688435383142E-4</v>
      </c>
      <c r="S500" s="5">
        <f t="shared" si="191"/>
        <v>8.337842179729122E-3</v>
      </c>
      <c r="T500" s="5">
        <f t="shared" si="192"/>
        <v>-3.3531742782854167E-2</v>
      </c>
      <c r="U500" s="5">
        <f t="shared" si="193"/>
        <v>-3.6608890605641584E-2</v>
      </c>
      <c r="V500" s="5">
        <f t="shared" si="194"/>
        <v>8.0768115842554545E-4</v>
      </c>
      <c r="W500" s="5">
        <f t="shared" si="195"/>
        <v>-7.6242406794975312E-3</v>
      </c>
      <c r="X500" s="5">
        <f t="shared" si="196"/>
        <v>5.8652032402991021E-3</v>
      </c>
      <c r="Y500" s="5">
        <f t="shared" si="197"/>
        <v>-3.3253895925511055E-2</v>
      </c>
      <c r="Z500" s="33">
        <v>496</v>
      </c>
      <c r="AE500" s="20" t="str">
        <f t="shared" si="198"/>
        <v/>
      </c>
      <c r="AF500" s="22" t="str">
        <f t="shared" si="199"/>
        <v/>
      </c>
      <c r="AG500" s="9" t="str">
        <f t="shared" ca="1" si="178"/>
        <v/>
      </c>
      <c r="AH500" s="9" t="str">
        <f t="shared" ca="1" si="179"/>
        <v/>
      </c>
      <c r="AI500" s="9" t="str">
        <f t="shared" ca="1" si="180"/>
        <v/>
      </c>
      <c r="AJ500" s="9" t="str">
        <f t="shared" ca="1" si="181"/>
        <v/>
      </c>
      <c r="AK500" s="9" t="str">
        <f t="shared" ca="1" si="182"/>
        <v/>
      </c>
      <c r="AL500" s="9" t="str">
        <f t="shared" ca="1" si="183"/>
        <v/>
      </c>
      <c r="AM500" s="9" t="str">
        <f t="shared" ca="1" si="184"/>
        <v/>
      </c>
      <c r="AN500" s="9" t="str">
        <f t="shared" ca="1" si="185"/>
        <v/>
      </c>
      <c r="AO500" s="9" t="str">
        <f t="shared" ca="1" si="186"/>
        <v/>
      </c>
      <c r="AP500" s="9" t="str">
        <f t="shared" ca="1" si="187"/>
        <v/>
      </c>
      <c r="AQ500" s="9"/>
      <c r="AR500" s="9"/>
      <c r="AS500" s="9"/>
      <c r="AT500" s="9"/>
      <c r="AU500" s="9"/>
    </row>
    <row r="501" spans="1:47" x14ac:dyDescent="0.3">
      <c r="A501" s="1">
        <v>44186</v>
      </c>
      <c r="B501" s="6">
        <v>498.39001500000001</v>
      </c>
      <c r="C501" s="6">
        <v>254.240005</v>
      </c>
      <c r="D501" s="6">
        <v>44.485000999999997</v>
      </c>
      <c r="E501" s="6">
        <v>145.39999399999999</v>
      </c>
      <c r="F501" s="6">
        <v>97.199996999999996</v>
      </c>
      <c r="G501" s="6">
        <v>36.939999</v>
      </c>
      <c r="H501" s="6">
        <v>123.870003</v>
      </c>
      <c r="I501" s="6">
        <v>169.71000699999999</v>
      </c>
      <c r="J501" s="6">
        <v>23.42</v>
      </c>
      <c r="K501" s="6">
        <v>27.370000999999998</v>
      </c>
      <c r="N501" s="19">
        <v>497</v>
      </c>
      <c r="O501" s="1">
        <v>44186</v>
      </c>
      <c r="P501" s="5">
        <f t="shared" si="188"/>
        <v>-9.1078522761688149E-3</v>
      </c>
      <c r="Q501" s="5">
        <f t="shared" si="189"/>
        <v>-2.9848227035636074E-3</v>
      </c>
      <c r="R501" s="5">
        <f t="shared" si="190"/>
        <v>-1.2953793641985291E-2</v>
      </c>
      <c r="S501" s="5">
        <f t="shared" si="191"/>
        <v>-1.046771141217611E-2</v>
      </c>
      <c r="T501" s="5">
        <f t="shared" si="192"/>
        <v>7.4349165287932017E-3</v>
      </c>
      <c r="U501" s="5">
        <f t="shared" si="193"/>
        <v>-1.8931446584467167E-3</v>
      </c>
      <c r="V501" s="5">
        <f t="shared" si="194"/>
        <v>8.0749201501084422E-5</v>
      </c>
      <c r="W501" s="5">
        <f t="shared" si="195"/>
        <v>-8.8343496905856289E-4</v>
      </c>
      <c r="X501" s="5">
        <f t="shared" si="196"/>
        <v>-2.19603837313492E-2</v>
      </c>
      <c r="Y501" s="5">
        <f t="shared" si="197"/>
        <v>-1.5588425136427077E-2</v>
      </c>
      <c r="Z501" s="33">
        <v>497</v>
      </c>
      <c r="AE501" s="20" t="str">
        <f t="shared" si="198"/>
        <v/>
      </c>
      <c r="AF501" s="22" t="str">
        <f t="shared" si="199"/>
        <v/>
      </c>
      <c r="AG501" s="9" t="str">
        <f t="shared" ca="1" si="178"/>
        <v/>
      </c>
      <c r="AH501" s="9" t="str">
        <f t="shared" ca="1" si="179"/>
        <v/>
      </c>
      <c r="AI501" s="9" t="str">
        <f t="shared" ca="1" si="180"/>
        <v/>
      </c>
      <c r="AJ501" s="9" t="str">
        <f t="shared" ca="1" si="181"/>
        <v/>
      </c>
      <c r="AK501" s="9" t="str">
        <f t="shared" ca="1" si="182"/>
        <v/>
      </c>
      <c r="AL501" s="9" t="str">
        <f t="shared" ca="1" si="183"/>
        <v/>
      </c>
      <c r="AM501" s="9" t="str">
        <f t="shared" ca="1" si="184"/>
        <v/>
      </c>
      <c r="AN501" s="9" t="str">
        <f t="shared" ca="1" si="185"/>
        <v/>
      </c>
      <c r="AO501" s="9" t="str">
        <f t="shared" ca="1" si="186"/>
        <v/>
      </c>
      <c r="AP501" s="9" t="str">
        <f t="shared" ca="1" si="187"/>
        <v/>
      </c>
      <c r="AQ501" s="9"/>
      <c r="AR501" s="9"/>
      <c r="AS501" s="9"/>
      <c r="AT501" s="9"/>
      <c r="AU501" s="9"/>
    </row>
    <row r="502" spans="1:47" x14ac:dyDescent="0.3">
      <c r="A502" s="1">
        <v>44187</v>
      </c>
      <c r="B502" s="6">
        <v>504.17001299999998</v>
      </c>
      <c r="C502" s="6">
        <v>258.04998799999998</v>
      </c>
      <c r="D502" s="6">
        <v>44.134998000000003</v>
      </c>
      <c r="E502" s="6">
        <v>144.020004</v>
      </c>
      <c r="F502" s="6">
        <v>98.099997999999999</v>
      </c>
      <c r="G502" s="6">
        <v>37.369999</v>
      </c>
      <c r="H502" s="6">
        <v>123.44000200000001</v>
      </c>
      <c r="I502" s="6">
        <v>167.53999300000001</v>
      </c>
      <c r="J502" s="6">
        <v>23.059999000000001</v>
      </c>
      <c r="K502" s="6">
        <v>27.209999</v>
      </c>
      <c r="N502" s="18">
        <v>498</v>
      </c>
      <c r="O502" s="1">
        <v>44187</v>
      </c>
      <c r="P502" s="5">
        <f t="shared" si="188"/>
        <v>1.1530605406822969E-2</v>
      </c>
      <c r="Q502" s="5">
        <f t="shared" si="189"/>
        <v>1.4874595637256816E-2</v>
      </c>
      <c r="R502" s="5">
        <f t="shared" si="190"/>
        <v>-7.8990030195317806E-3</v>
      </c>
      <c r="S502" s="5">
        <f t="shared" si="191"/>
        <v>-9.5363172393029237E-3</v>
      </c>
      <c r="T502" s="5">
        <f t="shared" si="192"/>
        <v>9.2166655817620333E-3</v>
      </c>
      <c r="U502" s="5">
        <f t="shared" si="193"/>
        <v>1.157326903779185E-2</v>
      </c>
      <c r="V502" s="5">
        <f t="shared" si="194"/>
        <v>-3.4774285279386779E-3</v>
      </c>
      <c r="W502" s="5">
        <f t="shared" si="195"/>
        <v>-1.2869052325410576E-2</v>
      </c>
      <c r="X502" s="5">
        <f t="shared" si="196"/>
        <v>-1.5490886693793667E-2</v>
      </c>
      <c r="Y502" s="5">
        <f t="shared" si="197"/>
        <v>-5.8630435449807897E-3</v>
      </c>
      <c r="Z502" s="33">
        <v>498</v>
      </c>
      <c r="AE502" s="20" t="str">
        <f t="shared" si="198"/>
        <v/>
      </c>
      <c r="AF502" s="22" t="str">
        <f t="shared" si="199"/>
        <v/>
      </c>
      <c r="AG502" s="9" t="str">
        <f t="shared" ca="1" si="178"/>
        <v/>
      </c>
      <c r="AH502" s="9" t="str">
        <f t="shared" ca="1" si="179"/>
        <v/>
      </c>
      <c r="AI502" s="9" t="str">
        <f t="shared" ca="1" si="180"/>
        <v/>
      </c>
      <c r="AJ502" s="9" t="str">
        <f t="shared" ca="1" si="181"/>
        <v/>
      </c>
      <c r="AK502" s="9" t="str">
        <f t="shared" ca="1" si="182"/>
        <v/>
      </c>
      <c r="AL502" s="9" t="str">
        <f t="shared" ca="1" si="183"/>
        <v/>
      </c>
      <c r="AM502" s="9" t="str">
        <f t="shared" ca="1" si="184"/>
        <v/>
      </c>
      <c r="AN502" s="9" t="str">
        <f t="shared" ca="1" si="185"/>
        <v/>
      </c>
      <c r="AO502" s="9" t="str">
        <f t="shared" ca="1" si="186"/>
        <v/>
      </c>
      <c r="AP502" s="9" t="str">
        <f t="shared" ca="1" si="187"/>
        <v/>
      </c>
      <c r="AQ502" s="9"/>
      <c r="AR502" s="9"/>
      <c r="AS502" s="9"/>
      <c r="AT502" s="9"/>
      <c r="AU502" s="9"/>
    </row>
    <row r="503" spans="1:47" x14ac:dyDescent="0.3">
      <c r="A503" s="1">
        <v>44188</v>
      </c>
      <c r="B503" s="6">
        <v>496.91000400000001</v>
      </c>
      <c r="C503" s="6">
        <v>254.699997</v>
      </c>
      <c r="D503" s="6">
        <v>44.470001000000003</v>
      </c>
      <c r="E503" s="6">
        <v>144.41000399999999</v>
      </c>
      <c r="F503" s="6">
        <v>97.349997999999999</v>
      </c>
      <c r="G503" s="6">
        <v>37.029998999999997</v>
      </c>
      <c r="H503" s="6">
        <v>123.639999</v>
      </c>
      <c r="I503" s="6">
        <v>167.83999600000001</v>
      </c>
      <c r="J503" s="6">
        <v>23.52</v>
      </c>
      <c r="K503" s="6">
        <v>28.26</v>
      </c>
      <c r="N503" s="19">
        <v>499</v>
      </c>
      <c r="O503" s="1">
        <v>44188</v>
      </c>
      <c r="P503" s="5">
        <f t="shared" si="188"/>
        <v>-1.4504607341113451E-2</v>
      </c>
      <c r="Q503" s="5">
        <f t="shared" si="189"/>
        <v>-1.3066947885271005E-2</v>
      </c>
      <c r="R503" s="5">
        <f t="shared" si="190"/>
        <v>7.5617538529888185E-3</v>
      </c>
      <c r="S503" s="5">
        <f t="shared" si="191"/>
        <v>2.7042972427453963E-3</v>
      </c>
      <c r="T503" s="5">
        <f t="shared" si="192"/>
        <v>-7.6746349101761719E-3</v>
      </c>
      <c r="U503" s="5">
        <f t="shared" si="193"/>
        <v>-9.1398488175695684E-3</v>
      </c>
      <c r="V503" s="5">
        <f t="shared" si="194"/>
        <v>1.618884918809382E-3</v>
      </c>
      <c r="W503" s="5">
        <f t="shared" si="195"/>
        <v>1.7890338711702872E-3</v>
      </c>
      <c r="X503" s="5">
        <f t="shared" si="196"/>
        <v>1.9751651554648416E-2</v>
      </c>
      <c r="Y503" s="5">
        <f t="shared" si="197"/>
        <v>3.7862861212421668E-2</v>
      </c>
      <c r="Z503" s="33">
        <v>499</v>
      </c>
      <c r="AE503" s="20" t="str">
        <f t="shared" si="198"/>
        <v/>
      </c>
      <c r="AF503" s="22" t="str">
        <f t="shared" si="199"/>
        <v/>
      </c>
      <c r="AG503" s="9" t="str">
        <f t="shared" ca="1" si="178"/>
        <v/>
      </c>
      <c r="AH503" s="9" t="str">
        <f t="shared" ca="1" si="179"/>
        <v/>
      </c>
      <c r="AI503" s="9" t="str">
        <f t="shared" ca="1" si="180"/>
        <v/>
      </c>
      <c r="AJ503" s="9" t="str">
        <f t="shared" ca="1" si="181"/>
        <v/>
      </c>
      <c r="AK503" s="9" t="str">
        <f t="shared" ca="1" si="182"/>
        <v/>
      </c>
      <c r="AL503" s="9" t="str">
        <f t="shared" ca="1" si="183"/>
        <v/>
      </c>
      <c r="AM503" s="9" t="str">
        <f t="shared" ca="1" si="184"/>
        <v/>
      </c>
      <c r="AN503" s="9" t="str">
        <f t="shared" ca="1" si="185"/>
        <v/>
      </c>
      <c r="AO503" s="9" t="str">
        <f t="shared" ca="1" si="186"/>
        <v/>
      </c>
      <c r="AP503" s="9" t="str">
        <f t="shared" ca="1" si="187"/>
        <v/>
      </c>
      <c r="AQ503" s="9"/>
      <c r="AR503" s="9"/>
      <c r="AS503" s="9"/>
      <c r="AT503" s="9"/>
      <c r="AU503" s="9"/>
    </row>
    <row r="504" spans="1:47" x14ac:dyDescent="0.3">
      <c r="A504" s="1">
        <v>44189</v>
      </c>
      <c r="B504" s="6">
        <v>499.85998499999999</v>
      </c>
      <c r="C504" s="6">
        <v>256.27999899999998</v>
      </c>
      <c r="D504" s="6">
        <v>44.904998999999997</v>
      </c>
      <c r="E504" s="6">
        <v>145.05999800000001</v>
      </c>
      <c r="F504" s="6">
        <v>98.699996999999996</v>
      </c>
      <c r="G504" s="6">
        <v>37.32</v>
      </c>
      <c r="H504" s="6">
        <v>124.019997</v>
      </c>
      <c r="I504" s="6">
        <v>169.770004</v>
      </c>
      <c r="J504" s="6">
        <v>23.52</v>
      </c>
      <c r="K504" s="6">
        <v>28.57</v>
      </c>
      <c r="N504" s="18">
        <v>500</v>
      </c>
      <c r="O504" s="1">
        <v>44189</v>
      </c>
      <c r="P504" s="5">
        <f t="shared" si="188"/>
        <v>5.919097977351951E-3</v>
      </c>
      <c r="Q504" s="5">
        <f t="shared" si="189"/>
        <v>6.1842226619902184E-3</v>
      </c>
      <c r="R504" s="5">
        <f t="shared" si="190"/>
        <v>9.7342978440028809E-3</v>
      </c>
      <c r="S504" s="5">
        <f t="shared" si="191"/>
        <v>4.4909323104817891E-3</v>
      </c>
      <c r="T504" s="5">
        <f t="shared" si="192"/>
        <v>1.3772204770517556E-2</v>
      </c>
      <c r="U504" s="5">
        <f t="shared" si="193"/>
        <v>7.8010080587532019E-3</v>
      </c>
      <c r="V504" s="5">
        <f t="shared" si="194"/>
        <v>3.0687095561667348E-3</v>
      </c>
      <c r="W504" s="5">
        <f t="shared" si="195"/>
        <v>1.1433482568065026E-2</v>
      </c>
      <c r="X504" s="5">
        <f t="shared" si="196"/>
        <v>0</v>
      </c>
      <c r="Y504" s="5">
        <f t="shared" si="197"/>
        <v>1.0909838986300357E-2</v>
      </c>
      <c r="Z504" s="33">
        <v>500</v>
      </c>
      <c r="AE504" s="20" t="str">
        <f t="shared" si="198"/>
        <v/>
      </c>
      <c r="AF504" s="22" t="str">
        <f t="shared" si="199"/>
        <v/>
      </c>
      <c r="AG504" s="9" t="str">
        <f t="shared" ca="1" si="178"/>
        <v/>
      </c>
      <c r="AH504" s="9" t="str">
        <f t="shared" ca="1" si="179"/>
        <v/>
      </c>
      <c r="AI504" s="9" t="str">
        <f t="shared" ca="1" si="180"/>
        <v/>
      </c>
      <c r="AJ504" s="9" t="str">
        <f t="shared" ca="1" si="181"/>
        <v/>
      </c>
      <c r="AK504" s="9" t="str">
        <f t="shared" ca="1" si="182"/>
        <v/>
      </c>
      <c r="AL504" s="9" t="str">
        <f t="shared" ca="1" si="183"/>
        <v/>
      </c>
      <c r="AM504" s="9" t="str">
        <f t="shared" ca="1" si="184"/>
        <v/>
      </c>
      <c r="AN504" s="9" t="str">
        <f t="shared" ca="1" si="185"/>
        <v/>
      </c>
      <c r="AO504" s="9" t="str">
        <f t="shared" ca="1" si="186"/>
        <v/>
      </c>
      <c r="AP504" s="9" t="str">
        <f t="shared" ca="1" si="187"/>
        <v/>
      </c>
      <c r="AQ504" s="9"/>
      <c r="AR504" s="9"/>
      <c r="AS504" s="9"/>
      <c r="AT504" s="9"/>
      <c r="AU504" s="9"/>
    </row>
    <row r="505" spans="1:47" x14ac:dyDescent="0.3">
      <c r="A505" s="1">
        <v>44193</v>
      </c>
      <c r="B505" s="6">
        <v>498.95001200000002</v>
      </c>
      <c r="C505" s="6">
        <v>256.16000400000001</v>
      </c>
      <c r="D505" s="6">
        <v>45.404998999999997</v>
      </c>
      <c r="E505" s="6">
        <v>146.91000399999999</v>
      </c>
      <c r="F505" s="6">
        <v>99.099997999999999</v>
      </c>
      <c r="G505" s="6">
        <v>38.020000000000003</v>
      </c>
      <c r="H505" s="6">
        <v>124.279999</v>
      </c>
      <c r="I505" s="6">
        <v>170.36999499999999</v>
      </c>
      <c r="J505" s="6">
        <v>23.790001</v>
      </c>
      <c r="K505" s="6">
        <v>29.450001</v>
      </c>
      <c r="N505" s="19">
        <v>501</v>
      </c>
      <c r="O505" s="1">
        <v>44193</v>
      </c>
      <c r="P505" s="5">
        <f t="shared" si="188"/>
        <v>-1.8221148256427281E-3</v>
      </c>
      <c r="Q505" s="5">
        <f t="shared" si="189"/>
        <v>-4.6832800519355973E-4</v>
      </c>
      <c r="R505" s="5">
        <f t="shared" si="190"/>
        <v>1.1073084264107479E-2</v>
      </c>
      <c r="S505" s="5">
        <f t="shared" si="191"/>
        <v>1.2672745462021512E-2</v>
      </c>
      <c r="T505" s="5">
        <f t="shared" si="192"/>
        <v>4.0445051100087741E-3</v>
      </c>
      <c r="U505" s="5">
        <f t="shared" si="193"/>
        <v>1.8582961081140024E-2</v>
      </c>
      <c r="V505" s="5">
        <f t="shared" si="194"/>
        <v>2.0942577464147828E-3</v>
      </c>
      <c r="W505" s="5">
        <f t="shared" si="195"/>
        <v>3.5279098257298951E-3</v>
      </c>
      <c r="X505" s="5">
        <f t="shared" si="196"/>
        <v>1.1414243318907573E-2</v>
      </c>
      <c r="Y505" s="5">
        <f t="shared" si="197"/>
        <v>3.0336727810770906E-2</v>
      </c>
      <c r="Z505" s="33">
        <v>501</v>
      </c>
      <c r="AE505" s="20" t="str">
        <f t="shared" si="198"/>
        <v/>
      </c>
      <c r="AF505" s="22" t="str">
        <f t="shared" si="199"/>
        <v/>
      </c>
      <c r="AG505" s="9" t="str">
        <f t="shared" ca="1" si="178"/>
        <v/>
      </c>
      <c r="AH505" s="9" t="str">
        <f t="shared" ca="1" si="179"/>
        <v/>
      </c>
      <c r="AI505" s="9" t="str">
        <f t="shared" ca="1" si="180"/>
        <v/>
      </c>
      <c r="AJ505" s="9" t="str">
        <f t="shared" ca="1" si="181"/>
        <v/>
      </c>
      <c r="AK505" s="9" t="str">
        <f t="shared" ca="1" si="182"/>
        <v/>
      </c>
      <c r="AL505" s="9" t="str">
        <f t="shared" ca="1" si="183"/>
        <v/>
      </c>
      <c r="AM505" s="9" t="str">
        <f t="shared" ca="1" si="184"/>
        <v/>
      </c>
      <c r="AN505" s="9" t="str">
        <f t="shared" ca="1" si="185"/>
        <v/>
      </c>
      <c r="AO505" s="9" t="str">
        <f t="shared" ca="1" si="186"/>
        <v/>
      </c>
      <c r="AP505" s="9" t="str">
        <f t="shared" ca="1" si="187"/>
        <v/>
      </c>
      <c r="AQ505" s="9"/>
      <c r="AR505" s="9"/>
      <c r="AS505" s="9"/>
      <c r="AT505" s="9"/>
      <c r="AU505" s="9"/>
    </row>
    <row r="506" spans="1:47" x14ac:dyDescent="0.3">
      <c r="A506" s="1">
        <v>44194</v>
      </c>
      <c r="B506" s="6">
        <v>502.10998499999999</v>
      </c>
      <c r="C506" s="6">
        <v>253.820007</v>
      </c>
      <c r="D506" s="6">
        <v>45.52</v>
      </c>
      <c r="E506" s="6">
        <v>147.41999799999999</v>
      </c>
      <c r="F506" s="6">
        <v>98.529999000000004</v>
      </c>
      <c r="G506" s="6">
        <v>37.470001000000003</v>
      </c>
      <c r="H506" s="6">
        <v>123.510002</v>
      </c>
      <c r="I506" s="6">
        <v>168.86000100000001</v>
      </c>
      <c r="J506" s="6">
        <v>23.68</v>
      </c>
      <c r="K506" s="6">
        <v>29.690000999999999</v>
      </c>
      <c r="N506" s="18">
        <v>502</v>
      </c>
      <c r="O506" s="1">
        <v>44194</v>
      </c>
      <c r="P506" s="5">
        <f t="shared" si="188"/>
        <v>6.3132749388965697E-3</v>
      </c>
      <c r="Q506" s="5">
        <f t="shared" si="189"/>
        <v>-9.1768829030279813E-3</v>
      </c>
      <c r="R506" s="5">
        <f t="shared" si="190"/>
        <v>2.5295807002904463E-3</v>
      </c>
      <c r="S506" s="5">
        <f t="shared" si="191"/>
        <v>3.4654605845728307E-3</v>
      </c>
      <c r="T506" s="5">
        <f t="shared" si="192"/>
        <v>-5.7683609691173681E-3</v>
      </c>
      <c r="U506" s="5">
        <f t="shared" si="193"/>
        <v>-1.4571697566670342E-2</v>
      </c>
      <c r="V506" s="5">
        <f t="shared" si="194"/>
        <v>-6.2149358355560371E-3</v>
      </c>
      <c r="W506" s="5">
        <f t="shared" si="195"/>
        <v>-8.9025380461409346E-3</v>
      </c>
      <c r="X506" s="5">
        <f t="shared" si="196"/>
        <v>-4.6345563335287469E-3</v>
      </c>
      <c r="Y506" s="5">
        <f t="shared" si="197"/>
        <v>8.116378403589428E-3</v>
      </c>
      <c r="Z506" s="33">
        <v>502</v>
      </c>
      <c r="AE506" s="20" t="str">
        <f t="shared" si="198"/>
        <v/>
      </c>
      <c r="AF506" s="22" t="str">
        <f t="shared" si="199"/>
        <v/>
      </c>
      <c r="AG506" s="9" t="str">
        <f t="shared" ca="1" si="178"/>
        <v/>
      </c>
      <c r="AH506" s="9" t="str">
        <f t="shared" ca="1" si="179"/>
        <v/>
      </c>
      <c r="AI506" s="9" t="str">
        <f t="shared" ca="1" si="180"/>
        <v/>
      </c>
      <c r="AJ506" s="9" t="str">
        <f t="shared" ca="1" si="181"/>
        <v/>
      </c>
      <c r="AK506" s="9" t="str">
        <f t="shared" ca="1" si="182"/>
        <v/>
      </c>
      <c r="AL506" s="9" t="str">
        <f t="shared" ca="1" si="183"/>
        <v/>
      </c>
      <c r="AM506" s="9" t="str">
        <f t="shared" ca="1" si="184"/>
        <v/>
      </c>
      <c r="AN506" s="9" t="str">
        <f t="shared" ca="1" si="185"/>
        <v/>
      </c>
      <c r="AO506" s="9" t="str">
        <f t="shared" ca="1" si="186"/>
        <v/>
      </c>
      <c r="AP506" s="9" t="str">
        <f t="shared" ca="1" si="187"/>
        <v/>
      </c>
      <c r="AQ506" s="9"/>
      <c r="AR506" s="9"/>
      <c r="AS506" s="9"/>
      <c r="AT506" s="9"/>
      <c r="AU506" s="9"/>
    </row>
    <row r="507" spans="1:47" x14ac:dyDescent="0.3">
      <c r="A507" s="1">
        <v>44195</v>
      </c>
      <c r="B507" s="6">
        <v>497.45001200000002</v>
      </c>
      <c r="C507" s="6">
        <v>256.91000400000001</v>
      </c>
      <c r="D507" s="6">
        <v>45.73</v>
      </c>
      <c r="E507" s="6">
        <v>147.30999800000001</v>
      </c>
      <c r="F507" s="6">
        <v>98.730002999999996</v>
      </c>
      <c r="G507" s="6">
        <v>37.970001000000003</v>
      </c>
      <c r="H507" s="6">
        <v>124.43</v>
      </c>
      <c r="I507" s="6">
        <v>170.949997</v>
      </c>
      <c r="J507" s="6">
        <v>23.459999</v>
      </c>
      <c r="K507" s="6">
        <v>29.809999000000001</v>
      </c>
      <c r="N507" s="19">
        <v>503</v>
      </c>
      <c r="O507" s="1">
        <v>44195</v>
      </c>
      <c r="P507" s="5">
        <f t="shared" si="188"/>
        <v>-9.3241161613280346E-3</v>
      </c>
      <c r="Q507" s="5">
        <f t="shared" si="189"/>
        <v>1.2100462619296752E-2</v>
      </c>
      <c r="R507" s="5">
        <f t="shared" si="190"/>
        <v>4.602747851888263E-3</v>
      </c>
      <c r="S507" s="5">
        <f t="shared" si="191"/>
        <v>-7.464459444262246E-4</v>
      </c>
      <c r="T507" s="5">
        <f t="shared" si="192"/>
        <v>2.0278218240686093E-3</v>
      </c>
      <c r="U507" s="5">
        <f t="shared" si="193"/>
        <v>1.3255761086679408E-2</v>
      </c>
      <c r="V507" s="5">
        <f t="shared" si="194"/>
        <v>7.4211681445962132E-3</v>
      </c>
      <c r="W507" s="5">
        <f t="shared" si="195"/>
        <v>1.230112337289968E-2</v>
      </c>
      <c r="X507" s="5">
        <f t="shared" si="196"/>
        <v>-9.334009416222401E-3</v>
      </c>
      <c r="Y507" s="5">
        <f t="shared" si="197"/>
        <v>4.0335516871475114E-3</v>
      </c>
      <c r="Z507" s="33">
        <v>503</v>
      </c>
      <c r="AE507" s="20" t="str">
        <f t="shared" si="198"/>
        <v/>
      </c>
      <c r="AF507" s="22" t="str">
        <f t="shared" si="199"/>
        <v/>
      </c>
      <c r="AG507" s="9" t="str">
        <f t="shared" ca="1" si="178"/>
        <v/>
      </c>
      <c r="AH507" s="9" t="str">
        <f t="shared" ca="1" si="179"/>
        <v/>
      </c>
      <c r="AI507" s="9" t="str">
        <f t="shared" ca="1" si="180"/>
        <v/>
      </c>
      <c r="AJ507" s="9" t="str">
        <f t="shared" ca="1" si="181"/>
        <v/>
      </c>
      <c r="AK507" s="9" t="str">
        <f t="shared" ca="1" si="182"/>
        <v/>
      </c>
      <c r="AL507" s="9" t="str">
        <f t="shared" ca="1" si="183"/>
        <v/>
      </c>
      <c r="AM507" s="9" t="str">
        <f t="shared" ca="1" si="184"/>
        <v/>
      </c>
      <c r="AN507" s="9" t="str">
        <f t="shared" ca="1" si="185"/>
        <v/>
      </c>
      <c r="AO507" s="9" t="str">
        <f t="shared" ca="1" si="186"/>
        <v/>
      </c>
      <c r="AP507" s="9" t="str">
        <f t="shared" ca="1" si="187"/>
        <v/>
      </c>
      <c r="AQ507" s="9"/>
      <c r="AR507" s="9"/>
      <c r="AS507" s="9"/>
      <c r="AT507" s="9"/>
      <c r="AU507" s="9"/>
    </row>
    <row r="508" spans="1:47" x14ac:dyDescent="0.3">
      <c r="A508" s="1">
        <v>44196</v>
      </c>
      <c r="B508" s="6">
        <v>500.11999500000002</v>
      </c>
      <c r="C508" s="6">
        <v>259.23998999999998</v>
      </c>
      <c r="D508" s="6">
        <v>46.240001999999997</v>
      </c>
      <c r="E508" s="6">
        <v>148.300003</v>
      </c>
      <c r="F508" s="6">
        <v>99.919998000000007</v>
      </c>
      <c r="G508" s="6">
        <v>38.43</v>
      </c>
      <c r="H508" s="6">
        <v>126.25</v>
      </c>
      <c r="I508" s="6">
        <v>171.13999899999999</v>
      </c>
      <c r="J508" s="6">
        <v>23.52</v>
      </c>
      <c r="K508" s="6">
        <v>30.09</v>
      </c>
      <c r="N508" s="18">
        <v>504</v>
      </c>
      <c r="O508" s="1">
        <v>44196</v>
      </c>
      <c r="P508" s="5">
        <f t="shared" si="188"/>
        <v>5.3529864708023196E-3</v>
      </c>
      <c r="Q508" s="5">
        <f t="shared" si="189"/>
        <v>9.0283904053066067E-3</v>
      </c>
      <c r="R508" s="5">
        <f t="shared" si="190"/>
        <v>1.1090729946752345E-2</v>
      </c>
      <c r="S508" s="5">
        <f t="shared" si="191"/>
        <v>6.6980731231152217E-3</v>
      </c>
      <c r="T508" s="5">
        <f t="shared" si="192"/>
        <v>1.1980963792050664E-2</v>
      </c>
      <c r="U508" s="5">
        <f t="shared" si="193"/>
        <v>1.2042003996460443E-2</v>
      </c>
      <c r="V508" s="5">
        <f t="shared" si="194"/>
        <v>1.4520759367929202E-2</v>
      </c>
      <c r="W508" s="5">
        <f t="shared" si="195"/>
        <v>1.1108306104202666E-3</v>
      </c>
      <c r="X508" s="5">
        <f t="shared" si="196"/>
        <v>2.5543224308435942E-3</v>
      </c>
      <c r="Y508" s="5">
        <f t="shared" si="197"/>
        <v>9.3490164977643973E-3</v>
      </c>
      <c r="Z508" s="33">
        <v>504</v>
      </c>
      <c r="AE508" s="20" t="str">
        <f t="shared" si="198"/>
        <v/>
      </c>
      <c r="AF508" s="22" t="str">
        <f t="shared" si="199"/>
        <v/>
      </c>
      <c r="AG508" s="9" t="str">
        <f t="shared" ca="1" si="178"/>
        <v/>
      </c>
      <c r="AH508" s="9" t="str">
        <f t="shared" ca="1" si="179"/>
        <v/>
      </c>
      <c r="AI508" s="9" t="str">
        <f t="shared" ca="1" si="180"/>
        <v/>
      </c>
      <c r="AJ508" s="9" t="str">
        <f t="shared" ca="1" si="181"/>
        <v/>
      </c>
      <c r="AK508" s="9" t="str">
        <f t="shared" ca="1" si="182"/>
        <v/>
      </c>
      <c r="AL508" s="9" t="str">
        <f t="shared" ca="1" si="183"/>
        <v/>
      </c>
      <c r="AM508" s="9" t="str">
        <f t="shared" ca="1" si="184"/>
        <v/>
      </c>
      <c r="AN508" s="9" t="str">
        <f t="shared" ca="1" si="185"/>
        <v/>
      </c>
      <c r="AO508" s="9" t="str">
        <f t="shared" ca="1" si="186"/>
        <v/>
      </c>
      <c r="AP508" s="9" t="str">
        <f t="shared" ca="1" si="187"/>
        <v/>
      </c>
      <c r="AQ508" s="9"/>
      <c r="AR508" s="9"/>
      <c r="AS508" s="9"/>
      <c r="AT508" s="9"/>
      <c r="AU508" s="9"/>
    </row>
    <row r="509" spans="1:47" x14ac:dyDescent="0.3">
      <c r="A509" s="1">
        <v>44200</v>
      </c>
      <c r="B509" s="6">
        <v>485.33999599999999</v>
      </c>
      <c r="C509" s="6">
        <v>254.699997</v>
      </c>
      <c r="D509" s="6">
        <v>45.299999</v>
      </c>
      <c r="E509" s="6">
        <v>144.270004</v>
      </c>
      <c r="F509" s="6">
        <v>96.300003000000004</v>
      </c>
      <c r="G509" s="6">
        <v>36.849997999999999</v>
      </c>
      <c r="H509" s="6">
        <v>123.339996</v>
      </c>
      <c r="I509" s="6">
        <v>166.91999799999999</v>
      </c>
      <c r="J509" s="6">
        <v>23.139999</v>
      </c>
      <c r="K509" s="6">
        <v>30.629999000000002</v>
      </c>
      <c r="N509" s="19">
        <v>505</v>
      </c>
      <c r="O509" s="1">
        <v>44200</v>
      </c>
      <c r="P509" s="5">
        <f t="shared" si="188"/>
        <v>-2.9998391612927194E-2</v>
      </c>
      <c r="Q509" s="5">
        <f t="shared" si="189"/>
        <v>-1.7667864778372098E-2</v>
      </c>
      <c r="R509" s="5">
        <f t="shared" si="190"/>
        <v>-2.0538257202783319E-2</v>
      </c>
      <c r="S509" s="5">
        <f t="shared" si="191"/>
        <v>-2.7550697689678782E-2</v>
      </c>
      <c r="T509" s="5">
        <f t="shared" si="192"/>
        <v>-3.6901495844581876E-2</v>
      </c>
      <c r="U509" s="5">
        <f t="shared" si="193"/>
        <v>-4.198284021549252E-2</v>
      </c>
      <c r="V509" s="5">
        <f t="shared" si="194"/>
        <v>-2.3319331022802415E-2</v>
      </c>
      <c r="W509" s="5">
        <f t="shared" si="195"/>
        <v>-2.4967285405175309E-2</v>
      </c>
      <c r="X509" s="5">
        <f t="shared" si="196"/>
        <v>-1.6288444480108334E-2</v>
      </c>
      <c r="Y509" s="5">
        <f t="shared" si="197"/>
        <v>1.778699755499849E-2</v>
      </c>
      <c r="Z509" s="33">
        <v>505</v>
      </c>
      <c r="AE509" s="20" t="str">
        <f t="shared" si="198"/>
        <v/>
      </c>
      <c r="AF509" s="22" t="str">
        <f t="shared" si="199"/>
        <v/>
      </c>
      <c r="AG509" s="9" t="str">
        <f t="shared" ca="1" si="178"/>
        <v/>
      </c>
      <c r="AH509" s="9" t="str">
        <f t="shared" ca="1" si="179"/>
        <v/>
      </c>
      <c r="AI509" s="9" t="str">
        <f t="shared" ca="1" si="180"/>
        <v/>
      </c>
      <c r="AJ509" s="9" t="str">
        <f t="shared" ca="1" si="181"/>
        <v/>
      </c>
      <c r="AK509" s="9" t="str">
        <f t="shared" ca="1" si="182"/>
        <v/>
      </c>
      <c r="AL509" s="9" t="str">
        <f t="shared" ca="1" si="183"/>
        <v/>
      </c>
      <c r="AM509" s="9" t="str">
        <f t="shared" ca="1" si="184"/>
        <v/>
      </c>
      <c r="AN509" s="9" t="str">
        <f t="shared" ca="1" si="185"/>
        <v/>
      </c>
      <c r="AO509" s="9" t="str">
        <f t="shared" ca="1" si="186"/>
        <v/>
      </c>
      <c r="AP509" s="9" t="str">
        <f t="shared" ca="1" si="187"/>
        <v/>
      </c>
      <c r="AQ509" s="9"/>
      <c r="AR509" s="9"/>
      <c r="AS509" s="9"/>
      <c r="AT509" s="9"/>
      <c r="AU509" s="9"/>
    </row>
    <row r="510" spans="1:47" x14ac:dyDescent="0.3">
      <c r="A510" s="1">
        <v>44201</v>
      </c>
      <c r="B510" s="6">
        <v>485.69000199999999</v>
      </c>
      <c r="C510" s="6">
        <v>258.89001500000001</v>
      </c>
      <c r="D510" s="6">
        <v>45.709999000000003</v>
      </c>
      <c r="E510" s="6">
        <v>144.699997</v>
      </c>
      <c r="F510" s="6">
        <v>95.540001000000004</v>
      </c>
      <c r="G510" s="6">
        <v>36.790000999999997</v>
      </c>
      <c r="H510" s="6">
        <v>124.05999799999999</v>
      </c>
      <c r="I510" s="6">
        <v>166.720001</v>
      </c>
      <c r="J510" s="6">
        <v>23.26</v>
      </c>
      <c r="K510" s="6">
        <v>31.52</v>
      </c>
      <c r="N510" s="18">
        <v>506</v>
      </c>
      <c r="O510" s="1">
        <v>44201</v>
      </c>
      <c r="P510" s="5">
        <f t="shared" si="188"/>
        <v>7.2089640047947397E-4</v>
      </c>
      <c r="Q510" s="5">
        <f t="shared" si="189"/>
        <v>1.631694879262614E-2</v>
      </c>
      <c r="R510" s="5">
        <f t="shared" si="190"/>
        <v>9.0100600526689511E-3</v>
      </c>
      <c r="S510" s="5">
        <f t="shared" si="191"/>
        <v>2.9760412214154069E-3</v>
      </c>
      <c r="T510" s="5">
        <f t="shared" si="192"/>
        <v>-7.9233315280914703E-3</v>
      </c>
      <c r="U510" s="5">
        <f t="shared" si="193"/>
        <v>-1.6294680632781716E-3</v>
      </c>
      <c r="V510" s="5">
        <f t="shared" si="194"/>
        <v>5.8205662910729263E-3</v>
      </c>
      <c r="W510" s="5">
        <f t="shared" si="195"/>
        <v>-1.1988791784814286E-3</v>
      </c>
      <c r="X510" s="5">
        <f t="shared" si="196"/>
        <v>5.1724685402005687E-3</v>
      </c>
      <c r="Y510" s="5">
        <f t="shared" si="197"/>
        <v>2.8642376792725934E-2</v>
      </c>
      <c r="Z510" s="33">
        <v>506</v>
      </c>
      <c r="AE510" s="20" t="str">
        <f t="shared" si="198"/>
        <v/>
      </c>
      <c r="AF510" s="22" t="str">
        <f t="shared" si="199"/>
        <v/>
      </c>
      <c r="AG510" s="9" t="str">
        <f t="shared" ca="1" si="178"/>
        <v/>
      </c>
      <c r="AH510" s="9" t="str">
        <f t="shared" ca="1" si="179"/>
        <v/>
      </c>
      <c r="AI510" s="9" t="str">
        <f t="shared" ca="1" si="180"/>
        <v/>
      </c>
      <c r="AJ510" s="9" t="str">
        <f t="shared" ca="1" si="181"/>
        <v/>
      </c>
      <c r="AK510" s="9" t="str">
        <f t="shared" ca="1" si="182"/>
        <v/>
      </c>
      <c r="AL510" s="9" t="str">
        <f t="shared" ca="1" si="183"/>
        <v/>
      </c>
      <c r="AM510" s="9" t="str">
        <f t="shared" ca="1" si="184"/>
        <v/>
      </c>
      <c r="AN510" s="9" t="str">
        <f t="shared" ca="1" si="185"/>
        <v/>
      </c>
      <c r="AO510" s="9" t="str">
        <f t="shared" ca="1" si="186"/>
        <v/>
      </c>
      <c r="AP510" s="9" t="str">
        <f t="shared" ca="1" si="187"/>
        <v/>
      </c>
      <c r="AQ510" s="9"/>
      <c r="AR510" s="9"/>
      <c r="AS510" s="9"/>
      <c r="AT510" s="9"/>
      <c r="AU510" s="9"/>
    </row>
    <row r="511" spans="1:47" x14ac:dyDescent="0.3">
      <c r="A511" s="1">
        <v>44202</v>
      </c>
      <c r="B511" s="6">
        <v>466.30999800000001</v>
      </c>
      <c r="C511" s="6">
        <v>249.699997</v>
      </c>
      <c r="D511" s="6">
        <v>45.349997999999999</v>
      </c>
      <c r="E511" s="6">
        <v>142.929993</v>
      </c>
      <c r="F511" s="6">
        <v>98.040001000000004</v>
      </c>
      <c r="G511" s="6">
        <v>38.159999999999997</v>
      </c>
      <c r="H511" s="6">
        <v>127.55999799999999</v>
      </c>
      <c r="I511" s="6">
        <v>173.61999499999999</v>
      </c>
      <c r="J511" s="6">
        <v>25.049999</v>
      </c>
      <c r="K511" s="6">
        <v>34.25</v>
      </c>
      <c r="N511" s="19">
        <v>507</v>
      </c>
      <c r="O511" s="1">
        <v>44202</v>
      </c>
      <c r="P511" s="5">
        <f t="shared" si="188"/>
        <v>-4.0719919700015005E-2</v>
      </c>
      <c r="Q511" s="5">
        <f t="shared" si="189"/>
        <v>-3.6143133728164217E-2</v>
      </c>
      <c r="R511" s="5">
        <f t="shared" si="190"/>
        <v>-7.9069380068905581E-3</v>
      </c>
      <c r="S511" s="5">
        <f t="shared" si="191"/>
        <v>-1.2307661958887937E-2</v>
      </c>
      <c r="T511" s="5">
        <f t="shared" si="192"/>
        <v>2.5830550431194282E-2</v>
      </c>
      <c r="U511" s="5">
        <f t="shared" si="193"/>
        <v>3.6561750282103907E-2</v>
      </c>
      <c r="V511" s="5">
        <f t="shared" si="194"/>
        <v>2.7821523039220957E-2</v>
      </c>
      <c r="W511" s="5">
        <f t="shared" si="195"/>
        <v>4.0553209602053213E-2</v>
      </c>
      <c r="X511" s="5">
        <f t="shared" si="196"/>
        <v>7.4138640520194976E-2</v>
      </c>
      <c r="Y511" s="5">
        <f t="shared" si="197"/>
        <v>8.3064299718555862E-2</v>
      </c>
      <c r="Z511" s="33">
        <v>507</v>
      </c>
      <c r="AE511" s="20" t="str">
        <f t="shared" si="198"/>
        <v/>
      </c>
      <c r="AF511" s="22" t="str">
        <f t="shared" si="199"/>
        <v/>
      </c>
      <c r="AG511" s="9" t="str">
        <f t="shared" ca="1" si="178"/>
        <v/>
      </c>
      <c r="AH511" s="9" t="str">
        <f t="shared" ca="1" si="179"/>
        <v/>
      </c>
      <c r="AI511" s="9" t="str">
        <f t="shared" ca="1" si="180"/>
        <v/>
      </c>
      <c r="AJ511" s="9" t="str">
        <f t="shared" ca="1" si="181"/>
        <v/>
      </c>
      <c r="AK511" s="9" t="str">
        <f t="shared" ca="1" si="182"/>
        <v/>
      </c>
      <c r="AL511" s="9" t="str">
        <f t="shared" ca="1" si="183"/>
        <v/>
      </c>
      <c r="AM511" s="9" t="str">
        <f t="shared" ca="1" si="184"/>
        <v/>
      </c>
      <c r="AN511" s="9" t="str">
        <f t="shared" ca="1" si="185"/>
        <v/>
      </c>
      <c r="AO511" s="9" t="str">
        <f t="shared" ca="1" si="186"/>
        <v/>
      </c>
      <c r="AP511" s="9" t="str">
        <f t="shared" ca="1" si="187"/>
        <v/>
      </c>
      <c r="AQ511" s="9"/>
      <c r="AR511" s="9"/>
      <c r="AS511" s="9"/>
      <c r="AT511" s="9"/>
      <c r="AU511" s="9"/>
    </row>
    <row r="512" spans="1:47" x14ac:dyDescent="0.3">
      <c r="A512" s="1">
        <v>44203</v>
      </c>
      <c r="B512" s="6">
        <v>477.73998999999998</v>
      </c>
      <c r="C512" s="6">
        <v>258.83999599999999</v>
      </c>
      <c r="D512" s="6">
        <v>46.75</v>
      </c>
      <c r="E512" s="6">
        <v>142.470001</v>
      </c>
      <c r="F512" s="6">
        <v>96.790001000000004</v>
      </c>
      <c r="G512" s="6">
        <v>37.560001</v>
      </c>
      <c r="H512" s="6">
        <v>129.449997</v>
      </c>
      <c r="I512" s="6">
        <v>175.86999499999999</v>
      </c>
      <c r="J512" s="6">
        <v>24.459999</v>
      </c>
      <c r="K512" s="6">
        <v>34.400002000000001</v>
      </c>
      <c r="N512" s="18">
        <v>508</v>
      </c>
      <c r="O512" s="1">
        <v>44203</v>
      </c>
      <c r="P512" s="5">
        <f t="shared" si="188"/>
        <v>2.42159858031901E-2</v>
      </c>
      <c r="Q512" s="5">
        <f t="shared" si="189"/>
        <v>3.5949909464192922E-2</v>
      </c>
      <c r="R512" s="5">
        <f t="shared" si="190"/>
        <v>3.0404123274984769E-2</v>
      </c>
      <c r="S512" s="5">
        <f t="shared" si="191"/>
        <v>-3.2234926978382079E-3</v>
      </c>
      <c r="T512" s="5">
        <f t="shared" si="192"/>
        <v>-1.2831875367187179E-2</v>
      </c>
      <c r="U512" s="5">
        <f t="shared" si="193"/>
        <v>-1.5848165615955735E-2</v>
      </c>
      <c r="V512" s="5">
        <f t="shared" si="194"/>
        <v>1.470785655961483E-2</v>
      </c>
      <c r="W512" s="5">
        <f t="shared" si="195"/>
        <v>1.2876083153045998E-2</v>
      </c>
      <c r="X512" s="5">
        <f t="shared" si="196"/>
        <v>-2.3834698234762228E-2</v>
      </c>
      <c r="Y512" s="5">
        <f t="shared" si="197"/>
        <v>4.3700578106516154E-3</v>
      </c>
      <c r="Z512" s="33">
        <v>508</v>
      </c>
      <c r="AE512" s="20" t="str">
        <f t="shared" si="198"/>
        <v/>
      </c>
      <c r="AF512" s="22" t="str">
        <f t="shared" si="199"/>
        <v/>
      </c>
      <c r="AG512" s="9" t="str">
        <f t="shared" ca="1" si="178"/>
        <v/>
      </c>
      <c r="AH512" s="9" t="str">
        <f t="shared" ca="1" si="179"/>
        <v/>
      </c>
      <c r="AI512" s="9" t="str">
        <f t="shared" ca="1" si="180"/>
        <v/>
      </c>
      <c r="AJ512" s="9" t="str">
        <f t="shared" ca="1" si="181"/>
        <v/>
      </c>
      <c r="AK512" s="9" t="str">
        <f t="shared" ca="1" si="182"/>
        <v/>
      </c>
      <c r="AL512" s="9" t="str">
        <f t="shared" ca="1" si="183"/>
        <v/>
      </c>
      <c r="AM512" s="9" t="str">
        <f t="shared" ca="1" si="184"/>
        <v/>
      </c>
      <c r="AN512" s="9" t="str">
        <f t="shared" ca="1" si="185"/>
        <v/>
      </c>
      <c r="AO512" s="9" t="str">
        <f t="shared" ca="1" si="186"/>
        <v/>
      </c>
      <c r="AP512" s="9" t="str">
        <f t="shared" ca="1" si="187"/>
        <v/>
      </c>
      <c r="AQ512" s="9"/>
      <c r="AR512" s="9"/>
      <c r="AS512" s="9"/>
      <c r="AT512" s="9"/>
      <c r="AU512" s="9"/>
    </row>
    <row r="513" spans="1:47" x14ac:dyDescent="0.3">
      <c r="A513" s="1">
        <v>44204</v>
      </c>
      <c r="B513" s="6">
        <v>485.10000600000001</v>
      </c>
      <c r="C513" s="6">
        <v>262.79998799999998</v>
      </c>
      <c r="D513" s="6">
        <v>47.494999</v>
      </c>
      <c r="E513" s="6">
        <v>144.179993</v>
      </c>
      <c r="F513" s="6">
        <v>96.790001000000004</v>
      </c>
      <c r="G513" s="6">
        <v>37.380001</v>
      </c>
      <c r="H513" s="6">
        <v>129.449997</v>
      </c>
      <c r="I513" s="6">
        <v>172.88999899999999</v>
      </c>
      <c r="J513" s="6">
        <v>24.34</v>
      </c>
      <c r="K513" s="6">
        <v>34.630001</v>
      </c>
      <c r="N513" s="19">
        <v>509</v>
      </c>
      <c r="O513" s="1">
        <v>44204</v>
      </c>
      <c r="P513" s="5">
        <f t="shared" si="188"/>
        <v>1.5288437099828692E-2</v>
      </c>
      <c r="Q513" s="5">
        <f t="shared" si="189"/>
        <v>1.5183146212850824E-2</v>
      </c>
      <c r="R513" s="5">
        <f t="shared" si="190"/>
        <v>1.5810165552601573E-2</v>
      </c>
      <c r="S513" s="5">
        <f t="shared" si="191"/>
        <v>1.1931012177846683E-2</v>
      </c>
      <c r="T513" s="5">
        <f t="shared" si="192"/>
        <v>0</v>
      </c>
      <c r="U513" s="5">
        <f t="shared" si="193"/>
        <v>-4.8038521844396024E-3</v>
      </c>
      <c r="V513" s="5">
        <f t="shared" si="194"/>
        <v>0</v>
      </c>
      <c r="W513" s="5">
        <f t="shared" si="195"/>
        <v>-1.7089508985521831E-2</v>
      </c>
      <c r="X513" s="5">
        <f t="shared" si="196"/>
        <v>-4.9180018165699601E-3</v>
      </c>
      <c r="Y513" s="5">
        <f t="shared" si="197"/>
        <v>6.6637647721407055E-3</v>
      </c>
      <c r="Z513" s="33">
        <v>509</v>
      </c>
      <c r="AE513" s="20" t="str">
        <f t="shared" si="198"/>
        <v/>
      </c>
      <c r="AF513" s="22" t="str">
        <f t="shared" si="199"/>
        <v/>
      </c>
      <c r="AG513" s="9" t="str">
        <f t="shared" ca="1" si="178"/>
        <v/>
      </c>
      <c r="AH513" s="9" t="str">
        <f t="shared" ca="1" si="179"/>
        <v/>
      </c>
      <c r="AI513" s="9" t="str">
        <f t="shared" ca="1" si="180"/>
        <v/>
      </c>
      <c r="AJ513" s="9" t="str">
        <f t="shared" ca="1" si="181"/>
        <v/>
      </c>
      <c r="AK513" s="9" t="str">
        <f t="shared" ca="1" si="182"/>
        <v/>
      </c>
      <c r="AL513" s="9" t="str">
        <f t="shared" ca="1" si="183"/>
        <v/>
      </c>
      <c r="AM513" s="9" t="str">
        <f t="shared" ca="1" si="184"/>
        <v/>
      </c>
      <c r="AN513" s="9" t="str">
        <f t="shared" ca="1" si="185"/>
        <v/>
      </c>
      <c r="AO513" s="9" t="str">
        <f t="shared" ca="1" si="186"/>
        <v/>
      </c>
      <c r="AP513" s="9" t="str">
        <f t="shared" ca="1" si="187"/>
        <v/>
      </c>
      <c r="AQ513" s="9"/>
      <c r="AR513" s="9"/>
      <c r="AS513" s="9"/>
      <c r="AT513" s="9"/>
      <c r="AU513" s="9"/>
    </row>
    <row r="514" spans="1:47" x14ac:dyDescent="0.3">
      <c r="A514" s="1">
        <v>44207</v>
      </c>
      <c r="B514" s="6">
        <v>474.23998999999998</v>
      </c>
      <c r="C514" s="6">
        <v>260.42999300000002</v>
      </c>
      <c r="D514" s="6">
        <v>46.470001000000003</v>
      </c>
      <c r="E514" s="6">
        <v>142.08999600000001</v>
      </c>
      <c r="F514" s="6">
        <v>96.010002</v>
      </c>
      <c r="G514" s="6">
        <v>37.049999</v>
      </c>
      <c r="H514" s="6">
        <v>128.779999</v>
      </c>
      <c r="I514" s="6">
        <v>171.38999899999999</v>
      </c>
      <c r="J514" s="6">
        <v>24.42</v>
      </c>
      <c r="K514" s="6">
        <v>35.130001</v>
      </c>
      <c r="N514" s="18">
        <v>510</v>
      </c>
      <c r="O514" s="1">
        <v>44207</v>
      </c>
      <c r="P514" s="5">
        <f t="shared" si="188"/>
        <v>-2.2641566038457239E-2</v>
      </c>
      <c r="Q514" s="5">
        <f t="shared" si="189"/>
        <v>-9.0591567551516674E-3</v>
      </c>
      <c r="R514" s="5">
        <f t="shared" si="190"/>
        <v>-2.1817456671151168E-2</v>
      </c>
      <c r="S514" s="5">
        <f t="shared" si="191"/>
        <v>-1.4601838927196378E-2</v>
      </c>
      <c r="T514" s="5">
        <f t="shared" si="192"/>
        <v>-8.0913199519473868E-3</v>
      </c>
      <c r="U514" s="5">
        <f t="shared" si="193"/>
        <v>-8.867504028148154E-3</v>
      </c>
      <c r="V514" s="5">
        <f t="shared" si="194"/>
        <v>-5.1891686777188299E-3</v>
      </c>
      <c r="W514" s="5">
        <f t="shared" si="195"/>
        <v>-8.7138927628253871E-3</v>
      </c>
      <c r="X514" s="5">
        <f t="shared" si="196"/>
        <v>3.2813811231775813E-3</v>
      </c>
      <c r="Y514" s="5">
        <f t="shared" si="197"/>
        <v>1.433510745240749E-2</v>
      </c>
      <c r="Z514" s="33">
        <v>510</v>
      </c>
      <c r="AE514" s="20" t="str">
        <f t="shared" si="198"/>
        <v/>
      </c>
      <c r="AF514" s="22" t="str">
        <f t="shared" si="199"/>
        <v/>
      </c>
      <c r="AG514" s="9" t="str">
        <f t="shared" ca="1" si="178"/>
        <v/>
      </c>
      <c r="AH514" s="9" t="str">
        <f t="shared" ca="1" si="179"/>
        <v/>
      </c>
      <c r="AI514" s="9" t="str">
        <f t="shared" ca="1" si="180"/>
        <v/>
      </c>
      <c r="AJ514" s="9" t="str">
        <f t="shared" ca="1" si="181"/>
        <v/>
      </c>
      <c r="AK514" s="9" t="str">
        <f t="shared" ca="1" si="182"/>
        <v/>
      </c>
      <c r="AL514" s="9" t="str">
        <f t="shared" ca="1" si="183"/>
        <v/>
      </c>
      <c r="AM514" s="9" t="str">
        <f t="shared" ca="1" si="184"/>
        <v/>
      </c>
      <c r="AN514" s="9" t="str">
        <f t="shared" ca="1" si="185"/>
        <v/>
      </c>
      <c r="AO514" s="9" t="str">
        <f t="shared" ca="1" si="186"/>
        <v/>
      </c>
      <c r="AP514" s="9" t="str">
        <f t="shared" ca="1" si="187"/>
        <v/>
      </c>
      <c r="AQ514" s="9"/>
      <c r="AR514" s="9"/>
      <c r="AS514" s="9"/>
      <c r="AT514" s="9"/>
      <c r="AU514" s="9"/>
    </row>
    <row r="515" spans="1:47" x14ac:dyDescent="0.3">
      <c r="A515" s="1">
        <v>44208</v>
      </c>
      <c r="B515" s="6">
        <v>471.64999399999999</v>
      </c>
      <c r="C515" s="6">
        <v>258.57998700000002</v>
      </c>
      <c r="D515" s="6">
        <v>46.994999</v>
      </c>
      <c r="E515" s="6">
        <v>141.429993</v>
      </c>
      <c r="F515" s="6">
        <v>96.599997999999999</v>
      </c>
      <c r="G515" s="6">
        <v>37.529998999999997</v>
      </c>
      <c r="H515" s="6">
        <v>129.60000600000001</v>
      </c>
      <c r="I515" s="6">
        <v>174.259995</v>
      </c>
      <c r="J515" s="6">
        <v>24.549999</v>
      </c>
      <c r="K515" s="6">
        <v>35.299999</v>
      </c>
      <c r="N515" s="19">
        <v>511</v>
      </c>
      <c r="O515" s="1">
        <v>44208</v>
      </c>
      <c r="P515" s="5">
        <f t="shared" si="188"/>
        <v>-5.476329206732849E-3</v>
      </c>
      <c r="Q515" s="5">
        <f t="shared" si="189"/>
        <v>-7.1290106413727846E-3</v>
      </c>
      <c r="R515" s="5">
        <f t="shared" si="190"/>
        <v>1.1234227177258523E-2</v>
      </c>
      <c r="S515" s="5">
        <f t="shared" si="191"/>
        <v>-4.6557859608541818E-3</v>
      </c>
      <c r="T515" s="5">
        <f t="shared" si="192"/>
        <v>6.1263469738427022E-3</v>
      </c>
      <c r="U515" s="5">
        <f t="shared" si="193"/>
        <v>1.2872261750036472E-2</v>
      </c>
      <c r="V515" s="5">
        <f t="shared" si="194"/>
        <v>6.3473158696129833E-3</v>
      </c>
      <c r="W515" s="5">
        <f t="shared" si="195"/>
        <v>1.6606752540547835E-2</v>
      </c>
      <c r="X515" s="5">
        <f t="shared" si="196"/>
        <v>5.3093448247725199E-3</v>
      </c>
      <c r="Y515" s="5">
        <f t="shared" si="197"/>
        <v>4.8274408672047513E-3</v>
      </c>
      <c r="Z515" s="33">
        <v>511</v>
      </c>
      <c r="AE515" s="20" t="str">
        <f t="shared" si="198"/>
        <v/>
      </c>
      <c r="AF515" s="22" t="str">
        <f t="shared" si="199"/>
        <v/>
      </c>
      <c r="AG515" s="9" t="str">
        <f t="shared" ca="1" si="178"/>
        <v/>
      </c>
      <c r="AH515" s="9" t="str">
        <f t="shared" ca="1" si="179"/>
        <v/>
      </c>
      <c r="AI515" s="9" t="str">
        <f t="shared" ca="1" si="180"/>
        <v/>
      </c>
      <c r="AJ515" s="9" t="str">
        <f t="shared" ca="1" si="181"/>
        <v/>
      </c>
      <c r="AK515" s="9" t="str">
        <f t="shared" ca="1" si="182"/>
        <v/>
      </c>
      <c r="AL515" s="9" t="str">
        <f t="shared" ca="1" si="183"/>
        <v/>
      </c>
      <c r="AM515" s="9" t="str">
        <f t="shared" ca="1" si="184"/>
        <v/>
      </c>
      <c r="AN515" s="9" t="str">
        <f t="shared" ca="1" si="185"/>
        <v/>
      </c>
      <c r="AO515" s="9" t="str">
        <f t="shared" ca="1" si="186"/>
        <v/>
      </c>
      <c r="AP515" s="9" t="str">
        <f t="shared" ca="1" si="187"/>
        <v/>
      </c>
      <c r="AQ515" s="9"/>
      <c r="AR515" s="9"/>
      <c r="AS515" s="9"/>
      <c r="AT515" s="9"/>
      <c r="AU515" s="9"/>
    </row>
    <row r="516" spans="1:47" x14ac:dyDescent="0.3">
      <c r="A516" s="1">
        <v>44209</v>
      </c>
      <c r="B516" s="6">
        <v>472.04998799999998</v>
      </c>
      <c r="C516" s="6">
        <v>257.14001500000001</v>
      </c>
      <c r="D516" s="6">
        <v>45.935001</v>
      </c>
      <c r="E516" s="6">
        <v>142.58999600000001</v>
      </c>
      <c r="F516" s="6">
        <v>97.080001999999993</v>
      </c>
      <c r="G516" s="6">
        <v>38.25</v>
      </c>
      <c r="H516" s="6">
        <v>127.120003</v>
      </c>
      <c r="I516" s="6">
        <v>171.58999600000001</v>
      </c>
      <c r="J516" s="6">
        <v>24.440000999999999</v>
      </c>
      <c r="K516" s="6">
        <v>36.689999</v>
      </c>
      <c r="N516" s="18">
        <v>512</v>
      </c>
      <c r="O516" s="1">
        <v>44209</v>
      </c>
      <c r="P516" s="5">
        <f t="shared" si="188"/>
        <v>8.4771438292466144E-4</v>
      </c>
      <c r="Q516" s="5">
        <f t="shared" si="189"/>
        <v>-5.5843315617469073E-3</v>
      </c>
      <c r="R516" s="5">
        <f t="shared" si="190"/>
        <v>-2.2813816300083264E-2</v>
      </c>
      <c r="S516" s="5">
        <f t="shared" si="191"/>
        <v>8.1685057036116285E-3</v>
      </c>
      <c r="T516" s="5">
        <f t="shared" si="192"/>
        <v>4.9566809454276838E-3</v>
      </c>
      <c r="U516" s="5">
        <f t="shared" si="193"/>
        <v>1.9002973770966134E-2</v>
      </c>
      <c r="V516" s="5">
        <f t="shared" si="194"/>
        <v>-1.932128438626109E-2</v>
      </c>
      <c r="W516" s="5">
        <f t="shared" si="195"/>
        <v>-1.5440521124234724E-2</v>
      </c>
      <c r="X516" s="5">
        <f t="shared" si="196"/>
        <v>-4.4906382874072307E-3</v>
      </c>
      <c r="Y516" s="5">
        <f t="shared" si="197"/>
        <v>3.8621275501168666E-2</v>
      </c>
      <c r="Z516" s="33">
        <v>512</v>
      </c>
      <c r="AE516" s="20" t="str">
        <f t="shared" si="198"/>
        <v/>
      </c>
      <c r="AF516" s="22" t="str">
        <f t="shared" si="199"/>
        <v/>
      </c>
      <c r="AG516" s="9" t="str">
        <f t="shared" ca="1" si="178"/>
        <v/>
      </c>
      <c r="AH516" s="9" t="str">
        <f t="shared" ca="1" si="179"/>
        <v/>
      </c>
      <c r="AI516" s="9" t="str">
        <f t="shared" ca="1" si="180"/>
        <v/>
      </c>
      <c r="AJ516" s="9" t="str">
        <f t="shared" ca="1" si="181"/>
        <v/>
      </c>
      <c r="AK516" s="9" t="str">
        <f t="shared" ca="1" si="182"/>
        <v/>
      </c>
      <c r="AL516" s="9" t="str">
        <f t="shared" ca="1" si="183"/>
        <v/>
      </c>
      <c r="AM516" s="9" t="str">
        <f t="shared" ca="1" si="184"/>
        <v/>
      </c>
      <c r="AN516" s="9" t="str">
        <f t="shared" ca="1" si="185"/>
        <v/>
      </c>
      <c r="AO516" s="9" t="str">
        <f t="shared" ca="1" si="186"/>
        <v/>
      </c>
      <c r="AP516" s="9" t="str">
        <f t="shared" ca="1" si="187"/>
        <v/>
      </c>
      <c r="AQ516" s="9"/>
      <c r="AR516" s="9"/>
      <c r="AS516" s="9"/>
      <c r="AT516" s="9"/>
      <c r="AU516" s="9"/>
    </row>
    <row r="517" spans="1:47" x14ac:dyDescent="0.3">
      <c r="A517" s="1">
        <v>44210</v>
      </c>
      <c r="B517" s="6">
        <v>463.26998900000001</v>
      </c>
      <c r="C517" s="6">
        <v>257.91000400000001</v>
      </c>
      <c r="D517" s="6">
        <v>45.68</v>
      </c>
      <c r="E517" s="6">
        <v>141.759995</v>
      </c>
      <c r="F517" s="6">
        <v>99.18</v>
      </c>
      <c r="G517" s="6">
        <v>38.729999999999997</v>
      </c>
      <c r="H517" s="6">
        <v>126.94000200000001</v>
      </c>
      <c r="I517" s="6">
        <v>170.10000600000001</v>
      </c>
      <c r="J517" s="6">
        <v>24.93</v>
      </c>
      <c r="K517" s="6">
        <v>37.25</v>
      </c>
      <c r="N517" s="19">
        <v>513</v>
      </c>
      <c r="O517" s="1">
        <v>44210</v>
      </c>
      <c r="P517" s="5">
        <f t="shared" si="188"/>
        <v>-1.8774873035614661E-2</v>
      </c>
      <c r="Q517" s="5">
        <f t="shared" si="189"/>
        <v>2.9899603736659166E-3</v>
      </c>
      <c r="R517" s="5">
        <f t="shared" si="190"/>
        <v>-5.5668101455669883E-3</v>
      </c>
      <c r="S517" s="5">
        <f t="shared" si="191"/>
        <v>-5.8378996556794982E-3</v>
      </c>
      <c r="T517" s="5">
        <f t="shared" si="192"/>
        <v>2.1400979601021889E-2</v>
      </c>
      <c r="U517" s="5">
        <f t="shared" si="193"/>
        <v>1.2470933254115892E-2</v>
      </c>
      <c r="V517" s="5">
        <f t="shared" si="194"/>
        <v>-1.4169961944094757E-3</v>
      </c>
      <c r="W517" s="5">
        <f t="shared" si="195"/>
        <v>-8.7213523109635777E-3</v>
      </c>
      <c r="X517" s="5">
        <f t="shared" si="196"/>
        <v>1.9850722315542458E-2</v>
      </c>
      <c r="Y517" s="5">
        <f t="shared" si="197"/>
        <v>1.5147733713761104E-2</v>
      </c>
      <c r="Z517" s="33">
        <v>513</v>
      </c>
      <c r="AE517" s="20" t="str">
        <f t="shared" si="198"/>
        <v/>
      </c>
      <c r="AF517" s="22" t="str">
        <f t="shared" si="199"/>
        <v/>
      </c>
      <c r="AG517" s="9" t="str">
        <f t="shared" ref="AG517:AG580" ca="1" si="200">IF($AE517="","",OFFSET(P$4,$AE517,0))</f>
        <v/>
      </c>
      <c r="AH517" s="9" t="str">
        <f t="shared" ref="AH517:AH580" ca="1" si="201">IF($AE517="","",OFFSET(Q$4,$AE517,0))</f>
        <v/>
      </c>
      <c r="AI517" s="9" t="str">
        <f t="shared" ref="AI517:AI580" ca="1" si="202">IF($AE517="","",OFFSET(R$4,$AE517,0))</f>
        <v/>
      </c>
      <c r="AJ517" s="9" t="str">
        <f t="shared" ref="AJ517:AJ580" ca="1" si="203">IF($AE517="","",OFFSET(S$4,$AE517,0))</f>
        <v/>
      </c>
      <c r="AK517" s="9" t="str">
        <f t="shared" ref="AK517:AK580" ca="1" si="204">IF($AE517="","",OFFSET(T$4,$AE517,0))</f>
        <v/>
      </c>
      <c r="AL517" s="9" t="str">
        <f t="shared" ref="AL517:AL580" ca="1" si="205">IF($AE517="","",OFFSET(U$4,$AE517,0))</f>
        <v/>
      </c>
      <c r="AM517" s="9" t="str">
        <f t="shared" ref="AM517:AM580" ca="1" si="206">IF($AE517="","",OFFSET(V$4,$AE517,0))</f>
        <v/>
      </c>
      <c r="AN517" s="9" t="str">
        <f t="shared" ref="AN517:AN580" ca="1" si="207">IF($AE517="","",OFFSET(W$4,$AE517,0))</f>
        <v/>
      </c>
      <c r="AO517" s="9" t="str">
        <f t="shared" ref="AO517:AO580" ca="1" si="208">IF($AE517="","",OFFSET(X$4,$AE517,0))</f>
        <v/>
      </c>
      <c r="AP517" s="9" t="str">
        <f t="shared" ref="AP517:AP580" ca="1" si="209">IF($AE517="","",OFFSET(Y$4,$AE517,0))</f>
        <v/>
      </c>
      <c r="AQ517" s="9"/>
      <c r="AR517" s="9"/>
      <c r="AS517" s="9"/>
      <c r="AT517" s="9"/>
      <c r="AU517" s="9"/>
    </row>
    <row r="518" spans="1:47" x14ac:dyDescent="0.3">
      <c r="A518" s="1">
        <v>44211</v>
      </c>
      <c r="B518" s="6">
        <v>458.07998700000002</v>
      </c>
      <c r="C518" s="6">
        <v>258.92001299999998</v>
      </c>
      <c r="D518" s="6">
        <v>45.825001</v>
      </c>
      <c r="E518" s="6">
        <v>141.38999899999999</v>
      </c>
      <c r="F518" s="6">
        <v>100.58000199999999</v>
      </c>
      <c r="G518" s="6">
        <v>39.419998</v>
      </c>
      <c r="H518" s="6">
        <v>125.379997</v>
      </c>
      <c r="I518" s="6">
        <v>168.570007</v>
      </c>
      <c r="J518" s="6">
        <v>24.940000999999999</v>
      </c>
      <c r="K518" s="6">
        <v>36.759998000000003</v>
      </c>
      <c r="N518" s="18">
        <v>514</v>
      </c>
      <c r="O518" s="1">
        <v>44211</v>
      </c>
      <c r="P518" s="5">
        <f t="shared" ref="P518:P581" si="210">LN(B518/B517)</f>
        <v>-1.1266200751392529E-2</v>
      </c>
      <c r="Q518" s="5">
        <f t="shared" ref="Q518:Q581" si="211">LN(C518/C517)</f>
        <v>3.9084815221181197E-3</v>
      </c>
      <c r="R518" s="5">
        <f t="shared" ref="R518:R581" si="212">LN(D518/D517)</f>
        <v>3.1692502001631228E-3</v>
      </c>
      <c r="S518" s="5">
        <f t="shared" ref="S518:S581" si="213">LN(E518/E517)</f>
        <v>-2.6134290547767895E-3</v>
      </c>
      <c r="T518" s="5">
        <f t="shared" ref="T518:T581" si="214">LN(F518/F517)</f>
        <v>1.4017069567499573E-2</v>
      </c>
      <c r="U518" s="5">
        <f t="shared" ref="U518:U581" si="215">LN(G518/G517)</f>
        <v>1.7658757462244937E-2</v>
      </c>
      <c r="V518" s="5">
        <f t="shared" ref="V518:V581" si="216">LN(H518/H517)</f>
        <v>-1.2365447715237963E-2</v>
      </c>
      <c r="W518" s="5">
        <f t="shared" ref="W518:W581" si="217">LN(I518/I517)</f>
        <v>-9.0353993571927489E-3</v>
      </c>
      <c r="X518" s="5">
        <f t="shared" ref="X518:X581" si="218">LN(J518/J517)</f>
        <v>4.0108281265401069E-4</v>
      </c>
      <c r="Y518" s="5">
        <f t="shared" ref="Y518:Y581" si="219">LN(K518/K517)</f>
        <v>-1.324170174504768E-2</v>
      </c>
      <c r="Z518" s="33">
        <v>514</v>
      </c>
      <c r="AE518" s="20" t="str">
        <f t="shared" ref="AE518:AE581" si="220">IF(AE517="","",IF(AE517+1&lt;=$AC$5,AE517+1,""))</f>
        <v/>
      </c>
      <c r="AF518" s="22" t="str">
        <f t="shared" ref="AF518:AF581" si="221">IF(AE518="","",VLOOKUP(AE518,N517:O1774,2))</f>
        <v/>
      </c>
      <c r="AG518" s="9" t="str">
        <f t="shared" ca="1" si="200"/>
        <v/>
      </c>
      <c r="AH518" s="9" t="str">
        <f t="shared" ca="1" si="201"/>
        <v/>
      </c>
      <c r="AI518" s="9" t="str">
        <f t="shared" ca="1" si="202"/>
        <v/>
      </c>
      <c r="AJ518" s="9" t="str">
        <f t="shared" ca="1" si="203"/>
        <v/>
      </c>
      <c r="AK518" s="9" t="str">
        <f t="shared" ca="1" si="204"/>
        <v/>
      </c>
      <c r="AL518" s="9" t="str">
        <f t="shared" ca="1" si="205"/>
        <v/>
      </c>
      <c r="AM518" s="9" t="str">
        <f t="shared" ca="1" si="206"/>
        <v/>
      </c>
      <c r="AN518" s="9" t="str">
        <f t="shared" ca="1" si="207"/>
        <v/>
      </c>
      <c r="AO518" s="9" t="str">
        <f t="shared" ca="1" si="208"/>
        <v/>
      </c>
      <c r="AP518" s="9" t="str">
        <f t="shared" ca="1" si="209"/>
        <v/>
      </c>
      <c r="AQ518" s="9"/>
      <c r="AR518" s="9"/>
      <c r="AS518" s="9"/>
      <c r="AT518" s="9"/>
      <c r="AU518" s="9"/>
    </row>
    <row r="519" spans="1:47" x14ac:dyDescent="0.3">
      <c r="A519" s="1">
        <v>44215</v>
      </c>
      <c r="B519" s="6">
        <v>456.5</v>
      </c>
      <c r="C519" s="6">
        <v>268.20001200000002</v>
      </c>
      <c r="D519" s="6">
        <v>45.040000999999997</v>
      </c>
      <c r="E519" s="6">
        <v>142.05999800000001</v>
      </c>
      <c r="F519" s="6">
        <v>99.82</v>
      </c>
      <c r="G519" s="6">
        <v>38.68</v>
      </c>
      <c r="H519" s="6">
        <v>125.510002</v>
      </c>
      <c r="I519" s="6">
        <v>172.470001</v>
      </c>
      <c r="J519" s="6">
        <v>24.93</v>
      </c>
      <c r="K519" s="6">
        <v>36.150002000000001</v>
      </c>
      <c r="N519" s="19">
        <v>515</v>
      </c>
      <c r="O519" s="1">
        <v>44215</v>
      </c>
      <c r="P519" s="5">
        <f t="shared" si="210"/>
        <v>-3.4551129354590425E-3</v>
      </c>
      <c r="Q519" s="5">
        <f t="shared" si="211"/>
        <v>3.5213831704439688E-2</v>
      </c>
      <c r="R519" s="5">
        <f t="shared" si="212"/>
        <v>-1.7278809513996705E-2</v>
      </c>
      <c r="S519" s="5">
        <f t="shared" si="213"/>
        <v>4.7274669599922988E-3</v>
      </c>
      <c r="T519" s="5">
        <f t="shared" si="214"/>
        <v>-7.5848865870242104E-3</v>
      </c>
      <c r="U519" s="5">
        <f t="shared" si="215"/>
        <v>-1.8950580403812072E-2</v>
      </c>
      <c r="V519" s="5">
        <f t="shared" si="216"/>
        <v>1.0363506887789246E-3</v>
      </c>
      <c r="W519" s="5">
        <f t="shared" si="217"/>
        <v>2.2872178783427788E-2</v>
      </c>
      <c r="X519" s="5">
        <f t="shared" si="218"/>
        <v>-4.0108281265394813E-4</v>
      </c>
      <c r="Y519" s="5">
        <f t="shared" si="219"/>
        <v>-1.6733239150714025E-2</v>
      </c>
      <c r="Z519" s="33">
        <v>515</v>
      </c>
      <c r="AE519" s="20" t="str">
        <f t="shared" si="220"/>
        <v/>
      </c>
      <c r="AF519" s="22" t="str">
        <f t="shared" si="221"/>
        <v/>
      </c>
      <c r="AG519" s="9" t="str">
        <f t="shared" ca="1" si="200"/>
        <v/>
      </c>
      <c r="AH519" s="9" t="str">
        <f t="shared" ca="1" si="201"/>
        <v/>
      </c>
      <c r="AI519" s="9" t="str">
        <f t="shared" ca="1" si="202"/>
        <v/>
      </c>
      <c r="AJ519" s="9" t="str">
        <f t="shared" ca="1" si="203"/>
        <v/>
      </c>
      <c r="AK519" s="9" t="str">
        <f t="shared" ca="1" si="204"/>
        <v/>
      </c>
      <c r="AL519" s="9" t="str">
        <f t="shared" ca="1" si="205"/>
        <v/>
      </c>
      <c r="AM519" s="9" t="str">
        <f t="shared" ca="1" si="206"/>
        <v/>
      </c>
      <c r="AN519" s="9" t="str">
        <f t="shared" ca="1" si="207"/>
        <v/>
      </c>
      <c r="AO519" s="9" t="str">
        <f t="shared" ca="1" si="208"/>
        <v/>
      </c>
      <c r="AP519" s="9" t="str">
        <f t="shared" ca="1" si="209"/>
        <v/>
      </c>
      <c r="AQ519" s="9"/>
      <c r="AR519" s="9"/>
      <c r="AS519" s="9"/>
      <c r="AT519" s="9"/>
      <c r="AU519" s="9"/>
    </row>
    <row r="520" spans="1:47" x14ac:dyDescent="0.3">
      <c r="A520" s="1">
        <v>44216</v>
      </c>
      <c r="B520" s="6">
        <v>469.73001099999999</v>
      </c>
      <c r="C520" s="6">
        <v>273.42999300000002</v>
      </c>
      <c r="D520" s="6">
        <v>44.805</v>
      </c>
      <c r="E520" s="6">
        <v>141.33000200000001</v>
      </c>
      <c r="F520" s="6">
        <v>102.639999</v>
      </c>
      <c r="G520" s="6">
        <v>39.470001000000003</v>
      </c>
      <c r="H520" s="6">
        <v>126.010002</v>
      </c>
      <c r="I520" s="6">
        <v>175.490005</v>
      </c>
      <c r="J520" s="6">
        <v>24.68</v>
      </c>
      <c r="K520" s="6">
        <v>36.439999</v>
      </c>
      <c r="N520" s="18">
        <v>516</v>
      </c>
      <c r="O520" s="1">
        <v>44216</v>
      </c>
      <c r="P520" s="5">
        <f t="shared" si="210"/>
        <v>2.8569384931670851E-2</v>
      </c>
      <c r="Q520" s="5">
        <f t="shared" si="211"/>
        <v>1.93126064133258E-2</v>
      </c>
      <c r="R520" s="5">
        <f t="shared" si="212"/>
        <v>-5.2312656977384926E-3</v>
      </c>
      <c r="S520" s="5">
        <f t="shared" si="213"/>
        <v>-5.1518939597689183E-3</v>
      </c>
      <c r="T520" s="5">
        <f t="shared" si="214"/>
        <v>2.7859146523127588E-2</v>
      </c>
      <c r="U520" s="5">
        <f t="shared" si="215"/>
        <v>2.0218244425359959E-2</v>
      </c>
      <c r="V520" s="5">
        <f t="shared" si="216"/>
        <v>3.9758321460179376E-3</v>
      </c>
      <c r="W520" s="5">
        <f t="shared" si="217"/>
        <v>1.7358775615747741E-2</v>
      </c>
      <c r="X520" s="5">
        <f t="shared" si="218"/>
        <v>-1.0078698498279394E-2</v>
      </c>
      <c r="Y520" s="5">
        <f t="shared" si="219"/>
        <v>7.9900410195794646E-3</v>
      </c>
      <c r="Z520" s="33">
        <v>516</v>
      </c>
      <c r="AE520" s="20" t="str">
        <f t="shared" si="220"/>
        <v/>
      </c>
      <c r="AF520" s="22" t="str">
        <f t="shared" si="221"/>
        <v/>
      </c>
      <c r="AG520" s="9" t="str">
        <f t="shared" ca="1" si="200"/>
        <v/>
      </c>
      <c r="AH520" s="9" t="str">
        <f t="shared" ca="1" si="201"/>
        <v/>
      </c>
      <c r="AI520" s="9" t="str">
        <f t="shared" ca="1" si="202"/>
        <v/>
      </c>
      <c r="AJ520" s="9" t="str">
        <f t="shared" ca="1" si="203"/>
        <v/>
      </c>
      <c r="AK520" s="9" t="str">
        <f t="shared" ca="1" si="204"/>
        <v/>
      </c>
      <c r="AL520" s="9" t="str">
        <f t="shared" ca="1" si="205"/>
        <v/>
      </c>
      <c r="AM520" s="9" t="str">
        <f t="shared" ca="1" si="206"/>
        <v/>
      </c>
      <c r="AN520" s="9" t="str">
        <f t="shared" ca="1" si="207"/>
        <v/>
      </c>
      <c r="AO520" s="9" t="str">
        <f t="shared" ca="1" si="208"/>
        <v/>
      </c>
      <c r="AP520" s="9" t="str">
        <f t="shared" ca="1" si="209"/>
        <v/>
      </c>
      <c r="AQ520" s="9"/>
      <c r="AR520" s="9"/>
      <c r="AS520" s="9"/>
      <c r="AT520" s="9"/>
      <c r="AU520" s="9"/>
    </row>
    <row r="521" spans="1:47" x14ac:dyDescent="0.3">
      <c r="A521" s="1">
        <v>44217</v>
      </c>
      <c r="B521" s="6">
        <v>472.01998900000001</v>
      </c>
      <c r="C521" s="6">
        <v>272.86999500000002</v>
      </c>
      <c r="D521" s="6">
        <v>44.599997999999999</v>
      </c>
      <c r="E521" s="6">
        <v>139.61000100000001</v>
      </c>
      <c r="F521" s="6">
        <v>102.57</v>
      </c>
      <c r="G521" s="6">
        <v>39.270000000000003</v>
      </c>
      <c r="H521" s="6">
        <v>124.980003</v>
      </c>
      <c r="I521" s="6">
        <v>176.11000100000001</v>
      </c>
      <c r="J521" s="6">
        <v>24.68</v>
      </c>
      <c r="K521" s="6">
        <v>36.880001</v>
      </c>
      <c r="N521" s="19">
        <v>517</v>
      </c>
      <c r="O521" s="1">
        <v>44217</v>
      </c>
      <c r="P521" s="5">
        <f t="shared" si="210"/>
        <v>4.8632492984146724E-3</v>
      </c>
      <c r="Q521" s="5">
        <f t="shared" si="211"/>
        <v>-2.0501490332981262E-3</v>
      </c>
      <c r="R521" s="5">
        <f t="shared" si="212"/>
        <v>-4.5859261532147349E-3</v>
      </c>
      <c r="S521" s="5">
        <f t="shared" si="213"/>
        <v>-1.2244767367969213E-2</v>
      </c>
      <c r="T521" s="5">
        <f t="shared" si="214"/>
        <v>-6.8221824527105234E-4</v>
      </c>
      <c r="U521" s="5">
        <f t="shared" si="215"/>
        <v>-5.0800464205352138E-3</v>
      </c>
      <c r="V521" s="5">
        <f t="shared" si="216"/>
        <v>-8.207536248581962E-3</v>
      </c>
      <c r="W521" s="5">
        <f t="shared" si="217"/>
        <v>3.5267157680963293E-3</v>
      </c>
      <c r="X521" s="5">
        <f t="shared" si="218"/>
        <v>0</v>
      </c>
      <c r="Y521" s="5">
        <f t="shared" si="219"/>
        <v>1.2002380853973963E-2</v>
      </c>
      <c r="Z521" s="33">
        <v>517</v>
      </c>
      <c r="AE521" s="20" t="str">
        <f t="shared" si="220"/>
        <v/>
      </c>
      <c r="AF521" s="22" t="str">
        <f t="shared" si="221"/>
        <v/>
      </c>
      <c r="AG521" s="9" t="str">
        <f t="shared" ca="1" si="200"/>
        <v/>
      </c>
      <c r="AH521" s="9" t="str">
        <f t="shared" ca="1" si="201"/>
        <v/>
      </c>
      <c r="AI521" s="9" t="str">
        <f t="shared" ca="1" si="202"/>
        <v/>
      </c>
      <c r="AJ521" s="9" t="str">
        <f t="shared" ca="1" si="203"/>
        <v/>
      </c>
      <c r="AK521" s="9" t="str">
        <f t="shared" ca="1" si="204"/>
        <v/>
      </c>
      <c r="AL521" s="9" t="str">
        <f t="shared" ca="1" si="205"/>
        <v/>
      </c>
      <c r="AM521" s="9" t="str">
        <f t="shared" ca="1" si="206"/>
        <v/>
      </c>
      <c r="AN521" s="9" t="str">
        <f t="shared" ca="1" si="207"/>
        <v/>
      </c>
      <c r="AO521" s="9" t="str">
        <f t="shared" ca="1" si="208"/>
        <v/>
      </c>
      <c r="AP521" s="9" t="str">
        <f t="shared" ca="1" si="209"/>
        <v/>
      </c>
      <c r="AQ521" s="9"/>
      <c r="AR521" s="9"/>
      <c r="AS521" s="9"/>
      <c r="AT521" s="9"/>
      <c r="AU521" s="9"/>
    </row>
    <row r="522" spans="1:47" x14ac:dyDescent="0.3">
      <c r="A522" s="1">
        <v>44218</v>
      </c>
      <c r="B522" s="6">
        <v>472.44000199999999</v>
      </c>
      <c r="C522" s="6">
        <v>270.14001500000001</v>
      </c>
      <c r="D522" s="6">
        <v>44.099997999999999</v>
      </c>
      <c r="E522" s="6">
        <v>138.58999600000001</v>
      </c>
      <c r="F522" s="6">
        <v>102.550003</v>
      </c>
      <c r="G522" s="6">
        <v>39.110000999999997</v>
      </c>
      <c r="H522" s="6">
        <v>125.32</v>
      </c>
      <c r="I522" s="6">
        <v>177.979996</v>
      </c>
      <c r="J522" s="6">
        <v>24.58</v>
      </c>
      <c r="K522" s="6">
        <v>37.490001999999997</v>
      </c>
      <c r="N522" s="18">
        <v>518</v>
      </c>
      <c r="O522" s="1">
        <v>44218</v>
      </c>
      <c r="P522" s="5">
        <f t="shared" si="210"/>
        <v>8.8942471187971521E-4</v>
      </c>
      <c r="Q522" s="5">
        <f t="shared" si="211"/>
        <v>-1.0055074310953888E-2</v>
      </c>
      <c r="R522" s="5">
        <f t="shared" si="212"/>
        <v>-1.1274077081642686E-2</v>
      </c>
      <c r="S522" s="5">
        <f t="shared" si="213"/>
        <v>-7.3329229447677497E-3</v>
      </c>
      <c r="T522" s="5">
        <f t="shared" si="214"/>
        <v>-1.9497854690793306E-4</v>
      </c>
      <c r="U522" s="5">
        <f t="shared" si="215"/>
        <v>-4.0826542535877617E-3</v>
      </c>
      <c r="V522" s="5">
        <f t="shared" si="216"/>
        <v>2.7167175792149664E-3</v>
      </c>
      <c r="W522" s="5">
        <f t="shared" si="217"/>
        <v>1.0562356469017485E-2</v>
      </c>
      <c r="X522" s="5">
        <f t="shared" si="218"/>
        <v>-4.0600948992983487E-3</v>
      </c>
      <c r="Y522" s="5">
        <f t="shared" si="219"/>
        <v>1.640485829201838E-2</v>
      </c>
      <c r="Z522" s="33">
        <v>518</v>
      </c>
      <c r="AE522" s="20" t="str">
        <f t="shared" si="220"/>
        <v/>
      </c>
      <c r="AF522" s="22" t="str">
        <f t="shared" si="221"/>
        <v/>
      </c>
      <c r="AG522" s="9" t="str">
        <f t="shared" ca="1" si="200"/>
        <v/>
      </c>
      <c r="AH522" s="9" t="str">
        <f t="shared" ca="1" si="201"/>
        <v/>
      </c>
      <c r="AI522" s="9" t="str">
        <f t="shared" ca="1" si="202"/>
        <v/>
      </c>
      <c r="AJ522" s="9" t="str">
        <f t="shared" ca="1" si="203"/>
        <v/>
      </c>
      <c r="AK522" s="9" t="str">
        <f t="shared" ca="1" si="204"/>
        <v/>
      </c>
      <c r="AL522" s="9" t="str">
        <f t="shared" ca="1" si="205"/>
        <v/>
      </c>
      <c r="AM522" s="9" t="str">
        <f t="shared" ca="1" si="206"/>
        <v/>
      </c>
      <c r="AN522" s="9" t="str">
        <f t="shared" ca="1" si="207"/>
        <v/>
      </c>
      <c r="AO522" s="9" t="str">
        <f t="shared" ca="1" si="208"/>
        <v/>
      </c>
      <c r="AP522" s="9" t="str">
        <f t="shared" ca="1" si="209"/>
        <v/>
      </c>
      <c r="AQ522" s="9"/>
      <c r="AR522" s="9"/>
      <c r="AS522" s="9"/>
      <c r="AT522" s="9"/>
      <c r="AU522" s="9"/>
    </row>
    <row r="523" spans="1:47" x14ac:dyDescent="0.3">
      <c r="A523" s="1">
        <v>44221</v>
      </c>
      <c r="B523" s="6">
        <v>473.44000199999999</v>
      </c>
      <c r="C523" s="6">
        <v>269.63000499999998</v>
      </c>
      <c r="D523" s="6">
        <v>44.23</v>
      </c>
      <c r="E523" s="6">
        <v>140.179993</v>
      </c>
      <c r="F523" s="6">
        <v>102.709999</v>
      </c>
      <c r="G523" s="6">
        <v>39.009998000000003</v>
      </c>
      <c r="H523" s="6">
        <v>125.07</v>
      </c>
      <c r="I523" s="6">
        <v>179.270004</v>
      </c>
      <c r="J523" s="6">
        <v>24.66</v>
      </c>
      <c r="K523" s="6">
        <v>39</v>
      </c>
      <c r="N523" s="19">
        <v>519</v>
      </c>
      <c r="O523" s="1">
        <v>44221</v>
      </c>
      <c r="P523" s="5">
        <f t="shared" si="210"/>
        <v>2.1144338993113526E-3</v>
      </c>
      <c r="Q523" s="5">
        <f t="shared" si="211"/>
        <v>-1.8897313036173179E-3</v>
      </c>
      <c r="R523" s="5">
        <f t="shared" si="212"/>
        <v>2.9435547789099484E-3</v>
      </c>
      <c r="S523" s="5">
        <f t="shared" si="213"/>
        <v>1.1407355917780949E-2</v>
      </c>
      <c r="T523" s="5">
        <f t="shared" si="214"/>
        <v>1.5589596691509002E-3</v>
      </c>
      <c r="U523" s="5">
        <f t="shared" si="215"/>
        <v>-2.5602420866720427E-3</v>
      </c>
      <c r="V523" s="5">
        <f t="shared" si="216"/>
        <v>-1.99688552317576E-3</v>
      </c>
      <c r="W523" s="5">
        <f t="shared" si="217"/>
        <v>7.2219096251789575E-3</v>
      </c>
      <c r="X523" s="5">
        <f t="shared" si="218"/>
        <v>3.2493935983096112E-3</v>
      </c>
      <c r="Y523" s="5">
        <f t="shared" si="219"/>
        <v>3.9487362034268003E-2</v>
      </c>
      <c r="Z523" s="33">
        <v>519</v>
      </c>
      <c r="AE523" s="20" t="str">
        <f t="shared" si="220"/>
        <v/>
      </c>
      <c r="AF523" s="22" t="str">
        <f t="shared" si="221"/>
        <v/>
      </c>
      <c r="AG523" s="9" t="str">
        <f t="shared" ca="1" si="200"/>
        <v/>
      </c>
      <c r="AH523" s="9" t="str">
        <f t="shared" ca="1" si="201"/>
        <v/>
      </c>
      <c r="AI523" s="9" t="str">
        <f t="shared" ca="1" si="202"/>
        <v/>
      </c>
      <c r="AJ523" s="9" t="str">
        <f t="shared" ca="1" si="203"/>
        <v/>
      </c>
      <c r="AK523" s="9" t="str">
        <f t="shared" ca="1" si="204"/>
        <v/>
      </c>
      <c r="AL523" s="9" t="str">
        <f t="shared" ca="1" si="205"/>
        <v/>
      </c>
      <c r="AM523" s="9" t="str">
        <f t="shared" ca="1" si="206"/>
        <v/>
      </c>
      <c r="AN523" s="9" t="str">
        <f t="shared" ca="1" si="207"/>
        <v/>
      </c>
      <c r="AO523" s="9" t="str">
        <f t="shared" ca="1" si="208"/>
        <v/>
      </c>
      <c r="AP523" s="9" t="str">
        <f t="shared" ca="1" si="209"/>
        <v/>
      </c>
      <c r="AQ523" s="9"/>
      <c r="AR523" s="9"/>
      <c r="AS523" s="9"/>
      <c r="AT523" s="9"/>
      <c r="AU523" s="9"/>
    </row>
    <row r="524" spans="1:47" x14ac:dyDescent="0.3">
      <c r="A524" s="1">
        <v>44222</v>
      </c>
      <c r="B524" s="6">
        <v>476.27999899999998</v>
      </c>
      <c r="C524" s="6">
        <v>266.08999599999999</v>
      </c>
      <c r="D524" s="6">
        <v>44.400002000000001</v>
      </c>
      <c r="E524" s="6">
        <v>141.800003</v>
      </c>
      <c r="F524" s="6">
        <v>103.599998</v>
      </c>
      <c r="G524" s="6">
        <v>39.209999000000003</v>
      </c>
      <c r="H524" s="6">
        <v>124.25</v>
      </c>
      <c r="I524" s="6">
        <v>179.679993</v>
      </c>
      <c r="J524" s="6">
        <v>25.209999</v>
      </c>
      <c r="K524" s="6">
        <v>40.720001000000003</v>
      </c>
      <c r="N524" s="18">
        <v>520</v>
      </c>
      <c r="O524" s="1">
        <v>44222</v>
      </c>
      <c r="P524" s="5">
        <f t="shared" si="210"/>
        <v>5.9807216070692695E-3</v>
      </c>
      <c r="Q524" s="5">
        <f t="shared" si="211"/>
        <v>-1.3216084967964699E-2</v>
      </c>
      <c r="R524" s="5">
        <f t="shared" si="212"/>
        <v>3.8362226029877923E-3</v>
      </c>
      <c r="S524" s="5">
        <f t="shared" si="213"/>
        <v>1.1490374118204777E-2</v>
      </c>
      <c r="T524" s="5">
        <f t="shared" si="214"/>
        <v>8.6278370788005262E-3</v>
      </c>
      <c r="U524" s="5">
        <f t="shared" si="215"/>
        <v>5.1138185508835159E-3</v>
      </c>
      <c r="V524" s="5">
        <f t="shared" si="216"/>
        <v>-6.5779155840770785E-3</v>
      </c>
      <c r="W524" s="5">
        <f t="shared" si="217"/>
        <v>2.2843804525247997E-3</v>
      </c>
      <c r="X524" s="5">
        <f t="shared" si="218"/>
        <v>2.2058203796830451E-2</v>
      </c>
      <c r="Y524" s="5">
        <f t="shared" si="219"/>
        <v>4.3157750670577429E-2</v>
      </c>
      <c r="Z524" s="33">
        <v>520</v>
      </c>
      <c r="AE524" s="20" t="str">
        <f t="shared" si="220"/>
        <v/>
      </c>
      <c r="AF524" s="22" t="str">
        <f t="shared" si="221"/>
        <v/>
      </c>
      <c r="AG524" s="9" t="str">
        <f t="shared" ca="1" si="200"/>
        <v/>
      </c>
      <c r="AH524" s="9" t="str">
        <f t="shared" ca="1" si="201"/>
        <v/>
      </c>
      <c r="AI524" s="9" t="str">
        <f t="shared" ca="1" si="202"/>
        <v/>
      </c>
      <c r="AJ524" s="9" t="str">
        <f t="shared" ca="1" si="203"/>
        <v/>
      </c>
      <c r="AK524" s="9" t="str">
        <f t="shared" ca="1" si="204"/>
        <v/>
      </c>
      <c r="AL524" s="9" t="str">
        <f t="shared" ca="1" si="205"/>
        <v/>
      </c>
      <c r="AM524" s="9" t="str">
        <f t="shared" ca="1" si="206"/>
        <v/>
      </c>
      <c r="AN524" s="9" t="str">
        <f t="shared" ca="1" si="207"/>
        <v/>
      </c>
      <c r="AO524" s="9" t="str">
        <f t="shared" ca="1" si="208"/>
        <v/>
      </c>
      <c r="AP524" s="9" t="str">
        <f t="shared" ca="1" si="209"/>
        <v/>
      </c>
      <c r="AQ524" s="9"/>
      <c r="AR524" s="9"/>
      <c r="AS524" s="9"/>
      <c r="AT524" s="9"/>
      <c r="AU524" s="9"/>
    </row>
    <row r="525" spans="1:47" x14ac:dyDescent="0.3">
      <c r="A525" s="1">
        <v>44223</v>
      </c>
      <c r="B525" s="6">
        <v>460</v>
      </c>
      <c r="C525" s="6">
        <v>254.529999</v>
      </c>
      <c r="D525" s="6">
        <v>42.965000000000003</v>
      </c>
      <c r="E525" s="6">
        <v>138.03999300000001</v>
      </c>
      <c r="F525" s="6">
        <v>101.599998</v>
      </c>
      <c r="G525" s="6">
        <v>38.159999999999997</v>
      </c>
      <c r="H525" s="6">
        <v>118.94000200000001</v>
      </c>
      <c r="I525" s="6">
        <v>187.60000600000001</v>
      </c>
      <c r="J525" s="6">
        <v>24.68</v>
      </c>
      <c r="K525" s="6">
        <v>43.869999</v>
      </c>
      <c r="N525" s="19">
        <v>521</v>
      </c>
      <c r="O525" s="1">
        <v>44223</v>
      </c>
      <c r="P525" s="5">
        <f t="shared" si="210"/>
        <v>-3.4779425000228285E-2</v>
      </c>
      <c r="Q525" s="5">
        <f t="shared" si="211"/>
        <v>-4.4415879080584801E-2</v>
      </c>
      <c r="R525" s="5">
        <f t="shared" si="212"/>
        <v>-3.2853683718036639E-2</v>
      </c>
      <c r="S525" s="5">
        <f t="shared" si="213"/>
        <v>-2.6874187734723193E-2</v>
      </c>
      <c r="T525" s="5">
        <f t="shared" si="214"/>
        <v>-1.9493795061021196E-2</v>
      </c>
      <c r="U525" s="5">
        <f t="shared" si="215"/>
        <v>-2.7143944220456333E-2</v>
      </c>
      <c r="V525" s="5">
        <f t="shared" si="216"/>
        <v>-4.3676483883089603E-2</v>
      </c>
      <c r="W525" s="5">
        <f t="shared" si="217"/>
        <v>4.313461652308178E-2</v>
      </c>
      <c r="X525" s="5">
        <f t="shared" si="218"/>
        <v>-2.1247502495841751E-2</v>
      </c>
      <c r="Y525" s="5">
        <f t="shared" si="219"/>
        <v>7.4511295583277945E-2</v>
      </c>
      <c r="Z525" s="33">
        <v>521</v>
      </c>
      <c r="AE525" s="20" t="str">
        <f t="shared" si="220"/>
        <v/>
      </c>
      <c r="AF525" s="22" t="str">
        <f t="shared" si="221"/>
        <v/>
      </c>
      <c r="AG525" s="9" t="str">
        <f t="shared" ca="1" si="200"/>
        <v/>
      </c>
      <c r="AH525" s="9" t="str">
        <f t="shared" ca="1" si="201"/>
        <v/>
      </c>
      <c r="AI525" s="9" t="str">
        <f t="shared" ca="1" si="202"/>
        <v/>
      </c>
      <c r="AJ525" s="9" t="str">
        <f t="shared" ca="1" si="203"/>
        <v/>
      </c>
      <c r="AK525" s="9" t="str">
        <f t="shared" ca="1" si="204"/>
        <v/>
      </c>
      <c r="AL525" s="9" t="str">
        <f t="shared" ca="1" si="205"/>
        <v/>
      </c>
      <c r="AM525" s="9" t="str">
        <f t="shared" ca="1" si="206"/>
        <v/>
      </c>
      <c r="AN525" s="9" t="str">
        <f t="shared" ca="1" si="207"/>
        <v/>
      </c>
      <c r="AO525" s="9" t="str">
        <f t="shared" ca="1" si="208"/>
        <v/>
      </c>
      <c r="AP525" s="9" t="str">
        <f t="shared" ca="1" si="209"/>
        <v/>
      </c>
      <c r="AQ525" s="9"/>
      <c r="AR525" s="9"/>
      <c r="AS525" s="9"/>
      <c r="AT525" s="9"/>
      <c r="AU525" s="9"/>
    </row>
    <row r="526" spans="1:47" x14ac:dyDescent="0.3">
      <c r="A526" s="1">
        <v>44224</v>
      </c>
      <c r="B526" s="6">
        <v>465.67001299999998</v>
      </c>
      <c r="C526" s="6">
        <v>259.16000400000001</v>
      </c>
      <c r="D526" s="6">
        <v>44.365001999999997</v>
      </c>
      <c r="E526" s="6">
        <v>139.19000199999999</v>
      </c>
      <c r="F526" s="6">
        <v>102.779999</v>
      </c>
      <c r="G526" s="6">
        <v>38.919998</v>
      </c>
      <c r="H526" s="6">
        <v>118</v>
      </c>
      <c r="I526" s="6">
        <v>182.449997</v>
      </c>
      <c r="J526" s="6">
        <v>24.620000999999998</v>
      </c>
      <c r="K526" s="6">
        <v>41.02</v>
      </c>
      <c r="N526" s="18">
        <v>522</v>
      </c>
      <c r="O526" s="1">
        <v>44224</v>
      </c>
      <c r="P526" s="5">
        <f t="shared" si="210"/>
        <v>1.2250767192990892E-2</v>
      </c>
      <c r="Q526" s="5">
        <f t="shared" si="211"/>
        <v>1.8026943709023417E-2</v>
      </c>
      <c r="R526" s="5">
        <f t="shared" si="212"/>
        <v>3.2065084602695047E-2</v>
      </c>
      <c r="S526" s="5">
        <f t="shared" si="213"/>
        <v>8.2964730882950002E-3</v>
      </c>
      <c r="T526" s="5">
        <f t="shared" si="214"/>
        <v>1.1547256375222201E-2</v>
      </c>
      <c r="U526" s="5">
        <f t="shared" si="215"/>
        <v>1.9720359350255786E-2</v>
      </c>
      <c r="V526" s="5">
        <f t="shared" si="216"/>
        <v>-7.9345566279837437E-3</v>
      </c>
      <c r="W526" s="5">
        <f t="shared" si="217"/>
        <v>-2.7835922115470847E-2</v>
      </c>
      <c r="X526" s="5">
        <f t="shared" si="218"/>
        <v>-2.4340376634962432E-3</v>
      </c>
      <c r="Y526" s="5">
        <f t="shared" si="219"/>
        <v>-6.7170939739267271E-2</v>
      </c>
      <c r="Z526" s="33">
        <v>522</v>
      </c>
      <c r="AE526" s="20" t="str">
        <f t="shared" si="220"/>
        <v/>
      </c>
      <c r="AF526" s="22" t="str">
        <f t="shared" si="221"/>
        <v/>
      </c>
      <c r="AG526" s="9" t="str">
        <f t="shared" ca="1" si="200"/>
        <v/>
      </c>
      <c r="AH526" s="9" t="str">
        <f t="shared" ca="1" si="201"/>
        <v/>
      </c>
      <c r="AI526" s="9" t="str">
        <f t="shared" ca="1" si="202"/>
        <v/>
      </c>
      <c r="AJ526" s="9" t="str">
        <f t="shared" ca="1" si="203"/>
        <v/>
      </c>
      <c r="AK526" s="9" t="str">
        <f t="shared" ca="1" si="204"/>
        <v/>
      </c>
      <c r="AL526" s="9" t="str">
        <f t="shared" ca="1" si="205"/>
        <v/>
      </c>
      <c r="AM526" s="9" t="str">
        <f t="shared" ca="1" si="206"/>
        <v/>
      </c>
      <c r="AN526" s="9" t="str">
        <f t="shared" ca="1" si="207"/>
        <v/>
      </c>
      <c r="AO526" s="9" t="str">
        <f t="shared" ca="1" si="208"/>
        <v/>
      </c>
      <c r="AP526" s="9" t="str">
        <f t="shared" ca="1" si="209"/>
        <v/>
      </c>
      <c r="AQ526" s="9"/>
      <c r="AR526" s="9"/>
      <c r="AS526" s="9"/>
      <c r="AT526" s="9"/>
      <c r="AU526" s="9"/>
    </row>
    <row r="527" spans="1:47" x14ac:dyDescent="0.3">
      <c r="A527" s="1">
        <v>44225</v>
      </c>
      <c r="B527" s="6">
        <v>458.76998900000001</v>
      </c>
      <c r="C527" s="6">
        <v>255.449997</v>
      </c>
      <c r="D527" s="6">
        <v>43.415000999999997</v>
      </c>
      <c r="E527" s="6">
        <v>136.570007</v>
      </c>
      <c r="F527" s="6">
        <v>102.150002</v>
      </c>
      <c r="G527" s="6">
        <v>38.450001</v>
      </c>
      <c r="H527" s="6">
        <v>116.489998</v>
      </c>
      <c r="I527" s="6">
        <v>179.990005</v>
      </c>
      <c r="J527" s="6">
        <v>24.07</v>
      </c>
      <c r="K527" s="6">
        <v>41.419998</v>
      </c>
      <c r="N527" s="19">
        <v>523</v>
      </c>
      <c r="O527" s="1">
        <v>44225</v>
      </c>
      <c r="P527" s="5">
        <f t="shared" si="210"/>
        <v>-1.4928285504572701E-2</v>
      </c>
      <c r="Q527" s="5">
        <f t="shared" si="211"/>
        <v>-1.4418962983411358E-2</v>
      </c>
      <c r="R527" s="5">
        <f t="shared" si="212"/>
        <v>-2.1645888821759652E-2</v>
      </c>
      <c r="S527" s="5">
        <f t="shared" si="213"/>
        <v>-1.900256566205924E-2</v>
      </c>
      <c r="T527" s="5">
        <f t="shared" si="214"/>
        <v>-6.1484309918828839E-3</v>
      </c>
      <c r="U527" s="5">
        <f t="shared" si="215"/>
        <v>-1.2149483970886565E-2</v>
      </c>
      <c r="V527" s="5">
        <f t="shared" si="216"/>
        <v>-1.2879209222834944E-2</v>
      </c>
      <c r="W527" s="5">
        <f t="shared" si="217"/>
        <v>-1.3574824868886941E-2</v>
      </c>
      <c r="X527" s="5">
        <f t="shared" si="218"/>
        <v>-2.2592909578710182E-2</v>
      </c>
      <c r="Y527" s="5">
        <f t="shared" si="219"/>
        <v>9.704055037350133E-3</v>
      </c>
      <c r="Z527" s="33">
        <v>523</v>
      </c>
      <c r="AE527" s="20" t="str">
        <f t="shared" si="220"/>
        <v/>
      </c>
      <c r="AF527" s="22" t="str">
        <f t="shared" si="221"/>
        <v/>
      </c>
      <c r="AG527" s="9" t="str">
        <f t="shared" ca="1" si="200"/>
        <v/>
      </c>
      <c r="AH527" s="9" t="str">
        <f t="shared" ca="1" si="201"/>
        <v/>
      </c>
      <c r="AI527" s="9" t="str">
        <f t="shared" ca="1" si="202"/>
        <v/>
      </c>
      <c r="AJ527" s="9" t="str">
        <f t="shared" ca="1" si="203"/>
        <v/>
      </c>
      <c r="AK527" s="9" t="str">
        <f t="shared" ca="1" si="204"/>
        <v/>
      </c>
      <c r="AL527" s="9" t="str">
        <f t="shared" ca="1" si="205"/>
        <v/>
      </c>
      <c r="AM527" s="9" t="str">
        <f t="shared" ca="1" si="206"/>
        <v/>
      </c>
      <c r="AN527" s="9" t="str">
        <f t="shared" ca="1" si="207"/>
        <v/>
      </c>
      <c r="AO527" s="9" t="str">
        <f t="shared" ca="1" si="208"/>
        <v/>
      </c>
      <c r="AP527" s="9" t="str">
        <f t="shared" ca="1" si="209"/>
        <v/>
      </c>
      <c r="AQ527" s="9"/>
      <c r="AR527" s="9"/>
      <c r="AS527" s="9"/>
      <c r="AT527" s="9"/>
      <c r="AU527" s="9"/>
    </row>
    <row r="528" spans="1:47" x14ac:dyDescent="0.3">
      <c r="A528" s="1">
        <v>44228</v>
      </c>
      <c r="B528" s="6">
        <v>470</v>
      </c>
      <c r="C528" s="6">
        <v>263.57000699999998</v>
      </c>
      <c r="D528" s="6">
        <v>44.125</v>
      </c>
      <c r="E528" s="6">
        <v>136.979996</v>
      </c>
      <c r="F528" s="6">
        <v>104.889999</v>
      </c>
      <c r="G528" s="6">
        <v>38.759998000000003</v>
      </c>
      <c r="H528" s="6">
        <v>117.58000199999999</v>
      </c>
      <c r="I528" s="6">
        <v>185.220001</v>
      </c>
      <c r="J528" s="6">
        <v>24.82</v>
      </c>
      <c r="K528" s="6">
        <v>42.119999</v>
      </c>
      <c r="N528" s="18">
        <v>524</v>
      </c>
      <c r="O528" s="1">
        <v>44228</v>
      </c>
      <c r="P528" s="5">
        <f t="shared" si="210"/>
        <v>2.4183723532545477E-2</v>
      </c>
      <c r="Q528" s="5">
        <f t="shared" si="211"/>
        <v>3.1292329876008627E-2</v>
      </c>
      <c r="R528" s="5">
        <f t="shared" si="212"/>
        <v>1.6221488707338933E-2</v>
      </c>
      <c r="S528" s="5">
        <f t="shared" si="213"/>
        <v>2.9975456223172775E-3</v>
      </c>
      <c r="T528" s="5">
        <f t="shared" si="214"/>
        <v>2.6469831597033873E-2</v>
      </c>
      <c r="U528" s="5">
        <f t="shared" si="215"/>
        <v>8.0300134635221329E-3</v>
      </c>
      <c r="V528" s="5">
        <f t="shared" si="216"/>
        <v>9.3135547409743911E-3</v>
      </c>
      <c r="W528" s="5">
        <f t="shared" si="217"/>
        <v>2.8642991570399408E-2</v>
      </c>
      <c r="X528" s="5">
        <f t="shared" si="218"/>
        <v>3.0683527981480541E-2</v>
      </c>
      <c r="Y528" s="5">
        <f t="shared" si="219"/>
        <v>1.6758855842499362E-2</v>
      </c>
      <c r="Z528" s="33">
        <v>524</v>
      </c>
      <c r="AE528" s="20" t="str">
        <f t="shared" si="220"/>
        <v/>
      </c>
      <c r="AF528" s="22" t="str">
        <f t="shared" si="221"/>
        <v/>
      </c>
      <c r="AG528" s="9" t="str">
        <f t="shared" ca="1" si="200"/>
        <v/>
      </c>
      <c r="AH528" s="9" t="str">
        <f t="shared" ca="1" si="201"/>
        <v/>
      </c>
      <c r="AI528" s="9" t="str">
        <f t="shared" ca="1" si="202"/>
        <v/>
      </c>
      <c r="AJ528" s="9" t="str">
        <f t="shared" ca="1" si="203"/>
        <v/>
      </c>
      <c r="AK528" s="9" t="str">
        <f t="shared" ca="1" si="204"/>
        <v/>
      </c>
      <c r="AL528" s="9" t="str">
        <f t="shared" ca="1" si="205"/>
        <v/>
      </c>
      <c r="AM528" s="9" t="str">
        <f t="shared" ca="1" si="206"/>
        <v/>
      </c>
      <c r="AN528" s="9" t="str">
        <f t="shared" ca="1" si="207"/>
        <v/>
      </c>
      <c r="AO528" s="9" t="str">
        <f t="shared" ca="1" si="208"/>
        <v/>
      </c>
      <c r="AP528" s="9" t="str">
        <f t="shared" ca="1" si="209"/>
        <v/>
      </c>
      <c r="AQ528" s="9"/>
      <c r="AR528" s="9"/>
      <c r="AS528" s="9"/>
      <c r="AT528" s="9"/>
      <c r="AU528" s="9"/>
    </row>
    <row r="529" spans="1:47" x14ac:dyDescent="0.3">
      <c r="A529" s="1">
        <v>44229</v>
      </c>
      <c r="B529" s="6">
        <v>484.92999300000002</v>
      </c>
      <c r="C529" s="6">
        <v>269.76001000000002</v>
      </c>
      <c r="D529" s="6">
        <v>45.220001000000003</v>
      </c>
      <c r="E529" s="6">
        <v>138.38000500000001</v>
      </c>
      <c r="F529" s="6">
        <v>104.260002</v>
      </c>
      <c r="G529" s="6">
        <v>38.860000999999997</v>
      </c>
      <c r="H529" s="6">
        <v>119.339996</v>
      </c>
      <c r="I529" s="6">
        <v>178.61999499999999</v>
      </c>
      <c r="J529" s="6">
        <v>25.15</v>
      </c>
      <c r="K529" s="6">
        <v>40.080002</v>
      </c>
      <c r="N529" s="19">
        <v>525</v>
      </c>
      <c r="O529" s="1">
        <v>44229</v>
      </c>
      <c r="P529" s="5">
        <f t="shared" si="210"/>
        <v>3.1271841484836686E-2</v>
      </c>
      <c r="Q529" s="5">
        <f t="shared" si="211"/>
        <v>2.3213697974643812E-2</v>
      </c>
      <c r="R529" s="5">
        <f t="shared" si="212"/>
        <v>2.4512973710471661E-2</v>
      </c>
      <c r="S529" s="5">
        <f t="shared" si="213"/>
        <v>1.0168659634637974E-2</v>
      </c>
      <c r="T529" s="5">
        <f t="shared" si="214"/>
        <v>-6.0243739169432734E-3</v>
      </c>
      <c r="U529" s="5">
        <f t="shared" si="215"/>
        <v>2.5767342597186192E-3</v>
      </c>
      <c r="V529" s="5">
        <f t="shared" si="216"/>
        <v>1.4857558592450484E-2</v>
      </c>
      <c r="W529" s="5">
        <f t="shared" si="217"/>
        <v>-3.6283696877754366E-2</v>
      </c>
      <c r="X529" s="5">
        <f t="shared" si="218"/>
        <v>1.3208116769286895E-2</v>
      </c>
      <c r="Y529" s="5">
        <f t="shared" si="219"/>
        <v>-4.9645156847276342E-2</v>
      </c>
      <c r="Z529" s="33">
        <v>525</v>
      </c>
      <c r="AE529" s="20" t="str">
        <f t="shared" si="220"/>
        <v/>
      </c>
      <c r="AF529" s="22" t="str">
        <f t="shared" si="221"/>
        <v/>
      </c>
      <c r="AG529" s="9" t="str">
        <f t="shared" ca="1" si="200"/>
        <v/>
      </c>
      <c r="AH529" s="9" t="str">
        <f t="shared" ca="1" si="201"/>
        <v/>
      </c>
      <c r="AI529" s="9" t="str">
        <f t="shared" ca="1" si="202"/>
        <v/>
      </c>
      <c r="AJ529" s="9" t="str">
        <f t="shared" ca="1" si="203"/>
        <v/>
      </c>
      <c r="AK529" s="9" t="str">
        <f t="shared" ca="1" si="204"/>
        <v/>
      </c>
      <c r="AL529" s="9" t="str">
        <f t="shared" ca="1" si="205"/>
        <v/>
      </c>
      <c r="AM529" s="9" t="str">
        <f t="shared" ca="1" si="206"/>
        <v/>
      </c>
      <c r="AN529" s="9" t="str">
        <f t="shared" ca="1" si="207"/>
        <v/>
      </c>
      <c r="AO529" s="9" t="str">
        <f t="shared" ca="1" si="208"/>
        <v/>
      </c>
      <c r="AP529" s="9" t="str">
        <f t="shared" ca="1" si="209"/>
        <v/>
      </c>
      <c r="AQ529" s="9"/>
      <c r="AR529" s="9"/>
      <c r="AS529" s="9"/>
      <c r="AT529" s="9"/>
      <c r="AU529" s="9"/>
    </row>
    <row r="530" spans="1:47" x14ac:dyDescent="0.3">
      <c r="A530" s="1">
        <v>44230</v>
      </c>
      <c r="B530" s="6">
        <v>481.92001299999998</v>
      </c>
      <c r="C530" s="6">
        <v>265.209991</v>
      </c>
      <c r="D530" s="6">
        <v>45.205002</v>
      </c>
      <c r="E530" s="6">
        <v>138.020004</v>
      </c>
      <c r="F530" s="6">
        <v>103.739998</v>
      </c>
      <c r="G530" s="6">
        <v>39.279998999999997</v>
      </c>
      <c r="H530" s="6">
        <v>120.83000199999999</v>
      </c>
      <c r="I530" s="6">
        <v>177.320007</v>
      </c>
      <c r="J530" s="6">
        <v>25.469999000000001</v>
      </c>
      <c r="K530" s="6">
        <v>40.810001</v>
      </c>
      <c r="N530" s="18">
        <v>526</v>
      </c>
      <c r="O530" s="1">
        <v>44230</v>
      </c>
      <c r="P530" s="5">
        <f t="shared" si="210"/>
        <v>-6.2263840420356629E-3</v>
      </c>
      <c r="Q530" s="5">
        <f t="shared" si="211"/>
        <v>-1.7010780827400481E-2</v>
      </c>
      <c r="R530" s="5">
        <f t="shared" si="212"/>
        <v>-3.3174453171016469E-4</v>
      </c>
      <c r="S530" s="5">
        <f t="shared" si="213"/>
        <v>-2.6049290292910802E-3</v>
      </c>
      <c r="T530" s="5">
        <f t="shared" si="214"/>
        <v>-5.0000488784845741E-3</v>
      </c>
      <c r="U530" s="5">
        <f t="shared" si="215"/>
        <v>1.0749988345320609E-2</v>
      </c>
      <c r="V530" s="5">
        <f t="shared" si="216"/>
        <v>1.240808701514275E-2</v>
      </c>
      <c r="W530" s="5">
        <f t="shared" si="217"/>
        <v>-7.3045669098490765E-3</v>
      </c>
      <c r="X530" s="5">
        <f t="shared" si="218"/>
        <v>1.2643353183740075E-2</v>
      </c>
      <c r="Y530" s="5">
        <f t="shared" si="219"/>
        <v>1.8049667244704356E-2</v>
      </c>
      <c r="Z530" s="33">
        <v>526</v>
      </c>
      <c r="AE530" s="20" t="str">
        <f t="shared" si="220"/>
        <v/>
      </c>
      <c r="AF530" s="22" t="str">
        <f t="shared" si="221"/>
        <v/>
      </c>
      <c r="AG530" s="9" t="str">
        <f t="shared" ca="1" si="200"/>
        <v/>
      </c>
      <c r="AH530" s="9" t="str">
        <f t="shared" ca="1" si="201"/>
        <v/>
      </c>
      <c r="AI530" s="9" t="str">
        <f t="shared" ca="1" si="202"/>
        <v/>
      </c>
      <c r="AJ530" s="9" t="str">
        <f t="shared" ca="1" si="203"/>
        <v/>
      </c>
      <c r="AK530" s="9" t="str">
        <f t="shared" ca="1" si="204"/>
        <v/>
      </c>
      <c r="AL530" s="9" t="str">
        <f t="shared" ca="1" si="205"/>
        <v/>
      </c>
      <c r="AM530" s="9" t="str">
        <f t="shared" ca="1" si="206"/>
        <v/>
      </c>
      <c r="AN530" s="9" t="str">
        <f t="shared" ca="1" si="207"/>
        <v/>
      </c>
      <c r="AO530" s="9" t="str">
        <f t="shared" ca="1" si="208"/>
        <v/>
      </c>
      <c r="AP530" s="9" t="str">
        <f t="shared" ca="1" si="209"/>
        <v/>
      </c>
      <c r="AQ530" s="9"/>
      <c r="AR530" s="9"/>
      <c r="AS530" s="9"/>
      <c r="AT530" s="9"/>
      <c r="AU530" s="9"/>
    </row>
    <row r="531" spans="1:47" x14ac:dyDescent="0.3">
      <c r="A531" s="1">
        <v>44231</v>
      </c>
      <c r="B531" s="6">
        <v>489.38000499999998</v>
      </c>
      <c r="C531" s="6">
        <v>270.08999599999999</v>
      </c>
      <c r="D531" s="6">
        <v>45.735000999999997</v>
      </c>
      <c r="E531" s="6">
        <v>139.679993</v>
      </c>
      <c r="F531" s="6">
        <v>103.620003</v>
      </c>
      <c r="G531" s="6">
        <v>39.740001999999997</v>
      </c>
      <c r="H531" s="6">
        <v>119.83000199999999</v>
      </c>
      <c r="I531" s="6">
        <v>188.86000100000001</v>
      </c>
      <c r="J531" s="6">
        <v>25.809999000000001</v>
      </c>
      <c r="K531" s="6">
        <v>41.110000999999997</v>
      </c>
      <c r="N531" s="19">
        <v>527</v>
      </c>
      <c r="O531" s="1">
        <v>44231</v>
      </c>
      <c r="P531" s="5">
        <f t="shared" si="210"/>
        <v>1.5361141876642399E-2</v>
      </c>
      <c r="Q531" s="5">
        <f t="shared" si="211"/>
        <v>1.8233290922539013E-2</v>
      </c>
      <c r="R531" s="5">
        <f t="shared" si="212"/>
        <v>1.1656146541197496E-2</v>
      </c>
      <c r="S531" s="5">
        <f t="shared" si="213"/>
        <v>1.1955410802980909E-2</v>
      </c>
      <c r="T531" s="5">
        <f t="shared" si="214"/>
        <v>-1.1573593057056864E-3</v>
      </c>
      <c r="U531" s="5">
        <f t="shared" si="215"/>
        <v>1.1642829422779522E-2</v>
      </c>
      <c r="V531" s="5">
        <f t="shared" si="216"/>
        <v>-8.3105272066610354E-3</v>
      </c>
      <c r="W531" s="5">
        <f t="shared" si="217"/>
        <v>6.3049955776346214E-2</v>
      </c>
      <c r="X531" s="5">
        <f t="shared" si="218"/>
        <v>1.3260725256361013E-2</v>
      </c>
      <c r="Y531" s="5">
        <f t="shared" si="219"/>
        <v>7.3242513132563388E-3</v>
      </c>
      <c r="Z531" s="33">
        <v>527</v>
      </c>
      <c r="AE531" s="20" t="str">
        <f t="shared" si="220"/>
        <v/>
      </c>
      <c r="AF531" s="22" t="str">
        <f t="shared" si="221"/>
        <v/>
      </c>
      <c r="AG531" s="9" t="str">
        <f t="shared" ca="1" si="200"/>
        <v/>
      </c>
      <c r="AH531" s="9" t="str">
        <f t="shared" ca="1" si="201"/>
        <v/>
      </c>
      <c r="AI531" s="9" t="str">
        <f t="shared" ca="1" si="202"/>
        <v/>
      </c>
      <c r="AJ531" s="9" t="str">
        <f t="shared" ca="1" si="203"/>
        <v/>
      </c>
      <c r="AK531" s="9" t="str">
        <f t="shared" ca="1" si="204"/>
        <v/>
      </c>
      <c r="AL531" s="9" t="str">
        <f t="shared" ca="1" si="205"/>
        <v/>
      </c>
      <c r="AM531" s="9" t="str">
        <f t="shared" ca="1" si="206"/>
        <v/>
      </c>
      <c r="AN531" s="9" t="str">
        <f t="shared" ca="1" si="207"/>
        <v/>
      </c>
      <c r="AO531" s="9" t="str">
        <f t="shared" ca="1" si="208"/>
        <v/>
      </c>
      <c r="AP531" s="9" t="str">
        <f t="shared" ca="1" si="209"/>
        <v/>
      </c>
      <c r="AQ531" s="9"/>
      <c r="AR531" s="9"/>
      <c r="AS531" s="9"/>
      <c r="AT531" s="9"/>
      <c r="AU531" s="9"/>
    </row>
    <row r="532" spans="1:47" x14ac:dyDescent="0.3">
      <c r="A532" s="1">
        <v>44232</v>
      </c>
      <c r="B532" s="6">
        <v>492.11999500000002</v>
      </c>
      <c r="C532" s="6">
        <v>272.92001299999998</v>
      </c>
      <c r="D532" s="6">
        <v>45.549999</v>
      </c>
      <c r="E532" s="6">
        <v>140.96000699999999</v>
      </c>
      <c r="F532" s="6">
        <v>101.800003</v>
      </c>
      <c r="G532" s="6">
        <v>40.07</v>
      </c>
      <c r="H532" s="6">
        <v>121.05999799999999</v>
      </c>
      <c r="I532" s="6">
        <v>184.36999499999999</v>
      </c>
      <c r="J532" s="6">
        <v>25.98</v>
      </c>
      <c r="K532" s="6">
        <v>42.669998</v>
      </c>
      <c r="N532" s="18">
        <v>528</v>
      </c>
      <c r="O532" s="1">
        <v>44232</v>
      </c>
      <c r="P532" s="5">
        <f t="shared" si="210"/>
        <v>5.583285008296834E-3</v>
      </c>
      <c r="Q532" s="5">
        <f t="shared" si="211"/>
        <v>1.0423537601610815E-2</v>
      </c>
      <c r="R532" s="5">
        <f t="shared" si="212"/>
        <v>-4.0532892213495679E-3</v>
      </c>
      <c r="S532" s="5">
        <f t="shared" si="213"/>
        <v>9.1221698706026259E-3</v>
      </c>
      <c r="T532" s="5">
        <f t="shared" si="214"/>
        <v>-1.772025675261147E-2</v>
      </c>
      <c r="U532" s="5">
        <f t="shared" si="215"/>
        <v>8.2696371972574081E-3</v>
      </c>
      <c r="V532" s="5">
        <f t="shared" si="216"/>
        <v>1.0212185558071154E-2</v>
      </c>
      <c r="W532" s="5">
        <f t="shared" si="217"/>
        <v>-2.4061424166931227E-2</v>
      </c>
      <c r="X532" s="5">
        <f t="shared" si="218"/>
        <v>6.5650362566042229E-3</v>
      </c>
      <c r="Y532" s="5">
        <f t="shared" si="219"/>
        <v>3.7244625093800846E-2</v>
      </c>
      <c r="Z532" s="33">
        <v>528</v>
      </c>
      <c r="AE532" s="20" t="str">
        <f t="shared" si="220"/>
        <v/>
      </c>
      <c r="AF532" s="22" t="str">
        <f t="shared" si="221"/>
        <v/>
      </c>
      <c r="AG532" s="9" t="str">
        <f t="shared" ca="1" si="200"/>
        <v/>
      </c>
      <c r="AH532" s="9" t="str">
        <f t="shared" ca="1" si="201"/>
        <v/>
      </c>
      <c r="AI532" s="9" t="str">
        <f t="shared" ca="1" si="202"/>
        <v/>
      </c>
      <c r="AJ532" s="9" t="str">
        <f t="shared" ca="1" si="203"/>
        <v/>
      </c>
      <c r="AK532" s="9" t="str">
        <f t="shared" ca="1" si="204"/>
        <v/>
      </c>
      <c r="AL532" s="9" t="str">
        <f t="shared" ca="1" si="205"/>
        <v/>
      </c>
      <c r="AM532" s="9" t="str">
        <f t="shared" ca="1" si="206"/>
        <v/>
      </c>
      <c r="AN532" s="9" t="str">
        <f t="shared" ca="1" si="207"/>
        <v/>
      </c>
      <c r="AO532" s="9" t="str">
        <f t="shared" ca="1" si="208"/>
        <v/>
      </c>
      <c r="AP532" s="9" t="str">
        <f t="shared" ca="1" si="209"/>
        <v/>
      </c>
      <c r="AQ532" s="9"/>
      <c r="AR532" s="9"/>
      <c r="AS532" s="9"/>
      <c r="AT532" s="9"/>
      <c r="AU532" s="9"/>
    </row>
    <row r="533" spans="1:47" x14ac:dyDescent="0.3">
      <c r="A533" s="1">
        <v>44235</v>
      </c>
      <c r="B533" s="6">
        <v>493.76001000000002</v>
      </c>
      <c r="C533" s="6">
        <v>276.48001099999999</v>
      </c>
      <c r="D533" s="6">
        <v>45.439999</v>
      </c>
      <c r="E533" s="6">
        <v>140.39999399999999</v>
      </c>
      <c r="F533" s="6">
        <v>101.959999</v>
      </c>
      <c r="G533" s="6">
        <v>40.959999000000003</v>
      </c>
      <c r="H533" s="6">
        <v>120.889999</v>
      </c>
      <c r="I533" s="6">
        <v>185.479996</v>
      </c>
      <c r="J533" s="6">
        <v>26.610001</v>
      </c>
      <c r="K533" s="6">
        <v>43.25</v>
      </c>
      <c r="N533" s="19">
        <v>529</v>
      </c>
      <c r="O533" s="1">
        <v>44235</v>
      </c>
      <c r="P533" s="5">
        <f t="shared" si="210"/>
        <v>3.3270103957056324E-3</v>
      </c>
      <c r="Q533" s="5">
        <f t="shared" si="211"/>
        <v>1.295976582134181E-2</v>
      </c>
      <c r="R533" s="5">
        <f t="shared" si="212"/>
        <v>-2.41784934621684E-3</v>
      </c>
      <c r="S533" s="5">
        <f t="shared" si="213"/>
        <v>-3.9807629906789509E-3</v>
      </c>
      <c r="T533" s="5">
        <f t="shared" si="214"/>
        <v>1.5704361141766555E-3</v>
      </c>
      <c r="U533" s="5">
        <f t="shared" si="215"/>
        <v>2.1968031669136519E-2</v>
      </c>
      <c r="V533" s="5">
        <f t="shared" si="216"/>
        <v>-1.405241000889739E-3</v>
      </c>
      <c r="W533" s="5">
        <f t="shared" si="217"/>
        <v>6.0024569946728846E-3</v>
      </c>
      <c r="X533" s="5">
        <f t="shared" si="218"/>
        <v>2.3960111327000773E-2</v>
      </c>
      <c r="Y533" s="5">
        <f t="shared" si="219"/>
        <v>1.3501183049319005E-2</v>
      </c>
      <c r="Z533" s="33">
        <v>529</v>
      </c>
      <c r="AE533" s="20" t="str">
        <f t="shared" si="220"/>
        <v/>
      </c>
      <c r="AF533" s="22" t="str">
        <f t="shared" si="221"/>
        <v/>
      </c>
      <c r="AG533" s="9" t="str">
        <f t="shared" ca="1" si="200"/>
        <v/>
      </c>
      <c r="AH533" s="9" t="str">
        <f t="shared" ca="1" si="201"/>
        <v/>
      </c>
      <c r="AI533" s="9" t="str">
        <f t="shared" ca="1" si="202"/>
        <v/>
      </c>
      <c r="AJ533" s="9" t="str">
        <f t="shared" ca="1" si="203"/>
        <v/>
      </c>
      <c r="AK533" s="9" t="str">
        <f t="shared" ca="1" si="204"/>
        <v/>
      </c>
      <c r="AL533" s="9" t="str">
        <f t="shared" ca="1" si="205"/>
        <v/>
      </c>
      <c r="AM533" s="9" t="str">
        <f t="shared" ca="1" si="206"/>
        <v/>
      </c>
      <c r="AN533" s="9" t="str">
        <f t="shared" ca="1" si="207"/>
        <v/>
      </c>
      <c r="AO533" s="9" t="str">
        <f t="shared" ca="1" si="208"/>
        <v/>
      </c>
      <c r="AP533" s="9" t="str">
        <f t="shared" ca="1" si="209"/>
        <v/>
      </c>
      <c r="AQ533" s="9"/>
      <c r="AR533" s="9"/>
      <c r="AS533" s="9"/>
      <c r="AT533" s="9"/>
      <c r="AU533" s="9"/>
    </row>
    <row r="534" spans="1:47" x14ac:dyDescent="0.3">
      <c r="A534" s="1">
        <v>44236</v>
      </c>
      <c r="B534" s="6">
        <v>496.04998799999998</v>
      </c>
      <c r="C534" s="6">
        <v>278.16000400000001</v>
      </c>
      <c r="D534" s="6">
        <v>45.255001</v>
      </c>
      <c r="E534" s="6">
        <v>139.60000600000001</v>
      </c>
      <c r="F534" s="6">
        <v>101.139999</v>
      </c>
      <c r="G534" s="6">
        <v>41.169998</v>
      </c>
      <c r="H534" s="6">
        <v>120.349998</v>
      </c>
      <c r="I534" s="6">
        <v>189.429993</v>
      </c>
      <c r="J534" s="6">
        <v>26.290001</v>
      </c>
      <c r="K534" s="6">
        <v>43.5</v>
      </c>
      <c r="N534" s="18">
        <v>530</v>
      </c>
      <c r="O534" s="1">
        <v>44236</v>
      </c>
      <c r="P534" s="5">
        <f t="shared" si="210"/>
        <v>4.6271144772511499E-3</v>
      </c>
      <c r="Q534" s="5">
        <f t="shared" si="211"/>
        <v>6.0579766782491856E-3</v>
      </c>
      <c r="R534" s="5">
        <f t="shared" si="212"/>
        <v>-4.079569029713649E-3</v>
      </c>
      <c r="S534" s="5">
        <f t="shared" si="213"/>
        <v>-5.7142155484531621E-3</v>
      </c>
      <c r="T534" s="5">
        <f t="shared" si="214"/>
        <v>-8.0748839355948131E-3</v>
      </c>
      <c r="U534" s="5">
        <f t="shared" si="215"/>
        <v>5.1138308855601658E-3</v>
      </c>
      <c r="V534" s="5">
        <f t="shared" si="216"/>
        <v>-4.4768853310338582E-3</v>
      </c>
      <c r="W534" s="5">
        <f t="shared" si="217"/>
        <v>2.1072488229630142E-2</v>
      </c>
      <c r="X534" s="5">
        <f t="shared" si="218"/>
        <v>-1.2098445790388636E-2</v>
      </c>
      <c r="Y534" s="5">
        <f t="shared" si="219"/>
        <v>5.7637047167501338E-3</v>
      </c>
      <c r="Z534" s="33">
        <v>530</v>
      </c>
      <c r="AE534" s="20" t="str">
        <f t="shared" si="220"/>
        <v/>
      </c>
      <c r="AF534" s="22" t="str">
        <f t="shared" si="221"/>
        <v/>
      </c>
      <c r="AG534" s="9" t="str">
        <f t="shared" ca="1" si="200"/>
        <v/>
      </c>
      <c r="AH534" s="9" t="str">
        <f t="shared" ca="1" si="201"/>
        <v/>
      </c>
      <c r="AI534" s="9" t="str">
        <f t="shared" ca="1" si="202"/>
        <v/>
      </c>
      <c r="AJ534" s="9" t="str">
        <f t="shared" ca="1" si="203"/>
        <v/>
      </c>
      <c r="AK534" s="9" t="str">
        <f t="shared" ca="1" si="204"/>
        <v/>
      </c>
      <c r="AL534" s="9" t="str">
        <f t="shared" ca="1" si="205"/>
        <v/>
      </c>
      <c r="AM534" s="9" t="str">
        <f t="shared" ca="1" si="206"/>
        <v/>
      </c>
      <c r="AN534" s="9" t="str">
        <f t="shared" ca="1" si="207"/>
        <v/>
      </c>
      <c r="AO534" s="9" t="str">
        <f t="shared" ca="1" si="208"/>
        <v/>
      </c>
      <c r="AP534" s="9" t="str">
        <f t="shared" ca="1" si="209"/>
        <v/>
      </c>
      <c r="AQ534" s="9"/>
      <c r="AR534" s="9"/>
      <c r="AS534" s="9"/>
      <c r="AT534" s="9"/>
      <c r="AU534" s="9"/>
    </row>
    <row r="535" spans="1:47" x14ac:dyDescent="0.3">
      <c r="A535" s="1">
        <v>44237</v>
      </c>
      <c r="B535" s="6">
        <v>492.67001299999998</v>
      </c>
      <c r="C535" s="6">
        <v>276.86999500000002</v>
      </c>
      <c r="D535" s="6">
        <v>45.224997999999999</v>
      </c>
      <c r="E535" s="6">
        <v>137.699997</v>
      </c>
      <c r="F535" s="6">
        <v>103.41999800000001</v>
      </c>
      <c r="G535" s="6">
        <v>41.73</v>
      </c>
      <c r="H535" s="6">
        <v>122.779999</v>
      </c>
      <c r="I535" s="6">
        <v>189.550003</v>
      </c>
      <c r="J535" s="6">
        <v>24.549999</v>
      </c>
      <c r="K535" s="6">
        <v>45.07</v>
      </c>
      <c r="N535" s="19">
        <v>531</v>
      </c>
      <c r="O535" s="1">
        <v>44237</v>
      </c>
      <c r="P535" s="5">
        <f t="shared" si="210"/>
        <v>-6.8370988009574009E-3</v>
      </c>
      <c r="Q535" s="5">
        <f t="shared" si="211"/>
        <v>-4.6484381932406374E-3</v>
      </c>
      <c r="R535" s="5">
        <f t="shared" si="212"/>
        <v>-6.6319631810964508E-4</v>
      </c>
      <c r="S535" s="5">
        <f t="shared" si="213"/>
        <v>-1.3703849360097402E-2</v>
      </c>
      <c r="T535" s="5">
        <f t="shared" si="214"/>
        <v>2.2292661864904095E-2</v>
      </c>
      <c r="U535" s="5">
        <f t="shared" si="215"/>
        <v>1.3510507400711438E-2</v>
      </c>
      <c r="V535" s="5">
        <f t="shared" si="216"/>
        <v>1.9989980243817467E-2</v>
      </c>
      <c r="W535" s="5">
        <f t="shared" si="217"/>
        <v>6.3333160207966336E-4</v>
      </c>
      <c r="X535" s="5">
        <f t="shared" si="218"/>
        <v>-6.8476863271734453E-2</v>
      </c>
      <c r="Y535" s="5">
        <f t="shared" si="219"/>
        <v>3.5455898607918472E-2</v>
      </c>
      <c r="Z535" s="33">
        <v>531</v>
      </c>
      <c r="AE535" s="20" t="str">
        <f t="shared" si="220"/>
        <v/>
      </c>
      <c r="AF535" s="22" t="str">
        <f t="shared" si="221"/>
        <v/>
      </c>
      <c r="AG535" s="9" t="str">
        <f t="shared" ca="1" si="200"/>
        <v/>
      </c>
      <c r="AH535" s="9" t="str">
        <f t="shared" ca="1" si="201"/>
        <v/>
      </c>
      <c r="AI535" s="9" t="str">
        <f t="shared" ca="1" si="202"/>
        <v/>
      </c>
      <c r="AJ535" s="9" t="str">
        <f t="shared" ca="1" si="203"/>
        <v/>
      </c>
      <c r="AK535" s="9" t="str">
        <f t="shared" ca="1" si="204"/>
        <v/>
      </c>
      <c r="AL535" s="9" t="str">
        <f t="shared" ca="1" si="205"/>
        <v/>
      </c>
      <c r="AM535" s="9" t="str">
        <f t="shared" ca="1" si="206"/>
        <v/>
      </c>
      <c r="AN535" s="9" t="str">
        <f t="shared" ca="1" si="207"/>
        <v/>
      </c>
      <c r="AO535" s="9" t="str">
        <f t="shared" ca="1" si="208"/>
        <v/>
      </c>
      <c r="AP535" s="9" t="str">
        <f t="shared" ca="1" si="209"/>
        <v/>
      </c>
      <c r="AQ535" s="9"/>
      <c r="AR535" s="9"/>
      <c r="AS535" s="9"/>
      <c r="AT535" s="9"/>
      <c r="AU535" s="9"/>
    </row>
    <row r="536" spans="1:47" x14ac:dyDescent="0.3">
      <c r="A536" s="1">
        <v>44238</v>
      </c>
      <c r="B536" s="6">
        <v>496.61999500000002</v>
      </c>
      <c r="C536" s="6">
        <v>286.70001200000002</v>
      </c>
      <c r="D536" s="6">
        <v>44.970001000000003</v>
      </c>
      <c r="E536" s="6">
        <v>134.970001</v>
      </c>
      <c r="F536" s="6">
        <v>106</v>
      </c>
      <c r="G536" s="6">
        <v>43.32</v>
      </c>
      <c r="H536" s="6">
        <v>122.099998</v>
      </c>
      <c r="I536" s="6">
        <v>189.88999899999999</v>
      </c>
      <c r="J536" s="6">
        <v>24.48</v>
      </c>
      <c r="K536" s="6">
        <v>45.549999</v>
      </c>
      <c r="N536" s="18">
        <v>532</v>
      </c>
      <c r="O536" s="1">
        <v>44238</v>
      </c>
      <c r="P536" s="5">
        <f t="shared" si="210"/>
        <v>7.9855309534551805E-3</v>
      </c>
      <c r="Q536" s="5">
        <f t="shared" si="211"/>
        <v>3.4888350858343527E-2</v>
      </c>
      <c r="R536" s="5">
        <f t="shared" si="212"/>
        <v>-5.6543640383672523E-3</v>
      </c>
      <c r="S536" s="5">
        <f t="shared" si="213"/>
        <v>-2.002484501787212E-2</v>
      </c>
      <c r="T536" s="5">
        <f t="shared" si="214"/>
        <v>2.4640746482610974E-2</v>
      </c>
      <c r="U536" s="5">
        <f t="shared" si="215"/>
        <v>3.7394127529328754E-2</v>
      </c>
      <c r="V536" s="5">
        <f t="shared" si="216"/>
        <v>-5.5537631180588472E-3</v>
      </c>
      <c r="W536" s="5">
        <f t="shared" si="217"/>
        <v>1.7920940818163043E-3</v>
      </c>
      <c r="X536" s="5">
        <f t="shared" si="218"/>
        <v>-2.855355863205867E-3</v>
      </c>
      <c r="Y536" s="5">
        <f t="shared" si="219"/>
        <v>1.0593765049513338E-2</v>
      </c>
      <c r="Z536" s="33">
        <v>532</v>
      </c>
      <c r="AE536" s="20" t="str">
        <f t="shared" si="220"/>
        <v/>
      </c>
      <c r="AF536" s="22" t="str">
        <f t="shared" si="221"/>
        <v/>
      </c>
      <c r="AG536" s="9" t="str">
        <f t="shared" ca="1" si="200"/>
        <v/>
      </c>
      <c r="AH536" s="9" t="str">
        <f t="shared" ca="1" si="201"/>
        <v/>
      </c>
      <c r="AI536" s="9" t="str">
        <f t="shared" ca="1" si="202"/>
        <v/>
      </c>
      <c r="AJ536" s="9" t="str">
        <f t="shared" ca="1" si="203"/>
        <v/>
      </c>
      <c r="AK536" s="9" t="str">
        <f t="shared" ca="1" si="204"/>
        <v/>
      </c>
      <c r="AL536" s="9" t="str">
        <f t="shared" ca="1" si="205"/>
        <v/>
      </c>
      <c r="AM536" s="9" t="str">
        <f t="shared" ca="1" si="206"/>
        <v/>
      </c>
      <c r="AN536" s="9" t="str">
        <f t="shared" ca="1" si="207"/>
        <v/>
      </c>
      <c r="AO536" s="9" t="str">
        <f t="shared" ca="1" si="208"/>
        <v/>
      </c>
      <c r="AP536" s="9" t="str">
        <f t="shared" ca="1" si="209"/>
        <v/>
      </c>
      <c r="AQ536" s="9"/>
      <c r="AR536" s="9"/>
      <c r="AS536" s="9"/>
      <c r="AT536" s="9"/>
      <c r="AU536" s="9"/>
    </row>
    <row r="537" spans="1:47" x14ac:dyDescent="0.3">
      <c r="A537" s="1">
        <v>44239</v>
      </c>
      <c r="B537" s="6">
        <v>498.83999599999999</v>
      </c>
      <c r="C537" s="6">
        <v>292.08999599999999</v>
      </c>
      <c r="D537" s="6">
        <v>45.865001999999997</v>
      </c>
      <c r="E537" s="6">
        <v>133.86999499999999</v>
      </c>
      <c r="F537" s="6">
        <v>106.540001</v>
      </c>
      <c r="G537" s="6">
        <v>42.709999000000003</v>
      </c>
      <c r="H537" s="6">
        <v>122.730003</v>
      </c>
      <c r="I537" s="6">
        <v>189.949997</v>
      </c>
      <c r="J537" s="6">
        <v>24.629999000000002</v>
      </c>
      <c r="K537" s="6">
        <v>47.799999</v>
      </c>
      <c r="N537" s="19">
        <v>533</v>
      </c>
      <c r="O537" s="1">
        <v>44239</v>
      </c>
      <c r="P537" s="5">
        <f t="shared" si="210"/>
        <v>4.4602589766437935E-3</v>
      </c>
      <c r="Q537" s="5">
        <f t="shared" si="211"/>
        <v>1.8625545517260096E-2</v>
      </c>
      <c r="R537" s="5">
        <f t="shared" si="212"/>
        <v>1.9706719548190681E-2</v>
      </c>
      <c r="S537" s="5">
        <f t="shared" si="213"/>
        <v>-8.1833964821064701E-3</v>
      </c>
      <c r="T537" s="5">
        <f t="shared" si="214"/>
        <v>5.0814167629319451E-3</v>
      </c>
      <c r="U537" s="5">
        <f t="shared" si="215"/>
        <v>-1.4181360693135428E-2</v>
      </c>
      <c r="V537" s="5">
        <f t="shared" si="216"/>
        <v>5.1464803166752565E-3</v>
      </c>
      <c r="W537" s="5">
        <f t="shared" si="217"/>
        <v>3.1591196888599551E-4</v>
      </c>
      <c r="X537" s="5">
        <f t="shared" si="218"/>
        <v>6.10871388742715E-3</v>
      </c>
      <c r="Y537" s="5">
        <f t="shared" si="219"/>
        <v>4.8215016824837746E-2</v>
      </c>
      <c r="Z537" s="33">
        <v>533</v>
      </c>
      <c r="AE537" s="20" t="str">
        <f t="shared" si="220"/>
        <v/>
      </c>
      <c r="AF537" s="22" t="str">
        <f t="shared" si="221"/>
        <v/>
      </c>
      <c r="AG537" s="9" t="str">
        <f t="shared" ca="1" si="200"/>
        <v/>
      </c>
      <c r="AH537" s="9" t="str">
        <f t="shared" ca="1" si="201"/>
        <v/>
      </c>
      <c r="AI537" s="9" t="str">
        <f t="shared" ca="1" si="202"/>
        <v/>
      </c>
      <c r="AJ537" s="9" t="str">
        <f t="shared" ca="1" si="203"/>
        <v/>
      </c>
      <c r="AK537" s="9" t="str">
        <f t="shared" ca="1" si="204"/>
        <v/>
      </c>
      <c r="AL537" s="9" t="str">
        <f t="shared" ca="1" si="205"/>
        <v/>
      </c>
      <c r="AM537" s="9" t="str">
        <f t="shared" ca="1" si="206"/>
        <v/>
      </c>
      <c r="AN537" s="9" t="str">
        <f t="shared" ca="1" si="207"/>
        <v/>
      </c>
      <c r="AO537" s="9" t="str">
        <f t="shared" ca="1" si="208"/>
        <v/>
      </c>
      <c r="AP537" s="9" t="str">
        <f t="shared" ca="1" si="209"/>
        <v/>
      </c>
      <c r="AQ537" s="9"/>
      <c r="AR537" s="9"/>
      <c r="AS537" s="9"/>
      <c r="AT537" s="9"/>
      <c r="AU537" s="9"/>
    </row>
    <row r="538" spans="1:47" x14ac:dyDescent="0.3">
      <c r="A538" s="1">
        <v>44243</v>
      </c>
      <c r="B538" s="6">
        <v>501.64001500000001</v>
      </c>
      <c r="C538" s="6">
        <v>290.67001299999998</v>
      </c>
      <c r="D538" s="6">
        <v>46.09</v>
      </c>
      <c r="E538" s="6">
        <v>134.38000500000001</v>
      </c>
      <c r="F538" s="6">
        <v>106.400002</v>
      </c>
      <c r="G538" s="6">
        <v>42.5</v>
      </c>
      <c r="H538" s="6">
        <v>121.650002</v>
      </c>
      <c r="I538" s="6">
        <v>188.570007</v>
      </c>
      <c r="J538" s="6">
        <v>24.870000999999998</v>
      </c>
      <c r="K538" s="6">
        <v>47.349997999999999</v>
      </c>
      <c r="N538" s="18">
        <v>534</v>
      </c>
      <c r="O538" s="1">
        <v>44243</v>
      </c>
      <c r="P538" s="5">
        <f t="shared" si="210"/>
        <v>5.5973658238271185E-3</v>
      </c>
      <c r="Q538" s="5">
        <f t="shared" si="211"/>
        <v>-4.8733124729024883E-3</v>
      </c>
      <c r="R538" s="5">
        <f t="shared" si="212"/>
        <v>4.8936641645633697E-3</v>
      </c>
      <c r="S538" s="5">
        <f t="shared" si="213"/>
        <v>3.8025022517832142E-3</v>
      </c>
      <c r="T538" s="5">
        <f t="shared" si="214"/>
        <v>-1.314915170462769E-3</v>
      </c>
      <c r="U538" s="5">
        <f t="shared" si="215"/>
        <v>-4.928985509283299E-3</v>
      </c>
      <c r="V538" s="5">
        <f t="shared" si="216"/>
        <v>-8.8387593831779666E-3</v>
      </c>
      <c r="W538" s="5">
        <f t="shared" si="217"/>
        <v>-7.2915359796805702E-3</v>
      </c>
      <c r="X538" s="5">
        <f t="shared" si="218"/>
        <v>9.6971264928471957E-3</v>
      </c>
      <c r="Y538" s="5">
        <f t="shared" si="219"/>
        <v>-9.4588411834700282E-3</v>
      </c>
      <c r="Z538" s="33">
        <v>534</v>
      </c>
      <c r="AE538" s="20" t="str">
        <f t="shared" si="220"/>
        <v/>
      </c>
      <c r="AF538" s="22" t="str">
        <f t="shared" si="221"/>
        <v/>
      </c>
      <c r="AG538" s="9" t="str">
        <f t="shared" ca="1" si="200"/>
        <v/>
      </c>
      <c r="AH538" s="9" t="str">
        <f t="shared" ca="1" si="201"/>
        <v/>
      </c>
      <c r="AI538" s="9" t="str">
        <f t="shared" ca="1" si="202"/>
        <v/>
      </c>
      <c r="AJ538" s="9" t="str">
        <f t="shared" ca="1" si="203"/>
        <v/>
      </c>
      <c r="AK538" s="9" t="str">
        <f t="shared" ca="1" si="204"/>
        <v/>
      </c>
      <c r="AL538" s="9" t="str">
        <f t="shared" ca="1" si="205"/>
        <v/>
      </c>
      <c r="AM538" s="9" t="str">
        <f t="shared" ca="1" si="206"/>
        <v/>
      </c>
      <c r="AN538" s="9" t="str">
        <f t="shared" ca="1" si="207"/>
        <v/>
      </c>
      <c r="AO538" s="9" t="str">
        <f t="shared" ca="1" si="208"/>
        <v/>
      </c>
      <c r="AP538" s="9" t="str">
        <f t="shared" ca="1" si="209"/>
        <v/>
      </c>
      <c r="AQ538" s="9"/>
      <c r="AR538" s="9"/>
      <c r="AS538" s="9"/>
      <c r="AT538" s="9"/>
      <c r="AU538" s="9"/>
    </row>
    <row r="539" spans="1:47" x14ac:dyDescent="0.3">
      <c r="A539" s="1">
        <v>44244</v>
      </c>
      <c r="B539" s="6">
        <v>491.23001099999999</v>
      </c>
      <c r="C539" s="6">
        <v>283.76001000000002</v>
      </c>
      <c r="D539" s="6">
        <v>46.080002</v>
      </c>
      <c r="E539" s="6">
        <v>134.46000699999999</v>
      </c>
      <c r="F539" s="6">
        <v>105.05999799999999</v>
      </c>
      <c r="G539" s="6">
        <v>42.299999</v>
      </c>
      <c r="H539" s="6">
        <v>120.629997</v>
      </c>
      <c r="I539" s="6">
        <v>188.86999499999999</v>
      </c>
      <c r="J539" s="6">
        <v>25.16</v>
      </c>
      <c r="K539" s="6">
        <v>49.360000999999997</v>
      </c>
      <c r="N539" s="19">
        <v>535</v>
      </c>
      <c r="O539" s="1">
        <v>44244</v>
      </c>
      <c r="P539" s="5">
        <f t="shared" si="210"/>
        <v>-2.0970288578498742E-2</v>
      </c>
      <c r="Q539" s="5">
        <f t="shared" si="211"/>
        <v>-2.4059802082864522E-2</v>
      </c>
      <c r="R539" s="5">
        <f t="shared" si="212"/>
        <v>-2.1694694200432874E-4</v>
      </c>
      <c r="S539" s="5">
        <f t="shared" si="213"/>
        <v>5.9516440106032766E-4</v>
      </c>
      <c r="T539" s="5">
        <f t="shared" si="214"/>
        <v>-1.2673999215462023E-2</v>
      </c>
      <c r="U539" s="5">
        <f t="shared" si="215"/>
        <v>-4.7170135188011157E-3</v>
      </c>
      <c r="V539" s="5">
        <f t="shared" si="216"/>
        <v>-8.4201009622832147E-3</v>
      </c>
      <c r="W539" s="5">
        <f t="shared" si="217"/>
        <v>1.5895933741948576E-3</v>
      </c>
      <c r="X539" s="5">
        <f t="shared" si="218"/>
        <v>1.159313380784017E-2</v>
      </c>
      <c r="Y539" s="5">
        <f t="shared" si="219"/>
        <v>4.1573622463013347E-2</v>
      </c>
      <c r="Z539" s="33">
        <v>535</v>
      </c>
      <c r="AE539" s="20" t="str">
        <f t="shared" si="220"/>
        <v/>
      </c>
      <c r="AF539" s="22" t="str">
        <f t="shared" si="221"/>
        <v/>
      </c>
      <c r="AG539" s="9" t="str">
        <f t="shared" ca="1" si="200"/>
        <v/>
      </c>
      <c r="AH539" s="9" t="str">
        <f t="shared" ca="1" si="201"/>
        <v/>
      </c>
      <c r="AI539" s="9" t="str">
        <f t="shared" ca="1" si="202"/>
        <v/>
      </c>
      <c r="AJ539" s="9" t="str">
        <f t="shared" ca="1" si="203"/>
        <v/>
      </c>
      <c r="AK539" s="9" t="str">
        <f t="shared" ca="1" si="204"/>
        <v/>
      </c>
      <c r="AL539" s="9" t="str">
        <f t="shared" ca="1" si="205"/>
        <v/>
      </c>
      <c r="AM539" s="9" t="str">
        <f t="shared" ca="1" si="206"/>
        <v/>
      </c>
      <c r="AN539" s="9" t="str">
        <f t="shared" ca="1" si="207"/>
        <v/>
      </c>
      <c r="AO539" s="9" t="str">
        <f t="shared" ca="1" si="208"/>
        <v/>
      </c>
      <c r="AP539" s="9" t="str">
        <f t="shared" ca="1" si="209"/>
        <v/>
      </c>
      <c r="AQ539" s="9"/>
      <c r="AR539" s="9"/>
      <c r="AS539" s="9"/>
      <c r="AT539" s="9"/>
      <c r="AU539" s="9"/>
    </row>
    <row r="540" spans="1:47" x14ac:dyDescent="0.3">
      <c r="A540" s="1">
        <v>44245</v>
      </c>
      <c r="B540" s="6">
        <v>488.36999500000002</v>
      </c>
      <c r="C540" s="6">
        <v>270.95001200000002</v>
      </c>
      <c r="D540" s="6">
        <v>46.325001</v>
      </c>
      <c r="E540" s="6">
        <v>135.36999499999999</v>
      </c>
      <c r="F540" s="6">
        <v>103.800003</v>
      </c>
      <c r="G540" s="6">
        <v>41.959999000000003</v>
      </c>
      <c r="H540" s="6">
        <v>120.94000200000001</v>
      </c>
      <c r="I540" s="6">
        <v>191.570007</v>
      </c>
      <c r="J540" s="6">
        <v>24.809999000000001</v>
      </c>
      <c r="K540" s="6">
        <v>49.709999000000003</v>
      </c>
      <c r="N540" s="18">
        <v>536</v>
      </c>
      <c r="O540" s="1">
        <v>44245</v>
      </c>
      <c r="P540" s="5">
        <f t="shared" si="210"/>
        <v>-5.8391672288823568E-3</v>
      </c>
      <c r="Q540" s="5">
        <f t="shared" si="211"/>
        <v>-4.6194499405678206E-2</v>
      </c>
      <c r="R540" s="5">
        <f t="shared" si="212"/>
        <v>5.3027339676269556E-3</v>
      </c>
      <c r="S540" s="5">
        <f t="shared" si="213"/>
        <v>6.7449241609071385E-3</v>
      </c>
      <c r="T540" s="5">
        <f t="shared" si="214"/>
        <v>-1.2065596855552365E-2</v>
      </c>
      <c r="U540" s="5">
        <f t="shared" si="215"/>
        <v>-8.0703027156950359E-3</v>
      </c>
      <c r="V540" s="5">
        <f t="shared" si="216"/>
        <v>2.566586674336015E-3</v>
      </c>
      <c r="W540" s="5">
        <f t="shared" si="217"/>
        <v>1.4194392382658395E-2</v>
      </c>
      <c r="X540" s="5">
        <f t="shared" si="218"/>
        <v>-1.4008674434858964E-2</v>
      </c>
      <c r="Y540" s="5">
        <f t="shared" si="219"/>
        <v>7.0657001334529044E-3</v>
      </c>
      <c r="Z540" s="33">
        <v>536</v>
      </c>
      <c r="AE540" s="20" t="str">
        <f t="shared" si="220"/>
        <v/>
      </c>
      <c r="AF540" s="22" t="str">
        <f t="shared" si="221"/>
        <v/>
      </c>
      <c r="AG540" s="9" t="str">
        <f t="shared" ca="1" si="200"/>
        <v/>
      </c>
      <c r="AH540" s="9" t="str">
        <f t="shared" ca="1" si="201"/>
        <v/>
      </c>
      <c r="AI540" s="9" t="str">
        <f t="shared" ca="1" si="202"/>
        <v/>
      </c>
      <c r="AJ540" s="9" t="str">
        <f t="shared" ca="1" si="203"/>
        <v/>
      </c>
      <c r="AK540" s="9" t="str">
        <f t="shared" ca="1" si="204"/>
        <v/>
      </c>
      <c r="AL540" s="9" t="str">
        <f t="shared" ca="1" si="205"/>
        <v/>
      </c>
      <c r="AM540" s="9" t="str">
        <f t="shared" ca="1" si="206"/>
        <v/>
      </c>
      <c r="AN540" s="9" t="str">
        <f t="shared" ca="1" si="207"/>
        <v/>
      </c>
      <c r="AO540" s="9" t="str">
        <f t="shared" ca="1" si="208"/>
        <v/>
      </c>
      <c r="AP540" s="9" t="str">
        <f t="shared" ca="1" si="209"/>
        <v/>
      </c>
      <c r="AQ540" s="9"/>
      <c r="AR540" s="9"/>
      <c r="AS540" s="9"/>
      <c r="AT540" s="9"/>
      <c r="AU540" s="9"/>
    </row>
    <row r="541" spans="1:47" x14ac:dyDescent="0.3">
      <c r="A541" s="1">
        <v>44246</v>
      </c>
      <c r="B541" s="6">
        <v>479.11999500000002</v>
      </c>
      <c r="C541" s="6">
        <v>268.07000699999998</v>
      </c>
      <c r="D541" s="6">
        <v>44.825001</v>
      </c>
      <c r="E541" s="6">
        <v>132.509995</v>
      </c>
      <c r="F541" s="6">
        <v>105.129997</v>
      </c>
      <c r="G541" s="6">
        <v>42.220001000000003</v>
      </c>
      <c r="H541" s="6">
        <v>122.25</v>
      </c>
      <c r="I541" s="6">
        <v>194.96000699999999</v>
      </c>
      <c r="J541" s="6">
        <v>25.559999000000001</v>
      </c>
      <c r="K541" s="6">
        <v>50.790000999999997</v>
      </c>
      <c r="N541" s="19">
        <v>537</v>
      </c>
      <c r="O541" s="1">
        <v>44246</v>
      </c>
      <c r="P541" s="5">
        <f t="shared" si="210"/>
        <v>-1.912222752998113E-2</v>
      </c>
      <c r="Q541" s="5">
        <f t="shared" si="211"/>
        <v>-1.0686179752668942E-2</v>
      </c>
      <c r="R541" s="5">
        <f t="shared" si="212"/>
        <v>-3.2915751957863906E-2</v>
      </c>
      <c r="S541" s="5">
        <f t="shared" si="213"/>
        <v>-2.1353656718345704E-2</v>
      </c>
      <c r="T541" s="5">
        <f t="shared" si="214"/>
        <v>1.273165141811897E-2</v>
      </c>
      <c r="U541" s="5">
        <f t="shared" si="215"/>
        <v>6.177306409756448E-3</v>
      </c>
      <c r="V541" s="5">
        <f t="shared" si="216"/>
        <v>1.0773556972788818E-2</v>
      </c>
      <c r="W541" s="5">
        <f t="shared" si="217"/>
        <v>1.7541131604573892E-2</v>
      </c>
      <c r="X541" s="5">
        <f t="shared" si="218"/>
        <v>2.9781832988321839E-2</v>
      </c>
      <c r="Y541" s="5">
        <f t="shared" si="219"/>
        <v>2.1493404512164225E-2</v>
      </c>
      <c r="Z541" s="33">
        <v>537</v>
      </c>
      <c r="AE541" s="20" t="str">
        <f t="shared" si="220"/>
        <v/>
      </c>
      <c r="AF541" s="22" t="str">
        <f t="shared" si="221"/>
        <v/>
      </c>
      <c r="AG541" s="9" t="str">
        <f t="shared" ca="1" si="200"/>
        <v/>
      </c>
      <c r="AH541" s="9" t="str">
        <f t="shared" ca="1" si="201"/>
        <v/>
      </c>
      <c r="AI541" s="9" t="str">
        <f t="shared" ca="1" si="202"/>
        <v/>
      </c>
      <c r="AJ541" s="9" t="str">
        <f t="shared" ca="1" si="203"/>
        <v/>
      </c>
      <c r="AK541" s="9" t="str">
        <f t="shared" ca="1" si="204"/>
        <v/>
      </c>
      <c r="AL541" s="9" t="str">
        <f t="shared" ca="1" si="205"/>
        <v/>
      </c>
      <c r="AM541" s="9" t="str">
        <f t="shared" ca="1" si="206"/>
        <v/>
      </c>
      <c r="AN541" s="9" t="str">
        <f t="shared" ca="1" si="207"/>
        <v/>
      </c>
      <c r="AO541" s="9" t="str">
        <f t="shared" ca="1" si="208"/>
        <v/>
      </c>
      <c r="AP541" s="9" t="str">
        <f t="shared" ca="1" si="209"/>
        <v/>
      </c>
      <c r="AQ541" s="9"/>
      <c r="AR541" s="9"/>
      <c r="AS541" s="9"/>
      <c r="AT541" s="9"/>
      <c r="AU541" s="9"/>
    </row>
    <row r="542" spans="1:47" x14ac:dyDescent="0.3">
      <c r="A542" s="1">
        <v>44249</v>
      </c>
      <c r="B542" s="6">
        <v>467.32998700000002</v>
      </c>
      <c r="C542" s="6">
        <v>254.69000199999999</v>
      </c>
      <c r="D542" s="6">
        <v>44.584999000000003</v>
      </c>
      <c r="E542" s="6">
        <v>131.990005</v>
      </c>
      <c r="F542" s="6">
        <v>104.94000200000001</v>
      </c>
      <c r="G542" s="6">
        <v>42.439999</v>
      </c>
      <c r="H542" s="6">
        <v>122.139999</v>
      </c>
      <c r="I542" s="6">
        <v>194.16000399999999</v>
      </c>
      <c r="J542" s="6">
        <v>26.49</v>
      </c>
      <c r="K542" s="6">
        <v>55.290000999999997</v>
      </c>
      <c r="N542" s="18">
        <v>538</v>
      </c>
      <c r="O542" s="1">
        <v>44249</v>
      </c>
      <c r="P542" s="5">
        <f t="shared" si="210"/>
        <v>-2.491545910464003E-2</v>
      </c>
      <c r="Q542" s="5">
        <f t="shared" si="211"/>
        <v>-5.1201039357457914E-2</v>
      </c>
      <c r="R542" s="5">
        <f t="shared" si="212"/>
        <v>-5.368584642401206E-3</v>
      </c>
      <c r="S542" s="5">
        <f t="shared" si="213"/>
        <v>-3.9318765210226989E-3</v>
      </c>
      <c r="T542" s="5">
        <f t="shared" si="214"/>
        <v>-1.8088737345657298E-3</v>
      </c>
      <c r="U542" s="5">
        <f t="shared" si="215"/>
        <v>5.1972240774740127E-3</v>
      </c>
      <c r="V542" s="5">
        <f t="shared" si="216"/>
        <v>-9.0020874731869596E-4</v>
      </c>
      <c r="W542" s="5">
        <f t="shared" si="217"/>
        <v>-4.111863201839751E-3</v>
      </c>
      <c r="X542" s="5">
        <f t="shared" si="218"/>
        <v>3.5738712898275529E-2</v>
      </c>
      <c r="Y542" s="5">
        <f t="shared" si="219"/>
        <v>8.489257393422607E-2</v>
      </c>
      <c r="Z542" s="33">
        <v>538</v>
      </c>
      <c r="AE542" s="20" t="str">
        <f t="shared" si="220"/>
        <v/>
      </c>
      <c r="AF542" s="22" t="str">
        <f t="shared" si="221"/>
        <v/>
      </c>
      <c r="AG542" s="9" t="str">
        <f t="shared" ca="1" si="200"/>
        <v/>
      </c>
      <c r="AH542" s="9" t="str">
        <f t="shared" ca="1" si="201"/>
        <v/>
      </c>
      <c r="AI542" s="9" t="str">
        <f t="shared" ca="1" si="202"/>
        <v/>
      </c>
      <c r="AJ542" s="9" t="str">
        <f t="shared" ca="1" si="203"/>
        <v/>
      </c>
      <c r="AK542" s="9" t="str">
        <f t="shared" ca="1" si="204"/>
        <v/>
      </c>
      <c r="AL542" s="9" t="str">
        <f t="shared" ca="1" si="205"/>
        <v/>
      </c>
      <c r="AM542" s="9" t="str">
        <f t="shared" ca="1" si="206"/>
        <v/>
      </c>
      <c r="AN542" s="9" t="str">
        <f t="shared" ca="1" si="207"/>
        <v/>
      </c>
      <c r="AO542" s="9" t="str">
        <f t="shared" ca="1" si="208"/>
        <v/>
      </c>
      <c r="AP542" s="9" t="str">
        <f t="shared" ca="1" si="209"/>
        <v/>
      </c>
      <c r="AQ542" s="9"/>
      <c r="AR542" s="9"/>
      <c r="AS542" s="9"/>
      <c r="AT542" s="9"/>
      <c r="AU542" s="9"/>
    </row>
    <row r="543" spans="1:47" x14ac:dyDescent="0.3">
      <c r="A543" s="1">
        <v>44250</v>
      </c>
      <c r="B543" s="6">
        <v>467.79998799999998</v>
      </c>
      <c r="C543" s="6">
        <v>253.21000699999999</v>
      </c>
      <c r="D543" s="6">
        <v>44.16</v>
      </c>
      <c r="E543" s="6">
        <v>132.779999</v>
      </c>
      <c r="F543" s="6">
        <v>107.589996</v>
      </c>
      <c r="G543" s="6">
        <v>43.48</v>
      </c>
      <c r="H543" s="6">
        <v>121.980003</v>
      </c>
      <c r="I543" s="6">
        <v>197.36999499999999</v>
      </c>
      <c r="J543" s="6">
        <v>26.58</v>
      </c>
      <c r="K543" s="6">
        <v>52.950001</v>
      </c>
      <c r="N543" s="19">
        <v>539</v>
      </c>
      <c r="O543" s="1">
        <v>44250</v>
      </c>
      <c r="P543" s="5">
        <f t="shared" si="210"/>
        <v>1.0052100823222693E-3</v>
      </c>
      <c r="Q543" s="5">
        <f t="shared" si="211"/>
        <v>-5.8279155846630744E-3</v>
      </c>
      <c r="R543" s="5">
        <f t="shared" si="212"/>
        <v>-9.5780551889346997E-3</v>
      </c>
      <c r="S543" s="5">
        <f t="shared" si="213"/>
        <v>5.9674157372383929E-3</v>
      </c>
      <c r="T543" s="5">
        <f t="shared" si="214"/>
        <v>2.4938892110565544E-2</v>
      </c>
      <c r="U543" s="5">
        <f t="shared" si="215"/>
        <v>2.4209772069903258E-2</v>
      </c>
      <c r="V543" s="5">
        <f t="shared" si="216"/>
        <v>-1.3107981451569572E-3</v>
      </c>
      <c r="W543" s="5">
        <f t="shared" si="217"/>
        <v>1.6397532412973839E-2</v>
      </c>
      <c r="X543" s="5">
        <f t="shared" si="218"/>
        <v>3.391750001120884E-3</v>
      </c>
      <c r="Y543" s="5">
        <f t="shared" si="219"/>
        <v>-4.3243987503138043E-2</v>
      </c>
      <c r="Z543" s="33">
        <v>539</v>
      </c>
      <c r="AE543" s="20" t="str">
        <f t="shared" si="220"/>
        <v/>
      </c>
      <c r="AF543" s="22" t="str">
        <f t="shared" si="221"/>
        <v/>
      </c>
      <c r="AG543" s="9" t="str">
        <f t="shared" ca="1" si="200"/>
        <v/>
      </c>
      <c r="AH543" s="9" t="str">
        <f t="shared" ca="1" si="201"/>
        <v/>
      </c>
      <c r="AI543" s="9" t="str">
        <f t="shared" ca="1" si="202"/>
        <v/>
      </c>
      <c r="AJ543" s="9" t="str">
        <f t="shared" ca="1" si="203"/>
        <v/>
      </c>
      <c r="AK543" s="9" t="str">
        <f t="shared" ca="1" si="204"/>
        <v/>
      </c>
      <c r="AL543" s="9" t="str">
        <f t="shared" ca="1" si="205"/>
        <v/>
      </c>
      <c r="AM543" s="9" t="str">
        <f t="shared" ca="1" si="206"/>
        <v/>
      </c>
      <c r="AN543" s="9" t="str">
        <f t="shared" ca="1" si="207"/>
        <v/>
      </c>
      <c r="AO543" s="9" t="str">
        <f t="shared" ca="1" si="208"/>
        <v/>
      </c>
      <c r="AP543" s="9" t="str">
        <f t="shared" ca="1" si="209"/>
        <v/>
      </c>
      <c r="AQ543" s="9"/>
      <c r="AR543" s="9"/>
      <c r="AS543" s="9"/>
      <c r="AT543" s="9"/>
      <c r="AU543" s="9"/>
    </row>
    <row r="544" spans="1:47" x14ac:dyDescent="0.3">
      <c r="A544" s="1">
        <v>44251</v>
      </c>
      <c r="B544" s="6">
        <v>476.61999500000002</v>
      </c>
      <c r="C544" s="6">
        <v>260.67999300000002</v>
      </c>
      <c r="D544" s="6">
        <v>44.119999</v>
      </c>
      <c r="E544" s="6">
        <v>132.08999600000001</v>
      </c>
      <c r="F544" s="6">
        <v>106.760002</v>
      </c>
      <c r="G544" s="6">
        <v>43.43</v>
      </c>
      <c r="H544" s="6">
        <v>125.5</v>
      </c>
      <c r="I544" s="6">
        <v>206.820007</v>
      </c>
      <c r="J544" s="6">
        <v>27</v>
      </c>
      <c r="K544" s="6">
        <v>51.860000999999997</v>
      </c>
      <c r="N544" s="18">
        <v>540</v>
      </c>
      <c r="O544" s="1">
        <v>44251</v>
      </c>
      <c r="P544" s="5">
        <f t="shared" si="210"/>
        <v>1.8678688706590101E-2</v>
      </c>
      <c r="Q544" s="5">
        <f t="shared" si="211"/>
        <v>2.9074363005386437E-2</v>
      </c>
      <c r="R544" s="5">
        <f t="shared" si="212"/>
        <v>-9.0623024899614928E-4</v>
      </c>
      <c r="S544" s="5">
        <f t="shared" si="213"/>
        <v>-5.21013760636997E-3</v>
      </c>
      <c r="T544" s="5">
        <f t="shared" si="214"/>
        <v>-7.7443261577093371E-3</v>
      </c>
      <c r="U544" s="5">
        <f t="shared" si="215"/>
        <v>-1.1506157062780758E-3</v>
      </c>
      <c r="V544" s="5">
        <f t="shared" si="216"/>
        <v>2.8448637109332951E-2</v>
      </c>
      <c r="W544" s="5">
        <f t="shared" si="217"/>
        <v>4.6768769169799482E-2</v>
      </c>
      <c r="X544" s="5">
        <f t="shared" si="218"/>
        <v>1.567781271922979E-2</v>
      </c>
      <c r="Y544" s="5">
        <f t="shared" si="219"/>
        <v>-2.0800291539954364E-2</v>
      </c>
      <c r="Z544" s="33">
        <v>540</v>
      </c>
      <c r="AE544" s="20" t="str">
        <f t="shared" si="220"/>
        <v/>
      </c>
      <c r="AF544" s="22" t="str">
        <f t="shared" si="221"/>
        <v/>
      </c>
      <c r="AG544" s="9" t="str">
        <f t="shared" ca="1" si="200"/>
        <v/>
      </c>
      <c r="AH544" s="9" t="str">
        <f t="shared" ca="1" si="201"/>
        <v/>
      </c>
      <c r="AI544" s="9" t="str">
        <f t="shared" ca="1" si="202"/>
        <v/>
      </c>
      <c r="AJ544" s="9" t="str">
        <f t="shared" ca="1" si="203"/>
        <v/>
      </c>
      <c r="AK544" s="9" t="str">
        <f t="shared" ca="1" si="204"/>
        <v/>
      </c>
      <c r="AL544" s="9" t="str">
        <f t="shared" ca="1" si="205"/>
        <v/>
      </c>
      <c r="AM544" s="9" t="str">
        <f t="shared" ca="1" si="206"/>
        <v/>
      </c>
      <c r="AN544" s="9" t="str">
        <f t="shared" ca="1" si="207"/>
        <v/>
      </c>
      <c r="AO544" s="9" t="str">
        <f t="shared" ca="1" si="208"/>
        <v/>
      </c>
      <c r="AP544" s="9" t="str">
        <f t="shared" ca="1" si="209"/>
        <v/>
      </c>
      <c r="AQ544" s="9"/>
      <c r="AR544" s="9"/>
      <c r="AS544" s="9"/>
      <c r="AT544" s="9"/>
      <c r="AU544" s="9"/>
    </row>
    <row r="545" spans="1:47" x14ac:dyDescent="0.3">
      <c r="A545" s="1">
        <v>44252</v>
      </c>
      <c r="B545" s="6">
        <v>459.16000400000001</v>
      </c>
      <c r="C545" s="6">
        <v>244.08999600000001</v>
      </c>
      <c r="D545" s="6">
        <v>42.674999</v>
      </c>
      <c r="E545" s="6">
        <v>130</v>
      </c>
      <c r="F545" s="6">
        <v>105.459999</v>
      </c>
      <c r="G545" s="6">
        <v>42.380001</v>
      </c>
      <c r="H545" s="6">
        <v>124.279999</v>
      </c>
      <c r="I545" s="6">
        <v>204.070007</v>
      </c>
      <c r="J545" s="6">
        <v>26.08</v>
      </c>
      <c r="K545" s="6">
        <v>51.32</v>
      </c>
      <c r="N545" s="19">
        <v>541</v>
      </c>
      <c r="O545" s="1">
        <v>44252</v>
      </c>
      <c r="P545" s="5">
        <f t="shared" si="210"/>
        <v>-3.732077529582415E-2</v>
      </c>
      <c r="Q545" s="5">
        <f t="shared" si="211"/>
        <v>-6.5756581255858079E-2</v>
      </c>
      <c r="R545" s="5">
        <f t="shared" si="212"/>
        <v>-3.3299926472262827E-2</v>
      </c>
      <c r="S545" s="5">
        <f t="shared" si="213"/>
        <v>-1.5949027697806133E-2</v>
      </c>
      <c r="T545" s="5">
        <f t="shared" si="214"/>
        <v>-1.2251618649875819E-2</v>
      </c>
      <c r="U545" s="5">
        <f t="shared" si="215"/>
        <v>-2.4473870110541873E-2</v>
      </c>
      <c r="V545" s="5">
        <f t="shared" si="216"/>
        <v>-9.7686820933389103E-3</v>
      </c>
      <c r="W545" s="5">
        <f t="shared" si="217"/>
        <v>-1.3385777059735768E-2</v>
      </c>
      <c r="X545" s="5">
        <f t="shared" si="218"/>
        <v>-3.4668128945876946E-2</v>
      </c>
      <c r="Y545" s="5">
        <f t="shared" si="219"/>
        <v>-1.0467259645766561E-2</v>
      </c>
      <c r="Z545" s="33">
        <v>541</v>
      </c>
      <c r="AE545" s="20" t="str">
        <f t="shared" si="220"/>
        <v/>
      </c>
      <c r="AF545" s="22" t="str">
        <f t="shared" si="221"/>
        <v/>
      </c>
      <c r="AG545" s="9" t="str">
        <f t="shared" ca="1" si="200"/>
        <v/>
      </c>
      <c r="AH545" s="9" t="str">
        <f t="shared" ca="1" si="201"/>
        <v/>
      </c>
      <c r="AI545" s="9" t="str">
        <f t="shared" ca="1" si="202"/>
        <v/>
      </c>
      <c r="AJ545" s="9" t="str">
        <f t="shared" ca="1" si="203"/>
        <v/>
      </c>
      <c r="AK545" s="9" t="str">
        <f t="shared" ca="1" si="204"/>
        <v/>
      </c>
      <c r="AL545" s="9" t="str">
        <f t="shared" ca="1" si="205"/>
        <v/>
      </c>
      <c r="AM545" s="9" t="str">
        <f t="shared" ca="1" si="206"/>
        <v/>
      </c>
      <c r="AN545" s="9" t="str">
        <f t="shared" ca="1" si="207"/>
        <v/>
      </c>
      <c r="AO545" s="9" t="str">
        <f t="shared" ca="1" si="208"/>
        <v/>
      </c>
      <c r="AP545" s="9" t="str">
        <f t="shared" ca="1" si="209"/>
        <v/>
      </c>
      <c r="AQ545" s="9"/>
      <c r="AR545" s="9"/>
      <c r="AS545" s="9"/>
      <c r="AT545" s="9"/>
      <c r="AU545" s="9"/>
    </row>
    <row r="546" spans="1:47" x14ac:dyDescent="0.3">
      <c r="A546" s="1">
        <v>44253</v>
      </c>
      <c r="B546" s="6">
        <v>459.67001299999998</v>
      </c>
      <c r="C546" s="6">
        <v>245.21000699999999</v>
      </c>
      <c r="D546" s="6">
        <v>43.869999</v>
      </c>
      <c r="E546" s="6">
        <v>129.19000199999999</v>
      </c>
      <c r="F546" s="6">
        <v>104.150002</v>
      </c>
      <c r="G546" s="6">
        <v>41.169998</v>
      </c>
      <c r="H546" s="6">
        <v>123.260002</v>
      </c>
      <c r="I546" s="6">
        <v>203.11000100000001</v>
      </c>
      <c r="J546" s="6">
        <v>26.120000999999998</v>
      </c>
      <c r="K546" s="6">
        <v>53.029998999999997</v>
      </c>
      <c r="N546" s="18">
        <v>542</v>
      </c>
      <c r="O546" s="1">
        <v>44253</v>
      </c>
      <c r="P546" s="5">
        <f t="shared" si="210"/>
        <v>1.1101271028178309E-3</v>
      </c>
      <c r="Q546" s="5">
        <f t="shared" si="211"/>
        <v>4.578021456193136E-3</v>
      </c>
      <c r="R546" s="5">
        <f t="shared" si="212"/>
        <v>2.7617447135921038E-2</v>
      </c>
      <c r="S546" s="5">
        <f t="shared" si="213"/>
        <v>-6.25024600229833E-3</v>
      </c>
      <c r="T546" s="5">
        <f t="shared" si="214"/>
        <v>-1.2499537710002194E-2</v>
      </c>
      <c r="U546" s="5">
        <f t="shared" si="215"/>
        <v>-2.8966789233438844E-2</v>
      </c>
      <c r="V546" s="5">
        <f t="shared" si="216"/>
        <v>-8.2411147185387553E-3</v>
      </c>
      <c r="W546" s="5">
        <f t="shared" si="217"/>
        <v>-4.7153974161142044E-3</v>
      </c>
      <c r="X546" s="5">
        <f t="shared" si="218"/>
        <v>1.5326056346165059E-3</v>
      </c>
      <c r="Y546" s="5">
        <f t="shared" si="219"/>
        <v>3.277723254435199E-2</v>
      </c>
      <c r="Z546" s="33">
        <v>542</v>
      </c>
      <c r="AE546" s="20" t="str">
        <f t="shared" si="220"/>
        <v/>
      </c>
      <c r="AF546" s="22" t="str">
        <f t="shared" si="221"/>
        <v/>
      </c>
      <c r="AG546" s="9" t="str">
        <f t="shared" ca="1" si="200"/>
        <v/>
      </c>
      <c r="AH546" s="9" t="str">
        <f t="shared" ca="1" si="201"/>
        <v/>
      </c>
      <c r="AI546" s="9" t="str">
        <f t="shared" ca="1" si="202"/>
        <v/>
      </c>
      <c r="AJ546" s="9" t="str">
        <f t="shared" ca="1" si="203"/>
        <v/>
      </c>
      <c r="AK546" s="9" t="str">
        <f t="shared" ca="1" si="204"/>
        <v/>
      </c>
      <c r="AL546" s="9" t="str">
        <f t="shared" ca="1" si="205"/>
        <v/>
      </c>
      <c r="AM546" s="9" t="str">
        <f t="shared" ca="1" si="206"/>
        <v/>
      </c>
      <c r="AN546" s="9" t="str">
        <f t="shared" ca="1" si="207"/>
        <v/>
      </c>
      <c r="AO546" s="9" t="str">
        <f t="shared" ca="1" si="208"/>
        <v/>
      </c>
      <c r="AP546" s="9" t="str">
        <f t="shared" ca="1" si="209"/>
        <v/>
      </c>
      <c r="AQ546" s="9"/>
      <c r="AR546" s="9"/>
      <c r="AS546" s="9"/>
      <c r="AT546" s="9"/>
      <c r="AU546" s="9"/>
    </row>
    <row r="547" spans="1:47" x14ac:dyDescent="0.3">
      <c r="A547" s="1">
        <v>44256</v>
      </c>
      <c r="B547" s="6">
        <v>469.57000699999998</v>
      </c>
      <c r="C547" s="6">
        <v>254.16999799999999</v>
      </c>
      <c r="D547" s="6">
        <v>43.775002000000001</v>
      </c>
      <c r="E547" s="6">
        <v>130.61999499999999</v>
      </c>
      <c r="F547" s="6">
        <v>104.010002</v>
      </c>
      <c r="G547" s="6">
        <v>42.09</v>
      </c>
      <c r="H547" s="6">
        <v>127.370003</v>
      </c>
      <c r="I547" s="6">
        <v>208.679993</v>
      </c>
      <c r="J547" s="6">
        <v>26.790001</v>
      </c>
      <c r="K547" s="6">
        <v>58.18</v>
      </c>
      <c r="N547" s="19">
        <v>543</v>
      </c>
      <c r="O547" s="1">
        <v>44256</v>
      </c>
      <c r="P547" s="5">
        <f t="shared" si="210"/>
        <v>2.1308528212059211E-2</v>
      </c>
      <c r="Q547" s="5">
        <f t="shared" si="211"/>
        <v>3.5888311801140264E-2</v>
      </c>
      <c r="R547" s="5">
        <f t="shared" si="212"/>
        <v>-2.1677685234091915E-3</v>
      </c>
      <c r="S547" s="5">
        <f t="shared" si="213"/>
        <v>1.1008101742249077E-2</v>
      </c>
      <c r="T547" s="5">
        <f t="shared" si="214"/>
        <v>-1.3451193160914224E-3</v>
      </c>
      <c r="U547" s="5">
        <f t="shared" si="215"/>
        <v>2.2100395579729676E-2</v>
      </c>
      <c r="V547" s="5">
        <f t="shared" si="216"/>
        <v>3.2800298395133834E-2</v>
      </c>
      <c r="W547" s="5">
        <f t="shared" si="217"/>
        <v>2.7054235483174129E-2</v>
      </c>
      <c r="X547" s="5">
        <f t="shared" si="218"/>
        <v>2.5327378190808991E-2</v>
      </c>
      <c r="Y547" s="5">
        <f t="shared" si="219"/>
        <v>9.2683880775267818E-2</v>
      </c>
      <c r="Z547" s="33">
        <v>543</v>
      </c>
      <c r="AE547" s="20" t="str">
        <f t="shared" si="220"/>
        <v/>
      </c>
      <c r="AF547" s="22" t="str">
        <f t="shared" si="221"/>
        <v/>
      </c>
      <c r="AG547" s="9" t="str">
        <f t="shared" ca="1" si="200"/>
        <v/>
      </c>
      <c r="AH547" s="9" t="str">
        <f t="shared" ca="1" si="201"/>
        <v/>
      </c>
      <c r="AI547" s="9" t="str">
        <f t="shared" ca="1" si="202"/>
        <v/>
      </c>
      <c r="AJ547" s="9" t="str">
        <f t="shared" ca="1" si="203"/>
        <v/>
      </c>
      <c r="AK547" s="9" t="str">
        <f t="shared" ca="1" si="204"/>
        <v/>
      </c>
      <c r="AL547" s="9" t="str">
        <f t="shared" ca="1" si="205"/>
        <v/>
      </c>
      <c r="AM547" s="9" t="str">
        <f t="shared" ca="1" si="206"/>
        <v/>
      </c>
      <c r="AN547" s="9" t="str">
        <f t="shared" ca="1" si="207"/>
        <v/>
      </c>
      <c r="AO547" s="9" t="str">
        <f t="shared" ca="1" si="208"/>
        <v/>
      </c>
      <c r="AP547" s="9" t="str">
        <f t="shared" ca="1" si="209"/>
        <v/>
      </c>
      <c r="AQ547" s="9"/>
      <c r="AR547" s="9"/>
      <c r="AS547" s="9"/>
      <c r="AT547" s="9"/>
      <c r="AU547" s="9"/>
    </row>
    <row r="548" spans="1:47" x14ac:dyDescent="0.3">
      <c r="A548" s="1">
        <v>44257</v>
      </c>
      <c r="B548" s="6">
        <v>466.58999599999999</v>
      </c>
      <c r="C548" s="6">
        <v>247.86999499999999</v>
      </c>
      <c r="D548" s="6">
        <v>43.439999</v>
      </c>
      <c r="E548" s="6">
        <v>131.070007</v>
      </c>
      <c r="F548" s="6">
        <v>103.779999</v>
      </c>
      <c r="G548" s="6">
        <v>42.110000999999997</v>
      </c>
      <c r="H548" s="6">
        <v>127.150002</v>
      </c>
      <c r="I548" s="6">
        <v>209.91000399999999</v>
      </c>
      <c r="J548" s="6">
        <v>26.959999</v>
      </c>
      <c r="K548" s="6">
        <v>59.240001999999997</v>
      </c>
      <c r="N548" s="18">
        <v>544</v>
      </c>
      <c r="O548" s="1">
        <v>44257</v>
      </c>
      <c r="P548" s="5">
        <f t="shared" si="210"/>
        <v>-6.3664780719918969E-3</v>
      </c>
      <c r="Q548" s="5">
        <f t="shared" si="211"/>
        <v>-2.5098931605547308E-2</v>
      </c>
      <c r="R548" s="5">
        <f t="shared" si="212"/>
        <v>-7.6822712546707585E-3</v>
      </c>
      <c r="S548" s="5">
        <f t="shared" si="213"/>
        <v>3.4392788424963639E-3</v>
      </c>
      <c r="T548" s="5">
        <f t="shared" si="214"/>
        <v>-2.2138032901362526E-3</v>
      </c>
      <c r="U548" s="5">
        <f t="shared" si="215"/>
        <v>4.7508313868513304E-4</v>
      </c>
      <c r="V548" s="5">
        <f t="shared" si="216"/>
        <v>-1.7287525575128706E-3</v>
      </c>
      <c r="W548" s="5">
        <f t="shared" si="217"/>
        <v>5.8769418716918091E-3</v>
      </c>
      <c r="X548" s="5">
        <f t="shared" si="218"/>
        <v>6.3255280682397875E-3</v>
      </c>
      <c r="Y548" s="5">
        <f t="shared" si="219"/>
        <v>1.805537009351425E-2</v>
      </c>
      <c r="Z548" s="33">
        <v>544</v>
      </c>
      <c r="AE548" s="20" t="str">
        <f t="shared" si="220"/>
        <v/>
      </c>
      <c r="AF548" s="22" t="str">
        <f t="shared" si="221"/>
        <v/>
      </c>
      <c r="AG548" s="9" t="str">
        <f t="shared" ca="1" si="200"/>
        <v/>
      </c>
      <c r="AH548" s="9" t="str">
        <f t="shared" ca="1" si="201"/>
        <v/>
      </c>
      <c r="AI548" s="9" t="str">
        <f t="shared" ca="1" si="202"/>
        <v/>
      </c>
      <c r="AJ548" s="9" t="str">
        <f t="shared" ca="1" si="203"/>
        <v/>
      </c>
      <c r="AK548" s="9" t="str">
        <f t="shared" ca="1" si="204"/>
        <v/>
      </c>
      <c r="AL548" s="9" t="str">
        <f t="shared" ca="1" si="205"/>
        <v/>
      </c>
      <c r="AM548" s="9" t="str">
        <f t="shared" ca="1" si="206"/>
        <v/>
      </c>
      <c r="AN548" s="9" t="str">
        <f t="shared" ca="1" si="207"/>
        <v/>
      </c>
      <c r="AO548" s="9" t="str">
        <f t="shared" ca="1" si="208"/>
        <v/>
      </c>
      <c r="AP548" s="9" t="str">
        <f t="shared" ca="1" si="209"/>
        <v/>
      </c>
      <c r="AQ548" s="9"/>
      <c r="AR548" s="9"/>
      <c r="AS548" s="9"/>
      <c r="AT548" s="9"/>
      <c r="AU548" s="9"/>
    </row>
    <row r="549" spans="1:47" x14ac:dyDescent="0.3">
      <c r="A549" s="1">
        <v>44258</v>
      </c>
      <c r="B549" s="6">
        <v>448.45001200000002</v>
      </c>
      <c r="C549" s="6">
        <v>236.929993</v>
      </c>
      <c r="D549" s="6">
        <v>42.299999</v>
      </c>
      <c r="E549" s="6">
        <v>129.13999899999999</v>
      </c>
      <c r="F549" s="6">
        <v>103.230003</v>
      </c>
      <c r="G549" s="6">
        <v>42.689999</v>
      </c>
      <c r="H549" s="6">
        <v>126.989998</v>
      </c>
      <c r="I549" s="6">
        <v>214.38000500000001</v>
      </c>
      <c r="J549" s="6">
        <v>27.280000999999999</v>
      </c>
      <c r="K549" s="6">
        <v>61.450001</v>
      </c>
      <c r="N549" s="19">
        <v>545</v>
      </c>
      <c r="O549" s="1">
        <v>44258</v>
      </c>
      <c r="P549" s="5">
        <f t="shared" si="210"/>
        <v>-3.96536998288936E-2</v>
      </c>
      <c r="Q549" s="5">
        <f t="shared" si="211"/>
        <v>-4.5139685693467248E-2</v>
      </c>
      <c r="R549" s="5">
        <f t="shared" si="212"/>
        <v>-2.6593590193851862E-2</v>
      </c>
      <c r="S549" s="5">
        <f t="shared" si="213"/>
        <v>-1.4834505583242764E-2</v>
      </c>
      <c r="T549" s="5">
        <f t="shared" si="214"/>
        <v>-5.3137267650079957E-3</v>
      </c>
      <c r="U549" s="5">
        <f t="shared" si="215"/>
        <v>1.3679411424016359E-2</v>
      </c>
      <c r="V549" s="5">
        <f t="shared" si="216"/>
        <v>-1.259180145911682E-3</v>
      </c>
      <c r="W549" s="5">
        <f t="shared" si="217"/>
        <v>2.1071278104743754E-2</v>
      </c>
      <c r="X549" s="5">
        <f t="shared" si="218"/>
        <v>1.1799620680034558E-2</v>
      </c>
      <c r="Y549" s="5">
        <f t="shared" si="219"/>
        <v>3.6626829124867075E-2</v>
      </c>
      <c r="Z549" s="33">
        <v>545</v>
      </c>
      <c r="AE549" s="20" t="str">
        <f t="shared" si="220"/>
        <v/>
      </c>
      <c r="AF549" s="22" t="str">
        <f t="shared" si="221"/>
        <v/>
      </c>
      <c r="AG549" s="9" t="str">
        <f t="shared" ca="1" si="200"/>
        <v/>
      </c>
      <c r="AH549" s="9" t="str">
        <f t="shared" ca="1" si="201"/>
        <v/>
      </c>
      <c r="AI549" s="9" t="str">
        <f t="shared" ca="1" si="202"/>
        <v/>
      </c>
      <c r="AJ549" s="9" t="str">
        <f t="shared" ca="1" si="203"/>
        <v/>
      </c>
      <c r="AK549" s="9" t="str">
        <f t="shared" ca="1" si="204"/>
        <v/>
      </c>
      <c r="AL549" s="9" t="str">
        <f t="shared" ca="1" si="205"/>
        <v/>
      </c>
      <c r="AM549" s="9" t="str">
        <f t="shared" ca="1" si="206"/>
        <v/>
      </c>
      <c r="AN549" s="9" t="str">
        <f t="shared" ca="1" si="207"/>
        <v/>
      </c>
      <c r="AO549" s="9" t="str">
        <f t="shared" ca="1" si="208"/>
        <v/>
      </c>
      <c r="AP549" s="9" t="str">
        <f t="shared" ca="1" si="209"/>
        <v/>
      </c>
      <c r="AQ549" s="9"/>
      <c r="AR549" s="9"/>
      <c r="AS549" s="9"/>
      <c r="AT549" s="9"/>
      <c r="AU549" s="9"/>
    </row>
    <row r="550" spans="1:47" x14ac:dyDescent="0.3">
      <c r="A550" s="1">
        <v>44259</v>
      </c>
      <c r="B550" s="6">
        <v>439.05999800000001</v>
      </c>
      <c r="C550" s="6">
        <v>229.800003</v>
      </c>
      <c r="D550" s="6">
        <v>42.34</v>
      </c>
      <c r="E550" s="6">
        <v>128.83000200000001</v>
      </c>
      <c r="F550" s="6">
        <v>100.43</v>
      </c>
      <c r="G550" s="6">
        <v>42.34</v>
      </c>
      <c r="H550" s="6">
        <v>125.360001</v>
      </c>
      <c r="I550" s="6">
        <v>210.88000500000001</v>
      </c>
      <c r="J550" s="6">
        <v>26.950001</v>
      </c>
      <c r="K550" s="6">
        <v>62.599997999999999</v>
      </c>
      <c r="N550" s="18">
        <v>546</v>
      </c>
      <c r="O550" s="1">
        <v>44259</v>
      </c>
      <c r="P550" s="5">
        <f t="shared" si="210"/>
        <v>-2.1161145882257083E-2</v>
      </c>
      <c r="Q550" s="5">
        <f t="shared" si="211"/>
        <v>-3.0555330844308382E-2</v>
      </c>
      <c r="R550" s="5">
        <f t="shared" si="212"/>
        <v>9.4520329514906506E-4</v>
      </c>
      <c r="S550" s="5">
        <f t="shared" si="213"/>
        <v>-2.4033581270189648E-3</v>
      </c>
      <c r="T550" s="5">
        <f t="shared" si="214"/>
        <v>-2.7498570133569874E-2</v>
      </c>
      <c r="U550" s="5">
        <f t="shared" si="215"/>
        <v>-8.2324116384616293E-3</v>
      </c>
      <c r="V550" s="5">
        <f t="shared" si="216"/>
        <v>-1.2918721426878783E-2</v>
      </c>
      <c r="W550" s="5">
        <f t="shared" si="217"/>
        <v>-1.6460889562135327E-2</v>
      </c>
      <c r="X550" s="5">
        <f t="shared" si="218"/>
        <v>-1.217053517139524E-2</v>
      </c>
      <c r="Y550" s="5">
        <f t="shared" si="219"/>
        <v>1.8541393871733914E-2</v>
      </c>
      <c r="Z550" s="33">
        <v>546</v>
      </c>
      <c r="AE550" s="20" t="str">
        <f t="shared" si="220"/>
        <v/>
      </c>
      <c r="AF550" s="22" t="str">
        <f t="shared" si="221"/>
        <v/>
      </c>
      <c r="AG550" s="9" t="str">
        <f t="shared" ca="1" si="200"/>
        <v/>
      </c>
      <c r="AH550" s="9" t="str">
        <f t="shared" ca="1" si="201"/>
        <v/>
      </c>
      <c r="AI550" s="9" t="str">
        <f t="shared" ca="1" si="202"/>
        <v/>
      </c>
      <c r="AJ550" s="9" t="str">
        <f t="shared" ca="1" si="203"/>
        <v/>
      </c>
      <c r="AK550" s="9" t="str">
        <f t="shared" ca="1" si="204"/>
        <v/>
      </c>
      <c r="AL550" s="9" t="str">
        <f t="shared" ca="1" si="205"/>
        <v/>
      </c>
      <c r="AM550" s="9" t="str">
        <f t="shared" ca="1" si="206"/>
        <v/>
      </c>
      <c r="AN550" s="9" t="str">
        <f t="shared" ca="1" si="207"/>
        <v/>
      </c>
      <c r="AO550" s="9" t="str">
        <f t="shared" ca="1" si="208"/>
        <v/>
      </c>
      <c r="AP550" s="9" t="str">
        <f t="shared" ca="1" si="209"/>
        <v/>
      </c>
      <c r="AQ550" s="9"/>
      <c r="AR550" s="9"/>
      <c r="AS550" s="9"/>
      <c r="AT550" s="9"/>
      <c r="AU550" s="9"/>
    </row>
    <row r="551" spans="1:47" x14ac:dyDescent="0.3">
      <c r="A551" s="1">
        <v>44260</v>
      </c>
      <c r="B551" s="6">
        <v>440.82998700000002</v>
      </c>
      <c r="C551" s="6">
        <v>227.800003</v>
      </c>
      <c r="D551" s="6">
        <v>43.209999000000003</v>
      </c>
      <c r="E551" s="6">
        <v>133.029999</v>
      </c>
      <c r="F551" s="6">
        <v>102.69000200000001</v>
      </c>
      <c r="G551" s="6">
        <v>42.549999</v>
      </c>
      <c r="H551" s="6">
        <v>130.05999800000001</v>
      </c>
      <c r="I551" s="6">
        <v>217.28999300000001</v>
      </c>
      <c r="J551" s="6">
        <v>27.879999000000002</v>
      </c>
      <c r="K551" s="6">
        <v>64.25</v>
      </c>
      <c r="N551" s="19">
        <v>547</v>
      </c>
      <c r="O551" s="1">
        <v>44260</v>
      </c>
      <c r="P551" s="5">
        <f t="shared" si="210"/>
        <v>4.0232106686668894E-3</v>
      </c>
      <c r="Q551" s="5">
        <f t="shared" si="211"/>
        <v>-8.7413142869568992E-3</v>
      </c>
      <c r="R551" s="5">
        <f t="shared" si="212"/>
        <v>2.0339661094331361E-2</v>
      </c>
      <c r="S551" s="5">
        <f t="shared" si="213"/>
        <v>3.2080937850945207E-2</v>
      </c>
      <c r="T551" s="5">
        <f t="shared" si="214"/>
        <v>2.2253793281048824E-2</v>
      </c>
      <c r="U551" s="5">
        <f t="shared" si="215"/>
        <v>4.947565810901125E-3</v>
      </c>
      <c r="V551" s="5">
        <f t="shared" si="216"/>
        <v>3.6806261038696206E-2</v>
      </c>
      <c r="W551" s="5">
        <f t="shared" si="217"/>
        <v>2.9943559636022604E-2</v>
      </c>
      <c r="X551" s="5">
        <f t="shared" si="218"/>
        <v>3.3926215563559931E-2</v>
      </c>
      <c r="Y551" s="5">
        <f t="shared" si="219"/>
        <v>2.6016477618158593E-2</v>
      </c>
      <c r="Z551" s="33">
        <v>547</v>
      </c>
      <c r="AE551" s="20" t="str">
        <f t="shared" si="220"/>
        <v/>
      </c>
      <c r="AF551" s="22" t="str">
        <f t="shared" si="221"/>
        <v/>
      </c>
      <c r="AG551" s="9" t="str">
        <f t="shared" ca="1" si="200"/>
        <v/>
      </c>
      <c r="AH551" s="9" t="str">
        <f t="shared" ca="1" si="201"/>
        <v/>
      </c>
      <c r="AI551" s="9" t="str">
        <f t="shared" ca="1" si="202"/>
        <v/>
      </c>
      <c r="AJ551" s="9" t="str">
        <f t="shared" ca="1" si="203"/>
        <v/>
      </c>
      <c r="AK551" s="9" t="str">
        <f t="shared" ca="1" si="204"/>
        <v/>
      </c>
      <c r="AL551" s="9" t="str">
        <f t="shared" ca="1" si="205"/>
        <v/>
      </c>
      <c r="AM551" s="9" t="str">
        <f t="shared" ca="1" si="206"/>
        <v/>
      </c>
      <c r="AN551" s="9" t="str">
        <f t="shared" ca="1" si="207"/>
        <v/>
      </c>
      <c r="AO551" s="9" t="str">
        <f t="shared" ca="1" si="208"/>
        <v/>
      </c>
      <c r="AP551" s="9" t="str">
        <f t="shared" ca="1" si="209"/>
        <v/>
      </c>
      <c r="AQ551" s="9"/>
      <c r="AR551" s="9"/>
      <c r="AS551" s="9"/>
      <c r="AT551" s="9"/>
      <c r="AU551" s="9"/>
    </row>
    <row r="552" spans="1:47" x14ac:dyDescent="0.3">
      <c r="A552" s="1">
        <v>44263</v>
      </c>
      <c r="B552" s="6">
        <v>421.20001200000002</v>
      </c>
      <c r="C552" s="6">
        <v>218.490005</v>
      </c>
      <c r="D552" s="6">
        <v>42.57</v>
      </c>
      <c r="E552" s="6">
        <v>132.13000500000001</v>
      </c>
      <c r="F552" s="6">
        <v>103.099998</v>
      </c>
      <c r="G552" s="6">
        <v>43.450001</v>
      </c>
      <c r="H552" s="6">
        <v>131.779999</v>
      </c>
      <c r="I552" s="6">
        <v>218.229996</v>
      </c>
      <c r="J552" s="6">
        <v>28.540001</v>
      </c>
      <c r="K552" s="6">
        <v>67.25</v>
      </c>
      <c r="N552" s="18">
        <v>548</v>
      </c>
      <c r="O552" s="1">
        <v>44263</v>
      </c>
      <c r="P552" s="5">
        <f t="shared" si="210"/>
        <v>-4.5551475359409059E-2</v>
      </c>
      <c r="Q552" s="5">
        <f t="shared" si="211"/>
        <v>-4.1727794400252906E-2</v>
      </c>
      <c r="R552" s="5">
        <f t="shared" si="212"/>
        <v>-1.4922146960989598E-2</v>
      </c>
      <c r="S552" s="5">
        <f t="shared" si="213"/>
        <v>-6.788334911068318E-3</v>
      </c>
      <c r="T552" s="5">
        <f t="shared" si="214"/>
        <v>3.9846109379753991E-3</v>
      </c>
      <c r="U552" s="5">
        <f t="shared" si="215"/>
        <v>2.0931043208740268E-2</v>
      </c>
      <c r="V552" s="5">
        <f t="shared" si="216"/>
        <v>1.3137990833781288E-2</v>
      </c>
      <c r="W552" s="5">
        <f t="shared" si="217"/>
        <v>4.3166995012909352E-3</v>
      </c>
      <c r="X552" s="5">
        <f t="shared" si="218"/>
        <v>2.3397097062915435E-2</v>
      </c>
      <c r="Y552" s="5">
        <f t="shared" si="219"/>
        <v>4.563529470661936E-2</v>
      </c>
      <c r="Z552" s="33">
        <v>548</v>
      </c>
      <c r="AE552" s="20" t="str">
        <f t="shared" si="220"/>
        <v/>
      </c>
      <c r="AF552" s="22" t="str">
        <f t="shared" si="221"/>
        <v/>
      </c>
      <c r="AG552" s="9" t="str">
        <f t="shared" ca="1" si="200"/>
        <v/>
      </c>
      <c r="AH552" s="9" t="str">
        <f t="shared" ca="1" si="201"/>
        <v/>
      </c>
      <c r="AI552" s="9" t="str">
        <f t="shared" ca="1" si="202"/>
        <v/>
      </c>
      <c r="AJ552" s="9" t="str">
        <f t="shared" ca="1" si="203"/>
        <v/>
      </c>
      <c r="AK552" s="9" t="str">
        <f t="shared" ca="1" si="204"/>
        <v/>
      </c>
      <c r="AL552" s="9" t="str">
        <f t="shared" ca="1" si="205"/>
        <v/>
      </c>
      <c r="AM552" s="9" t="str">
        <f t="shared" ca="1" si="206"/>
        <v/>
      </c>
      <c r="AN552" s="9" t="str">
        <f t="shared" ca="1" si="207"/>
        <v/>
      </c>
      <c r="AO552" s="9" t="str">
        <f t="shared" ca="1" si="208"/>
        <v/>
      </c>
      <c r="AP552" s="9" t="str">
        <f t="shared" ca="1" si="209"/>
        <v/>
      </c>
      <c r="AQ552" s="9"/>
      <c r="AR552" s="9"/>
      <c r="AS552" s="9"/>
      <c r="AT552" s="9"/>
      <c r="AU552" s="9"/>
    </row>
    <row r="553" spans="1:47" x14ac:dyDescent="0.3">
      <c r="A553" s="1">
        <v>44264</v>
      </c>
      <c r="B553" s="6">
        <v>439.17999300000002</v>
      </c>
      <c r="C553" s="6">
        <v>228.39999399999999</v>
      </c>
      <c r="D553" s="6">
        <v>44.220001000000003</v>
      </c>
      <c r="E553" s="6">
        <v>132.25</v>
      </c>
      <c r="F553" s="6">
        <v>102.489998</v>
      </c>
      <c r="G553" s="6">
        <v>42.919998</v>
      </c>
      <c r="H553" s="6">
        <v>130.91999799999999</v>
      </c>
      <c r="I553" s="6">
        <v>217.529999</v>
      </c>
      <c r="J553" s="6">
        <v>28.5</v>
      </c>
      <c r="K553" s="6">
        <v>63.009998000000003</v>
      </c>
      <c r="N553" s="19">
        <v>549</v>
      </c>
      <c r="O553" s="1">
        <v>44264</v>
      </c>
      <c r="P553" s="5">
        <f t="shared" si="210"/>
        <v>4.180152712920171E-2</v>
      </c>
      <c r="Q553" s="5">
        <f t="shared" si="211"/>
        <v>4.4358181729876843E-2</v>
      </c>
      <c r="R553" s="5">
        <f t="shared" si="212"/>
        <v>3.8027418203440765E-2</v>
      </c>
      <c r="S553" s="5">
        <f t="shared" si="213"/>
        <v>9.0774647076425719E-4</v>
      </c>
      <c r="T553" s="5">
        <f t="shared" si="214"/>
        <v>-5.9341582948994904E-3</v>
      </c>
      <c r="U553" s="5">
        <f t="shared" si="215"/>
        <v>-1.2273003562186333E-2</v>
      </c>
      <c r="V553" s="5">
        <f t="shared" si="216"/>
        <v>-6.5474235407940234E-3</v>
      </c>
      <c r="W553" s="5">
        <f t="shared" si="217"/>
        <v>-3.2127667070787191E-3</v>
      </c>
      <c r="X553" s="5">
        <f t="shared" si="218"/>
        <v>-1.4025598126272657E-3</v>
      </c>
      <c r="Y553" s="5">
        <f t="shared" si="219"/>
        <v>-6.5123606268978285E-2</v>
      </c>
      <c r="Z553" s="33">
        <v>549</v>
      </c>
      <c r="AE553" s="20" t="str">
        <f t="shared" si="220"/>
        <v/>
      </c>
      <c r="AF553" s="22" t="str">
        <f t="shared" si="221"/>
        <v/>
      </c>
      <c r="AG553" s="9" t="str">
        <f t="shared" ca="1" si="200"/>
        <v/>
      </c>
      <c r="AH553" s="9" t="str">
        <f t="shared" ca="1" si="201"/>
        <v/>
      </c>
      <c r="AI553" s="9" t="str">
        <f t="shared" ca="1" si="202"/>
        <v/>
      </c>
      <c r="AJ553" s="9" t="str">
        <f t="shared" ca="1" si="203"/>
        <v/>
      </c>
      <c r="AK553" s="9" t="str">
        <f t="shared" ca="1" si="204"/>
        <v/>
      </c>
      <c r="AL553" s="9" t="str">
        <f t="shared" ca="1" si="205"/>
        <v/>
      </c>
      <c r="AM553" s="9" t="str">
        <f t="shared" ca="1" si="206"/>
        <v/>
      </c>
      <c r="AN553" s="9" t="str">
        <f t="shared" ca="1" si="207"/>
        <v/>
      </c>
      <c r="AO553" s="9" t="str">
        <f t="shared" ca="1" si="208"/>
        <v/>
      </c>
      <c r="AP553" s="9" t="str">
        <f t="shared" ca="1" si="209"/>
        <v/>
      </c>
      <c r="AQ553" s="9"/>
      <c r="AR553" s="9"/>
      <c r="AS553" s="9"/>
      <c r="AT553" s="9"/>
      <c r="AU553" s="9"/>
    </row>
    <row r="554" spans="1:47" x14ac:dyDescent="0.3">
      <c r="A554" s="1">
        <v>44265</v>
      </c>
      <c r="B554" s="6">
        <v>437.01001000000002</v>
      </c>
      <c r="C554" s="6">
        <v>228.83999600000001</v>
      </c>
      <c r="D554" s="6">
        <v>44.700001</v>
      </c>
      <c r="E554" s="6">
        <v>133.58000200000001</v>
      </c>
      <c r="F554" s="6">
        <v>103.82</v>
      </c>
      <c r="G554" s="6">
        <v>43.34</v>
      </c>
      <c r="H554" s="6">
        <v>133.070007</v>
      </c>
      <c r="I554" s="6">
        <v>218.88999899999999</v>
      </c>
      <c r="J554" s="6">
        <v>29.18</v>
      </c>
      <c r="K554" s="6">
        <v>65.819999999999993</v>
      </c>
      <c r="N554" s="18">
        <v>550</v>
      </c>
      <c r="O554" s="1">
        <v>44265</v>
      </c>
      <c r="P554" s="5">
        <f t="shared" si="210"/>
        <v>-4.9532348673128933E-3</v>
      </c>
      <c r="Q554" s="5">
        <f t="shared" si="211"/>
        <v>1.9246004087138148E-3</v>
      </c>
      <c r="R554" s="5">
        <f t="shared" si="212"/>
        <v>1.0796325947385839E-2</v>
      </c>
      <c r="S554" s="5">
        <f t="shared" si="213"/>
        <v>1.0006493531382402E-2</v>
      </c>
      <c r="T554" s="5">
        <f t="shared" si="214"/>
        <v>1.2893417069710405E-2</v>
      </c>
      <c r="U554" s="5">
        <f t="shared" si="215"/>
        <v>9.7381249440389676E-3</v>
      </c>
      <c r="V554" s="5">
        <f t="shared" si="216"/>
        <v>1.6288923803067477E-2</v>
      </c>
      <c r="W554" s="5">
        <f t="shared" si="217"/>
        <v>6.2325485020145793E-3</v>
      </c>
      <c r="X554" s="5">
        <f t="shared" si="218"/>
        <v>2.3579455820034644E-2</v>
      </c>
      <c r="Y554" s="5">
        <f t="shared" si="219"/>
        <v>4.363033130222356E-2</v>
      </c>
      <c r="Z554" s="33">
        <v>550</v>
      </c>
      <c r="AE554" s="20" t="str">
        <f t="shared" si="220"/>
        <v/>
      </c>
      <c r="AF554" s="22" t="str">
        <f t="shared" si="221"/>
        <v/>
      </c>
      <c r="AG554" s="9" t="str">
        <f t="shared" ca="1" si="200"/>
        <v/>
      </c>
      <c r="AH554" s="9" t="str">
        <f t="shared" ca="1" si="201"/>
        <v/>
      </c>
      <c r="AI554" s="9" t="str">
        <f t="shared" ca="1" si="202"/>
        <v/>
      </c>
      <c r="AJ554" s="9" t="str">
        <f t="shared" ca="1" si="203"/>
        <v/>
      </c>
      <c r="AK554" s="9" t="str">
        <f t="shared" ca="1" si="204"/>
        <v/>
      </c>
      <c r="AL554" s="9" t="str">
        <f t="shared" ca="1" si="205"/>
        <v/>
      </c>
      <c r="AM554" s="9" t="str">
        <f t="shared" ca="1" si="206"/>
        <v/>
      </c>
      <c r="AN554" s="9" t="str">
        <f t="shared" ca="1" si="207"/>
        <v/>
      </c>
      <c r="AO554" s="9" t="str">
        <f t="shared" ca="1" si="208"/>
        <v/>
      </c>
      <c r="AP554" s="9" t="str">
        <f t="shared" ca="1" si="209"/>
        <v/>
      </c>
      <c r="AQ554" s="9"/>
      <c r="AR554" s="9"/>
      <c r="AS554" s="9"/>
      <c r="AT554" s="9"/>
      <c r="AU554" s="9"/>
    </row>
    <row r="555" spans="1:47" x14ac:dyDescent="0.3">
      <c r="A555" s="1">
        <v>44266</v>
      </c>
      <c r="B555" s="6">
        <v>451.05999800000001</v>
      </c>
      <c r="C555" s="6">
        <v>234.259995</v>
      </c>
      <c r="D555" s="6">
        <v>44.674999</v>
      </c>
      <c r="E555" s="6">
        <v>133.220001</v>
      </c>
      <c r="F555" s="6">
        <v>104.050003</v>
      </c>
      <c r="G555" s="6">
        <v>43.599997999999999</v>
      </c>
      <c r="H555" s="6">
        <v>133.86000100000001</v>
      </c>
      <c r="I555" s="6">
        <v>214.800003</v>
      </c>
      <c r="J555" s="6">
        <v>29.290001</v>
      </c>
      <c r="K555" s="6">
        <v>66.970000999999996</v>
      </c>
      <c r="N555" s="19">
        <v>551</v>
      </c>
      <c r="O555" s="1">
        <v>44266</v>
      </c>
      <c r="P555" s="5">
        <f t="shared" si="210"/>
        <v>3.1644262902225141E-2</v>
      </c>
      <c r="Q555" s="5">
        <f t="shared" si="211"/>
        <v>2.3408536377056064E-2</v>
      </c>
      <c r="R555" s="5">
        <f t="shared" si="212"/>
        <v>-5.5948532927962795E-4</v>
      </c>
      <c r="S555" s="5">
        <f t="shared" si="213"/>
        <v>-2.6986597783773595E-3</v>
      </c>
      <c r="T555" s="5">
        <f t="shared" si="214"/>
        <v>2.2129512728524198E-3</v>
      </c>
      <c r="U555" s="5">
        <f t="shared" si="215"/>
        <v>5.9811083752149136E-3</v>
      </c>
      <c r="V555" s="5">
        <f t="shared" si="216"/>
        <v>5.9191269834453827E-3</v>
      </c>
      <c r="W555" s="5">
        <f t="shared" si="217"/>
        <v>-1.8861939355368441E-2</v>
      </c>
      <c r="X555" s="5">
        <f t="shared" si="218"/>
        <v>3.7626518863472284E-3</v>
      </c>
      <c r="Y555" s="5">
        <f t="shared" si="219"/>
        <v>1.7321029338823925E-2</v>
      </c>
      <c r="Z555" s="33">
        <v>551</v>
      </c>
      <c r="AE555" s="20" t="str">
        <f t="shared" si="220"/>
        <v/>
      </c>
      <c r="AF555" s="22" t="str">
        <f t="shared" si="221"/>
        <v/>
      </c>
      <c r="AG555" s="9" t="str">
        <f t="shared" ca="1" si="200"/>
        <v/>
      </c>
      <c r="AH555" s="9" t="str">
        <f t="shared" ca="1" si="201"/>
        <v/>
      </c>
      <c r="AI555" s="9" t="str">
        <f t="shared" ca="1" si="202"/>
        <v/>
      </c>
      <c r="AJ555" s="9" t="str">
        <f t="shared" ca="1" si="203"/>
        <v/>
      </c>
      <c r="AK555" s="9" t="str">
        <f t="shared" ca="1" si="204"/>
        <v/>
      </c>
      <c r="AL555" s="9" t="str">
        <f t="shared" ca="1" si="205"/>
        <v/>
      </c>
      <c r="AM555" s="9" t="str">
        <f t="shared" ca="1" si="206"/>
        <v/>
      </c>
      <c r="AN555" s="9" t="str">
        <f t="shared" ca="1" si="207"/>
        <v/>
      </c>
      <c r="AO555" s="9" t="str">
        <f t="shared" ca="1" si="208"/>
        <v/>
      </c>
      <c r="AP555" s="9" t="str">
        <f t="shared" ca="1" si="209"/>
        <v/>
      </c>
      <c r="AQ555" s="9"/>
      <c r="AR555" s="9"/>
      <c r="AS555" s="9"/>
      <c r="AT555" s="9"/>
      <c r="AU555" s="9"/>
    </row>
    <row r="556" spans="1:47" x14ac:dyDescent="0.3">
      <c r="A556" s="1">
        <v>44267</v>
      </c>
      <c r="B556" s="6">
        <v>444.29998799999998</v>
      </c>
      <c r="C556" s="6">
        <v>229.449997</v>
      </c>
      <c r="D556" s="6">
        <v>44.470001000000003</v>
      </c>
      <c r="E556" s="6">
        <v>133.03999300000001</v>
      </c>
      <c r="F556" s="6">
        <v>106.610001</v>
      </c>
      <c r="G556" s="6">
        <v>45.150002000000001</v>
      </c>
      <c r="H556" s="6">
        <v>135.83000200000001</v>
      </c>
      <c r="I556" s="6">
        <v>217.35000600000001</v>
      </c>
      <c r="J556" s="6">
        <v>29.610001</v>
      </c>
      <c r="K556" s="6">
        <v>71.099997999999999</v>
      </c>
      <c r="N556" s="18">
        <v>552</v>
      </c>
      <c r="O556" s="1">
        <v>44267</v>
      </c>
      <c r="P556" s="5">
        <f t="shared" si="210"/>
        <v>-1.5100380980878033E-2</v>
      </c>
      <c r="Q556" s="5">
        <f t="shared" si="211"/>
        <v>-2.074646053182392E-2</v>
      </c>
      <c r="R556" s="5">
        <f t="shared" si="212"/>
        <v>-4.5992116519330802E-3</v>
      </c>
      <c r="S556" s="5">
        <f t="shared" si="213"/>
        <v>-1.3521222224974507E-3</v>
      </c>
      <c r="T556" s="5">
        <f t="shared" si="214"/>
        <v>2.4305743670431677E-2</v>
      </c>
      <c r="U556" s="5">
        <f t="shared" si="215"/>
        <v>3.4933219676354106E-2</v>
      </c>
      <c r="V556" s="5">
        <f t="shared" si="216"/>
        <v>1.460963341569938E-2</v>
      </c>
      <c r="W556" s="5">
        <f t="shared" si="217"/>
        <v>1.1801608438855806E-2</v>
      </c>
      <c r="X556" s="5">
        <f t="shared" si="218"/>
        <v>1.0865980904886817E-2</v>
      </c>
      <c r="Y556" s="5">
        <f t="shared" si="219"/>
        <v>5.9842535825781792E-2</v>
      </c>
      <c r="Z556" s="33">
        <v>552</v>
      </c>
      <c r="AE556" s="20" t="str">
        <f t="shared" si="220"/>
        <v/>
      </c>
      <c r="AF556" s="22" t="str">
        <f t="shared" si="221"/>
        <v/>
      </c>
      <c r="AG556" s="9" t="str">
        <f t="shared" ca="1" si="200"/>
        <v/>
      </c>
      <c r="AH556" s="9" t="str">
        <f t="shared" ca="1" si="201"/>
        <v/>
      </c>
      <c r="AI556" s="9" t="str">
        <f t="shared" ca="1" si="202"/>
        <v/>
      </c>
      <c r="AJ556" s="9" t="str">
        <f t="shared" ca="1" si="203"/>
        <v/>
      </c>
      <c r="AK556" s="9" t="str">
        <f t="shared" ca="1" si="204"/>
        <v/>
      </c>
      <c r="AL556" s="9" t="str">
        <f t="shared" ca="1" si="205"/>
        <v/>
      </c>
      <c r="AM556" s="9" t="str">
        <f t="shared" ca="1" si="206"/>
        <v/>
      </c>
      <c r="AN556" s="9" t="str">
        <f t="shared" ca="1" si="207"/>
        <v/>
      </c>
      <c r="AO556" s="9" t="str">
        <f t="shared" ca="1" si="208"/>
        <v/>
      </c>
      <c r="AP556" s="9" t="str">
        <f t="shared" ca="1" si="209"/>
        <v/>
      </c>
      <c r="AQ556" s="9"/>
      <c r="AR556" s="9"/>
      <c r="AS556" s="9"/>
      <c r="AT556" s="9"/>
      <c r="AU556" s="9"/>
    </row>
    <row r="557" spans="1:47" x14ac:dyDescent="0.3">
      <c r="A557" s="1">
        <v>44270</v>
      </c>
      <c r="B557" s="6">
        <v>447.58999599999999</v>
      </c>
      <c r="C557" s="6">
        <v>234.86999499999999</v>
      </c>
      <c r="D557" s="6">
        <v>44.654998999999997</v>
      </c>
      <c r="E557" s="6">
        <v>133.029999</v>
      </c>
      <c r="F557" s="6">
        <v>110.290001</v>
      </c>
      <c r="G557" s="6">
        <v>45.599997999999999</v>
      </c>
      <c r="H557" s="6">
        <v>135.759995</v>
      </c>
      <c r="I557" s="6">
        <v>223.08999600000001</v>
      </c>
      <c r="J557" s="6">
        <v>29.26</v>
      </c>
      <c r="K557" s="6">
        <v>73.669998000000007</v>
      </c>
      <c r="N557" s="19">
        <v>553</v>
      </c>
      <c r="O557" s="1">
        <v>44270</v>
      </c>
      <c r="P557" s="5">
        <f t="shared" si="210"/>
        <v>7.3776429421342762E-3</v>
      </c>
      <c r="Q557" s="5">
        <f t="shared" si="211"/>
        <v>2.3347020533461431E-2</v>
      </c>
      <c r="R557" s="5">
        <f t="shared" si="212"/>
        <v>4.1514337322653971E-3</v>
      </c>
      <c r="S557" s="5">
        <f t="shared" si="213"/>
        <v>-7.5123090203305971E-5</v>
      </c>
      <c r="T557" s="5">
        <f t="shared" si="214"/>
        <v>3.3935944042693969E-2</v>
      </c>
      <c r="U557" s="5">
        <f t="shared" si="215"/>
        <v>9.9173485009082726E-3</v>
      </c>
      <c r="V557" s="5">
        <f t="shared" si="216"/>
        <v>-5.1553446241633894E-4</v>
      </c>
      <c r="W557" s="5">
        <f t="shared" si="217"/>
        <v>2.6066274514529007E-2</v>
      </c>
      <c r="X557" s="5">
        <f t="shared" si="218"/>
        <v>-1.1890780293895207E-2</v>
      </c>
      <c r="Y557" s="5">
        <f t="shared" si="219"/>
        <v>3.5508324866829484E-2</v>
      </c>
      <c r="Z557" s="33">
        <v>553</v>
      </c>
      <c r="AE557" s="20" t="str">
        <f t="shared" si="220"/>
        <v/>
      </c>
      <c r="AF557" s="22" t="str">
        <f t="shared" si="221"/>
        <v/>
      </c>
      <c r="AG557" s="9" t="str">
        <f t="shared" ca="1" si="200"/>
        <v/>
      </c>
      <c r="AH557" s="9" t="str">
        <f t="shared" ca="1" si="201"/>
        <v/>
      </c>
      <c r="AI557" s="9" t="str">
        <f t="shared" ca="1" si="202"/>
        <v/>
      </c>
      <c r="AJ557" s="9" t="str">
        <f t="shared" ca="1" si="203"/>
        <v/>
      </c>
      <c r="AK557" s="9" t="str">
        <f t="shared" ca="1" si="204"/>
        <v/>
      </c>
      <c r="AL557" s="9" t="str">
        <f t="shared" ca="1" si="205"/>
        <v/>
      </c>
      <c r="AM557" s="9" t="str">
        <f t="shared" ca="1" si="206"/>
        <v/>
      </c>
      <c r="AN557" s="9" t="str">
        <f t="shared" ca="1" si="207"/>
        <v/>
      </c>
      <c r="AO557" s="9" t="str">
        <f t="shared" ca="1" si="208"/>
        <v/>
      </c>
      <c r="AP557" s="9" t="str">
        <f t="shared" ca="1" si="209"/>
        <v/>
      </c>
      <c r="AQ557" s="9"/>
      <c r="AR557" s="9"/>
      <c r="AS557" s="9"/>
      <c r="AT557" s="9"/>
      <c r="AU557" s="9"/>
    </row>
    <row r="558" spans="1:47" x14ac:dyDescent="0.3">
      <c r="A558" s="1">
        <v>44271</v>
      </c>
      <c r="B558" s="6">
        <v>450.540009</v>
      </c>
      <c r="C558" s="6">
        <v>234.050003</v>
      </c>
      <c r="D558" s="6">
        <v>44.695</v>
      </c>
      <c r="E558" s="6">
        <v>134.009995</v>
      </c>
      <c r="F558" s="6">
        <v>109.699997</v>
      </c>
      <c r="G558" s="6">
        <v>44.720001000000003</v>
      </c>
      <c r="H558" s="6">
        <v>135.55999800000001</v>
      </c>
      <c r="I558" s="6">
        <v>220.60000600000001</v>
      </c>
      <c r="J558" s="6">
        <v>29.280000999999999</v>
      </c>
      <c r="K558" s="6">
        <v>75.809997999999993</v>
      </c>
      <c r="N558" s="18">
        <v>554</v>
      </c>
      <c r="O558" s="1">
        <v>44271</v>
      </c>
      <c r="P558" s="5">
        <f t="shared" si="210"/>
        <v>6.5692574406571932E-3</v>
      </c>
      <c r="Q558" s="5">
        <f t="shared" si="211"/>
        <v>-3.4973677357064362E-3</v>
      </c>
      <c r="R558" s="5">
        <f t="shared" si="212"/>
        <v>8.9537779787579618E-4</v>
      </c>
      <c r="S558" s="5">
        <f t="shared" si="213"/>
        <v>7.3397275427748302E-3</v>
      </c>
      <c r="T558" s="5">
        <f t="shared" si="214"/>
        <v>-5.3639294511873556E-3</v>
      </c>
      <c r="U558" s="5">
        <f t="shared" si="215"/>
        <v>-1.9486821452487209E-2</v>
      </c>
      <c r="V558" s="5">
        <f t="shared" si="216"/>
        <v>-1.4742521110348351E-3</v>
      </c>
      <c r="W558" s="5">
        <f t="shared" si="217"/>
        <v>-1.1224125536623613E-2</v>
      </c>
      <c r="X558" s="5">
        <f t="shared" si="218"/>
        <v>6.8332765413737129E-4</v>
      </c>
      <c r="Y558" s="5">
        <f t="shared" si="219"/>
        <v>2.8634550139839145E-2</v>
      </c>
      <c r="Z558" s="33">
        <v>554</v>
      </c>
      <c r="AE558" s="20" t="str">
        <f t="shared" si="220"/>
        <v/>
      </c>
      <c r="AF558" s="22" t="str">
        <f t="shared" si="221"/>
        <v/>
      </c>
      <c r="AG558" s="9" t="str">
        <f t="shared" ca="1" si="200"/>
        <v/>
      </c>
      <c r="AH558" s="9" t="str">
        <f t="shared" ca="1" si="201"/>
        <v/>
      </c>
      <c r="AI558" s="9" t="str">
        <f t="shared" ca="1" si="202"/>
        <v/>
      </c>
      <c r="AJ558" s="9" t="str">
        <f t="shared" ca="1" si="203"/>
        <v/>
      </c>
      <c r="AK558" s="9" t="str">
        <f t="shared" ca="1" si="204"/>
        <v/>
      </c>
      <c r="AL558" s="9" t="str">
        <f t="shared" ca="1" si="205"/>
        <v/>
      </c>
      <c r="AM558" s="9" t="str">
        <f t="shared" ca="1" si="206"/>
        <v/>
      </c>
      <c r="AN558" s="9" t="str">
        <f t="shared" ca="1" si="207"/>
        <v/>
      </c>
      <c r="AO558" s="9" t="str">
        <f t="shared" ca="1" si="208"/>
        <v/>
      </c>
      <c r="AP558" s="9" t="str">
        <f t="shared" ca="1" si="209"/>
        <v/>
      </c>
      <c r="AQ558" s="9"/>
      <c r="AR558" s="9"/>
      <c r="AS558" s="9"/>
      <c r="AT558" s="9"/>
      <c r="AU558" s="9"/>
    </row>
    <row r="559" spans="1:47" x14ac:dyDescent="0.3">
      <c r="A559" s="1">
        <v>44272</v>
      </c>
      <c r="B559" s="6">
        <v>451.01001000000002</v>
      </c>
      <c r="C559" s="6">
        <v>235.61000100000001</v>
      </c>
      <c r="D559" s="6">
        <v>44.299999</v>
      </c>
      <c r="E559" s="6">
        <v>133.61999499999999</v>
      </c>
      <c r="F559" s="6">
        <v>109.449997</v>
      </c>
      <c r="G559" s="6">
        <v>45.200001</v>
      </c>
      <c r="H559" s="6">
        <v>136.91999799999999</v>
      </c>
      <c r="I559" s="6">
        <v>222.800003</v>
      </c>
      <c r="J559" s="6">
        <v>29.93</v>
      </c>
      <c r="K559" s="6">
        <v>74.069999999999993</v>
      </c>
      <c r="N559" s="19">
        <v>555</v>
      </c>
      <c r="O559" s="1">
        <v>44272</v>
      </c>
      <c r="P559" s="5">
        <f t="shared" si="210"/>
        <v>1.0426510624454658E-3</v>
      </c>
      <c r="Q559" s="5">
        <f t="shared" si="211"/>
        <v>6.6431193788559816E-3</v>
      </c>
      <c r="R559" s="5">
        <f t="shared" si="212"/>
        <v>-8.8769840620896902E-3</v>
      </c>
      <c r="S559" s="5">
        <f t="shared" si="213"/>
        <v>-2.9144736437053246E-3</v>
      </c>
      <c r="T559" s="5">
        <f t="shared" si="214"/>
        <v>-2.2815433747778776E-3</v>
      </c>
      <c r="U559" s="5">
        <f t="shared" si="215"/>
        <v>1.0676257753876007E-2</v>
      </c>
      <c r="V559" s="5">
        <f t="shared" si="216"/>
        <v>9.9824670696786397E-3</v>
      </c>
      <c r="W559" s="5">
        <f t="shared" si="217"/>
        <v>9.9233875001687646E-3</v>
      </c>
      <c r="X559" s="5">
        <f t="shared" si="218"/>
        <v>2.1956598618492015E-2</v>
      </c>
      <c r="Y559" s="5">
        <f t="shared" si="219"/>
        <v>-2.3219591661270571E-2</v>
      </c>
      <c r="Z559" s="33">
        <v>555</v>
      </c>
      <c r="AE559" s="20" t="str">
        <f t="shared" si="220"/>
        <v/>
      </c>
      <c r="AF559" s="22" t="str">
        <f t="shared" si="221"/>
        <v/>
      </c>
      <c r="AG559" s="9" t="str">
        <f t="shared" ca="1" si="200"/>
        <v/>
      </c>
      <c r="AH559" s="9" t="str">
        <f t="shared" ca="1" si="201"/>
        <v/>
      </c>
      <c r="AI559" s="9" t="str">
        <f t="shared" ca="1" si="202"/>
        <v/>
      </c>
      <c r="AJ559" s="9" t="str">
        <f t="shared" ca="1" si="203"/>
        <v/>
      </c>
      <c r="AK559" s="9" t="str">
        <f t="shared" ca="1" si="204"/>
        <v/>
      </c>
      <c r="AL559" s="9" t="str">
        <f t="shared" ca="1" si="205"/>
        <v/>
      </c>
      <c r="AM559" s="9" t="str">
        <f t="shared" ca="1" si="206"/>
        <v/>
      </c>
      <c r="AN559" s="9" t="str">
        <f t="shared" ca="1" si="207"/>
        <v/>
      </c>
      <c r="AO559" s="9" t="str">
        <f t="shared" ca="1" si="208"/>
        <v/>
      </c>
      <c r="AP559" s="9" t="str">
        <f t="shared" ca="1" si="209"/>
        <v/>
      </c>
      <c r="AQ559" s="9"/>
      <c r="AR559" s="9"/>
      <c r="AS559" s="9"/>
      <c r="AT559" s="9"/>
      <c r="AU559" s="9"/>
    </row>
    <row r="560" spans="1:47" x14ac:dyDescent="0.3">
      <c r="A560" s="1">
        <v>44273</v>
      </c>
      <c r="B560" s="6">
        <v>439.17999300000002</v>
      </c>
      <c r="C560" s="6">
        <v>227.38999899999999</v>
      </c>
      <c r="D560" s="6">
        <v>43.959999000000003</v>
      </c>
      <c r="E560" s="6">
        <v>132.529999</v>
      </c>
      <c r="F560" s="6">
        <v>110.720001</v>
      </c>
      <c r="G560" s="6">
        <v>45</v>
      </c>
      <c r="H560" s="6">
        <v>137.199997</v>
      </c>
      <c r="I560" s="6">
        <v>225.520004</v>
      </c>
      <c r="J560" s="6">
        <v>29.67</v>
      </c>
      <c r="K560" s="6">
        <v>75.949996999999996</v>
      </c>
      <c r="N560" s="18">
        <v>556</v>
      </c>
      <c r="O560" s="1">
        <v>44273</v>
      </c>
      <c r="P560" s="5">
        <f t="shared" si="210"/>
        <v>-2.6580198499271252E-2</v>
      </c>
      <c r="Q560" s="5">
        <f t="shared" si="211"/>
        <v>-3.5511299364740422E-2</v>
      </c>
      <c r="R560" s="5">
        <f t="shared" si="212"/>
        <v>-7.7045476902585595E-3</v>
      </c>
      <c r="S560" s="5">
        <f t="shared" si="213"/>
        <v>-8.1908857306565632E-3</v>
      </c>
      <c r="T560" s="5">
        <f t="shared" si="214"/>
        <v>1.1536704342055967E-2</v>
      </c>
      <c r="U560" s="5">
        <f t="shared" si="215"/>
        <v>-4.4346191917593548E-3</v>
      </c>
      <c r="V560" s="5">
        <f t="shared" si="216"/>
        <v>2.0428943709808445E-3</v>
      </c>
      <c r="W560" s="5">
        <f t="shared" si="217"/>
        <v>1.2134343024523216E-2</v>
      </c>
      <c r="X560" s="5">
        <f t="shared" si="218"/>
        <v>-8.7248875618770715E-3</v>
      </c>
      <c r="Y560" s="5">
        <f t="shared" si="219"/>
        <v>2.5064597516912542E-2</v>
      </c>
      <c r="Z560" s="33">
        <v>556</v>
      </c>
      <c r="AE560" s="20" t="str">
        <f t="shared" si="220"/>
        <v/>
      </c>
      <c r="AF560" s="22" t="str">
        <f t="shared" si="221"/>
        <v/>
      </c>
      <c r="AG560" s="9" t="str">
        <f t="shared" ca="1" si="200"/>
        <v/>
      </c>
      <c r="AH560" s="9" t="str">
        <f t="shared" ca="1" si="201"/>
        <v/>
      </c>
      <c r="AI560" s="9" t="str">
        <f t="shared" ca="1" si="202"/>
        <v/>
      </c>
      <c r="AJ560" s="9" t="str">
        <f t="shared" ca="1" si="203"/>
        <v/>
      </c>
      <c r="AK560" s="9" t="str">
        <f t="shared" ca="1" si="204"/>
        <v/>
      </c>
      <c r="AL560" s="9" t="str">
        <f t="shared" ca="1" si="205"/>
        <v/>
      </c>
      <c r="AM560" s="9" t="str">
        <f t="shared" ca="1" si="206"/>
        <v/>
      </c>
      <c r="AN560" s="9" t="str">
        <f t="shared" ca="1" si="207"/>
        <v/>
      </c>
      <c r="AO560" s="9" t="str">
        <f t="shared" ca="1" si="208"/>
        <v/>
      </c>
      <c r="AP560" s="9" t="str">
        <f t="shared" ca="1" si="209"/>
        <v/>
      </c>
      <c r="AQ560" s="9"/>
      <c r="AR560" s="9"/>
      <c r="AS560" s="9"/>
      <c r="AT560" s="9"/>
      <c r="AU560" s="9"/>
    </row>
    <row r="561" spans="1:47" x14ac:dyDescent="0.3">
      <c r="A561" s="1">
        <v>44274</v>
      </c>
      <c r="B561" s="6">
        <v>441.5</v>
      </c>
      <c r="C561" s="6">
        <v>227.86000100000001</v>
      </c>
      <c r="D561" s="6">
        <v>43.959999000000003</v>
      </c>
      <c r="E561" s="6">
        <v>134.5</v>
      </c>
      <c r="F561" s="6">
        <v>107.019997</v>
      </c>
      <c r="G561" s="6">
        <v>43.34</v>
      </c>
      <c r="H561" s="6">
        <v>135.550003</v>
      </c>
      <c r="I561" s="6">
        <v>225.39999399999999</v>
      </c>
      <c r="J561" s="6">
        <v>29.59</v>
      </c>
      <c r="K561" s="6">
        <v>77.269997000000004</v>
      </c>
      <c r="N561" s="19">
        <v>557</v>
      </c>
      <c r="O561" s="1">
        <v>44274</v>
      </c>
      <c r="P561" s="5">
        <f t="shared" si="210"/>
        <v>5.2686841649644198E-3</v>
      </c>
      <c r="Q561" s="5">
        <f t="shared" si="211"/>
        <v>2.0648090806603112E-3</v>
      </c>
      <c r="R561" s="5">
        <f t="shared" si="212"/>
        <v>0</v>
      </c>
      <c r="S561" s="5">
        <f t="shared" si="213"/>
        <v>1.4755171694767937E-2</v>
      </c>
      <c r="T561" s="5">
        <f t="shared" si="214"/>
        <v>-3.3988796050136612E-2</v>
      </c>
      <c r="U561" s="5">
        <f t="shared" si="215"/>
        <v>-3.7586493662106736E-2</v>
      </c>
      <c r="V561" s="5">
        <f t="shared" si="216"/>
        <v>-1.2099095349166453E-2</v>
      </c>
      <c r="W561" s="5">
        <f t="shared" si="217"/>
        <v>-5.3228955631092552E-4</v>
      </c>
      <c r="X561" s="5">
        <f t="shared" si="218"/>
        <v>-2.6999678906122425E-3</v>
      </c>
      <c r="Y561" s="5">
        <f t="shared" si="219"/>
        <v>1.7230553578481914E-2</v>
      </c>
      <c r="Z561" s="33">
        <v>557</v>
      </c>
      <c r="AE561" s="20" t="str">
        <f t="shared" si="220"/>
        <v/>
      </c>
      <c r="AF561" s="22" t="str">
        <f t="shared" si="221"/>
        <v/>
      </c>
      <c r="AG561" s="9" t="str">
        <f t="shared" ca="1" si="200"/>
        <v/>
      </c>
      <c r="AH561" s="9" t="str">
        <f t="shared" ca="1" si="201"/>
        <v/>
      </c>
      <c r="AI561" s="9" t="str">
        <f t="shared" ca="1" si="202"/>
        <v/>
      </c>
      <c r="AJ561" s="9" t="str">
        <f t="shared" ca="1" si="203"/>
        <v/>
      </c>
      <c r="AK561" s="9" t="str">
        <f t="shared" ca="1" si="204"/>
        <v/>
      </c>
      <c r="AL561" s="9" t="str">
        <f t="shared" ca="1" si="205"/>
        <v/>
      </c>
      <c r="AM561" s="9" t="str">
        <f t="shared" ca="1" si="206"/>
        <v/>
      </c>
      <c r="AN561" s="9" t="str">
        <f t="shared" ca="1" si="207"/>
        <v/>
      </c>
      <c r="AO561" s="9" t="str">
        <f t="shared" ca="1" si="208"/>
        <v/>
      </c>
      <c r="AP561" s="9" t="str">
        <f t="shared" ca="1" si="209"/>
        <v/>
      </c>
      <c r="AQ561" s="9"/>
      <c r="AR561" s="9"/>
      <c r="AS561" s="9"/>
      <c r="AT561" s="9"/>
      <c r="AU561" s="9"/>
    </row>
    <row r="562" spans="1:47" x14ac:dyDescent="0.3">
      <c r="A562" s="1">
        <v>44277</v>
      </c>
      <c r="B562" s="6">
        <v>452.41000400000001</v>
      </c>
      <c r="C562" s="6">
        <v>234.429993</v>
      </c>
      <c r="D562" s="6">
        <v>44.525002000000001</v>
      </c>
      <c r="E562" s="6">
        <v>137.800003</v>
      </c>
      <c r="F562" s="6">
        <v>108.19000200000001</v>
      </c>
      <c r="G562" s="6">
        <v>43.529998999999997</v>
      </c>
      <c r="H562" s="6">
        <v>136.44000199999999</v>
      </c>
      <c r="I562" s="6">
        <v>220.050003</v>
      </c>
      <c r="J562" s="6">
        <v>29.27</v>
      </c>
      <c r="K562" s="6">
        <v>74.650002000000001</v>
      </c>
      <c r="N562" s="18">
        <v>558</v>
      </c>
      <c r="O562" s="1">
        <v>44277</v>
      </c>
      <c r="P562" s="5">
        <f t="shared" si="210"/>
        <v>2.4410837127640313E-2</v>
      </c>
      <c r="Q562" s="5">
        <f t="shared" si="211"/>
        <v>2.8425596343137034E-2</v>
      </c>
      <c r="R562" s="5">
        <f t="shared" si="212"/>
        <v>1.2770767306841664E-2</v>
      </c>
      <c r="S562" s="5">
        <f t="shared" si="213"/>
        <v>2.4239181308346389E-2</v>
      </c>
      <c r="T562" s="5">
        <f t="shared" si="214"/>
        <v>1.0873254334464136E-2</v>
      </c>
      <c r="U562" s="5">
        <f t="shared" si="215"/>
        <v>4.3743364833302035E-3</v>
      </c>
      <c r="V562" s="5">
        <f t="shared" si="216"/>
        <v>6.5443741321737957E-3</v>
      </c>
      <c r="W562" s="5">
        <f t="shared" si="217"/>
        <v>-2.4021768095966609E-2</v>
      </c>
      <c r="X562" s="5">
        <f t="shared" si="218"/>
        <v>-1.0873365708323868E-2</v>
      </c>
      <c r="Y562" s="5">
        <f t="shared" si="219"/>
        <v>-3.4495192343698522E-2</v>
      </c>
      <c r="Z562" s="33">
        <v>558</v>
      </c>
      <c r="AE562" s="20" t="str">
        <f t="shared" si="220"/>
        <v/>
      </c>
      <c r="AF562" s="22" t="str">
        <f t="shared" si="221"/>
        <v/>
      </c>
      <c r="AG562" s="9" t="str">
        <f t="shared" ca="1" si="200"/>
        <v/>
      </c>
      <c r="AH562" s="9" t="str">
        <f t="shared" ca="1" si="201"/>
        <v/>
      </c>
      <c r="AI562" s="9" t="str">
        <f t="shared" ca="1" si="202"/>
        <v/>
      </c>
      <c r="AJ562" s="9" t="str">
        <f t="shared" ca="1" si="203"/>
        <v/>
      </c>
      <c r="AK562" s="9" t="str">
        <f t="shared" ca="1" si="204"/>
        <v/>
      </c>
      <c r="AL562" s="9" t="str">
        <f t="shared" ca="1" si="205"/>
        <v/>
      </c>
      <c r="AM562" s="9" t="str">
        <f t="shared" ca="1" si="206"/>
        <v/>
      </c>
      <c r="AN562" s="9" t="str">
        <f t="shared" ca="1" si="207"/>
        <v/>
      </c>
      <c r="AO562" s="9" t="str">
        <f t="shared" ca="1" si="208"/>
        <v/>
      </c>
      <c r="AP562" s="9" t="str">
        <f t="shared" ca="1" si="209"/>
        <v/>
      </c>
      <c r="AQ562" s="9"/>
      <c r="AR562" s="9"/>
      <c r="AS562" s="9"/>
      <c r="AT562" s="9"/>
      <c r="AU562" s="9"/>
    </row>
    <row r="563" spans="1:47" x14ac:dyDescent="0.3">
      <c r="A563" s="1">
        <v>44278</v>
      </c>
      <c r="B563" s="6">
        <v>460.20001200000002</v>
      </c>
      <c r="C563" s="6">
        <v>235.13000500000001</v>
      </c>
      <c r="D563" s="6">
        <v>44.810001</v>
      </c>
      <c r="E563" s="6">
        <v>139.46000699999999</v>
      </c>
      <c r="F563" s="6">
        <v>108.910004</v>
      </c>
      <c r="G563" s="6">
        <v>43.700001</v>
      </c>
      <c r="H563" s="6">
        <v>133.61999499999999</v>
      </c>
      <c r="I563" s="6">
        <v>215.320007</v>
      </c>
      <c r="J563" s="6">
        <v>28.24</v>
      </c>
      <c r="K563" s="6">
        <v>71.680000000000007</v>
      </c>
      <c r="N563" s="19">
        <v>559</v>
      </c>
      <c r="O563" s="1">
        <v>44278</v>
      </c>
      <c r="P563" s="5">
        <f t="shared" si="210"/>
        <v>1.7072346505229482E-2</v>
      </c>
      <c r="Q563" s="5">
        <f t="shared" si="211"/>
        <v>2.9815679425802266E-3</v>
      </c>
      <c r="R563" s="5">
        <f t="shared" si="212"/>
        <v>6.3804770201892997E-3</v>
      </c>
      <c r="S563" s="5">
        <f t="shared" si="213"/>
        <v>1.1974491636227163E-2</v>
      </c>
      <c r="T563" s="5">
        <f t="shared" si="214"/>
        <v>6.6329306296889308E-3</v>
      </c>
      <c r="U563" s="5">
        <f t="shared" si="215"/>
        <v>3.8977923932962031E-3</v>
      </c>
      <c r="V563" s="5">
        <f t="shared" si="216"/>
        <v>-2.0885059131120279E-2</v>
      </c>
      <c r="W563" s="5">
        <f t="shared" si="217"/>
        <v>-2.1729480687856594E-2</v>
      </c>
      <c r="X563" s="5">
        <f t="shared" si="218"/>
        <v>-3.5823688078753232E-2</v>
      </c>
      <c r="Y563" s="5">
        <f t="shared" si="219"/>
        <v>-4.0598782110218508E-2</v>
      </c>
      <c r="Z563" s="33">
        <v>559</v>
      </c>
      <c r="AE563" s="20" t="str">
        <f t="shared" si="220"/>
        <v/>
      </c>
      <c r="AF563" s="22" t="str">
        <f t="shared" si="221"/>
        <v/>
      </c>
      <c r="AG563" s="9" t="str">
        <f t="shared" ca="1" si="200"/>
        <v/>
      </c>
      <c r="AH563" s="9" t="str">
        <f t="shared" ca="1" si="201"/>
        <v/>
      </c>
      <c r="AI563" s="9" t="str">
        <f t="shared" ca="1" si="202"/>
        <v/>
      </c>
      <c r="AJ563" s="9" t="str">
        <f t="shared" ca="1" si="203"/>
        <v/>
      </c>
      <c r="AK563" s="9" t="str">
        <f t="shared" ca="1" si="204"/>
        <v/>
      </c>
      <c r="AL563" s="9" t="str">
        <f t="shared" ca="1" si="205"/>
        <v/>
      </c>
      <c r="AM563" s="9" t="str">
        <f t="shared" ca="1" si="206"/>
        <v/>
      </c>
      <c r="AN563" s="9" t="str">
        <f t="shared" ca="1" si="207"/>
        <v/>
      </c>
      <c r="AO563" s="9" t="str">
        <f t="shared" ca="1" si="208"/>
        <v/>
      </c>
      <c r="AP563" s="9" t="str">
        <f t="shared" ca="1" si="209"/>
        <v/>
      </c>
      <c r="AQ563" s="9"/>
      <c r="AR563" s="9"/>
      <c r="AS563" s="9"/>
      <c r="AT563" s="9"/>
      <c r="AU563" s="9"/>
    </row>
    <row r="564" spans="1:47" x14ac:dyDescent="0.3">
      <c r="A564" s="1">
        <v>44279</v>
      </c>
      <c r="B564" s="6">
        <v>451.51001000000002</v>
      </c>
      <c r="C564" s="6">
        <v>233.050003</v>
      </c>
      <c r="D564" s="6">
        <v>44.360000999999997</v>
      </c>
      <c r="E564" s="6">
        <v>138.80999800000001</v>
      </c>
      <c r="F564" s="6">
        <v>109.610001</v>
      </c>
      <c r="G564" s="6">
        <v>43.5</v>
      </c>
      <c r="H564" s="6">
        <v>135.66999799999999</v>
      </c>
      <c r="I564" s="6">
        <v>215.490005</v>
      </c>
      <c r="J564" s="6">
        <v>27.83</v>
      </c>
      <c r="K564" s="6">
        <v>61.939999</v>
      </c>
      <c r="N564" s="18">
        <v>560</v>
      </c>
      <c r="O564" s="1">
        <v>44279</v>
      </c>
      <c r="P564" s="5">
        <f t="shared" si="210"/>
        <v>-1.9063660522971496E-2</v>
      </c>
      <c r="Q564" s="5">
        <f t="shared" si="211"/>
        <v>-8.8855382528227091E-3</v>
      </c>
      <c r="R564" s="5">
        <f t="shared" si="212"/>
        <v>-1.009316608950127E-2</v>
      </c>
      <c r="S564" s="5">
        <f t="shared" si="213"/>
        <v>-4.671794807633238E-3</v>
      </c>
      <c r="T564" s="5">
        <f t="shared" si="214"/>
        <v>6.406730535719502E-3</v>
      </c>
      <c r="U564" s="5">
        <f t="shared" si="215"/>
        <v>-4.5871868902010423E-3</v>
      </c>
      <c r="V564" s="5">
        <f t="shared" si="216"/>
        <v>1.5225538677781937E-2</v>
      </c>
      <c r="W564" s="5">
        <f t="shared" si="217"/>
        <v>7.8920175524363056E-4</v>
      </c>
      <c r="X564" s="5">
        <f t="shared" si="218"/>
        <v>-1.4624837087241965E-2</v>
      </c>
      <c r="Y564" s="5">
        <f t="shared" si="219"/>
        <v>-0.14604561026627466</v>
      </c>
      <c r="Z564" s="33">
        <v>560</v>
      </c>
      <c r="AE564" s="20" t="str">
        <f t="shared" si="220"/>
        <v/>
      </c>
      <c r="AF564" s="22" t="str">
        <f t="shared" si="221"/>
        <v/>
      </c>
      <c r="AG564" s="9" t="str">
        <f t="shared" ca="1" si="200"/>
        <v/>
      </c>
      <c r="AH564" s="9" t="str">
        <f t="shared" ca="1" si="201"/>
        <v/>
      </c>
      <c r="AI564" s="9" t="str">
        <f t="shared" ca="1" si="202"/>
        <v/>
      </c>
      <c r="AJ564" s="9" t="str">
        <f t="shared" ca="1" si="203"/>
        <v/>
      </c>
      <c r="AK564" s="9" t="str">
        <f t="shared" ca="1" si="204"/>
        <v/>
      </c>
      <c r="AL564" s="9" t="str">
        <f t="shared" ca="1" si="205"/>
        <v/>
      </c>
      <c r="AM564" s="9" t="str">
        <f t="shared" ca="1" si="206"/>
        <v/>
      </c>
      <c r="AN564" s="9" t="str">
        <f t="shared" ca="1" si="207"/>
        <v/>
      </c>
      <c r="AO564" s="9" t="str">
        <f t="shared" ca="1" si="208"/>
        <v/>
      </c>
      <c r="AP564" s="9" t="str">
        <f t="shared" ca="1" si="209"/>
        <v/>
      </c>
      <c r="AQ564" s="9"/>
      <c r="AR564" s="9"/>
      <c r="AS564" s="9"/>
      <c r="AT564" s="9"/>
      <c r="AU564" s="9"/>
    </row>
    <row r="565" spans="1:47" x14ac:dyDescent="0.3">
      <c r="A565" s="1">
        <v>44280</v>
      </c>
      <c r="B565" s="6">
        <v>450.98998999999998</v>
      </c>
      <c r="C565" s="6">
        <v>231.66999799999999</v>
      </c>
      <c r="D565" s="6">
        <v>44.395000000000003</v>
      </c>
      <c r="E565" s="6">
        <v>139.63000500000001</v>
      </c>
      <c r="F565" s="6">
        <v>110.089996</v>
      </c>
      <c r="G565" s="6">
        <v>44.299999</v>
      </c>
      <c r="H565" s="6">
        <v>137.699997</v>
      </c>
      <c r="I565" s="6">
        <v>224.259995</v>
      </c>
      <c r="J565" s="6">
        <v>28.530000999999999</v>
      </c>
      <c r="K565" s="6">
        <v>57.75</v>
      </c>
      <c r="N565" s="19">
        <v>561</v>
      </c>
      <c r="O565" s="1">
        <v>44280</v>
      </c>
      <c r="P565" s="5">
        <f t="shared" si="210"/>
        <v>-1.1523990195013015E-3</v>
      </c>
      <c r="Q565" s="5">
        <f t="shared" si="211"/>
        <v>-5.9390990421156276E-3</v>
      </c>
      <c r="R565" s="5">
        <f t="shared" si="212"/>
        <v>7.8866545929296024E-4</v>
      </c>
      <c r="S565" s="5">
        <f t="shared" si="213"/>
        <v>5.8900255841923405E-3</v>
      </c>
      <c r="T565" s="5">
        <f t="shared" si="214"/>
        <v>4.3695563975154148E-3</v>
      </c>
      <c r="U565" s="5">
        <f t="shared" si="215"/>
        <v>1.8223716383087951E-2</v>
      </c>
      <c r="V565" s="5">
        <f t="shared" si="216"/>
        <v>1.4851932192551928E-2</v>
      </c>
      <c r="W565" s="5">
        <f t="shared" si="217"/>
        <v>3.989154277943209E-2</v>
      </c>
      <c r="X565" s="5">
        <f t="shared" si="218"/>
        <v>2.4841624738432252E-2</v>
      </c>
      <c r="Y565" s="5">
        <f t="shared" si="219"/>
        <v>-7.004280899849756E-2</v>
      </c>
      <c r="Z565" s="33">
        <v>561</v>
      </c>
      <c r="AE565" s="20" t="str">
        <f t="shared" si="220"/>
        <v/>
      </c>
      <c r="AF565" s="22" t="str">
        <f t="shared" si="221"/>
        <v/>
      </c>
      <c r="AG565" s="9" t="str">
        <f t="shared" ca="1" si="200"/>
        <v/>
      </c>
      <c r="AH565" s="9" t="str">
        <f t="shared" ca="1" si="201"/>
        <v/>
      </c>
      <c r="AI565" s="9" t="str">
        <f t="shared" ca="1" si="202"/>
        <v/>
      </c>
      <c r="AJ565" s="9" t="str">
        <f t="shared" ca="1" si="203"/>
        <v/>
      </c>
      <c r="AK565" s="9" t="str">
        <f t="shared" ca="1" si="204"/>
        <v/>
      </c>
      <c r="AL565" s="9" t="str">
        <f t="shared" ca="1" si="205"/>
        <v/>
      </c>
      <c r="AM565" s="9" t="str">
        <f t="shared" ca="1" si="206"/>
        <v/>
      </c>
      <c r="AN565" s="9" t="str">
        <f t="shared" ca="1" si="207"/>
        <v/>
      </c>
      <c r="AO565" s="9" t="str">
        <f t="shared" ca="1" si="208"/>
        <v/>
      </c>
      <c r="AP565" s="9" t="str">
        <f t="shared" ca="1" si="209"/>
        <v/>
      </c>
      <c r="AQ565" s="9"/>
      <c r="AR565" s="9"/>
      <c r="AS565" s="9"/>
      <c r="AT565" s="9"/>
      <c r="AU565" s="9"/>
    </row>
    <row r="566" spans="1:47" x14ac:dyDescent="0.3">
      <c r="A566" s="1">
        <v>44281</v>
      </c>
      <c r="B566" s="6">
        <v>469.08999599999999</v>
      </c>
      <c r="C566" s="6">
        <v>242.75</v>
      </c>
      <c r="D566" s="6">
        <v>45.825001</v>
      </c>
      <c r="E566" s="6">
        <v>142.699997</v>
      </c>
      <c r="F566" s="6">
        <v>113.050003</v>
      </c>
      <c r="G566" s="6">
        <v>44.759998000000003</v>
      </c>
      <c r="H566" s="6">
        <v>139.89999399999999</v>
      </c>
      <c r="I566" s="6">
        <v>229.63000500000001</v>
      </c>
      <c r="J566" s="6">
        <v>28.440000999999999</v>
      </c>
      <c r="K566" s="6">
        <v>41.900002000000001</v>
      </c>
      <c r="N566" s="18">
        <v>562</v>
      </c>
      <c r="O566" s="1">
        <v>44281</v>
      </c>
      <c r="P566" s="5">
        <f t="shared" si="210"/>
        <v>3.9349495029303828E-2</v>
      </c>
      <c r="Q566" s="5">
        <f t="shared" si="211"/>
        <v>4.671817052202596E-2</v>
      </c>
      <c r="R566" s="5">
        <f t="shared" si="212"/>
        <v>3.1702965063627804E-2</v>
      </c>
      <c r="S566" s="5">
        <f t="shared" si="213"/>
        <v>2.1748400696638661E-2</v>
      </c>
      <c r="T566" s="5">
        <f t="shared" si="214"/>
        <v>2.6532048512506564E-2</v>
      </c>
      <c r="U566" s="5">
        <f t="shared" si="215"/>
        <v>1.033018428324492E-2</v>
      </c>
      <c r="V566" s="5">
        <f t="shared" si="216"/>
        <v>1.5850454835541025E-2</v>
      </c>
      <c r="W566" s="5">
        <f t="shared" si="217"/>
        <v>2.3663268967752515E-2</v>
      </c>
      <c r="X566" s="5">
        <f t="shared" si="218"/>
        <v>-3.1595601794481335E-3</v>
      </c>
      <c r="Y566" s="5">
        <f t="shared" si="219"/>
        <v>-0.32083747474111513</v>
      </c>
      <c r="Z566" s="33">
        <v>562</v>
      </c>
      <c r="AE566" s="20" t="str">
        <f t="shared" si="220"/>
        <v/>
      </c>
      <c r="AF566" s="22" t="str">
        <f t="shared" si="221"/>
        <v/>
      </c>
      <c r="AG566" s="9" t="str">
        <f t="shared" ca="1" si="200"/>
        <v/>
      </c>
      <c r="AH566" s="9" t="str">
        <f t="shared" ca="1" si="201"/>
        <v/>
      </c>
      <c r="AI566" s="9" t="str">
        <f t="shared" ca="1" si="202"/>
        <v/>
      </c>
      <c r="AJ566" s="9" t="str">
        <f t="shared" ca="1" si="203"/>
        <v/>
      </c>
      <c r="AK566" s="9" t="str">
        <f t="shared" ca="1" si="204"/>
        <v/>
      </c>
      <c r="AL566" s="9" t="str">
        <f t="shared" ca="1" si="205"/>
        <v/>
      </c>
      <c r="AM566" s="9" t="str">
        <f t="shared" ca="1" si="206"/>
        <v/>
      </c>
      <c r="AN566" s="9" t="str">
        <f t="shared" ca="1" si="207"/>
        <v/>
      </c>
      <c r="AO566" s="9" t="str">
        <f t="shared" ca="1" si="208"/>
        <v/>
      </c>
      <c r="AP566" s="9" t="str">
        <f t="shared" ca="1" si="209"/>
        <v/>
      </c>
      <c r="AQ566" s="9"/>
      <c r="AR566" s="9"/>
      <c r="AS566" s="9"/>
      <c r="AT566" s="9"/>
      <c r="AU566" s="9"/>
    </row>
    <row r="567" spans="1:47" x14ac:dyDescent="0.3">
      <c r="A567" s="1">
        <v>44284</v>
      </c>
      <c r="B567" s="6">
        <v>469.32000699999998</v>
      </c>
      <c r="C567" s="6">
        <v>240.46000699999999</v>
      </c>
      <c r="D567" s="6">
        <v>45.959999000000003</v>
      </c>
      <c r="E567" s="6">
        <v>144.80999800000001</v>
      </c>
      <c r="F567" s="6">
        <v>111.290001</v>
      </c>
      <c r="G567" s="6">
        <v>44.41</v>
      </c>
      <c r="H567" s="6">
        <v>138.229996</v>
      </c>
      <c r="I567" s="6">
        <v>227.89999399999999</v>
      </c>
      <c r="J567" s="6">
        <v>28.360001</v>
      </c>
      <c r="K567" s="6">
        <v>41.23</v>
      </c>
      <c r="N567" s="19">
        <v>563</v>
      </c>
      <c r="O567" s="1">
        <v>44284</v>
      </c>
      <c r="P567" s="5">
        <f t="shared" si="210"/>
        <v>4.9021430690377051E-4</v>
      </c>
      <c r="Q567" s="5">
        <f t="shared" si="211"/>
        <v>-9.4783225138008621E-3</v>
      </c>
      <c r="R567" s="5">
        <f t="shared" si="212"/>
        <v>2.9416156745863458E-3</v>
      </c>
      <c r="S567" s="5">
        <f t="shared" si="213"/>
        <v>1.4678021069645291E-2</v>
      </c>
      <c r="T567" s="5">
        <f t="shared" si="214"/>
        <v>-1.5690809290042053E-2</v>
      </c>
      <c r="U567" s="5">
        <f t="shared" si="215"/>
        <v>-7.850169456960307E-3</v>
      </c>
      <c r="V567" s="5">
        <f t="shared" si="216"/>
        <v>-1.2008903244670547E-2</v>
      </c>
      <c r="W567" s="5">
        <f t="shared" si="217"/>
        <v>-7.562429780635563E-3</v>
      </c>
      <c r="X567" s="5">
        <f t="shared" si="218"/>
        <v>-2.8169031719264916E-3</v>
      </c>
      <c r="Y567" s="5">
        <f t="shared" si="219"/>
        <v>-1.6119727941979245E-2</v>
      </c>
      <c r="Z567" s="33">
        <v>563</v>
      </c>
      <c r="AE567" s="20" t="str">
        <f t="shared" si="220"/>
        <v/>
      </c>
      <c r="AF567" s="22" t="str">
        <f t="shared" si="221"/>
        <v/>
      </c>
      <c r="AG567" s="9" t="str">
        <f t="shared" ca="1" si="200"/>
        <v/>
      </c>
      <c r="AH567" s="9" t="str">
        <f t="shared" ca="1" si="201"/>
        <v/>
      </c>
      <c r="AI567" s="9" t="str">
        <f t="shared" ca="1" si="202"/>
        <v/>
      </c>
      <c r="AJ567" s="9" t="str">
        <f t="shared" ca="1" si="203"/>
        <v/>
      </c>
      <c r="AK567" s="9" t="str">
        <f t="shared" ca="1" si="204"/>
        <v/>
      </c>
      <c r="AL567" s="9" t="str">
        <f t="shared" ca="1" si="205"/>
        <v/>
      </c>
      <c r="AM567" s="9" t="str">
        <f t="shared" ca="1" si="206"/>
        <v/>
      </c>
      <c r="AN567" s="9" t="str">
        <f t="shared" ca="1" si="207"/>
        <v/>
      </c>
      <c r="AO567" s="9" t="str">
        <f t="shared" ca="1" si="208"/>
        <v/>
      </c>
      <c r="AP567" s="9" t="str">
        <f t="shared" ca="1" si="209"/>
        <v/>
      </c>
      <c r="AQ567" s="9"/>
      <c r="AR567" s="9"/>
      <c r="AS567" s="9"/>
      <c r="AT567" s="9"/>
      <c r="AU567" s="9"/>
    </row>
    <row r="568" spans="1:47" x14ac:dyDescent="0.3">
      <c r="A568" s="1">
        <v>44285</v>
      </c>
      <c r="B568" s="6">
        <v>465.459991</v>
      </c>
      <c r="C568" s="6">
        <v>239.60000600000001</v>
      </c>
      <c r="D568" s="6">
        <v>45.345001000000003</v>
      </c>
      <c r="E568" s="6">
        <v>142.53999300000001</v>
      </c>
      <c r="F568" s="6">
        <v>111.08000199999999</v>
      </c>
      <c r="G568" s="6">
        <v>44.400002000000001</v>
      </c>
      <c r="H568" s="6">
        <v>138.38000500000001</v>
      </c>
      <c r="I568" s="6">
        <v>232.03999300000001</v>
      </c>
      <c r="J568" s="6">
        <v>29.309999000000001</v>
      </c>
      <c r="K568" s="6">
        <v>43.439999</v>
      </c>
      <c r="N568" s="18">
        <v>564</v>
      </c>
      <c r="O568" s="1">
        <v>44285</v>
      </c>
      <c r="P568" s="5">
        <f t="shared" si="210"/>
        <v>-8.2587088898115075E-3</v>
      </c>
      <c r="Q568" s="5">
        <f t="shared" si="211"/>
        <v>-3.5828933746031976E-3</v>
      </c>
      <c r="R568" s="5">
        <f t="shared" si="212"/>
        <v>-1.3471492269825322E-2</v>
      </c>
      <c r="S568" s="5">
        <f t="shared" si="213"/>
        <v>-1.579991156460879E-2</v>
      </c>
      <c r="T568" s="5">
        <f t="shared" si="214"/>
        <v>-1.8887355272270167E-3</v>
      </c>
      <c r="U568" s="5">
        <f t="shared" si="215"/>
        <v>-2.2515482078766527E-4</v>
      </c>
      <c r="V568" s="5">
        <f t="shared" si="216"/>
        <v>1.0846246640664353E-3</v>
      </c>
      <c r="W568" s="5">
        <f t="shared" si="217"/>
        <v>1.800283050634904E-2</v>
      </c>
      <c r="X568" s="5">
        <f t="shared" si="218"/>
        <v>3.2948983679895114E-2</v>
      </c>
      <c r="Y568" s="5">
        <f t="shared" si="219"/>
        <v>5.2214505886613409E-2</v>
      </c>
      <c r="Z568" s="33">
        <v>564</v>
      </c>
      <c r="AE568" s="20" t="str">
        <f t="shared" si="220"/>
        <v/>
      </c>
      <c r="AF568" s="22" t="str">
        <f t="shared" si="221"/>
        <v/>
      </c>
      <c r="AG568" s="9" t="str">
        <f t="shared" ca="1" si="200"/>
        <v/>
      </c>
      <c r="AH568" s="9" t="str">
        <f t="shared" ca="1" si="201"/>
        <v/>
      </c>
      <c r="AI568" s="9" t="str">
        <f t="shared" ca="1" si="202"/>
        <v/>
      </c>
      <c r="AJ568" s="9" t="str">
        <f t="shared" ca="1" si="203"/>
        <v/>
      </c>
      <c r="AK568" s="9" t="str">
        <f t="shared" ca="1" si="204"/>
        <v/>
      </c>
      <c r="AL568" s="9" t="str">
        <f t="shared" ca="1" si="205"/>
        <v/>
      </c>
      <c r="AM568" s="9" t="str">
        <f t="shared" ca="1" si="206"/>
        <v/>
      </c>
      <c r="AN568" s="9" t="str">
        <f t="shared" ca="1" si="207"/>
        <v/>
      </c>
      <c r="AO568" s="9" t="str">
        <f t="shared" ca="1" si="208"/>
        <v/>
      </c>
      <c r="AP568" s="9" t="str">
        <f t="shared" ca="1" si="209"/>
        <v/>
      </c>
      <c r="AQ568" s="9"/>
      <c r="AR568" s="9"/>
      <c r="AS568" s="9"/>
      <c r="AT568" s="9"/>
      <c r="AU568" s="9"/>
    </row>
    <row r="569" spans="1:47" x14ac:dyDescent="0.3">
      <c r="A569" s="1">
        <v>44286</v>
      </c>
      <c r="B569" s="6">
        <v>475.36999500000002</v>
      </c>
      <c r="C569" s="6">
        <v>247.779999</v>
      </c>
      <c r="D569" s="6">
        <v>45.544998</v>
      </c>
      <c r="E569" s="6">
        <v>141.449997</v>
      </c>
      <c r="F569" s="6">
        <v>109.910004</v>
      </c>
      <c r="G569" s="6">
        <v>43.860000999999997</v>
      </c>
      <c r="H569" s="6">
        <v>137.13000500000001</v>
      </c>
      <c r="I569" s="6">
        <v>230.740005</v>
      </c>
      <c r="J569" s="6">
        <v>29.200001</v>
      </c>
      <c r="K569" s="6">
        <v>43.459999000000003</v>
      </c>
      <c r="N569" s="19">
        <v>565</v>
      </c>
      <c r="O569" s="1">
        <v>44286</v>
      </c>
      <c r="P569" s="5">
        <f t="shared" si="210"/>
        <v>2.1067293082082696E-2</v>
      </c>
      <c r="Q569" s="5">
        <f t="shared" si="211"/>
        <v>3.3570360368724426E-2</v>
      </c>
      <c r="R569" s="5">
        <f t="shared" si="212"/>
        <v>4.4008653314793877E-3</v>
      </c>
      <c r="S569" s="5">
        <f t="shared" si="213"/>
        <v>-7.6763364260332952E-3</v>
      </c>
      <c r="T569" s="5">
        <f t="shared" si="214"/>
        <v>-1.0588794969418834E-2</v>
      </c>
      <c r="U569" s="5">
        <f t="shared" si="215"/>
        <v>-1.2236748693663743E-2</v>
      </c>
      <c r="V569" s="5">
        <f t="shared" si="216"/>
        <v>-9.0741427295398195E-3</v>
      </c>
      <c r="W569" s="5">
        <f t="shared" si="217"/>
        <v>-5.6181832620957788E-3</v>
      </c>
      <c r="X569" s="5">
        <f t="shared" si="218"/>
        <v>-3.7599770839412678E-3</v>
      </c>
      <c r="Y569" s="5">
        <f t="shared" si="219"/>
        <v>4.602992131973632E-4</v>
      </c>
      <c r="Z569" s="33">
        <v>565</v>
      </c>
      <c r="AE569" s="20" t="str">
        <f t="shared" si="220"/>
        <v/>
      </c>
      <c r="AF569" s="22" t="str">
        <f t="shared" si="221"/>
        <v/>
      </c>
      <c r="AG569" s="9" t="str">
        <f t="shared" ca="1" si="200"/>
        <v/>
      </c>
      <c r="AH569" s="9" t="str">
        <f t="shared" ca="1" si="201"/>
        <v/>
      </c>
      <c r="AI569" s="9" t="str">
        <f t="shared" ca="1" si="202"/>
        <v/>
      </c>
      <c r="AJ569" s="9" t="str">
        <f t="shared" ca="1" si="203"/>
        <v/>
      </c>
      <c r="AK569" s="9" t="str">
        <f t="shared" ca="1" si="204"/>
        <v/>
      </c>
      <c r="AL569" s="9" t="str">
        <f t="shared" ca="1" si="205"/>
        <v/>
      </c>
      <c r="AM569" s="9" t="str">
        <f t="shared" ca="1" si="206"/>
        <v/>
      </c>
      <c r="AN569" s="9" t="str">
        <f t="shared" ca="1" si="207"/>
        <v/>
      </c>
      <c r="AO569" s="9" t="str">
        <f t="shared" ca="1" si="208"/>
        <v/>
      </c>
      <c r="AP569" s="9" t="str">
        <f t="shared" ca="1" si="209"/>
        <v/>
      </c>
      <c r="AQ569" s="9"/>
      <c r="AR569" s="9"/>
      <c r="AS569" s="9"/>
      <c r="AT569" s="9"/>
      <c r="AU569" s="9"/>
    </row>
    <row r="570" spans="1:47" x14ac:dyDescent="0.3">
      <c r="A570" s="1">
        <v>44287</v>
      </c>
      <c r="B570" s="6">
        <v>483.33999599999999</v>
      </c>
      <c r="C570" s="6">
        <v>254.229996</v>
      </c>
      <c r="D570" s="6">
        <v>45.68</v>
      </c>
      <c r="E570" s="6">
        <v>141.279999</v>
      </c>
      <c r="F570" s="6">
        <v>111.260002</v>
      </c>
      <c r="G570" s="6">
        <v>44.360000999999997</v>
      </c>
      <c r="H570" s="6">
        <v>137.929993</v>
      </c>
      <c r="I570" s="6">
        <v>231.740005</v>
      </c>
      <c r="J570" s="6">
        <v>29.35</v>
      </c>
      <c r="K570" s="6">
        <v>43.310001</v>
      </c>
      <c r="N570" s="18">
        <v>566</v>
      </c>
      <c r="O570" s="1">
        <v>44287</v>
      </c>
      <c r="P570" s="5">
        <f t="shared" si="210"/>
        <v>1.6626893816196166E-2</v>
      </c>
      <c r="Q570" s="5">
        <f t="shared" si="211"/>
        <v>2.5698101715525168E-2</v>
      </c>
      <c r="R570" s="5">
        <f t="shared" si="212"/>
        <v>2.9597610635963764E-3</v>
      </c>
      <c r="S570" s="5">
        <f t="shared" si="213"/>
        <v>-1.2025467611610486E-3</v>
      </c>
      <c r="T570" s="5">
        <f t="shared" si="214"/>
        <v>1.2207937148838154E-2</v>
      </c>
      <c r="U570" s="5">
        <f t="shared" si="215"/>
        <v>1.1335419235438026E-2</v>
      </c>
      <c r="V570" s="5">
        <f t="shared" si="216"/>
        <v>5.8168418635327745E-3</v>
      </c>
      <c r="W570" s="5">
        <f t="shared" si="217"/>
        <v>4.3245179762651876E-3</v>
      </c>
      <c r="X570" s="5">
        <f t="shared" si="218"/>
        <v>5.123802753294656E-3</v>
      </c>
      <c r="Y570" s="5">
        <f t="shared" si="219"/>
        <v>-3.457373502728451E-3</v>
      </c>
      <c r="Z570" s="33">
        <v>566</v>
      </c>
      <c r="AE570" s="20" t="str">
        <f t="shared" si="220"/>
        <v/>
      </c>
      <c r="AF570" s="22" t="str">
        <f t="shared" si="221"/>
        <v/>
      </c>
      <c r="AG570" s="9" t="str">
        <f t="shared" ca="1" si="200"/>
        <v/>
      </c>
      <c r="AH570" s="9" t="str">
        <f t="shared" ca="1" si="201"/>
        <v/>
      </c>
      <c r="AI570" s="9" t="str">
        <f t="shared" ca="1" si="202"/>
        <v/>
      </c>
      <c r="AJ570" s="9" t="str">
        <f t="shared" ca="1" si="203"/>
        <v/>
      </c>
      <c r="AK570" s="9" t="str">
        <f t="shared" ca="1" si="204"/>
        <v/>
      </c>
      <c r="AL570" s="9" t="str">
        <f t="shared" ca="1" si="205"/>
        <v/>
      </c>
      <c r="AM570" s="9" t="str">
        <f t="shared" ca="1" si="206"/>
        <v/>
      </c>
      <c r="AN570" s="9" t="str">
        <f t="shared" ca="1" si="207"/>
        <v/>
      </c>
      <c r="AO570" s="9" t="str">
        <f t="shared" ca="1" si="208"/>
        <v/>
      </c>
      <c r="AP570" s="9" t="str">
        <f t="shared" ca="1" si="209"/>
        <v/>
      </c>
      <c r="AQ570" s="9"/>
      <c r="AR570" s="9"/>
      <c r="AS570" s="9"/>
      <c r="AT570" s="9"/>
      <c r="AU570" s="9"/>
    </row>
    <row r="571" spans="1:47" x14ac:dyDescent="0.3">
      <c r="A571" s="1">
        <v>44291</v>
      </c>
      <c r="B571" s="6">
        <v>491.61999500000002</v>
      </c>
      <c r="C571" s="6">
        <v>260.10998499999999</v>
      </c>
      <c r="D571" s="6">
        <v>46.720001000000003</v>
      </c>
      <c r="E571" s="6">
        <v>143.16000399999999</v>
      </c>
      <c r="F571" s="6">
        <v>110.790001</v>
      </c>
      <c r="G571" s="6">
        <v>43.810001</v>
      </c>
      <c r="H571" s="6">
        <v>140.16999799999999</v>
      </c>
      <c r="I571" s="6">
        <v>234.279999</v>
      </c>
      <c r="J571" s="6">
        <v>29.48</v>
      </c>
      <c r="K571" s="6">
        <v>41.639999000000003</v>
      </c>
      <c r="N571" s="19">
        <v>567</v>
      </c>
      <c r="O571" s="1">
        <v>44291</v>
      </c>
      <c r="P571" s="5">
        <f t="shared" si="210"/>
        <v>1.6985718697291818E-2</v>
      </c>
      <c r="Q571" s="5">
        <f t="shared" si="211"/>
        <v>2.2865207431606856E-2</v>
      </c>
      <c r="R571" s="5">
        <f t="shared" si="212"/>
        <v>2.2511794576326374E-2</v>
      </c>
      <c r="S571" s="5">
        <f t="shared" si="213"/>
        <v>1.3219184061082941E-2</v>
      </c>
      <c r="T571" s="5">
        <f t="shared" si="214"/>
        <v>-4.2332960643923596E-3</v>
      </c>
      <c r="U571" s="5">
        <f t="shared" si="215"/>
        <v>-1.2476060373351644E-2</v>
      </c>
      <c r="V571" s="5">
        <f t="shared" si="216"/>
        <v>1.6109698069531199E-2</v>
      </c>
      <c r="W571" s="5">
        <f t="shared" si="217"/>
        <v>1.0900901808364781E-2</v>
      </c>
      <c r="X571" s="5">
        <f t="shared" si="218"/>
        <v>4.4195210470303814E-3</v>
      </c>
      <c r="Y571" s="5">
        <f t="shared" si="219"/>
        <v>-3.9322358584492734E-2</v>
      </c>
      <c r="Z571" s="33">
        <v>567</v>
      </c>
      <c r="AE571" s="20" t="str">
        <f t="shared" si="220"/>
        <v/>
      </c>
      <c r="AF571" s="22" t="str">
        <f t="shared" si="221"/>
        <v/>
      </c>
      <c r="AG571" s="9" t="str">
        <f t="shared" ca="1" si="200"/>
        <v/>
      </c>
      <c r="AH571" s="9" t="str">
        <f t="shared" ca="1" si="201"/>
        <v/>
      </c>
      <c r="AI571" s="9" t="str">
        <f t="shared" ca="1" si="202"/>
        <v/>
      </c>
      <c r="AJ571" s="9" t="str">
        <f t="shared" ca="1" si="203"/>
        <v/>
      </c>
      <c r="AK571" s="9" t="str">
        <f t="shared" ca="1" si="204"/>
        <v/>
      </c>
      <c r="AL571" s="9" t="str">
        <f t="shared" ca="1" si="205"/>
        <v/>
      </c>
      <c r="AM571" s="9" t="str">
        <f t="shared" ca="1" si="206"/>
        <v/>
      </c>
      <c r="AN571" s="9" t="str">
        <f t="shared" ca="1" si="207"/>
        <v/>
      </c>
      <c r="AO571" s="9" t="str">
        <f t="shared" ca="1" si="208"/>
        <v/>
      </c>
      <c r="AP571" s="9" t="str">
        <f t="shared" ca="1" si="209"/>
        <v/>
      </c>
      <c r="AQ571" s="9"/>
      <c r="AR571" s="9"/>
      <c r="AS571" s="9"/>
      <c r="AT571" s="9"/>
      <c r="AU571" s="9"/>
    </row>
    <row r="572" spans="1:47" x14ac:dyDescent="0.3">
      <c r="A572" s="1">
        <v>44292</v>
      </c>
      <c r="B572" s="6">
        <v>491.33999599999999</v>
      </c>
      <c r="C572" s="6">
        <v>257.35998499999999</v>
      </c>
      <c r="D572" s="6">
        <v>46.865001999999997</v>
      </c>
      <c r="E572" s="6">
        <v>143.66999799999999</v>
      </c>
      <c r="F572" s="6">
        <v>111.300003</v>
      </c>
      <c r="G572" s="6">
        <v>44.049999</v>
      </c>
      <c r="H572" s="6">
        <v>139.529999</v>
      </c>
      <c r="I572" s="6">
        <v>233.729996</v>
      </c>
      <c r="J572" s="6">
        <v>29.59</v>
      </c>
      <c r="K572" s="6">
        <v>43.380001</v>
      </c>
      <c r="N572" s="18">
        <v>568</v>
      </c>
      <c r="O572" s="1">
        <v>44292</v>
      </c>
      <c r="P572" s="5">
        <f t="shared" si="210"/>
        <v>-5.6970580722888486E-4</v>
      </c>
      <c r="Q572" s="5">
        <f t="shared" si="211"/>
        <v>-1.0628736152233031E-2</v>
      </c>
      <c r="R572" s="5">
        <f t="shared" si="212"/>
        <v>3.0988109501379649E-3</v>
      </c>
      <c r="S572" s="5">
        <f t="shared" si="213"/>
        <v>3.5560752632466017E-3</v>
      </c>
      <c r="T572" s="5">
        <f t="shared" si="214"/>
        <v>4.5927586770099166E-3</v>
      </c>
      <c r="U572" s="5">
        <f t="shared" si="215"/>
        <v>5.4632050290669759E-3</v>
      </c>
      <c r="V572" s="5">
        <f t="shared" si="216"/>
        <v>-4.5763326693800148E-3</v>
      </c>
      <c r="W572" s="5">
        <f t="shared" si="217"/>
        <v>-2.3503910560721489E-3</v>
      </c>
      <c r="X572" s="5">
        <f t="shared" si="218"/>
        <v>3.7243990909824939E-3</v>
      </c>
      <c r="Y572" s="5">
        <f t="shared" si="219"/>
        <v>4.0937308719427669E-2</v>
      </c>
      <c r="Z572" s="33">
        <v>568</v>
      </c>
      <c r="AE572" s="20" t="str">
        <f t="shared" si="220"/>
        <v/>
      </c>
      <c r="AF572" s="22" t="str">
        <f t="shared" si="221"/>
        <v/>
      </c>
      <c r="AG572" s="9" t="str">
        <f t="shared" ca="1" si="200"/>
        <v/>
      </c>
      <c r="AH572" s="9" t="str">
        <f t="shared" ca="1" si="201"/>
        <v/>
      </c>
      <c r="AI572" s="9" t="str">
        <f t="shared" ca="1" si="202"/>
        <v/>
      </c>
      <c r="AJ572" s="9" t="str">
        <f t="shared" ca="1" si="203"/>
        <v/>
      </c>
      <c r="AK572" s="9" t="str">
        <f t="shared" ca="1" si="204"/>
        <v/>
      </c>
      <c r="AL572" s="9" t="str">
        <f t="shared" ca="1" si="205"/>
        <v/>
      </c>
      <c r="AM572" s="9" t="str">
        <f t="shared" ca="1" si="206"/>
        <v/>
      </c>
      <c r="AN572" s="9" t="str">
        <f t="shared" ca="1" si="207"/>
        <v/>
      </c>
      <c r="AO572" s="9" t="str">
        <f t="shared" ca="1" si="208"/>
        <v/>
      </c>
      <c r="AP572" s="9" t="str">
        <f t="shared" ca="1" si="209"/>
        <v/>
      </c>
      <c r="AQ572" s="9"/>
      <c r="AR572" s="9"/>
      <c r="AS572" s="9"/>
      <c r="AT572" s="9"/>
      <c r="AU572" s="9"/>
    </row>
    <row r="573" spans="1:47" x14ac:dyDescent="0.3">
      <c r="A573" s="1">
        <v>44293</v>
      </c>
      <c r="B573" s="6">
        <v>493.41000400000001</v>
      </c>
      <c r="C573" s="6">
        <v>257</v>
      </c>
      <c r="D573" s="6">
        <v>47.115001999999997</v>
      </c>
      <c r="E573" s="6">
        <v>143.41000399999999</v>
      </c>
      <c r="F573" s="6">
        <v>112.970001</v>
      </c>
      <c r="G573" s="6">
        <v>44.619999</v>
      </c>
      <c r="H573" s="6">
        <v>139.08000200000001</v>
      </c>
      <c r="I573" s="6">
        <v>235.199997</v>
      </c>
      <c r="J573" s="6">
        <v>29.52</v>
      </c>
      <c r="K573" s="6">
        <v>43.389999000000003</v>
      </c>
      <c r="N573" s="19">
        <v>569</v>
      </c>
      <c r="O573" s="1">
        <v>44293</v>
      </c>
      <c r="P573" s="5">
        <f t="shared" si="210"/>
        <v>4.2041351589860053E-3</v>
      </c>
      <c r="Q573" s="5">
        <f t="shared" si="211"/>
        <v>-1.3997397514337398E-3</v>
      </c>
      <c r="R573" s="5">
        <f t="shared" si="212"/>
        <v>5.3202932338257541E-3</v>
      </c>
      <c r="S573" s="5">
        <f t="shared" si="213"/>
        <v>-1.8113004686587041E-3</v>
      </c>
      <c r="T573" s="5">
        <f t="shared" si="214"/>
        <v>1.4893020355068303E-2</v>
      </c>
      <c r="U573" s="5">
        <f t="shared" si="215"/>
        <v>1.2856836912198844E-2</v>
      </c>
      <c r="V573" s="5">
        <f t="shared" si="216"/>
        <v>-3.2303032173244461E-3</v>
      </c>
      <c r="W573" s="5">
        <f t="shared" si="217"/>
        <v>6.2696173722572544E-3</v>
      </c>
      <c r="X573" s="5">
        <f t="shared" si="218"/>
        <v>-2.3684666798465532E-3</v>
      </c>
      <c r="Y573" s="5">
        <f t="shared" si="219"/>
        <v>2.3044831264827669E-4</v>
      </c>
      <c r="Z573" s="33">
        <v>569</v>
      </c>
      <c r="AE573" s="20" t="str">
        <f t="shared" si="220"/>
        <v/>
      </c>
      <c r="AF573" s="22" t="str">
        <f t="shared" si="221"/>
        <v/>
      </c>
      <c r="AG573" s="9" t="str">
        <f t="shared" ca="1" si="200"/>
        <v/>
      </c>
      <c r="AH573" s="9" t="str">
        <f t="shared" ca="1" si="201"/>
        <v/>
      </c>
      <c r="AI573" s="9" t="str">
        <f t="shared" ca="1" si="202"/>
        <v/>
      </c>
      <c r="AJ573" s="9" t="str">
        <f t="shared" ca="1" si="203"/>
        <v/>
      </c>
      <c r="AK573" s="9" t="str">
        <f t="shared" ca="1" si="204"/>
        <v/>
      </c>
      <c r="AL573" s="9" t="str">
        <f t="shared" ca="1" si="205"/>
        <v/>
      </c>
      <c r="AM573" s="9" t="str">
        <f t="shared" ca="1" si="206"/>
        <v/>
      </c>
      <c r="AN573" s="9" t="str">
        <f t="shared" ca="1" si="207"/>
        <v/>
      </c>
      <c r="AO573" s="9" t="str">
        <f t="shared" ca="1" si="208"/>
        <v/>
      </c>
      <c r="AP573" s="9" t="str">
        <f t="shared" ca="1" si="209"/>
        <v/>
      </c>
      <c r="AQ573" s="9"/>
      <c r="AR573" s="9"/>
      <c r="AS573" s="9"/>
      <c r="AT573" s="9"/>
      <c r="AU573" s="9"/>
    </row>
    <row r="574" spans="1:47" x14ac:dyDescent="0.3">
      <c r="A574" s="1">
        <v>44294</v>
      </c>
      <c r="B574" s="6">
        <v>499.83999599999999</v>
      </c>
      <c r="C574" s="6">
        <v>261.01001000000002</v>
      </c>
      <c r="D574" s="6">
        <v>47.650002000000001</v>
      </c>
      <c r="E574" s="6">
        <v>142.53999300000001</v>
      </c>
      <c r="F574" s="6">
        <v>111.620003</v>
      </c>
      <c r="G574" s="6">
        <v>43.970001000000003</v>
      </c>
      <c r="H574" s="6">
        <v>138.520004</v>
      </c>
      <c r="I574" s="6">
        <v>234.36000100000001</v>
      </c>
      <c r="J574" s="6">
        <v>29.450001</v>
      </c>
      <c r="K574" s="6">
        <v>41.880001</v>
      </c>
      <c r="N574" s="18">
        <v>570</v>
      </c>
      <c r="O574" s="1">
        <v>44294</v>
      </c>
      <c r="P574" s="5">
        <f t="shared" si="210"/>
        <v>1.2947559680569921E-2</v>
      </c>
      <c r="Q574" s="5">
        <f t="shared" si="211"/>
        <v>1.5482674182457279E-2</v>
      </c>
      <c r="R574" s="5">
        <f t="shared" si="212"/>
        <v>1.1291207964883322E-2</v>
      </c>
      <c r="S574" s="5">
        <f t="shared" si="213"/>
        <v>-6.0850756684767172E-3</v>
      </c>
      <c r="T574" s="5">
        <f t="shared" si="214"/>
        <v>-1.2022033353553991E-2</v>
      </c>
      <c r="U574" s="5">
        <f t="shared" si="215"/>
        <v>-1.4674560657413798E-2</v>
      </c>
      <c r="V574" s="5">
        <f t="shared" si="216"/>
        <v>-4.0345731089561285E-3</v>
      </c>
      <c r="W574" s="5">
        <f t="shared" si="217"/>
        <v>-3.5778043258420321E-3</v>
      </c>
      <c r="X574" s="5">
        <f t="shared" si="218"/>
        <v>-2.3740556788192494E-3</v>
      </c>
      <c r="Y574" s="5">
        <f t="shared" si="219"/>
        <v>-3.5420566883392388E-2</v>
      </c>
      <c r="Z574" s="33">
        <v>570</v>
      </c>
      <c r="AE574" s="20" t="str">
        <f t="shared" si="220"/>
        <v/>
      </c>
      <c r="AF574" s="22" t="str">
        <f t="shared" si="221"/>
        <v/>
      </c>
      <c r="AG574" s="9" t="str">
        <f t="shared" ca="1" si="200"/>
        <v/>
      </c>
      <c r="AH574" s="9" t="str">
        <f t="shared" ca="1" si="201"/>
        <v/>
      </c>
      <c r="AI574" s="9" t="str">
        <f t="shared" ca="1" si="202"/>
        <v/>
      </c>
      <c r="AJ574" s="9" t="str">
        <f t="shared" ca="1" si="203"/>
        <v/>
      </c>
      <c r="AK574" s="9" t="str">
        <f t="shared" ca="1" si="204"/>
        <v/>
      </c>
      <c r="AL574" s="9" t="str">
        <f t="shared" ca="1" si="205"/>
        <v/>
      </c>
      <c r="AM574" s="9" t="str">
        <f t="shared" ca="1" si="206"/>
        <v/>
      </c>
      <c r="AN574" s="9" t="str">
        <f t="shared" ca="1" si="207"/>
        <v/>
      </c>
      <c r="AO574" s="9" t="str">
        <f t="shared" ca="1" si="208"/>
        <v/>
      </c>
      <c r="AP574" s="9" t="str">
        <f t="shared" ca="1" si="209"/>
        <v/>
      </c>
      <c r="AQ574" s="9"/>
      <c r="AR574" s="9"/>
      <c r="AS574" s="9"/>
      <c r="AT574" s="9"/>
      <c r="AU574" s="9"/>
    </row>
    <row r="575" spans="1:47" x14ac:dyDescent="0.3">
      <c r="A575" s="1">
        <v>44295</v>
      </c>
      <c r="B575" s="6">
        <v>504.040009</v>
      </c>
      <c r="C575" s="6">
        <v>261.85000600000001</v>
      </c>
      <c r="D575" s="6">
        <v>47.645000000000003</v>
      </c>
      <c r="E575" s="6">
        <v>142.570007</v>
      </c>
      <c r="F575" s="6">
        <v>112.33000199999999</v>
      </c>
      <c r="G575" s="6">
        <v>44.060001</v>
      </c>
      <c r="H575" s="6">
        <v>139.96000699999999</v>
      </c>
      <c r="I575" s="6">
        <v>235.58999600000001</v>
      </c>
      <c r="J575" s="6">
        <v>29.4</v>
      </c>
      <c r="K575" s="6">
        <v>42</v>
      </c>
      <c r="N575" s="19">
        <v>571</v>
      </c>
      <c r="O575" s="1">
        <v>44295</v>
      </c>
      <c r="P575" s="5">
        <f t="shared" si="210"/>
        <v>8.3676086485124524E-3</v>
      </c>
      <c r="Q575" s="5">
        <f t="shared" si="211"/>
        <v>3.2130845617015448E-3</v>
      </c>
      <c r="R575" s="5">
        <f t="shared" si="212"/>
        <v>-1.0497927277632658E-4</v>
      </c>
      <c r="S575" s="5">
        <f t="shared" si="213"/>
        <v>2.1054329985530808E-4</v>
      </c>
      <c r="T575" s="5">
        <f t="shared" si="214"/>
        <v>6.3407132209693119E-3</v>
      </c>
      <c r="U575" s="5">
        <f t="shared" si="215"/>
        <v>2.0447581350223403E-3</v>
      </c>
      <c r="V575" s="5">
        <f t="shared" si="216"/>
        <v>1.0341969102858372E-2</v>
      </c>
      <c r="W575" s="5">
        <f t="shared" si="217"/>
        <v>5.234590132715833E-3</v>
      </c>
      <c r="X575" s="5">
        <f t="shared" si="218"/>
        <v>-1.6992697088166306E-3</v>
      </c>
      <c r="Y575" s="5">
        <f t="shared" si="219"/>
        <v>2.8612084032864659E-3</v>
      </c>
      <c r="Z575" s="33">
        <v>571</v>
      </c>
      <c r="AE575" s="20" t="str">
        <f t="shared" si="220"/>
        <v/>
      </c>
      <c r="AF575" s="22" t="str">
        <f t="shared" si="221"/>
        <v/>
      </c>
      <c r="AG575" s="9" t="str">
        <f t="shared" ca="1" si="200"/>
        <v/>
      </c>
      <c r="AH575" s="9" t="str">
        <f t="shared" ca="1" si="201"/>
        <v/>
      </c>
      <c r="AI575" s="9" t="str">
        <f t="shared" ca="1" si="202"/>
        <v/>
      </c>
      <c r="AJ575" s="9" t="str">
        <f t="shared" ca="1" si="203"/>
        <v/>
      </c>
      <c r="AK575" s="9" t="str">
        <f t="shared" ca="1" si="204"/>
        <v/>
      </c>
      <c r="AL575" s="9" t="str">
        <f t="shared" ca="1" si="205"/>
        <v/>
      </c>
      <c r="AM575" s="9" t="str">
        <f t="shared" ca="1" si="206"/>
        <v/>
      </c>
      <c r="AN575" s="9" t="str">
        <f t="shared" ca="1" si="207"/>
        <v/>
      </c>
      <c r="AO575" s="9" t="str">
        <f t="shared" ca="1" si="208"/>
        <v/>
      </c>
      <c r="AP575" s="9" t="str">
        <f t="shared" ca="1" si="209"/>
        <v/>
      </c>
      <c r="AQ575" s="9"/>
      <c r="AR575" s="9"/>
      <c r="AS575" s="9"/>
      <c r="AT575" s="9"/>
      <c r="AU575" s="9"/>
    </row>
    <row r="576" spans="1:47" x14ac:dyDescent="0.3">
      <c r="A576" s="1">
        <v>44298</v>
      </c>
      <c r="B576" s="6">
        <v>506.02999899999998</v>
      </c>
      <c r="C576" s="6">
        <v>258.04998799999998</v>
      </c>
      <c r="D576" s="6">
        <v>47.709999000000003</v>
      </c>
      <c r="E576" s="6">
        <v>143.020004</v>
      </c>
      <c r="F576" s="6">
        <v>112.220001</v>
      </c>
      <c r="G576" s="6">
        <v>44.16</v>
      </c>
      <c r="H576" s="6">
        <v>140.490005</v>
      </c>
      <c r="I576" s="6">
        <v>236.320007</v>
      </c>
      <c r="J576" s="6">
        <v>29.99</v>
      </c>
      <c r="K576" s="6">
        <v>40.380001</v>
      </c>
      <c r="N576" s="18">
        <v>572</v>
      </c>
      <c r="O576" s="1">
        <v>44298</v>
      </c>
      <c r="P576" s="5">
        <f t="shared" si="210"/>
        <v>3.9403062341336953E-3</v>
      </c>
      <c r="Q576" s="5">
        <f t="shared" si="211"/>
        <v>-1.4618525547259158E-2</v>
      </c>
      <c r="R576" s="5">
        <f t="shared" si="212"/>
        <v>1.3633057678973425E-3</v>
      </c>
      <c r="S576" s="5">
        <f t="shared" si="213"/>
        <v>3.1513523238090946E-3</v>
      </c>
      <c r="T576" s="5">
        <f t="shared" si="214"/>
        <v>-9.797462242669456E-4</v>
      </c>
      <c r="U576" s="5">
        <f t="shared" si="215"/>
        <v>2.2670378983197952E-3</v>
      </c>
      <c r="V576" s="5">
        <f t="shared" si="216"/>
        <v>3.7796299395052944E-3</v>
      </c>
      <c r="W576" s="5">
        <f t="shared" si="217"/>
        <v>3.0938593276788316E-3</v>
      </c>
      <c r="X576" s="5">
        <f t="shared" si="218"/>
        <v>1.9869318416281846E-2</v>
      </c>
      <c r="Y576" s="5">
        <f t="shared" si="219"/>
        <v>-3.9334980633942189E-2</v>
      </c>
      <c r="Z576" s="33">
        <v>572</v>
      </c>
      <c r="AE576" s="20" t="str">
        <f t="shared" si="220"/>
        <v/>
      </c>
      <c r="AF576" s="22" t="str">
        <f t="shared" si="221"/>
        <v/>
      </c>
      <c r="AG576" s="9" t="str">
        <f t="shared" ca="1" si="200"/>
        <v/>
      </c>
      <c r="AH576" s="9" t="str">
        <f t="shared" ca="1" si="201"/>
        <v/>
      </c>
      <c r="AI576" s="9" t="str">
        <f t="shared" ca="1" si="202"/>
        <v/>
      </c>
      <c r="AJ576" s="9" t="str">
        <f t="shared" ca="1" si="203"/>
        <v/>
      </c>
      <c r="AK576" s="9" t="str">
        <f t="shared" ca="1" si="204"/>
        <v/>
      </c>
      <c r="AL576" s="9" t="str">
        <f t="shared" ca="1" si="205"/>
        <v/>
      </c>
      <c r="AM576" s="9" t="str">
        <f t="shared" ca="1" si="206"/>
        <v/>
      </c>
      <c r="AN576" s="9" t="str">
        <f t="shared" ca="1" si="207"/>
        <v/>
      </c>
      <c r="AO576" s="9" t="str">
        <f t="shared" ca="1" si="208"/>
        <v/>
      </c>
      <c r="AP576" s="9" t="str">
        <f t="shared" ca="1" si="209"/>
        <v/>
      </c>
      <c r="AQ576" s="9"/>
      <c r="AR576" s="9"/>
      <c r="AS576" s="9"/>
      <c r="AT576" s="9"/>
      <c r="AU576" s="9"/>
    </row>
    <row r="577" spans="1:47" x14ac:dyDescent="0.3">
      <c r="A577" s="1">
        <v>44299</v>
      </c>
      <c r="B577" s="6">
        <v>514.85998500000005</v>
      </c>
      <c r="C577" s="6">
        <v>261.92999300000002</v>
      </c>
      <c r="D577" s="6">
        <v>47.945</v>
      </c>
      <c r="E577" s="6">
        <v>143.050003</v>
      </c>
      <c r="F577" s="6">
        <v>113.69000200000001</v>
      </c>
      <c r="G577" s="6">
        <v>44.41</v>
      </c>
      <c r="H577" s="6">
        <v>138.66000399999999</v>
      </c>
      <c r="I577" s="6">
        <v>232.91000399999999</v>
      </c>
      <c r="J577" s="6">
        <v>29.540001</v>
      </c>
      <c r="K577" s="6">
        <v>40.380001</v>
      </c>
      <c r="N577" s="19">
        <v>573</v>
      </c>
      <c r="O577" s="1">
        <v>44299</v>
      </c>
      <c r="P577" s="5">
        <f t="shared" si="210"/>
        <v>1.7299035821599095E-2</v>
      </c>
      <c r="Q577" s="5">
        <f t="shared" si="211"/>
        <v>1.4923947674008944E-2</v>
      </c>
      <c r="R577" s="5">
        <f t="shared" si="212"/>
        <v>4.913522037595491E-3</v>
      </c>
      <c r="S577" s="5">
        <f t="shared" si="213"/>
        <v>2.0973187944136966E-4</v>
      </c>
      <c r="T577" s="5">
        <f t="shared" si="214"/>
        <v>1.3014224498818328E-2</v>
      </c>
      <c r="U577" s="5">
        <f t="shared" si="215"/>
        <v>5.6452673351709325E-3</v>
      </c>
      <c r="V577" s="5">
        <f t="shared" si="216"/>
        <v>-1.3111425091396489E-2</v>
      </c>
      <c r="W577" s="5">
        <f t="shared" si="217"/>
        <v>-1.4534718378590794E-2</v>
      </c>
      <c r="X577" s="5">
        <f t="shared" si="218"/>
        <v>-1.5118681805280976E-2</v>
      </c>
      <c r="Y577" s="5">
        <f t="shared" si="219"/>
        <v>0</v>
      </c>
      <c r="Z577" s="33">
        <v>573</v>
      </c>
      <c r="AE577" s="20" t="str">
        <f t="shared" si="220"/>
        <v/>
      </c>
      <c r="AF577" s="22" t="str">
        <f t="shared" si="221"/>
        <v/>
      </c>
      <c r="AG577" s="9" t="str">
        <f t="shared" ca="1" si="200"/>
        <v/>
      </c>
      <c r="AH577" s="9" t="str">
        <f t="shared" ca="1" si="201"/>
        <v/>
      </c>
      <c r="AI577" s="9" t="str">
        <f t="shared" ca="1" si="202"/>
        <v/>
      </c>
      <c r="AJ577" s="9" t="str">
        <f t="shared" ca="1" si="203"/>
        <v/>
      </c>
      <c r="AK577" s="9" t="str">
        <f t="shared" ca="1" si="204"/>
        <v/>
      </c>
      <c r="AL577" s="9" t="str">
        <f t="shared" ca="1" si="205"/>
        <v/>
      </c>
      <c r="AM577" s="9" t="str">
        <f t="shared" ca="1" si="206"/>
        <v/>
      </c>
      <c r="AN577" s="9" t="str">
        <f t="shared" ca="1" si="207"/>
        <v/>
      </c>
      <c r="AO577" s="9" t="str">
        <f t="shared" ca="1" si="208"/>
        <v/>
      </c>
      <c r="AP577" s="9" t="str">
        <f t="shared" ca="1" si="209"/>
        <v/>
      </c>
      <c r="AQ577" s="9"/>
      <c r="AR577" s="9"/>
      <c r="AS577" s="9"/>
      <c r="AT577" s="9"/>
      <c r="AU577" s="9"/>
    </row>
    <row r="578" spans="1:47" x14ac:dyDescent="0.3">
      <c r="A578" s="1">
        <v>44300</v>
      </c>
      <c r="B578" s="6">
        <v>510.63000499999998</v>
      </c>
      <c r="C578" s="6">
        <v>258.58999599999999</v>
      </c>
      <c r="D578" s="6">
        <v>47.400002000000001</v>
      </c>
      <c r="E578" s="6">
        <v>142.11000100000001</v>
      </c>
      <c r="F578" s="6">
        <v>113.57</v>
      </c>
      <c r="G578" s="6">
        <v>44.18</v>
      </c>
      <c r="H578" s="6">
        <v>138.300003</v>
      </c>
      <c r="I578" s="6">
        <v>233.25</v>
      </c>
      <c r="J578" s="6">
        <v>29.92</v>
      </c>
      <c r="K578" s="6">
        <v>38.380001</v>
      </c>
      <c r="N578" s="18">
        <v>574</v>
      </c>
      <c r="O578" s="1">
        <v>44300</v>
      </c>
      <c r="P578" s="5">
        <f t="shared" si="210"/>
        <v>-8.2497226331336229E-3</v>
      </c>
      <c r="Q578" s="5">
        <f t="shared" si="211"/>
        <v>-1.2833485404815555E-2</v>
      </c>
      <c r="R578" s="5">
        <f t="shared" si="212"/>
        <v>-1.1432249710521796E-2</v>
      </c>
      <c r="S578" s="5">
        <f t="shared" si="213"/>
        <v>-6.5928278272346435E-3</v>
      </c>
      <c r="T578" s="5">
        <f t="shared" si="214"/>
        <v>-1.0560768291569297E-3</v>
      </c>
      <c r="U578" s="5">
        <f t="shared" si="215"/>
        <v>-5.1924713120397722E-3</v>
      </c>
      <c r="V578" s="5">
        <f t="shared" si="216"/>
        <v>-2.5996619991982988E-3</v>
      </c>
      <c r="W578" s="5">
        <f t="shared" si="217"/>
        <v>1.4587097021215377E-3</v>
      </c>
      <c r="X578" s="5">
        <f t="shared" si="218"/>
        <v>1.278184215063978E-2</v>
      </c>
      <c r="Y578" s="5">
        <f t="shared" si="219"/>
        <v>-5.0798121014635586E-2</v>
      </c>
      <c r="Z578" s="33">
        <v>574</v>
      </c>
      <c r="AE578" s="20" t="str">
        <f t="shared" si="220"/>
        <v/>
      </c>
      <c r="AF578" s="22" t="str">
        <f t="shared" si="221"/>
        <v/>
      </c>
      <c r="AG578" s="9" t="str">
        <f t="shared" ca="1" si="200"/>
        <v/>
      </c>
      <c r="AH578" s="9" t="str">
        <f t="shared" ca="1" si="201"/>
        <v/>
      </c>
      <c r="AI578" s="9" t="str">
        <f t="shared" ca="1" si="202"/>
        <v/>
      </c>
      <c r="AJ578" s="9" t="str">
        <f t="shared" ca="1" si="203"/>
        <v/>
      </c>
      <c r="AK578" s="9" t="str">
        <f t="shared" ca="1" si="204"/>
        <v/>
      </c>
      <c r="AL578" s="9" t="str">
        <f t="shared" ca="1" si="205"/>
        <v/>
      </c>
      <c r="AM578" s="9" t="str">
        <f t="shared" ca="1" si="206"/>
        <v/>
      </c>
      <c r="AN578" s="9" t="str">
        <f t="shared" ca="1" si="207"/>
        <v/>
      </c>
      <c r="AO578" s="9" t="str">
        <f t="shared" ca="1" si="208"/>
        <v/>
      </c>
      <c r="AP578" s="9" t="str">
        <f t="shared" ca="1" si="209"/>
        <v/>
      </c>
      <c r="AQ578" s="9"/>
      <c r="AR578" s="9"/>
      <c r="AS578" s="9"/>
      <c r="AT578" s="9"/>
      <c r="AU578" s="9"/>
    </row>
    <row r="579" spans="1:47" x14ac:dyDescent="0.3">
      <c r="A579" s="1">
        <v>44301</v>
      </c>
      <c r="B579" s="6">
        <v>523.25</v>
      </c>
      <c r="C579" s="6">
        <v>262.13000499999998</v>
      </c>
      <c r="D579" s="6">
        <v>47.974997999999999</v>
      </c>
      <c r="E579" s="6">
        <v>142.30999800000001</v>
      </c>
      <c r="F579" s="6">
        <v>115.129997</v>
      </c>
      <c r="G579" s="6">
        <v>44.869999</v>
      </c>
      <c r="H579" s="6">
        <v>139.38000500000001</v>
      </c>
      <c r="I579" s="6">
        <v>232.13999899999999</v>
      </c>
      <c r="J579" s="6">
        <v>30.43</v>
      </c>
      <c r="K579" s="6">
        <v>37.82</v>
      </c>
      <c r="N579" s="19">
        <v>575</v>
      </c>
      <c r="O579" s="1">
        <v>44301</v>
      </c>
      <c r="P579" s="5">
        <f t="shared" si="210"/>
        <v>2.4414094046291909E-2</v>
      </c>
      <c r="Q579" s="5">
        <f t="shared" si="211"/>
        <v>1.3596802622213425E-2</v>
      </c>
      <c r="R579" s="5">
        <f t="shared" si="212"/>
        <v>1.2057729310260524E-2</v>
      </c>
      <c r="S579" s="5">
        <f t="shared" si="213"/>
        <v>1.4063500011696622E-3</v>
      </c>
      <c r="T579" s="5">
        <f t="shared" si="214"/>
        <v>1.364251172451761E-2</v>
      </c>
      <c r="U579" s="5">
        <f t="shared" si="215"/>
        <v>1.5497199709314818E-2</v>
      </c>
      <c r="V579" s="5">
        <f t="shared" si="216"/>
        <v>7.7787915208384663E-3</v>
      </c>
      <c r="W579" s="5">
        <f t="shared" si="217"/>
        <v>-4.7702060947219724E-3</v>
      </c>
      <c r="X579" s="5">
        <f t="shared" si="218"/>
        <v>1.6901810802603254E-2</v>
      </c>
      <c r="Y579" s="5">
        <f t="shared" si="219"/>
        <v>-1.4698453404479221E-2</v>
      </c>
      <c r="Z579" s="33">
        <v>575</v>
      </c>
      <c r="AE579" s="20" t="str">
        <f t="shared" si="220"/>
        <v/>
      </c>
      <c r="AF579" s="22" t="str">
        <f t="shared" si="221"/>
        <v/>
      </c>
      <c r="AG579" s="9" t="str">
        <f t="shared" ca="1" si="200"/>
        <v/>
      </c>
      <c r="AH579" s="9" t="str">
        <f t="shared" ca="1" si="201"/>
        <v/>
      </c>
      <c r="AI579" s="9" t="str">
        <f t="shared" ca="1" si="202"/>
        <v/>
      </c>
      <c r="AJ579" s="9" t="str">
        <f t="shared" ca="1" si="203"/>
        <v/>
      </c>
      <c r="AK579" s="9" t="str">
        <f t="shared" ca="1" si="204"/>
        <v/>
      </c>
      <c r="AL579" s="9" t="str">
        <f t="shared" ca="1" si="205"/>
        <v/>
      </c>
      <c r="AM579" s="9" t="str">
        <f t="shared" ca="1" si="206"/>
        <v/>
      </c>
      <c r="AN579" s="9" t="str">
        <f t="shared" ca="1" si="207"/>
        <v/>
      </c>
      <c r="AO579" s="9" t="str">
        <f t="shared" ca="1" si="208"/>
        <v/>
      </c>
      <c r="AP579" s="9" t="str">
        <f t="shared" ca="1" si="209"/>
        <v/>
      </c>
      <c r="AQ579" s="9"/>
      <c r="AR579" s="9"/>
      <c r="AS579" s="9"/>
      <c r="AT579" s="9"/>
      <c r="AU579" s="9"/>
    </row>
    <row r="580" spans="1:47" x14ac:dyDescent="0.3">
      <c r="A580" s="1">
        <v>44302</v>
      </c>
      <c r="B580" s="6">
        <v>525.080017</v>
      </c>
      <c r="C580" s="6">
        <v>260.76998900000001</v>
      </c>
      <c r="D580" s="6">
        <v>49.084999000000003</v>
      </c>
      <c r="E580" s="6">
        <v>144.16000399999999</v>
      </c>
      <c r="F580" s="6">
        <v>116.050003</v>
      </c>
      <c r="G580" s="6">
        <v>45.02</v>
      </c>
      <c r="H580" s="6">
        <v>140.570007</v>
      </c>
      <c r="I580" s="6">
        <v>235.520004</v>
      </c>
      <c r="J580" s="6">
        <v>30.6</v>
      </c>
      <c r="K580" s="6">
        <v>37.340000000000003</v>
      </c>
      <c r="N580" s="18">
        <v>576</v>
      </c>
      <c r="O580" s="1">
        <v>44302</v>
      </c>
      <c r="P580" s="5">
        <f t="shared" si="210"/>
        <v>3.491302985115892E-3</v>
      </c>
      <c r="Q580" s="5">
        <f t="shared" si="211"/>
        <v>-5.2018324051776223E-3</v>
      </c>
      <c r="R580" s="5">
        <f t="shared" si="212"/>
        <v>2.2873468566278563E-2</v>
      </c>
      <c r="S580" s="5">
        <f t="shared" si="213"/>
        <v>1.291605896523281E-2</v>
      </c>
      <c r="T580" s="5">
        <f t="shared" si="214"/>
        <v>7.9592599432995216E-3</v>
      </c>
      <c r="U580" s="5">
        <f t="shared" si="215"/>
        <v>3.3374377773002597E-3</v>
      </c>
      <c r="V580" s="5">
        <f t="shared" si="216"/>
        <v>8.5015832574025819E-3</v>
      </c>
      <c r="W580" s="5">
        <f t="shared" si="217"/>
        <v>1.4455218891475665E-2</v>
      </c>
      <c r="X580" s="5">
        <f t="shared" si="218"/>
        <v>5.5710450494554295E-3</v>
      </c>
      <c r="Y580" s="5">
        <f t="shared" si="219"/>
        <v>-1.2772925116734776E-2</v>
      </c>
      <c r="Z580" s="33">
        <v>576</v>
      </c>
      <c r="AE580" s="20" t="str">
        <f t="shared" si="220"/>
        <v/>
      </c>
      <c r="AF580" s="22" t="str">
        <f t="shared" si="221"/>
        <v/>
      </c>
      <c r="AG580" s="9" t="str">
        <f t="shared" ca="1" si="200"/>
        <v/>
      </c>
      <c r="AH580" s="9" t="str">
        <f t="shared" ca="1" si="201"/>
        <v/>
      </c>
      <c r="AI580" s="9" t="str">
        <f t="shared" ca="1" si="202"/>
        <v/>
      </c>
      <c r="AJ580" s="9" t="str">
        <f t="shared" ca="1" si="203"/>
        <v/>
      </c>
      <c r="AK580" s="9" t="str">
        <f t="shared" ca="1" si="204"/>
        <v/>
      </c>
      <c r="AL580" s="9" t="str">
        <f t="shared" ca="1" si="205"/>
        <v/>
      </c>
      <c r="AM580" s="9" t="str">
        <f t="shared" ca="1" si="206"/>
        <v/>
      </c>
      <c r="AN580" s="9" t="str">
        <f t="shared" ca="1" si="207"/>
        <v/>
      </c>
      <c r="AO580" s="9" t="str">
        <f t="shared" ca="1" si="208"/>
        <v/>
      </c>
      <c r="AP580" s="9" t="str">
        <f t="shared" ca="1" si="209"/>
        <v/>
      </c>
      <c r="AQ580" s="9"/>
      <c r="AR580" s="9"/>
      <c r="AS580" s="9"/>
      <c r="AT580" s="9"/>
      <c r="AU580" s="9"/>
    </row>
    <row r="581" spans="1:47" x14ac:dyDescent="0.3">
      <c r="A581" s="1">
        <v>44305</v>
      </c>
      <c r="B581" s="6">
        <v>516.169983</v>
      </c>
      <c r="C581" s="6">
        <v>250.63999899999999</v>
      </c>
      <c r="D581" s="6">
        <v>48.93</v>
      </c>
      <c r="E581" s="6">
        <v>144.75</v>
      </c>
      <c r="F581" s="6">
        <v>117.120003</v>
      </c>
      <c r="G581" s="6">
        <v>45.130001</v>
      </c>
      <c r="H581" s="6">
        <v>140.429993</v>
      </c>
      <c r="I581" s="6">
        <v>236.009995</v>
      </c>
      <c r="J581" s="6">
        <v>30.440000999999999</v>
      </c>
      <c r="K581" s="6">
        <v>36.369999</v>
      </c>
      <c r="N581" s="19">
        <v>577</v>
      </c>
      <c r="O581" s="1">
        <v>44305</v>
      </c>
      <c r="P581" s="5">
        <f t="shared" si="210"/>
        <v>-1.7114528659367932E-2</v>
      </c>
      <c r="Q581" s="5">
        <f t="shared" si="211"/>
        <v>-3.9621107924198373E-2</v>
      </c>
      <c r="R581" s="5">
        <f t="shared" si="212"/>
        <v>-3.1627634706297598E-3</v>
      </c>
      <c r="S581" s="5">
        <f t="shared" si="213"/>
        <v>4.084294846129443E-3</v>
      </c>
      <c r="T581" s="5">
        <f t="shared" si="214"/>
        <v>9.1779172563830683E-3</v>
      </c>
      <c r="U581" s="5">
        <f t="shared" si="215"/>
        <v>2.4404005185328422E-3</v>
      </c>
      <c r="V581" s="5">
        <f t="shared" si="216"/>
        <v>-9.9654100773849635E-4</v>
      </c>
      <c r="W581" s="5">
        <f t="shared" si="217"/>
        <v>2.0783032995107926E-3</v>
      </c>
      <c r="X581" s="5">
        <f t="shared" si="218"/>
        <v>-5.242443113339444E-3</v>
      </c>
      <c r="Y581" s="5">
        <f t="shared" si="219"/>
        <v>-2.6320906609867696E-2</v>
      </c>
      <c r="Z581" s="33">
        <v>577</v>
      </c>
      <c r="AE581" s="20" t="str">
        <f t="shared" si="220"/>
        <v/>
      </c>
      <c r="AF581" s="22" t="str">
        <f t="shared" si="221"/>
        <v/>
      </c>
      <c r="AG581" s="9" t="str">
        <f t="shared" ref="AG581:AG644" ca="1" si="222">IF($AE581="","",OFFSET(P$4,$AE581,0))</f>
        <v/>
      </c>
      <c r="AH581" s="9" t="str">
        <f t="shared" ref="AH581:AH644" ca="1" si="223">IF($AE581="","",OFFSET(Q$4,$AE581,0))</f>
        <v/>
      </c>
      <c r="AI581" s="9" t="str">
        <f t="shared" ref="AI581:AI644" ca="1" si="224">IF($AE581="","",OFFSET(R$4,$AE581,0))</f>
        <v/>
      </c>
      <c r="AJ581" s="9" t="str">
        <f t="shared" ref="AJ581:AJ644" ca="1" si="225">IF($AE581="","",OFFSET(S$4,$AE581,0))</f>
        <v/>
      </c>
      <c r="AK581" s="9" t="str">
        <f t="shared" ref="AK581:AK644" ca="1" si="226">IF($AE581="","",OFFSET(T$4,$AE581,0))</f>
        <v/>
      </c>
      <c r="AL581" s="9" t="str">
        <f t="shared" ref="AL581:AL644" ca="1" si="227">IF($AE581="","",OFFSET(U$4,$AE581,0))</f>
        <v/>
      </c>
      <c r="AM581" s="9" t="str">
        <f t="shared" ref="AM581:AM644" ca="1" si="228">IF($AE581="","",OFFSET(V$4,$AE581,0))</f>
        <v/>
      </c>
      <c r="AN581" s="9" t="str">
        <f t="shared" ref="AN581:AN644" ca="1" si="229">IF($AE581="","",OFFSET(W$4,$AE581,0))</f>
        <v/>
      </c>
      <c r="AO581" s="9" t="str">
        <f t="shared" ref="AO581:AO644" ca="1" si="230">IF($AE581="","",OFFSET(X$4,$AE581,0))</f>
        <v/>
      </c>
      <c r="AP581" s="9" t="str">
        <f t="shared" ref="AP581:AP644" ca="1" si="231">IF($AE581="","",OFFSET(Y$4,$AE581,0))</f>
        <v/>
      </c>
      <c r="AQ581" s="9"/>
      <c r="AR581" s="9"/>
      <c r="AS581" s="9"/>
      <c r="AT581" s="9"/>
      <c r="AU581" s="9"/>
    </row>
    <row r="582" spans="1:47" x14ac:dyDescent="0.3">
      <c r="A582" s="1">
        <v>44306</v>
      </c>
      <c r="B582" s="6">
        <v>514.21002199999998</v>
      </c>
      <c r="C582" s="6">
        <v>250.16999799999999</v>
      </c>
      <c r="D582" s="6">
        <v>48.700001</v>
      </c>
      <c r="E582" s="6">
        <v>145.71000699999999</v>
      </c>
      <c r="F582" s="6">
        <v>119.489998</v>
      </c>
      <c r="G582" s="6">
        <v>45.82</v>
      </c>
      <c r="H582" s="6">
        <v>144.86000100000001</v>
      </c>
      <c r="I582" s="6">
        <v>234.570007</v>
      </c>
      <c r="J582" s="6">
        <v>30.01</v>
      </c>
      <c r="K582" s="6">
        <v>35.470001000000003</v>
      </c>
      <c r="N582" s="18">
        <v>578</v>
      </c>
      <c r="O582" s="1">
        <v>44306</v>
      </c>
      <c r="P582" s="5">
        <f t="shared" ref="P582:P645" si="232">LN(B582/B581)</f>
        <v>-3.8043505393708043E-3</v>
      </c>
      <c r="Q582" s="5">
        <f t="shared" ref="Q582:Q645" si="233">LN(C582/C581)</f>
        <v>-1.8769638817102245E-3</v>
      </c>
      <c r="R582" s="5">
        <f t="shared" ref="R582:R645" si="234">LN(D582/D581)</f>
        <v>-4.7116546786073786E-3</v>
      </c>
      <c r="S582" s="5">
        <f t="shared" ref="S582:S645" si="235">LN(E582/E581)</f>
        <v>6.6102766132860192E-3</v>
      </c>
      <c r="T582" s="5">
        <f t="shared" ref="T582:T645" si="236">LN(F582/F581)</f>
        <v>2.0033593296104824E-2</v>
      </c>
      <c r="U582" s="5">
        <f t="shared" ref="U582:U645" si="237">LN(G582/G581)</f>
        <v>1.5173441028230194E-2</v>
      </c>
      <c r="V582" s="5">
        <f t="shared" ref="V582:V645" si="238">LN(H582/H581)</f>
        <v>3.1058671537208208E-2</v>
      </c>
      <c r="W582" s="5">
        <f t="shared" ref="W582:W645" si="239">LN(I582/I581)</f>
        <v>-6.1200751773474319E-3</v>
      </c>
      <c r="X582" s="5">
        <f t="shared" ref="X582:X645" si="240">LN(J582/J581)</f>
        <v>-1.4226906392719866E-2</v>
      </c>
      <c r="Y582" s="5">
        <f t="shared" ref="Y582:Y645" si="241">LN(K582/K581)</f>
        <v>-2.5056934525339747E-2</v>
      </c>
      <c r="Z582" s="33">
        <v>578</v>
      </c>
      <c r="AE582" s="20" t="str">
        <f t="shared" ref="AE582:AE645" si="242">IF(AE581="","",IF(AE581+1&lt;=$AC$5,AE581+1,""))</f>
        <v/>
      </c>
      <c r="AF582" s="22" t="str">
        <f t="shared" ref="AF582:AF645" si="243">IF(AE582="","",VLOOKUP(AE582,N581:O1838,2))</f>
        <v/>
      </c>
      <c r="AG582" s="9" t="str">
        <f t="shared" ca="1" si="222"/>
        <v/>
      </c>
      <c r="AH582" s="9" t="str">
        <f t="shared" ca="1" si="223"/>
        <v/>
      </c>
      <c r="AI582" s="9" t="str">
        <f t="shared" ca="1" si="224"/>
        <v/>
      </c>
      <c r="AJ582" s="9" t="str">
        <f t="shared" ca="1" si="225"/>
        <v/>
      </c>
      <c r="AK582" s="9" t="str">
        <f t="shared" ca="1" si="226"/>
        <v/>
      </c>
      <c r="AL582" s="9" t="str">
        <f t="shared" ca="1" si="227"/>
        <v/>
      </c>
      <c r="AM582" s="9" t="str">
        <f t="shared" ca="1" si="228"/>
        <v/>
      </c>
      <c r="AN582" s="9" t="str">
        <f t="shared" ca="1" si="229"/>
        <v/>
      </c>
      <c r="AO582" s="9" t="str">
        <f t="shared" ca="1" si="230"/>
        <v/>
      </c>
      <c r="AP582" s="9" t="str">
        <f t="shared" ca="1" si="231"/>
        <v/>
      </c>
      <c r="AQ582" s="9"/>
      <c r="AR582" s="9"/>
      <c r="AS582" s="9"/>
      <c r="AT582" s="9"/>
      <c r="AU582" s="9"/>
    </row>
    <row r="583" spans="1:47" x14ac:dyDescent="0.3">
      <c r="A583" s="1">
        <v>44307</v>
      </c>
      <c r="B583" s="6">
        <v>512.34002699999996</v>
      </c>
      <c r="C583" s="6">
        <v>252.55999800000001</v>
      </c>
      <c r="D583" s="6">
        <v>48.994999</v>
      </c>
      <c r="E583" s="6">
        <v>146.979996</v>
      </c>
      <c r="F583" s="6">
        <v>120.650002</v>
      </c>
      <c r="G583" s="6">
        <v>46.41</v>
      </c>
      <c r="H583" s="6">
        <v>148.83000200000001</v>
      </c>
      <c r="I583" s="6">
        <v>236.990005</v>
      </c>
      <c r="J583" s="6">
        <v>30.690000999999999</v>
      </c>
      <c r="K583" s="6">
        <v>38.479999999999997</v>
      </c>
      <c r="N583" s="19">
        <v>579</v>
      </c>
      <c r="O583" s="1">
        <v>44307</v>
      </c>
      <c r="P583" s="5">
        <f t="shared" si="232"/>
        <v>-3.6432652655387157E-3</v>
      </c>
      <c r="Q583" s="5">
        <f t="shared" si="233"/>
        <v>9.5081575583859865E-3</v>
      </c>
      <c r="R583" s="5">
        <f t="shared" si="234"/>
        <v>6.0391810551108345E-3</v>
      </c>
      <c r="S583" s="5">
        <f t="shared" si="235"/>
        <v>8.6781028197472319E-3</v>
      </c>
      <c r="T583" s="5">
        <f t="shared" si="236"/>
        <v>9.6611395240558152E-3</v>
      </c>
      <c r="U583" s="5">
        <f t="shared" si="237"/>
        <v>1.2794276227734906E-2</v>
      </c>
      <c r="V583" s="5">
        <f t="shared" si="238"/>
        <v>2.703696274882118E-2</v>
      </c>
      <c r="W583" s="5">
        <f t="shared" si="239"/>
        <v>1.0263886603674608E-2</v>
      </c>
      <c r="X583" s="5">
        <f t="shared" si="240"/>
        <v>2.2406241763271981E-2</v>
      </c>
      <c r="Y583" s="5">
        <f t="shared" si="241"/>
        <v>8.145132881913647E-2</v>
      </c>
      <c r="Z583" s="33">
        <v>579</v>
      </c>
      <c r="AE583" s="20" t="str">
        <f t="shared" si="242"/>
        <v/>
      </c>
      <c r="AF583" s="22" t="str">
        <f t="shared" si="243"/>
        <v/>
      </c>
      <c r="AG583" s="9" t="str">
        <f t="shared" ca="1" si="222"/>
        <v/>
      </c>
      <c r="AH583" s="9" t="str">
        <f t="shared" ca="1" si="223"/>
        <v/>
      </c>
      <c r="AI583" s="9" t="str">
        <f t="shared" ca="1" si="224"/>
        <v/>
      </c>
      <c r="AJ583" s="9" t="str">
        <f t="shared" ca="1" si="225"/>
        <v/>
      </c>
      <c r="AK583" s="9" t="str">
        <f t="shared" ca="1" si="226"/>
        <v/>
      </c>
      <c r="AL583" s="9" t="str">
        <f t="shared" ca="1" si="227"/>
        <v/>
      </c>
      <c r="AM583" s="9" t="str">
        <f t="shared" ca="1" si="228"/>
        <v/>
      </c>
      <c r="AN583" s="9" t="str">
        <f t="shared" ca="1" si="229"/>
        <v/>
      </c>
      <c r="AO583" s="9" t="str">
        <f t="shared" ca="1" si="230"/>
        <v/>
      </c>
      <c r="AP583" s="9" t="str">
        <f t="shared" ca="1" si="231"/>
        <v/>
      </c>
      <c r="AQ583" s="9"/>
      <c r="AR583" s="9"/>
      <c r="AS583" s="9"/>
      <c r="AT583" s="9"/>
      <c r="AU583" s="9"/>
    </row>
    <row r="584" spans="1:47" x14ac:dyDescent="0.3">
      <c r="A584" s="1">
        <v>44308</v>
      </c>
      <c r="B584" s="6">
        <v>507.290009</v>
      </c>
      <c r="C584" s="6">
        <v>248.21000699999999</v>
      </c>
      <c r="D584" s="6">
        <v>48.755001</v>
      </c>
      <c r="E584" s="6">
        <v>146.070007</v>
      </c>
      <c r="F584" s="6">
        <v>119.769997</v>
      </c>
      <c r="G584" s="6">
        <v>46.150002000000001</v>
      </c>
      <c r="H584" s="6">
        <v>147.550003</v>
      </c>
      <c r="I584" s="6">
        <v>240.229996</v>
      </c>
      <c r="J584" s="6">
        <v>29.629999000000002</v>
      </c>
      <c r="K584" s="6">
        <v>38.209999000000003</v>
      </c>
      <c r="N584" s="18">
        <v>580</v>
      </c>
      <c r="O584" s="1">
        <v>44308</v>
      </c>
      <c r="P584" s="5">
        <f t="shared" si="232"/>
        <v>-9.9056699291130163E-3</v>
      </c>
      <c r="Q584" s="5">
        <f t="shared" si="233"/>
        <v>-1.7373646081379257E-2</v>
      </c>
      <c r="R584" s="5">
        <f t="shared" si="234"/>
        <v>-4.9104548797366775E-3</v>
      </c>
      <c r="S584" s="5">
        <f t="shared" si="235"/>
        <v>-6.2104891011905642E-3</v>
      </c>
      <c r="T584" s="5">
        <f t="shared" si="236"/>
        <v>-7.3205967365094484E-3</v>
      </c>
      <c r="U584" s="5">
        <f t="shared" si="237"/>
        <v>-5.6179489672794E-3</v>
      </c>
      <c r="V584" s="5">
        <f t="shared" si="238"/>
        <v>-8.6376066981790692E-3</v>
      </c>
      <c r="W584" s="5">
        <f t="shared" si="239"/>
        <v>1.3578813866349081E-2</v>
      </c>
      <c r="X584" s="5">
        <f t="shared" si="240"/>
        <v>-3.5149573379652597E-2</v>
      </c>
      <c r="Y584" s="5">
        <f t="shared" si="241"/>
        <v>-7.0413905098567278E-3</v>
      </c>
      <c r="Z584" s="33">
        <v>580</v>
      </c>
      <c r="AE584" s="20" t="str">
        <f t="shared" si="242"/>
        <v/>
      </c>
      <c r="AF584" s="22" t="str">
        <f t="shared" si="243"/>
        <v/>
      </c>
      <c r="AG584" s="9" t="str">
        <f t="shared" ca="1" si="222"/>
        <v/>
      </c>
      <c r="AH584" s="9" t="str">
        <f t="shared" ca="1" si="223"/>
        <v/>
      </c>
      <c r="AI584" s="9" t="str">
        <f t="shared" ca="1" si="224"/>
        <v/>
      </c>
      <c r="AJ584" s="9" t="str">
        <f t="shared" ca="1" si="225"/>
        <v/>
      </c>
      <c r="AK584" s="9" t="str">
        <f t="shared" ca="1" si="226"/>
        <v/>
      </c>
      <c r="AL584" s="9" t="str">
        <f t="shared" ca="1" si="227"/>
        <v/>
      </c>
      <c r="AM584" s="9" t="str">
        <f t="shared" ca="1" si="228"/>
        <v/>
      </c>
      <c r="AN584" s="9" t="str">
        <f t="shared" ca="1" si="229"/>
        <v/>
      </c>
      <c r="AO584" s="9" t="str">
        <f t="shared" ca="1" si="230"/>
        <v/>
      </c>
      <c r="AP584" s="9" t="str">
        <f t="shared" ca="1" si="231"/>
        <v/>
      </c>
      <c r="AQ584" s="9"/>
      <c r="AR584" s="9"/>
      <c r="AS584" s="9"/>
      <c r="AT584" s="9"/>
      <c r="AU584" s="9"/>
    </row>
    <row r="585" spans="1:47" x14ac:dyDescent="0.3">
      <c r="A585" s="1">
        <v>44309</v>
      </c>
      <c r="B585" s="6">
        <v>515.84002699999996</v>
      </c>
      <c r="C585" s="6">
        <v>251.449997</v>
      </c>
      <c r="D585" s="6">
        <v>49.34</v>
      </c>
      <c r="E585" s="6">
        <v>145.83000200000001</v>
      </c>
      <c r="F585" s="6">
        <v>118.709999</v>
      </c>
      <c r="G585" s="6">
        <v>46.779998999999997</v>
      </c>
      <c r="H585" s="6">
        <v>148.13999899999999</v>
      </c>
      <c r="I585" s="6">
        <v>238.69000199999999</v>
      </c>
      <c r="J585" s="6">
        <v>29.719999000000001</v>
      </c>
      <c r="K585" s="6">
        <v>38.400002000000001</v>
      </c>
      <c r="N585" s="19">
        <v>581</v>
      </c>
      <c r="O585" s="1">
        <v>44309</v>
      </c>
      <c r="P585" s="5">
        <f t="shared" si="232"/>
        <v>1.6713842302184249E-2</v>
      </c>
      <c r="Q585" s="5">
        <f t="shared" si="233"/>
        <v>1.2968960437725718E-2</v>
      </c>
      <c r="R585" s="5">
        <f t="shared" si="234"/>
        <v>1.1927334303411792E-2</v>
      </c>
      <c r="S585" s="5">
        <f t="shared" si="235"/>
        <v>-1.6444333448741694E-3</v>
      </c>
      <c r="T585" s="5">
        <f t="shared" si="236"/>
        <v>-8.8896762698540098E-3</v>
      </c>
      <c r="U585" s="5">
        <f t="shared" si="237"/>
        <v>1.3558735493571082E-2</v>
      </c>
      <c r="V585" s="5">
        <f t="shared" si="238"/>
        <v>3.9906441137326689E-3</v>
      </c>
      <c r="W585" s="5">
        <f t="shared" si="239"/>
        <v>-6.4311338603820567E-3</v>
      </c>
      <c r="X585" s="5">
        <f t="shared" si="240"/>
        <v>3.0328583662872252E-3</v>
      </c>
      <c r="Y585" s="5">
        <f t="shared" si="241"/>
        <v>4.9602763893641716E-3</v>
      </c>
      <c r="Z585" s="33">
        <v>581</v>
      </c>
      <c r="AE585" s="20" t="str">
        <f t="shared" si="242"/>
        <v/>
      </c>
      <c r="AF585" s="22" t="str">
        <f t="shared" si="243"/>
        <v/>
      </c>
      <c r="AG585" s="9" t="str">
        <f t="shared" ca="1" si="222"/>
        <v/>
      </c>
      <c r="AH585" s="9" t="str">
        <f t="shared" ca="1" si="223"/>
        <v/>
      </c>
      <c r="AI585" s="9" t="str">
        <f t="shared" ca="1" si="224"/>
        <v/>
      </c>
      <c r="AJ585" s="9" t="str">
        <f t="shared" ca="1" si="225"/>
        <v/>
      </c>
      <c r="AK585" s="9" t="str">
        <f t="shared" ca="1" si="226"/>
        <v/>
      </c>
      <c r="AL585" s="9" t="str">
        <f t="shared" ca="1" si="227"/>
        <v/>
      </c>
      <c r="AM585" s="9" t="str">
        <f t="shared" ca="1" si="228"/>
        <v/>
      </c>
      <c r="AN585" s="9" t="str">
        <f t="shared" ca="1" si="229"/>
        <v/>
      </c>
      <c r="AO585" s="9" t="str">
        <f t="shared" ca="1" si="230"/>
        <v/>
      </c>
      <c r="AP585" s="9" t="str">
        <f t="shared" ca="1" si="231"/>
        <v/>
      </c>
      <c r="AQ585" s="9"/>
      <c r="AR585" s="9"/>
      <c r="AS585" s="9"/>
      <c r="AT585" s="9"/>
      <c r="AU585" s="9"/>
    </row>
    <row r="586" spans="1:47" x14ac:dyDescent="0.3">
      <c r="A586" s="1">
        <v>44312</v>
      </c>
      <c r="B586" s="6">
        <v>515.70001200000002</v>
      </c>
      <c r="C586" s="6">
        <v>256.88000499999998</v>
      </c>
      <c r="D586" s="6">
        <v>48.57</v>
      </c>
      <c r="E586" s="6">
        <v>143.36000100000001</v>
      </c>
      <c r="F586" s="6">
        <v>119.410004</v>
      </c>
      <c r="G586" s="6">
        <v>46.810001</v>
      </c>
      <c r="H586" s="6">
        <v>146.38999899999999</v>
      </c>
      <c r="I586" s="6">
        <v>235.990005</v>
      </c>
      <c r="J586" s="6">
        <v>29.719999000000001</v>
      </c>
      <c r="K586" s="6">
        <v>38.849997999999999</v>
      </c>
      <c r="N586" s="18">
        <v>582</v>
      </c>
      <c r="O586" s="1">
        <v>44312</v>
      </c>
      <c r="P586" s="5">
        <f t="shared" si="232"/>
        <v>-2.7146789376312195E-4</v>
      </c>
      <c r="Q586" s="5">
        <f t="shared" si="233"/>
        <v>2.136491855842718E-2</v>
      </c>
      <c r="R586" s="5">
        <f t="shared" si="234"/>
        <v>-1.5729054743557281E-2</v>
      </c>
      <c r="S586" s="5">
        <f t="shared" si="235"/>
        <v>-1.7082617238006116E-2</v>
      </c>
      <c r="T586" s="5">
        <f t="shared" si="236"/>
        <v>5.879447401772364E-3</v>
      </c>
      <c r="U586" s="5">
        <f t="shared" si="237"/>
        <v>6.4113689555966825E-4</v>
      </c>
      <c r="V586" s="5">
        <f t="shared" si="238"/>
        <v>-1.188347948251909E-2</v>
      </c>
      <c r="W586" s="5">
        <f t="shared" si="239"/>
        <v>-1.1376194822175325E-2</v>
      </c>
      <c r="X586" s="5">
        <f t="shared" si="240"/>
        <v>0</v>
      </c>
      <c r="Y586" s="5">
        <f t="shared" si="241"/>
        <v>1.165051365659042E-2</v>
      </c>
      <c r="Z586" s="33">
        <v>582</v>
      </c>
      <c r="AE586" s="20" t="str">
        <f t="shared" si="242"/>
        <v/>
      </c>
      <c r="AF586" s="22" t="str">
        <f t="shared" si="243"/>
        <v/>
      </c>
      <c r="AG586" s="9" t="str">
        <f t="shared" ca="1" si="222"/>
        <v/>
      </c>
      <c r="AH586" s="9" t="str">
        <f t="shared" ca="1" si="223"/>
        <v/>
      </c>
      <c r="AI586" s="9" t="str">
        <f t="shared" ca="1" si="224"/>
        <v/>
      </c>
      <c r="AJ586" s="9" t="str">
        <f t="shared" ca="1" si="225"/>
        <v/>
      </c>
      <c r="AK586" s="9" t="str">
        <f t="shared" ca="1" si="226"/>
        <v/>
      </c>
      <c r="AL586" s="9" t="str">
        <f t="shared" ca="1" si="227"/>
        <v/>
      </c>
      <c r="AM586" s="9" t="str">
        <f t="shared" ca="1" si="228"/>
        <v/>
      </c>
      <c r="AN586" s="9" t="str">
        <f t="shared" ca="1" si="229"/>
        <v/>
      </c>
      <c r="AO586" s="9" t="str">
        <f t="shared" ca="1" si="230"/>
        <v/>
      </c>
      <c r="AP586" s="9" t="str">
        <f t="shared" ca="1" si="231"/>
        <v/>
      </c>
      <c r="AQ586" s="9"/>
      <c r="AR586" s="9"/>
      <c r="AS586" s="9"/>
      <c r="AT586" s="9"/>
      <c r="AU586" s="9"/>
    </row>
    <row r="587" spans="1:47" x14ac:dyDescent="0.3">
      <c r="A587" s="1">
        <v>44313</v>
      </c>
      <c r="B587" s="6">
        <v>517.32000700000003</v>
      </c>
      <c r="C587" s="6">
        <v>251.699997</v>
      </c>
      <c r="D587" s="6">
        <v>48.509998000000003</v>
      </c>
      <c r="E587" s="6">
        <v>142.88999899999999</v>
      </c>
      <c r="F587" s="6">
        <v>119.610001</v>
      </c>
      <c r="G587" s="6">
        <v>46.799999</v>
      </c>
      <c r="H587" s="6">
        <v>147.94000199999999</v>
      </c>
      <c r="I587" s="6">
        <v>239.699997</v>
      </c>
      <c r="J587" s="6">
        <v>29.84</v>
      </c>
      <c r="K587" s="6">
        <v>39.009998000000003</v>
      </c>
      <c r="N587" s="19">
        <v>583</v>
      </c>
      <c r="O587" s="1">
        <v>44313</v>
      </c>
      <c r="P587" s="5">
        <f t="shared" si="232"/>
        <v>3.1364277520644964E-3</v>
      </c>
      <c r="Q587" s="5">
        <f t="shared" si="233"/>
        <v>-2.0371179023280638E-2</v>
      </c>
      <c r="R587" s="5">
        <f t="shared" si="234"/>
        <v>-1.2361353291417115E-3</v>
      </c>
      <c r="S587" s="5">
        <f t="shared" si="235"/>
        <v>-3.2838597195785969E-3</v>
      </c>
      <c r="T587" s="5">
        <f t="shared" si="236"/>
        <v>1.6734753785535611E-3</v>
      </c>
      <c r="U587" s="5">
        <f t="shared" si="237"/>
        <v>-2.1369511885612304E-4</v>
      </c>
      <c r="V587" s="5">
        <f t="shared" si="238"/>
        <v>1.0532513326463051E-2</v>
      </c>
      <c r="W587" s="5">
        <f t="shared" si="239"/>
        <v>1.5598676490857687E-2</v>
      </c>
      <c r="X587" s="5">
        <f t="shared" si="240"/>
        <v>4.0295891333777768E-3</v>
      </c>
      <c r="Y587" s="5">
        <f t="shared" si="241"/>
        <v>4.1099469160548689E-3</v>
      </c>
      <c r="Z587" s="33">
        <v>583</v>
      </c>
      <c r="AE587" s="20" t="str">
        <f t="shared" si="242"/>
        <v/>
      </c>
      <c r="AF587" s="22" t="str">
        <f t="shared" si="243"/>
        <v/>
      </c>
      <c r="AG587" s="9" t="str">
        <f t="shared" ca="1" si="222"/>
        <v/>
      </c>
      <c r="AH587" s="9" t="str">
        <f t="shared" ca="1" si="223"/>
        <v/>
      </c>
      <c r="AI587" s="9" t="str">
        <f t="shared" ca="1" si="224"/>
        <v/>
      </c>
      <c r="AJ587" s="9" t="str">
        <f t="shared" ca="1" si="225"/>
        <v/>
      </c>
      <c r="AK587" s="9" t="str">
        <f t="shared" ca="1" si="226"/>
        <v/>
      </c>
      <c r="AL587" s="9" t="str">
        <f t="shared" ca="1" si="227"/>
        <v/>
      </c>
      <c r="AM587" s="9" t="str">
        <f t="shared" ca="1" si="228"/>
        <v/>
      </c>
      <c r="AN587" s="9" t="str">
        <f t="shared" ca="1" si="229"/>
        <v/>
      </c>
      <c r="AO587" s="9" t="str">
        <f t="shared" ca="1" si="230"/>
        <v/>
      </c>
      <c r="AP587" s="9" t="str">
        <f t="shared" ca="1" si="231"/>
        <v/>
      </c>
      <c r="AQ587" s="9"/>
      <c r="AR587" s="9"/>
      <c r="AS587" s="9"/>
      <c r="AT587" s="9"/>
      <c r="AU587" s="9"/>
    </row>
    <row r="588" spans="1:47" x14ac:dyDescent="0.3">
      <c r="A588" s="1">
        <v>44314</v>
      </c>
      <c r="B588" s="6">
        <v>515.47997999999995</v>
      </c>
      <c r="C588" s="6">
        <v>251.36999499999999</v>
      </c>
      <c r="D588" s="6">
        <v>48.235000999999997</v>
      </c>
      <c r="E588" s="6">
        <v>141.83000200000001</v>
      </c>
      <c r="F588" s="6">
        <v>118.769997</v>
      </c>
      <c r="G588" s="6">
        <v>45.799999</v>
      </c>
      <c r="H588" s="6">
        <v>148.10000600000001</v>
      </c>
      <c r="I588" s="6">
        <v>237.259995</v>
      </c>
      <c r="J588" s="6">
        <v>31.129999000000002</v>
      </c>
      <c r="K588" s="6">
        <v>37.490001999999997</v>
      </c>
      <c r="N588" s="18">
        <v>584</v>
      </c>
      <c r="O588" s="1">
        <v>44314</v>
      </c>
      <c r="P588" s="5">
        <f t="shared" si="232"/>
        <v>-3.5631854569200443E-3</v>
      </c>
      <c r="Q588" s="5">
        <f t="shared" si="233"/>
        <v>-1.3119528200117947E-3</v>
      </c>
      <c r="R588" s="5">
        <f t="shared" si="234"/>
        <v>-5.6850016741613286E-3</v>
      </c>
      <c r="S588" s="5">
        <f t="shared" si="235"/>
        <v>-7.4459250745831582E-3</v>
      </c>
      <c r="T588" s="5">
        <f t="shared" si="236"/>
        <v>-7.0476338946333632E-3</v>
      </c>
      <c r="U588" s="5">
        <f t="shared" si="237"/>
        <v>-2.1599112270001504E-2</v>
      </c>
      <c r="V588" s="5">
        <f t="shared" si="238"/>
        <v>1.0809621082034173E-3</v>
      </c>
      <c r="W588" s="5">
        <f t="shared" si="239"/>
        <v>-1.0231563765664361E-2</v>
      </c>
      <c r="X588" s="5">
        <f t="shared" si="240"/>
        <v>4.232217699460266E-2</v>
      </c>
      <c r="Y588" s="5">
        <f t="shared" si="241"/>
        <v>-3.9743688154279935E-2</v>
      </c>
      <c r="Z588" s="33">
        <v>584</v>
      </c>
      <c r="AE588" s="20" t="str">
        <f t="shared" si="242"/>
        <v/>
      </c>
      <c r="AF588" s="22" t="str">
        <f t="shared" si="243"/>
        <v/>
      </c>
      <c r="AG588" s="9" t="str">
        <f t="shared" ca="1" si="222"/>
        <v/>
      </c>
      <c r="AH588" s="9" t="str">
        <f t="shared" ca="1" si="223"/>
        <v/>
      </c>
      <c r="AI588" s="9" t="str">
        <f t="shared" ca="1" si="224"/>
        <v/>
      </c>
      <c r="AJ588" s="9" t="str">
        <f t="shared" ca="1" si="225"/>
        <v/>
      </c>
      <c r="AK588" s="9" t="str">
        <f t="shared" ca="1" si="226"/>
        <v/>
      </c>
      <c r="AL588" s="9" t="str">
        <f t="shared" ca="1" si="227"/>
        <v/>
      </c>
      <c r="AM588" s="9" t="str">
        <f t="shared" ca="1" si="228"/>
        <v/>
      </c>
      <c r="AN588" s="9" t="str">
        <f t="shared" ca="1" si="229"/>
        <v/>
      </c>
      <c r="AO588" s="9" t="str">
        <f t="shared" ca="1" si="230"/>
        <v/>
      </c>
      <c r="AP588" s="9" t="str">
        <f t="shared" ca="1" si="231"/>
        <v/>
      </c>
      <c r="AQ588" s="9"/>
      <c r="AR588" s="9"/>
      <c r="AS588" s="9"/>
      <c r="AT588" s="9"/>
      <c r="AU588" s="9"/>
    </row>
    <row r="589" spans="1:47" x14ac:dyDescent="0.3">
      <c r="A589" s="1">
        <v>44315</v>
      </c>
      <c r="B589" s="6">
        <v>516.09002699999996</v>
      </c>
      <c r="C589" s="6">
        <v>252.509995</v>
      </c>
      <c r="D589" s="6">
        <v>48.970001000000003</v>
      </c>
      <c r="E589" s="6">
        <v>143.94000199999999</v>
      </c>
      <c r="F589" s="6">
        <v>120.050003</v>
      </c>
      <c r="G589" s="6">
        <v>46.009998000000003</v>
      </c>
      <c r="H589" s="6">
        <v>151.33000200000001</v>
      </c>
      <c r="I589" s="6">
        <v>240.029999</v>
      </c>
      <c r="J589" s="6">
        <v>32.040000999999997</v>
      </c>
      <c r="K589" s="6">
        <v>37.950001</v>
      </c>
      <c r="N589" s="19">
        <v>585</v>
      </c>
      <c r="O589" s="1">
        <v>44315</v>
      </c>
      <c r="P589" s="5">
        <f t="shared" si="232"/>
        <v>1.1827545721124731E-3</v>
      </c>
      <c r="Q589" s="5">
        <f t="shared" si="233"/>
        <v>4.5248946880909694E-3</v>
      </c>
      <c r="R589" s="5">
        <f t="shared" si="234"/>
        <v>1.5122966780541168E-2</v>
      </c>
      <c r="S589" s="5">
        <f t="shared" si="235"/>
        <v>1.4767388566431313E-2</v>
      </c>
      <c r="T589" s="5">
        <f t="shared" si="236"/>
        <v>1.0719523129604757E-2</v>
      </c>
      <c r="U589" s="5">
        <f t="shared" si="237"/>
        <v>4.5746514124873003E-3</v>
      </c>
      <c r="V589" s="5">
        <f t="shared" si="238"/>
        <v>2.1575134128165824E-2</v>
      </c>
      <c r="W589" s="5">
        <f t="shared" si="239"/>
        <v>1.1607346204966626E-2</v>
      </c>
      <c r="X589" s="5">
        <f t="shared" si="240"/>
        <v>2.8813201080981524E-2</v>
      </c>
      <c r="Y589" s="5">
        <f t="shared" si="241"/>
        <v>1.21952460967212E-2</v>
      </c>
      <c r="Z589" s="33">
        <v>585</v>
      </c>
      <c r="AE589" s="20" t="str">
        <f t="shared" si="242"/>
        <v/>
      </c>
      <c r="AF589" s="22" t="str">
        <f t="shared" si="243"/>
        <v/>
      </c>
      <c r="AG589" s="9" t="str">
        <f t="shared" ca="1" si="222"/>
        <v/>
      </c>
      <c r="AH589" s="9" t="str">
        <f t="shared" ca="1" si="223"/>
        <v/>
      </c>
      <c r="AI589" s="9" t="str">
        <f t="shared" ca="1" si="224"/>
        <v/>
      </c>
      <c r="AJ589" s="9" t="str">
        <f t="shared" ca="1" si="225"/>
        <v/>
      </c>
      <c r="AK589" s="9" t="str">
        <f t="shared" ca="1" si="226"/>
        <v/>
      </c>
      <c r="AL589" s="9" t="str">
        <f t="shared" ca="1" si="227"/>
        <v/>
      </c>
      <c r="AM589" s="9" t="str">
        <f t="shared" ca="1" si="228"/>
        <v/>
      </c>
      <c r="AN589" s="9" t="str">
        <f t="shared" ca="1" si="229"/>
        <v/>
      </c>
      <c r="AO589" s="9" t="str">
        <f t="shared" ca="1" si="230"/>
        <v/>
      </c>
      <c r="AP589" s="9" t="str">
        <f t="shared" ca="1" si="231"/>
        <v/>
      </c>
      <c r="AQ589" s="9"/>
      <c r="AR589" s="9"/>
      <c r="AS589" s="9"/>
      <c r="AT589" s="9"/>
      <c r="AU589" s="9"/>
    </row>
    <row r="590" spans="1:47" x14ac:dyDescent="0.3">
      <c r="A590" s="1">
        <v>44316</v>
      </c>
      <c r="B590" s="6">
        <v>508.33999599999999</v>
      </c>
      <c r="C590" s="6">
        <v>247.05999800000001</v>
      </c>
      <c r="D590" s="6">
        <v>48.525002000000001</v>
      </c>
      <c r="E590" s="6">
        <v>144.16000399999999</v>
      </c>
      <c r="F590" s="6">
        <v>120.480003</v>
      </c>
      <c r="G590" s="6">
        <v>46.450001</v>
      </c>
      <c r="H590" s="6">
        <v>149.19000199999999</v>
      </c>
      <c r="I590" s="6">
        <v>237.60000600000001</v>
      </c>
      <c r="J590" s="6">
        <v>31.75</v>
      </c>
      <c r="K590" s="6">
        <v>37.659999999999997</v>
      </c>
      <c r="N590" s="18">
        <v>586</v>
      </c>
      <c r="O590" s="1">
        <v>44316</v>
      </c>
      <c r="P590" s="5">
        <f t="shared" si="232"/>
        <v>-1.5130714020758851E-2</v>
      </c>
      <c r="Q590" s="5">
        <f t="shared" si="233"/>
        <v>-2.1819618076930166E-2</v>
      </c>
      <c r="R590" s="5">
        <f t="shared" si="234"/>
        <v>-9.1287158639503097E-3</v>
      </c>
      <c r="S590" s="5">
        <f t="shared" si="235"/>
        <v>1.5272616326388005E-3</v>
      </c>
      <c r="T590" s="5">
        <f t="shared" si="236"/>
        <v>3.5754412951320026E-3</v>
      </c>
      <c r="U590" s="5">
        <f t="shared" si="237"/>
        <v>9.5177660898074067E-3</v>
      </c>
      <c r="V590" s="5">
        <f t="shared" si="238"/>
        <v>-1.424222111460397E-2</v>
      </c>
      <c r="W590" s="5">
        <f t="shared" si="239"/>
        <v>-1.0175298622981553E-2</v>
      </c>
      <c r="X590" s="5">
        <f t="shared" si="240"/>
        <v>-9.0924280724434745E-3</v>
      </c>
      <c r="Y590" s="5">
        <f t="shared" si="241"/>
        <v>-7.6710069630934099E-3</v>
      </c>
      <c r="Z590" s="33">
        <v>586</v>
      </c>
      <c r="AE590" s="20" t="str">
        <f t="shared" si="242"/>
        <v/>
      </c>
      <c r="AF590" s="22" t="str">
        <f t="shared" si="243"/>
        <v/>
      </c>
      <c r="AG590" s="9" t="str">
        <f t="shared" ca="1" si="222"/>
        <v/>
      </c>
      <c r="AH590" s="9" t="str">
        <f t="shared" ca="1" si="223"/>
        <v/>
      </c>
      <c r="AI590" s="9" t="str">
        <f t="shared" ca="1" si="224"/>
        <v/>
      </c>
      <c r="AJ590" s="9" t="str">
        <f t="shared" ca="1" si="225"/>
        <v/>
      </c>
      <c r="AK590" s="9" t="str">
        <f t="shared" ca="1" si="226"/>
        <v/>
      </c>
      <c r="AL590" s="9" t="str">
        <f t="shared" ca="1" si="227"/>
        <v/>
      </c>
      <c r="AM590" s="9" t="str">
        <f t="shared" ca="1" si="228"/>
        <v/>
      </c>
      <c r="AN590" s="9" t="str">
        <f t="shared" ca="1" si="229"/>
        <v/>
      </c>
      <c r="AO590" s="9" t="str">
        <f t="shared" ca="1" si="230"/>
        <v/>
      </c>
      <c r="AP590" s="9" t="str">
        <f t="shared" ca="1" si="231"/>
        <v/>
      </c>
      <c r="AQ590" s="9"/>
      <c r="AR590" s="9"/>
      <c r="AS590" s="9"/>
      <c r="AT590" s="9"/>
      <c r="AU590" s="9"/>
    </row>
    <row r="591" spans="1:47" x14ac:dyDescent="0.3">
      <c r="A591" s="1">
        <v>44319</v>
      </c>
      <c r="B591" s="6">
        <v>503.459991</v>
      </c>
      <c r="C591" s="6">
        <v>244.80999800000001</v>
      </c>
      <c r="D591" s="6">
        <v>48.805</v>
      </c>
      <c r="E591" s="6">
        <v>145.78999300000001</v>
      </c>
      <c r="F591" s="6">
        <v>119.989998</v>
      </c>
      <c r="G591" s="6">
        <v>46.119999</v>
      </c>
      <c r="H591" s="6">
        <v>149.770004</v>
      </c>
      <c r="I591" s="6">
        <v>238.36999499999999</v>
      </c>
      <c r="J591" s="6">
        <v>32.07</v>
      </c>
      <c r="K591" s="6">
        <v>36.119999</v>
      </c>
      <c r="N591" s="19">
        <v>587</v>
      </c>
      <c r="O591" s="1">
        <v>44319</v>
      </c>
      <c r="P591" s="5">
        <f t="shared" si="232"/>
        <v>-9.6462599390168997E-3</v>
      </c>
      <c r="Q591" s="5">
        <f t="shared" si="233"/>
        <v>-9.1488227060206057E-3</v>
      </c>
      <c r="R591" s="5">
        <f t="shared" si="234"/>
        <v>5.7535963559871188E-3</v>
      </c>
      <c r="S591" s="5">
        <f t="shared" si="235"/>
        <v>1.124336049548726E-2</v>
      </c>
      <c r="T591" s="5">
        <f t="shared" si="236"/>
        <v>-4.0753996437398006E-3</v>
      </c>
      <c r="U591" s="5">
        <f t="shared" si="237"/>
        <v>-7.1298130700817473E-3</v>
      </c>
      <c r="V591" s="5">
        <f t="shared" si="238"/>
        <v>3.8801359114412608E-3</v>
      </c>
      <c r="W591" s="5">
        <f t="shared" si="239"/>
        <v>3.2354546298292027E-3</v>
      </c>
      <c r="X591" s="5">
        <f t="shared" si="240"/>
        <v>1.0028288366362806E-2</v>
      </c>
      <c r="Y591" s="5">
        <f t="shared" si="241"/>
        <v>-4.1751822365714772E-2</v>
      </c>
      <c r="Z591" s="33">
        <v>587</v>
      </c>
      <c r="AE591" s="20" t="str">
        <f t="shared" si="242"/>
        <v/>
      </c>
      <c r="AF591" s="22" t="str">
        <f t="shared" si="243"/>
        <v/>
      </c>
      <c r="AG591" s="9" t="str">
        <f t="shared" ca="1" si="222"/>
        <v/>
      </c>
      <c r="AH591" s="9" t="str">
        <f t="shared" ca="1" si="223"/>
        <v/>
      </c>
      <c r="AI591" s="9" t="str">
        <f t="shared" ca="1" si="224"/>
        <v/>
      </c>
      <c r="AJ591" s="9" t="str">
        <f t="shared" ca="1" si="225"/>
        <v/>
      </c>
      <c r="AK591" s="9" t="str">
        <f t="shared" ca="1" si="226"/>
        <v/>
      </c>
      <c r="AL591" s="9" t="str">
        <f t="shared" ca="1" si="227"/>
        <v/>
      </c>
      <c r="AM591" s="9" t="str">
        <f t="shared" ca="1" si="228"/>
        <v/>
      </c>
      <c r="AN591" s="9" t="str">
        <f t="shared" ca="1" si="229"/>
        <v/>
      </c>
      <c r="AO591" s="9" t="str">
        <f t="shared" ca="1" si="230"/>
        <v/>
      </c>
      <c r="AP591" s="9" t="str">
        <f t="shared" ca="1" si="231"/>
        <v/>
      </c>
      <c r="AQ591" s="9"/>
      <c r="AR591" s="9"/>
      <c r="AS591" s="9"/>
      <c r="AT591" s="9"/>
      <c r="AU591" s="9"/>
    </row>
    <row r="592" spans="1:47" x14ac:dyDescent="0.3">
      <c r="A592" s="1">
        <v>44320</v>
      </c>
      <c r="B592" s="6">
        <v>490.70001200000002</v>
      </c>
      <c r="C592" s="6">
        <v>237.070007</v>
      </c>
      <c r="D592" s="6">
        <v>47.970001000000003</v>
      </c>
      <c r="E592" s="6">
        <v>143.96000699999999</v>
      </c>
      <c r="F592" s="6">
        <v>119.30999799999999</v>
      </c>
      <c r="G592" s="6">
        <v>45.57</v>
      </c>
      <c r="H592" s="6">
        <v>151.53999300000001</v>
      </c>
      <c r="I592" s="6">
        <v>243.020004</v>
      </c>
      <c r="J592" s="6">
        <v>32.580002</v>
      </c>
      <c r="K592" s="6">
        <v>36.520000000000003</v>
      </c>
      <c r="N592" s="18">
        <v>588</v>
      </c>
      <c r="O592" s="1">
        <v>44320</v>
      </c>
      <c r="P592" s="5">
        <f t="shared" si="232"/>
        <v>-2.5671279683018997E-2</v>
      </c>
      <c r="Q592" s="5">
        <f t="shared" si="233"/>
        <v>-3.2126905605163014E-2</v>
      </c>
      <c r="R592" s="5">
        <f t="shared" si="234"/>
        <v>-1.7256930266593674E-2</v>
      </c>
      <c r="S592" s="5">
        <f t="shared" si="235"/>
        <v>-1.2631650267015678E-2</v>
      </c>
      <c r="T592" s="5">
        <f t="shared" si="236"/>
        <v>-5.6832581835871412E-3</v>
      </c>
      <c r="U592" s="5">
        <f t="shared" si="237"/>
        <v>-1.1997068442499597E-2</v>
      </c>
      <c r="V592" s="5">
        <f t="shared" si="238"/>
        <v>1.1748759598879693E-2</v>
      </c>
      <c r="W592" s="5">
        <f t="shared" si="239"/>
        <v>1.931969356917225E-2</v>
      </c>
      <c r="X592" s="5">
        <f t="shared" si="240"/>
        <v>1.5777650856187833E-2</v>
      </c>
      <c r="Y592" s="5">
        <f t="shared" si="241"/>
        <v>1.1013354863476399E-2</v>
      </c>
      <c r="Z592" s="33">
        <v>588</v>
      </c>
      <c r="AE592" s="20" t="str">
        <f t="shared" si="242"/>
        <v/>
      </c>
      <c r="AF592" s="22" t="str">
        <f t="shared" si="243"/>
        <v/>
      </c>
      <c r="AG592" s="9" t="str">
        <f t="shared" ca="1" si="222"/>
        <v/>
      </c>
      <c r="AH592" s="9" t="str">
        <f t="shared" ca="1" si="223"/>
        <v/>
      </c>
      <c r="AI592" s="9" t="str">
        <f t="shared" ca="1" si="224"/>
        <v/>
      </c>
      <c r="AJ592" s="9" t="str">
        <f t="shared" ca="1" si="225"/>
        <v/>
      </c>
      <c r="AK592" s="9" t="str">
        <f t="shared" ca="1" si="226"/>
        <v/>
      </c>
      <c r="AL592" s="9" t="str">
        <f t="shared" ca="1" si="227"/>
        <v/>
      </c>
      <c r="AM592" s="9" t="str">
        <f t="shared" ca="1" si="228"/>
        <v/>
      </c>
      <c r="AN592" s="9" t="str">
        <f t="shared" ca="1" si="229"/>
        <v/>
      </c>
      <c r="AO592" s="9" t="str">
        <f t="shared" ca="1" si="230"/>
        <v/>
      </c>
      <c r="AP592" s="9" t="str">
        <f t="shared" ca="1" si="231"/>
        <v/>
      </c>
      <c r="AQ592" s="9"/>
      <c r="AR592" s="9"/>
      <c r="AS592" s="9"/>
      <c r="AT592" s="9"/>
      <c r="AU592" s="9"/>
    </row>
    <row r="593" spans="1:47" x14ac:dyDescent="0.3">
      <c r="A593" s="1">
        <v>44321</v>
      </c>
      <c r="B593" s="6">
        <v>486.69000199999999</v>
      </c>
      <c r="C593" s="6">
        <v>237.46000699999999</v>
      </c>
      <c r="D593" s="6">
        <v>47.224997999999999</v>
      </c>
      <c r="E593" s="6">
        <v>143.88999899999999</v>
      </c>
      <c r="F593" s="6">
        <v>118.019997</v>
      </c>
      <c r="G593" s="6">
        <v>45.009998000000003</v>
      </c>
      <c r="H593" s="6">
        <v>150.83999600000001</v>
      </c>
      <c r="I593" s="6">
        <v>245.490005</v>
      </c>
      <c r="J593" s="6">
        <v>32.639999000000003</v>
      </c>
      <c r="K593" s="6">
        <v>36.659999999999997</v>
      </c>
      <c r="N593" s="19">
        <v>589</v>
      </c>
      <c r="O593" s="1">
        <v>44321</v>
      </c>
      <c r="P593" s="5">
        <f t="shared" si="232"/>
        <v>-8.2055933509085945E-3</v>
      </c>
      <c r="Q593" s="5">
        <f t="shared" si="233"/>
        <v>1.6437320140102445E-3</v>
      </c>
      <c r="R593" s="5">
        <f t="shared" si="234"/>
        <v>-1.5652465323212312E-2</v>
      </c>
      <c r="S593" s="5">
        <f t="shared" si="235"/>
        <v>-4.8642000987386886E-4</v>
      </c>
      <c r="T593" s="5">
        <f t="shared" si="236"/>
        <v>-1.0871054915052558E-2</v>
      </c>
      <c r="U593" s="5">
        <f t="shared" si="237"/>
        <v>-1.2364962405520845E-2</v>
      </c>
      <c r="V593" s="5">
        <f t="shared" si="238"/>
        <v>-4.6299244388107487E-3</v>
      </c>
      <c r="W593" s="5">
        <f t="shared" si="239"/>
        <v>1.0112472634812084E-2</v>
      </c>
      <c r="X593" s="5">
        <f t="shared" si="240"/>
        <v>1.8398348973995414E-3</v>
      </c>
      <c r="Y593" s="5">
        <f t="shared" si="241"/>
        <v>3.8261866847910234E-3</v>
      </c>
      <c r="Z593" s="33">
        <v>589</v>
      </c>
      <c r="AE593" s="20" t="str">
        <f t="shared" si="242"/>
        <v/>
      </c>
      <c r="AF593" s="22" t="str">
        <f t="shared" si="243"/>
        <v/>
      </c>
      <c r="AG593" s="9" t="str">
        <f t="shared" ca="1" si="222"/>
        <v/>
      </c>
      <c r="AH593" s="9" t="str">
        <f t="shared" ca="1" si="223"/>
        <v/>
      </c>
      <c r="AI593" s="9" t="str">
        <f t="shared" ca="1" si="224"/>
        <v/>
      </c>
      <c r="AJ593" s="9" t="str">
        <f t="shared" ca="1" si="225"/>
        <v/>
      </c>
      <c r="AK593" s="9" t="str">
        <f t="shared" ca="1" si="226"/>
        <v/>
      </c>
      <c r="AL593" s="9" t="str">
        <f t="shared" ca="1" si="227"/>
        <v/>
      </c>
      <c r="AM593" s="9" t="str">
        <f t="shared" ca="1" si="228"/>
        <v/>
      </c>
      <c r="AN593" s="9" t="str">
        <f t="shared" ca="1" si="229"/>
        <v/>
      </c>
      <c r="AO593" s="9" t="str">
        <f t="shared" ca="1" si="230"/>
        <v/>
      </c>
      <c r="AP593" s="9" t="str">
        <f t="shared" ca="1" si="231"/>
        <v/>
      </c>
      <c r="AQ593" s="9"/>
      <c r="AR593" s="9"/>
      <c r="AS593" s="9"/>
      <c r="AT593" s="9"/>
      <c r="AU593" s="9"/>
    </row>
    <row r="594" spans="1:47" x14ac:dyDescent="0.3">
      <c r="A594" s="1">
        <v>44322</v>
      </c>
      <c r="B594" s="6">
        <v>483.60998499999999</v>
      </c>
      <c r="C594" s="6">
        <v>237.46000699999999</v>
      </c>
      <c r="D594" s="6">
        <v>47.509998000000003</v>
      </c>
      <c r="E594" s="6">
        <v>145.55999800000001</v>
      </c>
      <c r="F594" s="6">
        <v>120.959999</v>
      </c>
      <c r="G594" s="6">
        <v>45.880001</v>
      </c>
      <c r="H594" s="6">
        <v>152.66999799999999</v>
      </c>
      <c r="I594" s="6">
        <v>250.11999499999999</v>
      </c>
      <c r="J594" s="6">
        <v>32.93</v>
      </c>
      <c r="K594" s="6">
        <v>36.25</v>
      </c>
      <c r="N594" s="18">
        <v>590</v>
      </c>
      <c r="O594" s="1">
        <v>44322</v>
      </c>
      <c r="P594" s="5">
        <f t="shared" si="232"/>
        <v>-6.3486084432077695E-3</v>
      </c>
      <c r="Q594" s="5">
        <f t="shared" si="233"/>
        <v>0</v>
      </c>
      <c r="R594" s="5">
        <f t="shared" si="234"/>
        <v>6.016802065306027E-3</v>
      </c>
      <c r="S594" s="5">
        <f t="shared" si="235"/>
        <v>1.1539247178347818E-2</v>
      </c>
      <c r="T594" s="5">
        <f t="shared" si="236"/>
        <v>2.4605827954425161E-2</v>
      </c>
      <c r="U594" s="5">
        <f t="shared" si="237"/>
        <v>1.9144671186888985E-2</v>
      </c>
      <c r="V594" s="5">
        <f t="shared" si="238"/>
        <v>1.2059070296709138E-2</v>
      </c>
      <c r="W594" s="5">
        <f t="shared" si="239"/>
        <v>1.8684549133864137E-2</v>
      </c>
      <c r="X594" s="5">
        <f t="shared" si="240"/>
        <v>8.8455969296219669E-3</v>
      </c>
      <c r="Y594" s="5">
        <f t="shared" si="241"/>
        <v>-1.1246861110875047E-2</v>
      </c>
      <c r="Z594" s="33">
        <v>590</v>
      </c>
      <c r="AE594" s="20" t="str">
        <f t="shared" si="242"/>
        <v/>
      </c>
      <c r="AF594" s="22" t="str">
        <f t="shared" si="243"/>
        <v/>
      </c>
      <c r="AG594" s="9" t="str">
        <f t="shared" ca="1" si="222"/>
        <v/>
      </c>
      <c r="AH594" s="9" t="str">
        <f t="shared" ca="1" si="223"/>
        <v/>
      </c>
      <c r="AI594" s="9" t="str">
        <f t="shared" ca="1" si="224"/>
        <v/>
      </c>
      <c r="AJ594" s="9" t="str">
        <f t="shared" ca="1" si="225"/>
        <v/>
      </c>
      <c r="AK594" s="9" t="str">
        <f t="shared" ca="1" si="226"/>
        <v/>
      </c>
      <c r="AL594" s="9" t="str">
        <f t="shared" ca="1" si="227"/>
        <v/>
      </c>
      <c r="AM594" s="9" t="str">
        <f t="shared" ca="1" si="228"/>
        <v/>
      </c>
      <c r="AN594" s="9" t="str">
        <f t="shared" ca="1" si="229"/>
        <v/>
      </c>
      <c r="AO594" s="9" t="str">
        <f t="shared" ca="1" si="230"/>
        <v/>
      </c>
      <c r="AP594" s="9" t="str">
        <f t="shared" ca="1" si="231"/>
        <v/>
      </c>
      <c r="AQ594" s="9"/>
      <c r="AR594" s="9"/>
      <c r="AS594" s="9"/>
      <c r="AT594" s="9"/>
      <c r="AU594" s="9"/>
    </row>
    <row r="595" spans="1:47" x14ac:dyDescent="0.3">
      <c r="A595" s="1">
        <v>44323</v>
      </c>
      <c r="B595" s="6">
        <v>488.73001099999999</v>
      </c>
      <c r="C595" s="6">
        <v>241.83999600000001</v>
      </c>
      <c r="D595" s="6">
        <v>45.625</v>
      </c>
      <c r="E595" s="6">
        <v>145.55999800000001</v>
      </c>
      <c r="F595" s="6">
        <v>122.69000200000001</v>
      </c>
      <c r="G595" s="6">
        <v>46.290000999999997</v>
      </c>
      <c r="H595" s="6">
        <v>152.91000399999999</v>
      </c>
      <c r="I595" s="6">
        <v>251.55999800000001</v>
      </c>
      <c r="J595" s="6">
        <v>33.470001000000003</v>
      </c>
      <c r="K595" s="6">
        <v>37.560001</v>
      </c>
      <c r="N595" s="19">
        <v>591</v>
      </c>
      <c r="O595" s="1">
        <v>44323</v>
      </c>
      <c r="P595" s="5">
        <f t="shared" si="232"/>
        <v>1.0531446496900685E-2</v>
      </c>
      <c r="Q595" s="5">
        <f t="shared" si="233"/>
        <v>1.8277116215046688E-2</v>
      </c>
      <c r="R595" s="5">
        <f t="shared" si="234"/>
        <v>-4.0484361199772827E-2</v>
      </c>
      <c r="S595" s="5">
        <f t="shared" si="235"/>
        <v>0</v>
      </c>
      <c r="T595" s="5">
        <f t="shared" si="236"/>
        <v>1.420096094031134E-2</v>
      </c>
      <c r="U595" s="5">
        <f t="shared" si="237"/>
        <v>8.8966625889575733E-3</v>
      </c>
      <c r="V595" s="5">
        <f t="shared" si="238"/>
        <v>1.5708230105379213E-3</v>
      </c>
      <c r="W595" s="5">
        <f t="shared" si="239"/>
        <v>5.7407390162208206E-3</v>
      </c>
      <c r="X595" s="5">
        <f t="shared" si="240"/>
        <v>1.6265448712464187E-2</v>
      </c>
      <c r="Y595" s="5">
        <f t="shared" si="241"/>
        <v>3.550029966344611E-2</v>
      </c>
      <c r="Z595" s="33">
        <v>591</v>
      </c>
      <c r="AE595" s="20" t="str">
        <f t="shared" si="242"/>
        <v/>
      </c>
      <c r="AF595" s="22" t="str">
        <f t="shared" si="243"/>
        <v/>
      </c>
      <c r="AG595" s="9" t="str">
        <f t="shared" ca="1" si="222"/>
        <v/>
      </c>
      <c r="AH595" s="9" t="str">
        <f t="shared" ca="1" si="223"/>
        <v/>
      </c>
      <c r="AI595" s="9" t="str">
        <f t="shared" ca="1" si="224"/>
        <v/>
      </c>
      <c r="AJ595" s="9" t="str">
        <f t="shared" ca="1" si="225"/>
        <v/>
      </c>
      <c r="AK595" s="9" t="str">
        <f t="shared" ca="1" si="226"/>
        <v/>
      </c>
      <c r="AL595" s="9" t="str">
        <f t="shared" ca="1" si="227"/>
        <v/>
      </c>
      <c r="AM595" s="9" t="str">
        <f t="shared" ca="1" si="228"/>
        <v/>
      </c>
      <c r="AN595" s="9" t="str">
        <f t="shared" ca="1" si="229"/>
        <v/>
      </c>
      <c r="AO595" s="9" t="str">
        <f t="shared" ca="1" si="230"/>
        <v/>
      </c>
      <c r="AP595" s="9" t="str">
        <f t="shared" ca="1" si="231"/>
        <v/>
      </c>
      <c r="AQ595" s="9"/>
      <c r="AR595" s="9"/>
      <c r="AS595" s="9"/>
      <c r="AT595" s="9"/>
      <c r="AU595" s="9"/>
    </row>
    <row r="596" spans="1:47" x14ac:dyDescent="0.3">
      <c r="A596" s="1">
        <v>44326</v>
      </c>
      <c r="B596" s="6">
        <v>479.38000499999998</v>
      </c>
      <c r="C596" s="6">
        <v>232.38999899999999</v>
      </c>
      <c r="D596" s="6">
        <v>45.799999</v>
      </c>
      <c r="E596" s="6">
        <v>146.720001</v>
      </c>
      <c r="F596" s="6">
        <v>123.269997</v>
      </c>
      <c r="G596" s="6">
        <v>46.66</v>
      </c>
      <c r="H596" s="6">
        <v>153.449997</v>
      </c>
      <c r="I596" s="6">
        <v>255.36999499999999</v>
      </c>
      <c r="J596" s="6">
        <v>32.790000999999997</v>
      </c>
      <c r="K596" s="6">
        <v>37.259998000000003</v>
      </c>
      <c r="N596" s="18">
        <v>592</v>
      </c>
      <c r="O596" s="1">
        <v>44326</v>
      </c>
      <c r="P596" s="5">
        <f t="shared" si="232"/>
        <v>-1.9316599508519102E-2</v>
      </c>
      <c r="Q596" s="5">
        <f t="shared" si="233"/>
        <v>-3.9859343442378382E-2</v>
      </c>
      <c r="R596" s="5">
        <f t="shared" si="234"/>
        <v>3.8282573834223154E-3</v>
      </c>
      <c r="S596" s="5">
        <f t="shared" si="235"/>
        <v>7.9376563199374372E-3</v>
      </c>
      <c r="T596" s="5">
        <f t="shared" si="236"/>
        <v>4.716182122267691E-3</v>
      </c>
      <c r="U596" s="5">
        <f t="shared" si="237"/>
        <v>7.9612899471669211E-3</v>
      </c>
      <c r="V596" s="5">
        <f t="shared" si="238"/>
        <v>3.5252223361646072E-3</v>
      </c>
      <c r="W596" s="5">
        <f t="shared" si="239"/>
        <v>1.5031932591350921E-2</v>
      </c>
      <c r="X596" s="5">
        <f t="shared" si="240"/>
        <v>-2.0525923747078047E-2</v>
      </c>
      <c r="Y596" s="5">
        <f t="shared" si="241"/>
        <v>-8.0193694675542299E-3</v>
      </c>
      <c r="Z596" s="33">
        <v>592</v>
      </c>
      <c r="AE596" s="20" t="str">
        <f t="shared" si="242"/>
        <v/>
      </c>
      <c r="AF596" s="22" t="str">
        <f t="shared" si="243"/>
        <v/>
      </c>
      <c r="AG596" s="9" t="str">
        <f t="shared" ca="1" si="222"/>
        <v/>
      </c>
      <c r="AH596" s="9" t="str">
        <f t="shared" ca="1" si="223"/>
        <v/>
      </c>
      <c r="AI596" s="9" t="str">
        <f t="shared" ca="1" si="224"/>
        <v/>
      </c>
      <c r="AJ596" s="9" t="str">
        <f t="shared" ca="1" si="225"/>
        <v/>
      </c>
      <c r="AK596" s="9" t="str">
        <f t="shared" ca="1" si="226"/>
        <v/>
      </c>
      <c r="AL596" s="9" t="str">
        <f t="shared" ca="1" si="227"/>
        <v/>
      </c>
      <c r="AM596" s="9" t="str">
        <f t="shared" ca="1" si="228"/>
        <v/>
      </c>
      <c r="AN596" s="9" t="str">
        <f t="shared" ca="1" si="229"/>
        <v/>
      </c>
      <c r="AO596" s="9" t="str">
        <f t="shared" ca="1" si="230"/>
        <v/>
      </c>
      <c r="AP596" s="9" t="str">
        <f t="shared" ca="1" si="231"/>
        <v/>
      </c>
      <c r="AQ596" s="9"/>
      <c r="AR596" s="9"/>
      <c r="AS596" s="9"/>
      <c r="AT596" s="9"/>
      <c r="AU596" s="9"/>
    </row>
    <row r="597" spans="1:47" x14ac:dyDescent="0.3">
      <c r="A597" s="1">
        <v>44327</v>
      </c>
      <c r="B597" s="6">
        <v>485.19000199999999</v>
      </c>
      <c r="C597" s="6">
        <v>234.820007</v>
      </c>
      <c r="D597" s="6">
        <v>45.77</v>
      </c>
      <c r="E597" s="6">
        <v>145.64999399999999</v>
      </c>
      <c r="F597" s="6">
        <v>122.58000199999999</v>
      </c>
      <c r="G597" s="6">
        <v>46.119999</v>
      </c>
      <c r="H597" s="6">
        <v>150.19000199999999</v>
      </c>
      <c r="I597" s="6">
        <v>251.020004</v>
      </c>
      <c r="J597" s="6">
        <v>32.389999000000003</v>
      </c>
      <c r="K597" s="6">
        <v>36.779998999999997</v>
      </c>
      <c r="N597" s="19">
        <v>593</v>
      </c>
      <c r="O597" s="1">
        <v>44327</v>
      </c>
      <c r="P597" s="5">
        <f t="shared" si="232"/>
        <v>1.2046958176910112E-2</v>
      </c>
      <c r="Q597" s="5">
        <f t="shared" si="233"/>
        <v>1.0402302523169552E-2</v>
      </c>
      <c r="R597" s="5">
        <f t="shared" si="234"/>
        <v>-6.5521462052705952E-4</v>
      </c>
      <c r="S597" s="5">
        <f t="shared" si="235"/>
        <v>-7.3195731130600138E-3</v>
      </c>
      <c r="T597" s="5">
        <f t="shared" si="236"/>
        <v>-5.6131528531453423E-3</v>
      </c>
      <c r="U597" s="5">
        <f t="shared" si="237"/>
        <v>-1.1640592874993043E-2</v>
      </c>
      <c r="V597" s="5">
        <f t="shared" si="238"/>
        <v>-2.1473588981447789E-2</v>
      </c>
      <c r="W597" s="5">
        <f t="shared" si="239"/>
        <v>-1.7180821148978728E-2</v>
      </c>
      <c r="X597" s="5">
        <f t="shared" si="240"/>
        <v>-1.2273919044148051E-2</v>
      </c>
      <c r="Y597" s="5">
        <f t="shared" si="241"/>
        <v>-1.2966119509090721E-2</v>
      </c>
      <c r="Z597" s="33">
        <v>593</v>
      </c>
      <c r="AE597" s="20" t="str">
        <f t="shared" si="242"/>
        <v/>
      </c>
      <c r="AF597" s="22" t="str">
        <f t="shared" si="243"/>
        <v/>
      </c>
      <c r="AG597" s="9" t="str">
        <f t="shared" ca="1" si="222"/>
        <v/>
      </c>
      <c r="AH597" s="9" t="str">
        <f t="shared" ca="1" si="223"/>
        <v/>
      </c>
      <c r="AI597" s="9" t="str">
        <f t="shared" ca="1" si="224"/>
        <v/>
      </c>
      <c r="AJ597" s="9" t="str">
        <f t="shared" ca="1" si="225"/>
        <v/>
      </c>
      <c r="AK597" s="9" t="str">
        <f t="shared" ca="1" si="226"/>
        <v/>
      </c>
      <c r="AL597" s="9" t="str">
        <f t="shared" ca="1" si="227"/>
        <v/>
      </c>
      <c r="AM597" s="9" t="str">
        <f t="shared" ca="1" si="228"/>
        <v/>
      </c>
      <c r="AN597" s="9" t="str">
        <f t="shared" ca="1" si="229"/>
        <v/>
      </c>
      <c r="AO597" s="9" t="str">
        <f t="shared" ca="1" si="230"/>
        <v/>
      </c>
      <c r="AP597" s="9" t="str">
        <f t="shared" ca="1" si="231"/>
        <v/>
      </c>
      <c r="AQ597" s="9"/>
      <c r="AR597" s="9"/>
      <c r="AS597" s="9"/>
      <c r="AT597" s="9"/>
      <c r="AU597" s="9"/>
    </row>
    <row r="598" spans="1:47" x14ac:dyDescent="0.3">
      <c r="A598" s="1">
        <v>44328</v>
      </c>
      <c r="B598" s="6">
        <v>472.08999599999999</v>
      </c>
      <c r="C598" s="6">
        <v>228.53999300000001</v>
      </c>
      <c r="D598" s="6">
        <v>44.895000000000003</v>
      </c>
      <c r="E598" s="6">
        <v>144.229996</v>
      </c>
      <c r="F598" s="6">
        <v>119.66999800000001</v>
      </c>
      <c r="G598" s="6">
        <v>44.84</v>
      </c>
      <c r="H598" s="6">
        <v>146.39999399999999</v>
      </c>
      <c r="I598" s="6">
        <v>245.479996</v>
      </c>
      <c r="J598" s="6">
        <v>31.530000999999999</v>
      </c>
      <c r="K598" s="6">
        <v>35.759998000000003</v>
      </c>
      <c r="N598" s="18">
        <v>594</v>
      </c>
      <c r="O598" s="1">
        <v>44328</v>
      </c>
      <c r="P598" s="5">
        <f t="shared" si="232"/>
        <v>-2.7370934019929662E-2</v>
      </c>
      <c r="Q598" s="5">
        <f t="shared" si="233"/>
        <v>-2.7108073922776955E-2</v>
      </c>
      <c r="R598" s="5">
        <f t="shared" si="234"/>
        <v>-1.9302424692778809E-2</v>
      </c>
      <c r="S598" s="5">
        <f t="shared" si="235"/>
        <v>-9.7972223488608356E-3</v>
      </c>
      <c r="T598" s="5">
        <f t="shared" si="236"/>
        <v>-2.4025956500662374E-2</v>
      </c>
      <c r="U598" s="5">
        <f t="shared" si="237"/>
        <v>-2.8146075514331601E-2</v>
      </c>
      <c r="V598" s="5">
        <f t="shared" si="238"/>
        <v>-2.5558611990351372E-2</v>
      </c>
      <c r="W598" s="5">
        <f t="shared" si="239"/>
        <v>-2.2317171940995573E-2</v>
      </c>
      <c r="X598" s="5">
        <f t="shared" si="240"/>
        <v>-2.691019703671596E-2</v>
      </c>
      <c r="Y598" s="5">
        <f t="shared" si="241"/>
        <v>-2.8124297610584804E-2</v>
      </c>
      <c r="Z598" s="33">
        <v>594</v>
      </c>
      <c r="AE598" s="20" t="str">
        <f t="shared" si="242"/>
        <v/>
      </c>
      <c r="AF598" s="22" t="str">
        <f t="shared" si="243"/>
        <v/>
      </c>
      <c r="AG598" s="9" t="str">
        <f t="shared" ca="1" si="222"/>
        <v/>
      </c>
      <c r="AH598" s="9" t="str">
        <f t="shared" ca="1" si="223"/>
        <v/>
      </c>
      <c r="AI598" s="9" t="str">
        <f t="shared" ca="1" si="224"/>
        <v/>
      </c>
      <c r="AJ598" s="9" t="str">
        <f t="shared" ca="1" si="225"/>
        <v/>
      </c>
      <c r="AK598" s="9" t="str">
        <f t="shared" ca="1" si="226"/>
        <v/>
      </c>
      <c r="AL598" s="9" t="str">
        <f t="shared" ca="1" si="227"/>
        <v/>
      </c>
      <c r="AM598" s="9" t="str">
        <f t="shared" ca="1" si="228"/>
        <v/>
      </c>
      <c r="AN598" s="9" t="str">
        <f t="shared" ca="1" si="229"/>
        <v/>
      </c>
      <c r="AO598" s="9" t="str">
        <f t="shared" ca="1" si="230"/>
        <v/>
      </c>
      <c r="AP598" s="9" t="str">
        <f t="shared" ca="1" si="231"/>
        <v/>
      </c>
      <c r="AQ598" s="9"/>
      <c r="AR598" s="9"/>
      <c r="AS598" s="9"/>
      <c r="AT598" s="9"/>
      <c r="AU598" s="9"/>
    </row>
    <row r="599" spans="1:47" x14ac:dyDescent="0.3">
      <c r="A599" s="1">
        <v>44329</v>
      </c>
      <c r="B599" s="6">
        <v>474.16000400000001</v>
      </c>
      <c r="C599" s="6">
        <v>230.86000100000001</v>
      </c>
      <c r="D599" s="6">
        <v>44.735000999999997</v>
      </c>
      <c r="E599" s="6">
        <v>146.36999499999999</v>
      </c>
      <c r="F599" s="6">
        <v>122</v>
      </c>
      <c r="G599" s="6">
        <v>45.869999</v>
      </c>
      <c r="H599" s="6">
        <v>149.570007</v>
      </c>
      <c r="I599" s="6">
        <v>252.979996</v>
      </c>
      <c r="J599" s="6">
        <v>32.330002</v>
      </c>
      <c r="K599" s="6">
        <v>35.229999999999997</v>
      </c>
      <c r="N599" s="19">
        <v>595</v>
      </c>
      <c r="O599" s="1">
        <v>44329</v>
      </c>
      <c r="P599" s="5">
        <f t="shared" si="232"/>
        <v>4.3751890135901523E-3</v>
      </c>
      <c r="Q599" s="5">
        <f t="shared" si="233"/>
        <v>1.0100251429039944E-2</v>
      </c>
      <c r="R599" s="5">
        <f t="shared" si="234"/>
        <v>-3.5702146193514403E-3</v>
      </c>
      <c r="S599" s="5">
        <f t="shared" si="235"/>
        <v>1.4728408473912187E-2</v>
      </c>
      <c r="T599" s="5">
        <f t="shared" si="236"/>
        <v>1.9283106860458074E-2</v>
      </c>
      <c r="U599" s="5">
        <f t="shared" si="237"/>
        <v>2.2710688604379893E-2</v>
      </c>
      <c r="V599" s="5">
        <f t="shared" si="238"/>
        <v>2.1421996928459489E-2</v>
      </c>
      <c r="W599" s="5">
        <f t="shared" si="239"/>
        <v>3.0094957181579351E-2</v>
      </c>
      <c r="X599" s="5">
        <f t="shared" si="240"/>
        <v>2.5056148326592347E-2</v>
      </c>
      <c r="Y599" s="5">
        <f t="shared" si="241"/>
        <v>-1.4931902023754067E-2</v>
      </c>
      <c r="Z599" s="33">
        <v>595</v>
      </c>
      <c r="AE599" s="20" t="str">
        <f t="shared" si="242"/>
        <v/>
      </c>
      <c r="AF599" s="22" t="str">
        <f t="shared" si="243"/>
        <v/>
      </c>
      <c r="AG599" s="9" t="str">
        <f t="shared" ca="1" si="222"/>
        <v/>
      </c>
      <c r="AH599" s="9" t="str">
        <f t="shared" ca="1" si="223"/>
        <v/>
      </c>
      <c r="AI599" s="9" t="str">
        <f t="shared" ca="1" si="224"/>
        <v/>
      </c>
      <c r="AJ599" s="9" t="str">
        <f t="shared" ca="1" si="225"/>
        <v/>
      </c>
      <c r="AK599" s="9" t="str">
        <f t="shared" ca="1" si="226"/>
        <v/>
      </c>
      <c r="AL599" s="9" t="str">
        <f t="shared" ca="1" si="227"/>
        <v/>
      </c>
      <c r="AM599" s="9" t="str">
        <f t="shared" ca="1" si="228"/>
        <v/>
      </c>
      <c r="AN599" s="9" t="str">
        <f t="shared" ca="1" si="229"/>
        <v/>
      </c>
      <c r="AO599" s="9" t="str">
        <f t="shared" ca="1" si="230"/>
        <v/>
      </c>
      <c r="AP599" s="9" t="str">
        <f t="shared" ca="1" si="231"/>
        <v/>
      </c>
      <c r="AQ599" s="9"/>
      <c r="AR599" s="9"/>
      <c r="AS599" s="9"/>
      <c r="AT599" s="9"/>
      <c r="AU599" s="9"/>
    </row>
    <row r="600" spans="1:47" x14ac:dyDescent="0.3">
      <c r="A600" s="1">
        <v>44330</v>
      </c>
      <c r="B600" s="6">
        <v>486.55999800000001</v>
      </c>
      <c r="C600" s="6">
        <v>239.699997</v>
      </c>
      <c r="D600" s="6">
        <v>46.07</v>
      </c>
      <c r="E600" s="6">
        <v>146.58999600000001</v>
      </c>
      <c r="F600" s="6">
        <v>122.269997</v>
      </c>
      <c r="G600" s="6">
        <v>46.389999000000003</v>
      </c>
      <c r="H600" s="6">
        <v>151.39999399999999</v>
      </c>
      <c r="I600" s="6">
        <v>255.19000199999999</v>
      </c>
      <c r="J600" s="6">
        <v>32.520000000000003</v>
      </c>
      <c r="K600" s="6">
        <v>35.650002000000001</v>
      </c>
      <c r="N600" s="18">
        <v>596</v>
      </c>
      <c r="O600" s="1">
        <v>44330</v>
      </c>
      <c r="P600" s="5">
        <f t="shared" si="232"/>
        <v>2.5815393903010957E-2</v>
      </c>
      <c r="Q600" s="5">
        <f t="shared" si="233"/>
        <v>3.757665840629832E-2</v>
      </c>
      <c r="R600" s="5">
        <f t="shared" si="234"/>
        <v>2.9405763594404957E-2</v>
      </c>
      <c r="S600" s="5">
        <f t="shared" si="235"/>
        <v>1.5019186790990856E-3</v>
      </c>
      <c r="T600" s="5">
        <f t="shared" si="236"/>
        <v>2.2106448869787239E-3</v>
      </c>
      <c r="U600" s="5">
        <f t="shared" si="237"/>
        <v>1.1272610398943084E-2</v>
      </c>
      <c r="V600" s="5">
        <f t="shared" si="238"/>
        <v>1.2160743901165515E-2</v>
      </c>
      <c r="W600" s="5">
        <f t="shared" si="239"/>
        <v>8.6979551793350748E-3</v>
      </c>
      <c r="X600" s="5">
        <f t="shared" si="240"/>
        <v>5.8596310802224725E-3</v>
      </c>
      <c r="Y600" s="5">
        <f t="shared" si="241"/>
        <v>1.1851210608138946E-2</v>
      </c>
      <c r="Z600" s="33">
        <v>596</v>
      </c>
      <c r="AE600" s="20" t="str">
        <f t="shared" si="242"/>
        <v/>
      </c>
      <c r="AF600" s="22" t="str">
        <f t="shared" si="243"/>
        <v/>
      </c>
      <c r="AG600" s="9" t="str">
        <f t="shared" ca="1" si="222"/>
        <v/>
      </c>
      <c r="AH600" s="9" t="str">
        <f t="shared" ca="1" si="223"/>
        <v/>
      </c>
      <c r="AI600" s="9" t="str">
        <f t="shared" ca="1" si="224"/>
        <v/>
      </c>
      <c r="AJ600" s="9" t="str">
        <f t="shared" ca="1" si="225"/>
        <v/>
      </c>
      <c r="AK600" s="9" t="str">
        <f t="shared" ca="1" si="226"/>
        <v/>
      </c>
      <c r="AL600" s="9" t="str">
        <f t="shared" ca="1" si="227"/>
        <v/>
      </c>
      <c r="AM600" s="9" t="str">
        <f t="shared" ca="1" si="228"/>
        <v/>
      </c>
      <c r="AN600" s="9" t="str">
        <f t="shared" ca="1" si="229"/>
        <v/>
      </c>
      <c r="AO600" s="9" t="str">
        <f t="shared" ca="1" si="230"/>
        <v/>
      </c>
      <c r="AP600" s="9" t="str">
        <f t="shared" ca="1" si="231"/>
        <v/>
      </c>
      <c r="AQ600" s="9"/>
      <c r="AR600" s="9"/>
      <c r="AS600" s="9"/>
      <c r="AT600" s="9"/>
      <c r="AU600" s="9"/>
    </row>
    <row r="601" spans="1:47" x14ac:dyDescent="0.3">
      <c r="A601" s="1">
        <v>44333</v>
      </c>
      <c r="B601" s="6">
        <v>482.73998999999998</v>
      </c>
      <c r="C601" s="6">
        <v>236</v>
      </c>
      <c r="D601" s="6">
        <v>45.674999</v>
      </c>
      <c r="E601" s="6">
        <v>146.16999799999999</v>
      </c>
      <c r="F601" s="6">
        <v>123.099998</v>
      </c>
      <c r="G601" s="6">
        <v>46.400002000000001</v>
      </c>
      <c r="H601" s="6">
        <v>150.33000200000001</v>
      </c>
      <c r="I601" s="6">
        <v>253.08999600000001</v>
      </c>
      <c r="J601" s="6">
        <v>32.57</v>
      </c>
      <c r="K601" s="6">
        <v>33.849997999999999</v>
      </c>
      <c r="N601" s="19">
        <v>597</v>
      </c>
      <c r="O601" s="1">
        <v>44333</v>
      </c>
      <c r="P601" s="5">
        <f t="shared" si="232"/>
        <v>-7.8820340951959601E-3</v>
      </c>
      <c r="Q601" s="5">
        <f t="shared" si="233"/>
        <v>-1.5556323899083903E-2</v>
      </c>
      <c r="R601" s="5">
        <f t="shared" si="234"/>
        <v>-8.6108985775704781E-3</v>
      </c>
      <c r="S601" s="5">
        <f t="shared" si="235"/>
        <v>-2.8692327964455464E-3</v>
      </c>
      <c r="T601" s="5">
        <f t="shared" si="236"/>
        <v>6.7653273232187987E-3</v>
      </c>
      <c r="U601" s="5">
        <f t="shared" si="237"/>
        <v>2.1560512837475398E-4</v>
      </c>
      <c r="V601" s="5">
        <f t="shared" si="238"/>
        <v>-7.0924104294213799E-3</v>
      </c>
      <c r="W601" s="5">
        <f t="shared" si="239"/>
        <v>-8.2632326963929248E-3</v>
      </c>
      <c r="X601" s="5">
        <f t="shared" si="240"/>
        <v>1.5363346085320935E-3</v>
      </c>
      <c r="Y601" s="5">
        <f t="shared" si="241"/>
        <v>-5.181026268719794E-2</v>
      </c>
      <c r="Z601" s="33">
        <v>597</v>
      </c>
      <c r="AE601" s="20" t="str">
        <f t="shared" si="242"/>
        <v/>
      </c>
      <c r="AF601" s="22" t="str">
        <f t="shared" si="243"/>
        <v/>
      </c>
      <c r="AG601" s="9" t="str">
        <f t="shared" ca="1" si="222"/>
        <v/>
      </c>
      <c r="AH601" s="9" t="str">
        <f t="shared" ca="1" si="223"/>
        <v/>
      </c>
      <c r="AI601" s="9" t="str">
        <f t="shared" ca="1" si="224"/>
        <v/>
      </c>
      <c r="AJ601" s="9" t="str">
        <f t="shared" ca="1" si="225"/>
        <v/>
      </c>
      <c r="AK601" s="9" t="str">
        <f t="shared" ca="1" si="226"/>
        <v/>
      </c>
      <c r="AL601" s="9" t="str">
        <f t="shared" ca="1" si="227"/>
        <v/>
      </c>
      <c r="AM601" s="9" t="str">
        <f t="shared" ca="1" si="228"/>
        <v/>
      </c>
      <c r="AN601" s="9" t="str">
        <f t="shared" ca="1" si="229"/>
        <v/>
      </c>
      <c r="AO601" s="9" t="str">
        <f t="shared" ca="1" si="230"/>
        <v/>
      </c>
      <c r="AP601" s="9" t="str">
        <f t="shared" ca="1" si="231"/>
        <v/>
      </c>
      <c r="AQ601" s="9"/>
      <c r="AR601" s="9"/>
      <c r="AS601" s="9"/>
      <c r="AT601" s="9"/>
      <c r="AU601" s="9"/>
    </row>
    <row r="602" spans="1:47" x14ac:dyDescent="0.3">
      <c r="A602" s="1">
        <v>44334</v>
      </c>
      <c r="B602" s="6">
        <v>480.61999500000002</v>
      </c>
      <c r="C602" s="6">
        <v>235.029999</v>
      </c>
      <c r="D602" s="6">
        <v>45.404998999999997</v>
      </c>
      <c r="E602" s="6">
        <v>145.509995</v>
      </c>
      <c r="F602" s="6">
        <v>122.529999</v>
      </c>
      <c r="G602" s="6">
        <v>46.23</v>
      </c>
      <c r="H602" s="6">
        <v>147.800003</v>
      </c>
      <c r="I602" s="6">
        <v>250.25</v>
      </c>
      <c r="J602" s="6">
        <v>32.5</v>
      </c>
      <c r="K602" s="6">
        <v>33.310001</v>
      </c>
      <c r="N602" s="18">
        <v>598</v>
      </c>
      <c r="O602" s="1">
        <v>44334</v>
      </c>
      <c r="P602" s="5">
        <f t="shared" si="232"/>
        <v>-4.4012590417384072E-3</v>
      </c>
      <c r="Q602" s="5">
        <f t="shared" si="233"/>
        <v>-4.1186437095490176E-3</v>
      </c>
      <c r="R602" s="5">
        <f t="shared" si="234"/>
        <v>-5.9288712524699977E-3</v>
      </c>
      <c r="S602" s="5">
        <f t="shared" si="235"/>
        <v>-4.5255358082157927E-3</v>
      </c>
      <c r="T602" s="5">
        <f t="shared" si="236"/>
        <v>-4.6411271433654134E-3</v>
      </c>
      <c r="U602" s="5">
        <f t="shared" si="237"/>
        <v>-3.6705643355229608E-3</v>
      </c>
      <c r="V602" s="5">
        <f t="shared" si="238"/>
        <v>-1.6972862132006487E-2</v>
      </c>
      <c r="W602" s="5">
        <f t="shared" si="239"/>
        <v>-1.1284722695481173E-2</v>
      </c>
      <c r="X602" s="5">
        <f t="shared" si="240"/>
        <v>-2.1515299524503505E-3</v>
      </c>
      <c r="Y602" s="5">
        <f t="shared" si="241"/>
        <v>-1.6081258047484778E-2</v>
      </c>
      <c r="Z602" s="33">
        <v>598</v>
      </c>
      <c r="AE602" s="20" t="str">
        <f t="shared" si="242"/>
        <v/>
      </c>
      <c r="AF602" s="22" t="str">
        <f t="shared" si="243"/>
        <v/>
      </c>
      <c r="AG602" s="9" t="str">
        <f t="shared" ca="1" si="222"/>
        <v/>
      </c>
      <c r="AH602" s="9" t="str">
        <f t="shared" ca="1" si="223"/>
        <v/>
      </c>
      <c r="AI602" s="9" t="str">
        <f t="shared" ca="1" si="224"/>
        <v/>
      </c>
      <c r="AJ602" s="9" t="str">
        <f t="shared" ca="1" si="225"/>
        <v/>
      </c>
      <c r="AK602" s="9" t="str">
        <f t="shared" ca="1" si="226"/>
        <v/>
      </c>
      <c r="AL602" s="9" t="str">
        <f t="shared" ca="1" si="227"/>
        <v/>
      </c>
      <c r="AM602" s="9" t="str">
        <f t="shared" ca="1" si="228"/>
        <v/>
      </c>
      <c r="AN602" s="9" t="str">
        <f t="shared" ca="1" si="229"/>
        <v/>
      </c>
      <c r="AO602" s="9" t="str">
        <f t="shared" ca="1" si="230"/>
        <v/>
      </c>
      <c r="AP602" s="9" t="str">
        <f t="shared" ca="1" si="231"/>
        <v/>
      </c>
      <c r="AQ602" s="9"/>
      <c r="AR602" s="9"/>
      <c r="AS602" s="9"/>
      <c r="AT602" s="9"/>
      <c r="AU602" s="9"/>
    </row>
    <row r="603" spans="1:47" x14ac:dyDescent="0.3">
      <c r="A603" s="1">
        <v>44335</v>
      </c>
      <c r="B603" s="6">
        <v>480.47000100000002</v>
      </c>
      <c r="C603" s="6">
        <v>237.36000100000001</v>
      </c>
      <c r="D603" s="6">
        <v>45.365001999999997</v>
      </c>
      <c r="E603" s="6">
        <v>145.429993</v>
      </c>
      <c r="F603" s="6">
        <v>121.779999</v>
      </c>
      <c r="G603" s="6">
        <v>45.790000999999997</v>
      </c>
      <c r="H603" s="6">
        <v>147.36999499999999</v>
      </c>
      <c r="I603" s="6">
        <v>249.11999499999999</v>
      </c>
      <c r="J603" s="6">
        <v>32.590000000000003</v>
      </c>
      <c r="K603" s="6">
        <v>33.110000999999997</v>
      </c>
      <c r="N603" s="19">
        <v>599</v>
      </c>
      <c r="O603" s="1">
        <v>44335</v>
      </c>
      <c r="P603" s="5">
        <f t="shared" si="232"/>
        <v>-3.1213310271061532E-4</v>
      </c>
      <c r="Q603" s="5">
        <f t="shared" si="233"/>
        <v>9.8648188795151838E-3</v>
      </c>
      <c r="R603" s="5">
        <f t="shared" si="234"/>
        <v>-8.8128240934282737E-4</v>
      </c>
      <c r="S603" s="5">
        <f t="shared" si="235"/>
        <v>-5.4995535379207124E-4</v>
      </c>
      <c r="T603" s="5">
        <f t="shared" si="236"/>
        <v>-6.1397598311894669E-3</v>
      </c>
      <c r="U603" s="5">
        <f t="shared" si="237"/>
        <v>-9.563189492300752E-3</v>
      </c>
      <c r="V603" s="5">
        <f t="shared" si="238"/>
        <v>-2.9136315148378241E-3</v>
      </c>
      <c r="W603" s="5">
        <f t="shared" si="239"/>
        <v>-4.5257301802906864E-3</v>
      </c>
      <c r="X603" s="5">
        <f t="shared" si="240"/>
        <v>2.7654035137784604E-3</v>
      </c>
      <c r="Y603" s="5">
        <f t="shared" si="241"/>
        <v>-6.022300465092373E-3</v>
      </c>
      <c r="Z603" s="33">
        <v>599</v>
      </c>
      <c r="AE603" s="20" t="str">
        <f t="shared" si="242"/>
        <v/>
      </c>
      <c r="AF603" s="22" t="str">
        <f t="shared" si="243"/>
        <v/>
      </c>
      <c r="AG603" s="9" t="str">
        <f t="shared" ca="1" si="222"/>
        <v/>
      </c>
      <c r="AH603" s="9" t="str">
        <f t="shared" ca="1" si="223"/>
        <v/>
      </c>
      <c r="AI603" s="9" t="str">
        <f t="shared" ca="1" si="224"/>
        <v/>
      </c>
      <c r="AJ603" s="9" t="str">
        <f t="shared" ca="1" si="225"/>
        <v/>
      </c>
      <c r="AK603" s="9" t="str">
        <f t="shared" ca="1" si="226"/>
        <v/>
      </c>
      <c r="AL603" s="9" t="str">
        <f t="shared" ca="1" si="227"/>
        <v/>
      </c>
      <c r="AM603" s="9" t="str">
        <f t="shared" ca="1" si="228"/>
        <v/>
      </c>
      <c r="AN603" s="9" t="str">
        <f t="shared" ca="1" si="229"/>
        <v/>
      </c>
      <c r="AO603" s="9" t="str">
        <f t="shared" ca="1" si="230"/>
        <v/>
      </c>
      <c r="AP603" s="9" t="str">
        <f t="shared" ca="1" si="231"/>
        <v/>
      </c>
      <c r="AQ603" s="9"/>
      <c r="AR603" s="9"/>
      <c r="AS603" s="9"/>
      <c r="AT603" s="9"/>
      <c r="AU603" s="9"/>
    </row>
    <row r="604" spans="1:47" x14ac:dyDescent="0.3">
      <c r="A604" s="1">
        <v>44336</v>
      </c>
      <c r="B604" s="6">
        <v>491.67001299999998</v>
      </c>
      <c r="C604" s="6">
        <v>244.71000699999999</v>
      </c>
      <c r="D604" s="6">
        <v>46.25</v>
      </c>
      <c r="E604" s="6">
        <v>147.229996</v>
      </c>
      <c r="F604" s="6">
        <v>123.07</v>
      </c>
      <c r="G604" s="6">
        <v>46.459999000000003</v>
      </c>
      <c r="H604" s="6">
        <v>148.070007</v>
      </c>
      <c r="I604" s="6">
        <v>248.13999899999999</v>
      </c>
      <c r="J604" s="6">
        <v>33.020000000000003</v>
      </c>
      <c r="K604" s="6">
        <v>31.85</v>
      </c>
      <c r="N604" s="18">
        <v>600</v>
      </c>
      <c r="O604" s="1">
        <v>44336</v>
      </c>
      <c r="P604" s="5">
        <f t="shared" si="232"/>
        <v>2.3042992605424386E-2</v>
      </c>
      <c r="Q604" s="5">
        <f t="shared" si="233"/>
        <v>3.0495884390309886E-2</v>
      </c>
      <c r="R604" s="5">
        <f t="shared" si="234"/>
        <v>1.9320537249991887E-2</v>
      </c>
      <c r="S604" s="5">
        <f t="shared" si="235"/>
        <v>1.2301139652445729E-2</v>
      </c>
      <c r="T604" s="5">
        <f t="shared" si="236"/>
        <v>1.0537169215346236E-2</v>
      </c>
      <c r="U604" s="5">
        <f t="shared" si="237"/>
        <v>1.4525957310538204E-2</v>
      </c>
      <c r="V604" s="5">
        <f t="shared" si="238"/>
        <v>4.7387848986010245E-3</v>
      </c>
      <c r="W604" s="5">
        <f t="shared" si="239"/>
        <v>-3.9415890302968888E-3</v>
      </c>
      <c r="X604" s="5">
        <f t="shared" si="240"/>
        <v>1.310794564251185E-2</v>
      </c>
      <c r="Y604" s="5">
        <f t="shared" si="241"/>
        <v>-3.8797999743337759E-2</v>
      </c>
      <c r="Z604" s="33">
        <v>600</v>
      </c>
      <c r="AE604" s="20" t="str">
        <f t="shared" si="242"/>
        <v/>
      </c>
      <c r="AF604" s="22" t="str">
        <f t="shared" si="243"/>
        <v/>
      </c>
      <c r="AG604" s="9" t="str">
        <f t="shared" ca="1" si="222"/>
        <v/>
      </c>
      <c r="AH604" s="9" t="str">
        <f t="shared" ca="1" si="223"/>
        <v/>
      </c>
      <c r="AI604" s="9" t="str">
        <f t="shared" ca="1" si="224"/>
        <v/>
      </c>
      <c r="AJ604" s="9" t="str">
        <f t="shared" ca="1" si="225"/>
        <v/>
      </c>
      <c r="AK604" s="9" t="str">
        <f t="shared" ca="1" si="226"/>
        <v/>
      </c>
      <c r="AL604" s="9" t="str">
        <f t="shared" ca="1" si="227"/>
        <v/>
      </c>
      <c r="AM604" s="9" t="str">
        <f t="shared" ca="1" si="228"/>
        <v/>
      </c>
      <c r="AN604" s="9" t="str">
        <f t="shared" ca="1" si="229"/>
        <v/>
      </c>
      <c r="AO604" s="9" t="str">
        <f t="shared" ca="1" si="230"/>
        <v/>
      </c>
      <c r="AP604" s="9" t="str">
        <f t="shared" ca="1" si="231"/>
        <v/>
      </c>
      <c r="AQ604" s="9"/>
      <c r="AR604" s="9"/>
      <c r="AS604" s="9"/>
      <c r="AT604" s="9"/>
      <c r="AU604" s="9"/>
    </row>
    <row r="605" spans="1:47" x14ac:dyDescent="0.3">
      <c r="A605" s="1">
        <v>44337</v>
      </c>
      <c r="B605" s="6">
        <v>488.07000699999998</v>
      </c>
      <c r="C605" s="6">
        <v>242</v>
      </c>
      <c r="D605" s="6">
        <v>46.005001</v>
      </c>
      <c r="E605" s="6">
        <v>147.10000600000001</v>
      </c>
      <c r="F605" s="6">
        <v>122.910004</v>
      </c>
      <c r="G605" s="6">
        <v>46.369999</v>
      </c>
      <c r="H605" s="6">
        <v>148.270004</v>
      </c>
      <c r="I605" s="6">
        <v>249.979996</v>
      </c>
      <c r="J605" s="6">
        <v>33.220001000000003</v>
      </c>
      <c r="K605" s="6">
        <v>31.469999000000001</v>
      </c>
      <c r="N605" s="19">
        <v>601</v>
      </c>
      <c r="O605" s="1">
        <v>44337</v>
      </c>
      <c r="P605" s="5">
        <f t="shared" si="232"/>
        <v>-7.3489336529504101E-3</v>
      </c>
      <c r="Q605" s="5">
        <f t="shared" si="233"/>
        <v>-1.1136138429199732E-2</v>
      </c>
      <c r="R605" s="5">
        <f t="shared" si="234"/>
        <v>-5.3113559873421978E-3</v>
      </c>
      <c r="S605" s="5">
        <f t="shared" si="235"/>
        <v>-8.8329431297057715E-4</v>
      </c>
      <c r="T605" s="5">
        <f t="shared" si="236"/>
        <v>-1.30088641321832E-3</v>
      </c>
      <c r="U605" s="5">
        <f t="shared" si="237"/>
        <v>-1.9390289806696073E-3</v>
      </c>
      <c r="V605" s="5">
        <f t="shared" si="238"/>
        <v>1.3497808121810742E-3</v>
      </c>
      <c r="W605" s="5">
        <f t="shared" si="239"/>
        <v>7.3877996760532269E-3</v>
      </c>
      <c r="X605" s="5">
        <f t="shared" si="240"/>
        <v>6.0386957955143924E-3</v>
      </c>
      <c r="Y605" s="5">
        <f t="shared" si="241"/>
        <v>-1.2002702718152283E-2</v>
      </c>
      <c r="Z605" s="33">
        <v>601</v>
      </c>
      <c r="AE605" s="20" t="str">
        <f t="shared" si="242"/>
        <v/>
      </c>
      <c r="AF605" s="22" t="str">
        <f t="shared" si="243"/>
        <v/>
      </c>
      <c r="AG605" s="9" t="str">
        <f t="shared" ca="1" si="222"/>
        <v/>
      </c>
      <c r="AH605" s="9" t="str">
        <f t="shared" ca="1" si="223"/>
        <v/>
      </c>
      <c r="AI605" s="9" t="str">
        <f t="shared" ca="1" si="224"/>
        <v/>
      </c>
      <c r="AJ605" s="9" t="str">
        <f t="shared" ca="1" si="225"/>
        <v/>
      </c>
      <c r="AK605" s="9" t="str">
        <f t="shared" ca="1" si="226"/>
        <v/>
      </c>
      <c r="AL605" s="9" t="str">
        <f t="shared" ca="1" si="227"/>
        <v/>
      </c>
      <c r="AM605" s="9" t="str">
        <f t="shared" ca="1" si="228"/>
        <v/>
      </c>
      <c r="AN605" s="9" t="str">
        <f t="shared" ca="1" si="229"/>
        <v/>
      </c>
      <c r="AO605" s="9" t="str">
        <f t="shared" ca="1" si="230"/>
        <v/>
      </c>
      <c r="AP605" s="9" t="str">
        <f t="shared" ca="1" si="231"/>
        <v/>
      </c>
      <c r="AQ605" s="9"/>
      <c r="AR605" s="9"/>
      <c r="AS605" s="9"/>
      <c r="AT605" s="9"/>
      <c r="AU605" s="9"/>
    </row>
    <row r="606" spans="1:47" x14ac:dyDescent="0.3">
      <c r="A606" s="1">
        <v>44340</v>
      </c>
      <c r="B606" s="6">
        <v>497.82998700000002</v>
      </c>
      <c r="C606" s="6">
        <v>248.58000200000001</v>
      </c>
      <c r="D606" s="6">
        <v>46.615001999999997</v>
      </c>
      <c r="E606" s="6">
        <v>147.85000600000001</v>
      </c>
      <c r="F606" s="6">
        <v>124.629997</v>
      </c>
      <c r="G606" s="6">
        <v>46.970001000000003</v>
      </c>
      <c r="H606" s="6">
        <v>149.490005</v>
      </c>
      <c r="I606" s="6">
        <v>253.38000500000001</v>
      </c>
      <c r="J606" s="6">
        <v>33.330002</v>
      </c>
      <c r="K606" s="6">
        <v>31.280000999999999</v>
      </c>
      <c r="N606" s="18">
        <v>602</v>
      </c>
      <c r="O606" s="1">
        <v>44340</v>
      </c>
      <c r="P606" s="5">
        <f t="shared" si="232"/>
        <v>1.9799774639627395E-2</v>
      </c>
      <c r="Q606" s="5">
        <f t="shared" si="233"/>
        <v>2.6827007206378643E-2</v>
      </c>
      <c r="R606" s="5">
        <f t="shared" si="234"/>
        <v>1.3172312682208458E-2</v>
      </c>
      <c r="S606" s="5">
        <f t="shared" si="235"/>
        <v>5.0856184841857133E-3</v>
      </c>
      <c r="T606" s="5">
        <f t="shared" si="236"/>
        <v>1.3896910996007482E-2</v>
      </c>
      <c r="U606" s="5">
        <f t="shared" si="237"/>
        <v>1.2856444491386987E-2</v>
      </c>
      <c r="V606" s="5">
        <f t="shared" si="238"/>
        <v>8.1945714007305801E-3</v>
      </c>
      <c r="W606" s="5">
        <f t="shared" si="239"/>
        <v>1.3509459246318595E-2</v>
      </c>
      <c r="X606" s="5">
        <f t="shared" si="240"/>
        <v>3.3058180381505971E-3</v>
      </c>
      <c r="Y606" s="5">
        <f t="shared" si="241"/>
        <v>-6.0557316536008913E-3</v>
      </c>
      <c r="Z606" s="33">
        <v>602</v>
      </c>
      <c r="AE606" s="20" t="str">
        <f t="shared" si="242"/>
        <v/>
      </c>
      <c r="AF606" s="22" t="str">
        <f t="shared" si="243"/>
        <v/>
      </c>
      <c r="AG606" s="9" t="str">
        <f t="shared" ca="1" si="222"/>
        <v/>
      </c>
      <c r="AH606" s="9" t="str">
        <f t="shared" ca="1" si="223"/>
        <v/>
      </c>
      <c r="AI606" s="9" t="str">
        <f t="shared" ca="1" si="224"/>
        <v/>
      </c>
      <c r="AJ606" s="9" t="str">
        <f t="shared" ca="1" si="225"/>
        <v/>
      </c>
      <c r="AK606" s="9" t="str">
        <f t="shared" ca="1" si="226"/>
        <v/>
      </c>
      <c r="AL606" s="9" t="str">
        <f t="shared" ca="1" si="227"/>
        <v/>
      </c>
      <c r="AM606" s="9" t="str">
        <f t="shared" ca="1" si="228"/>
        <v/>
      </c>
      <c r="AN606" s="9" t="str">
        <f t="shared" ca="1" si="229"/>
        <v/>
      </c>
      <c r="AO606" s="9" t="str">
        <f t="shared" ca="1" si="230"/>
        <v/>
      </c>
      <c r="AP606" s="9" t="str">
        <f t="shared" ca="1" si="231"/>
        <v/>
      </c>
      <c r="AQ606" s="9"/>
      <c r="AR606" s="9"/>
      <c r="AS606" s="9"/>
      <c r="AT606" s="9"/>
      <c r="AU606" s="9"/>
    </row>
    <row r="607" spans="1:47" x14ac:dyDescent="0.3">
      <c r="A607" s="1">
        <v>44341</v>
      </c>
      <c r="B607" s="6">
        <v>505.07998700000002</v>
      </c>
      <c r="C607" s="6">
        <v>255.83000200000001</v>
      </c>
      <c r="D607" s="6">
        <v>46.514999000000003</v>
      </c>
      <c r="E607" s="6">
        <v>148.300003</v>
      </c>
      <c r="F607" s="6">
        <v>125.300003</v>
      </c>
      <c r="G607" s="6">
        <v>47.049999</v>
      </c>
      <c r="H607" s="6">
        <v>149</v>
      </c>
      <c r="I607" s="6">
        <v>251.71000699999999</v>
      </c>
      <c r="J607" s="6">
        <v>32.770000000000003</v>
      </c>
      <c r="K607" s="6">
        <v>30.66</v>
      </c>
      <c r="N607" s="19">
        <v>603</v>
      </c>
      <c r="O607" s="1">
        <v>44341</v>
      </c>
      <c r="P607" s="5">
        <f t="shared" si="232"/>
        <v>1.4458179660961482E-2</v>
      </c>
      <c r="Q607" s="5">
        <f t="shared" si="233"/>
        <v>2.8748435847025772E-2</v>
      </c>
      <c r="R607" s="5">
        <f t="shared" si="234"/>
        <v>-2.1476009312200264E-3</v>
      </c>
      <c r="S607" s="5">
        <f t="shared" si="235"/>
        <v>3.0389824929951412E-3</v>
      </c>
      <c r="T607" s="5">
        <f t="shared" si="236"/>
        <v>5.3615620775259824E-3</v>
      </c>
      <c r="U607" s="5">
        <f t="shared" si="237"/>
        <v>1.7017234483145938E-3</v>
      </c>
      <c r="V607" s="5">
        <f t="shared" si="238"/>
        <v>-3.2832284630164459E-3</v>
      </c>
      <c r="W607" s="5">
        <f t="shared" si="239"/>
        <v>-6.6126989081646079E-3</v>
      </c>
      <c r="X607" s="5">
        <f t="shared" si="240"/>
        <v>-1.6944489614923838E-2</v>
      </c>
      <c r="Y607" s="5">
        <f t="shared" si="241"/>
        <v>-2.0020074202751207E-2</v>
      </c>
      <c r="Z607" s="33">
        <v>603</v>
      </c>
      <c r="AE607" s="20" t="str">
        <f t="shared" si="242"/>
        <v/>
      </c>
      <c r="AF607" s="22" t="str">
        <f t="shared" si="243"/>
        <v/>
      </c>
      <c r="AG607" s="9" t="str">
        <f t="shared" ca="1" si="222"/>
        <v/>
      </c>
      <c r="AH607" s="9" t="str">
        <f t="shared" ca="1" si="223"/>
        <v/>
      </c>
      <c r="AI607" s="9" t="str">
        <f t="shared" ca="1" si="224"/>
        <v/>
      </c>
      <c r="AJ607" s="9" t="str">
        <f t="shared" ca="1" si="225"/>
        <v/>
      </c>
      <c r="AK607" s="9" t="str">
        <f t="shared" ca="1" si="226"/>
        <v/>
      </c>
      <c r="AL607" s="9" t="str">
        <f t="shared" ca="1" si="227"/>
        <v/>
      </c>
      <c r="AM607" s="9" t="str">
        <f t="shared" ca="1" si="228"/>
        <v/>
      </c>
      <c r="AN607" s="9" t="str">
        <f t="shared" ca="1" si="229"/>
        <v/>
      </c>
      <c r="AO607" s="9" t="str">
        <f t="shared" ca="1" si="230"/>
        <v/>
      </c>
      <c r="AP607" s="9" t="str">
        <f t="shared" ca="1" si="231"/>
        <v/>
      </c>
      <c r="AQ607" s="9"/>
      <c r="AR607" s="9"/>
      <c r="AS607" s="9"/>
      <c r="AT607" s="9"/>
      <c r="AU607" s="9"/>
    </row>
    <row r="608" spans="1:47" x14ac:dyDescent="0.3">
      <c r="A608" s="1">
        <v>44342</v>
      </c>
      <c r="B608" s="6">
        <v>506.98001099999999</v>
      </c>
      <c r="C608" s="6">
        <v>254.279999</v>
      </c>
      <c r="D608" s="6">
        <v>46.705002</v>
      </c>
      <c r="E608" s="6">
        <v>148.300003</v>
      </c>
      <c r="F608" s="6">
        <v>125.760002</v>
      </c>
      <c r="G608" s="6">
        <v>47.060001</v>
      </c>
      <c r="H608" s="6">
        <v>148.88999899999999</v>
      </c>
      <c r="I608" s="6">
        <v>252.14999399999999</v>
      </c>
      <c r="J608" s="6">
        <v>33.159999999999997</v>
      </c>
      <c r="K608" s="6">
        <v>31.82</v>
      </c>
      <c r="N608" s="18">
        <v>604</v>
      </c>
      <c r="O608" s="1">
        <v>44342</v>
      </c>
      <c r="P608" s="5">
        <f t="shared" si="232"/>
        <v>3.7547699464711877E-3</v>
      </c>
      <c r="Q608" s="5">
        <f t="shared" si="233"/>
        <v>-6.0771510745554506E-3</v>
      </c>
      <c r="R608" s="5">
        <f t="shared" si="234"/>
        <v>4.0764484246983189E-3</v>
      </c>
      <c r="S608" s="5">
        <f t="shared" si="235"/>
        <v>0</v>
      </c>
      <c r="T608" s="5">
        <f t="shared" si="236"/>
        <v>3.6644587396438355E-3</v>
      </c>
      <c r="U608" s="5">
        <f t="shared" si="237"/>
        <v>2.125597712815649E-4</v>
      </c>
      <c r="V608" s="5">
        <f t="shared" si="238"/>
        <v>-7.3853439436787657E-4</v>
      </c>
      <c r="W608" s="5">
        <f t="shared" si="239"/>
        <v>1.7464657284245514E-3</v>
      </c>
      <c r="X608" s="5">
        <f t="shared" si="240"/>
        <v>1.1830867556370819E-2</v>
      </c>
      <c r="Y608" s="5">
        <f t="shared" si="241"/>
        <v>3.7136149465972844E-2</v>
      </c>
      <c r="Z608" s="33">
        <v>604</v>
      </c>
      <c r="AE608" s="20" t="str">
        <f t="shared" si="242"/>
        <v/>
      </c>
      <c r="AF608" s="22" t="str">
        <f t="shared" si="243"/>
        <v/>
      </c>
      <c r="AG608" s="9" t="str">
        <f t="shared" ca="1" si="222"/>
        <v/>
      </c>
      <c r="AH608" s="9" t="str">
        <f t="shared" ca="1" si="223"/>
        <v/>
      </c>
      <c r="AI608" s="9" t="str">
        <f t="shared" ca="1" si="224"/>
        <v/>
      </c>
      <c r="AJ608" s="9" t="str">
        <f t="shared" ca="1" si="225"/>
        <v/>
      </c>
      <c r="AK608" s="9" t="str">
        <f t="shared" ca="1" si="226"/>
        <v/>
      </c>
      <c r="AL608" s="9" t="str">
        <f t="shared" ca="1" si="227"/>
        <v/>
      </c>
      <c r="AM608" s="9" t="str">
        <f t="shared" ca="1" si="228"/>
        <v/>
      </c>
      <c r="AN608" s="9" t="str">
        <f t="shared" ca="1" si="229"/>
        <v/>
      </c>
      <c r="AO608" s="9" t="str">
        <f t="shared" ca="1" si="230"/>
        <v/>
      </c>
      <c r="AP608" s="9" t="str">
        <f t="shared" ca="1" si="231"/>
        <v/>
      </c>
      <c r="AQ608" s="9"/>
      <c r="AR608" s="9"/>
      <c r="AS608" s="9"/>
      <c r="AT608" s="9"/>
      <c r="AU608" s="9"/>
    </row>
    <row r="609" spans="1:47" x14ac:dyDescent="0.3">
      <c r="A609" s="1">
        <v>44343</v>
      </c>
      <c r="B609" s="6">
        <v>498.27999899999998</v>
      </c>
      <c r="C609" s="6">
        <v>254.61999499999999</v>
      </c>
      <c r="D609" s="6">
        <v>46.654998999999997</v>
      </c>
      <c r="E609" s="6">
        <v>146.509995</v>
      </c>
      <c r="F609" s="6">
        <v>124.58000199999999</v>
      </c>
      <c r="G609" s="6">
        <v>46.98</v>
      </c>
      <c r="H609" s="6">
        <v>150.25</v>
      </c>
      <c r="I609" s="6">
        <v>253.69000199999999</v>
      </c>
      <c r="J609" s="6">
        <v>33.330002</v>
      </c>
      <c r="K609" s="6">
        <v>32.520000000000003</v>
      </c>
      <c r="N609" s="19">
        <v>605</v>
      </c>
      <c r="O609" s="1">
        <v>44343</v>
      </c>
      <c r="P609" s="5">
        <f t="shared" si="232"/>
        <v>-1.7309410767465463E-2</v>
      </c>
      <c r="Q609" s="5">
        <f t="shared" si="233"/>
        <v>1.3361998608574263E-3</v>
      </c>
      <c r="R609" s="5">
        <f t="shared" si="234"/>
        <v>-1.0711868947237148E-3</v>
      </c>
      <c r="S609" s="5">
        <f t="shared" si="235"/>
        <v>-1.2143617987293473E-2</v>
      </c>
      <c r="T609" s="5">
        <f t="shared" si="236"/>
        <v>-9.4272487042636674E-3</v>
      </c>
      <c r="U609" s="5">
        <f t="shared" si="237"/>
        <v>-1.7014253179182706E-3</v>
      </c>
      <c r="V609" s="5">
        <f t="shared" si="238"/>
        <v>9.0928018642257667E-3</v>
      </c>
      <c r="W609" s="5">
        <f t="shared" si="239"/>
        <v>6.0889323508241883E-3</v>
      </c>
      <c r="X609" s="5">
        <f t="shared" si="240"/>
        <v>5.1136220585530634E-3</v>
      </c>
      <c r="Y609" s="5">
        <f t="shared" si="241"/>
        <v>2.1760261769969178E-2</v>
      </c>
      <c r="Z609" s="33">
        <v>605</v>
      </c>
      <c r="AE609" s="20" t="str">
        <f t="shared" si="242"/>
        <v/>
      </c>
      <c r="AF609" s="22" t="str">
        <f t="shared" si="243"/>
        <v/>
      </c>
      <c r="AG609" s="9" t="str">
        <f t="shared" ca="1" si="222"/>
        <v/>
      </c>
      <c r="AH609" s="9" t="str">
        <f t="shared" ca="1" si="223"/>
        <v/>
      </c>
      <c r="AI609" s="9" t="str">
        <f t="shared" ca="1" si="224"/>
        <v/>
      </c>
      <c r="AJ609" s="9" t="str">
        <f t="shared" ca="1" si="225"/>
        <v/>
      </c>
      <c r="AK609" s="9" t="str">
        <f t="shared" ca="1" si="226"/>
        <v/>
      </c>
      <c r="AL609" s="9" t="str">
        <f t="shared" ca="1" si="227"/>
        <v/>
      </c>
      <c r="AM609" s="9" t="str">
        <f t="shared" ca="1" si="228"/>
        <v/>
      </c>
      <c r="AN609" s="9" t="str">
        <f t="shared" ca="1" si="229"/>
        <v/>
      </c>
      <c r="AO609" s="9" t="str">
        <f t="shared" ca="1" si="230"/>
        <v/>
      </c>
      <c r="AP609" s="9" t="str">
        <f t="shared" ca="1" si="231"/>
        <v/>
      </c>
      <c r="AQ609" s="9"/>
      <c r="AR609" s="9"/>
      <c r="AS609" s="9"/>
      <c r="AT609" s="9"/>
      <c r="AU609" s="9"/>
    </row>
    <row r="610" spans="1:47" x14ac:dyDescent="0.3">
      <c r="A610" s="1">
        <v>44344</v>
      </c>
      <c r="B610" s="6">
        <v>504.57998700000002</v>
      </c>
      <c r="C610" s="6">
        <v>254.33999600000001</v>
      </c>
      <c r="D610" s="6">
        <v>47.134998000000003</v>
      </c>
      <c r="E610" s="6">
        <v>147.94000199999999</v>
      </c>
      <c r="F610" s="6">
        <v>125.379997</v>
      </c>
      <c r="G610" s="6">
        <v>47.630001</v>
      </c>
      <c r="H610" s="6">
        <v>150.5</v>
      </c>
      <c r="I610" s="6">
        <v>254.61999499999999</v>
      </c>
      <c r="J610" s="6">
        <v>33.689999</v>
      </c>
      <c r="K610" s="6">
        <v>32.110000999999997</v>
      </c>
      <c r="N610" s="18">
        <v>606</v>
      </c>
      <c r="O610" s="1">
        <v>44344</v>
      </c>
      <c r="P610" s="5">
        <f t="shared" si="232"/>
        <v>1.2564208291729433E-2</v>
      </c>
      <c r="Q610" s="5">
        <f t="shared" si="233"/>
        <v>-1.1002791307717695E-3</v>
      </c>
      <c r="R610" s="5">
        <f t="shared" si="234"/>
        <v>1.0235701164743439E-2</v>
      </c>
      <c r="S610" s="5">
        <f t="shared" si="235"/>
        <v>9.7131482928578816E-3</v>
      </c>
      <c r="T610" s="5">
        <f t="shared" si="236"/>
        <v>6.4010060386205546E-3</v>
      </c>
      <c r="U610" s="5">
        <f t="shared" si="237"/>
        <v>1.3740856577173262E-2</v>
      </c>
      <c r="V610" s="5">
        <f t="shared" si="238"/>
        <v>1.6625107736134572E-3</v>
      </c>
      <c r="W610" s="5">
        <f t="shared" si="239"/>
        <v>3.6591609181946265E-3</v>
      </c>
      <c r="X610" s="5">
        <f t="shared" si="240"/>
        <v>1.0743075410415697E-2</v>
      </c>
      <c r="Y610" s="5">
        <f t="shared" si="241"/>
        <v>-1.2687745435241841E-2</v>
      </c>
      <c r="Z610" s="33">
        <v>606</v>
      </c>
      <c r="AE610" s="20" t="str">
        <f t="shared" si="242"/>
        <v/>
      </c>
      <c r="AF610" s="22" t="str">
        <f t="shared" si="243"/>
        <v/>
      </c>
      <c r="AG610" s="9" t="str">
        <f t="shared" ca="1" si="222"/>
        <v/>
      </c>
      <c r="AH610" s="9" t="str">
        <f t="shared" ca="1" si="223"/>
        <v/>
      </c>
      <c r="AI610" s="9" t="str">
        <f t="shared" ca="1" si="224"/>
        <v/>
      </c>
      <c r="AJ610" s="9" t="str">
        <f t="shared" ca="1" si="225"/>
        <v/>
      </c>
      <c r="AK610" s="9" t="str">
        <f t="shared" ca="1" si="226"/>
        <v/>
      </c>
      <c r="AL610" s="9" t="str">
        <f t="shared" ca="1" si="227"/>
        <v/>
      </c>
      <c r="AM610" s="9" t="str">
        <f t="shared" ca="1" si="228"/>
        <v/>
      </c>
      <c r="AN610" s="9" t="str">
        <f t="shared" ca="1" si="229"/>
        <v/>
      </c>
      <c r="AO610" s="9" t="str">
        <f t="shared" ca="1" si="230"/>
        <v/>
      </c>
      <c r="AP610" s="9" t="str">
        <f t="shared" ca="1" si="231"/>
        <v/>
      </c>
      <c r="AQ610" s="9"/>
      <c r="AR610" s="9"/>
      <c r="AS610" s="9"/>
      <c r="AT610" s="9"/>
      <c r="AU610" s="9"/>
    </row>
    <row r="611" spans="1:47" x14ac:dyDescent="0.3">
      <c r="A611" s="1">
        <v>44348</v>
      </c>
      <c r="B611" s="6">
        <v>495.91000400000001</v>
      </c>
      <c r="C611" s="6">
        <v>253.820007</v>
      </c>
      <c r="D611" s="6">
        <v>46.794998</v>
      </c>
      <c r="E611" s="6">
        <v>147.63000500000001</v>
      </c>
      <c r="F611" s="6">
        <v>127.730003</v>
      </c>
      <c r="G611" s="6">
        <v>48.740001999999997</v>
      </c>
      <c r="H611" s="6">
        <v>151.13000500000001</v>
      </c>
      <c r="I611" s="6">
        <v>255.63999899999999</v>
      </c>
      <c r="J611" s="6">
        <v>33.990001999999997</v>
      </c>
      <c r="K611" s="6">
        <v>32</v>
      </c>
      <c r="N611" s="19">
        <v>607</v>
      </c>
      <c r="O611" s="1">
        <v>44348</v>
      </c>
      <c r="P611" s="5">
        <f t="shared" si="232"/>
        <v>-1.7331907589049129E-2</v>
      </c>
      <c r="Q611" s="5">
        <f t="shared" si="233"/>
        <v>-2.0465569050040684E-3</v>
      </c>
      <c r="R611" s="5">
        <f t="shared" si="234"/>
        <v>-7.2394655471885068E-3</v>
      </c>
      <c r="S611" s="5">
        <f t="shared" si="235"/>
        <v>-2.0976222642646392E-3</v>
      </c>
      <c r="T611" s="5">
        <f t="shared" si="236"/>
        <v>1.856958262316704E-2</v>
      </c>
      <c r="U611" s="5">
        <f t="shared" si="237"/>
        <v>2.3037253423177723E-2</v>
      </c>
      <c r="V611" s="5">
        <f t="shared" si="238"/>
        <v>4.1773424771980863E-3</v>
      </c>
      <c r="W611" s="5">
        <f t="shared" si="239"/>
        <v>3.9979828739373077E-3</v>
      </c>
      <c r="X611" s="5">
        <f t="shared" si="240"/>
        <v>8.8653948127956385E-3</v>
      </c>
      <c r="Y611" s="5">
        <f t="shared" si="241"/>
        <v>-3.4316364446415767E-3</v>
      </c>
      <c r="Z611" s="33">
        <v>607</v>
      </c>
      <c r="AE611" s="20" t="str">
        <f t="shared" si="242"/>
        <v/>
      </c>
      <c r="AF611" s="22" t="str">
        <f t="shared" si="243"/>
        <v/>
      </c>
      <c r="AG611" s="9" t="str">
        <f t="shared" ca="1" si="222"/>
        <v/>
      </c>
      <c r="AH611" s="9" t="str">
        <f t="shared" ca="1" si="223"/>
        <v/>
      </c>
      <c r="AI611" s="9" t="str">
        <f t="shared" ca="1" si="224"/>
        <v/>
      </c>
      <c r="AJ611" s="9" t="str">
        <f t="shared" ca="1" si="225"/>
        <v/>
      </c>
      <c r="AK611" s="9" t="str">
        <f t="shared" ca="1" si="226"/>
        <v/>
      </c>
      <c r="AL611" s="9" t="str">
        <f t="shared" ca="1" si="227"/>
        <v/>
      </c>
      <c r="AM611" s="9" t="str">
        <f t="shared" ca="1" si="228"/>
        <v/>
      </c>
      <c r="AN611" s="9" t="str">
        <f t="shared" ca="1" si="229"/>
        <v/>
      </c>
      <c r="AO611" s="9" t="str">
        <f t="shared" ca="1" si="230"/>
        <v/>
      </c>
      <c r="AP611" s="9" t="str">
        <f t="shared" ca="1" si="231"/>
        <v/>
      </c>
      <c r="AQ611" s="9"/>
      <c r="AR611" s="9"/>
      <c r="AS611" s="9"/>
      <c r="AT611" s="9"/>
      <c r="AU611" s="9"/>
    </row>
    <row r="612" spans="1:47" x14ac:dyDescent="0.3">
      <c r="A612" s="1">
        <v>44349</v>
      </c>
      <c r="B612" s="6">
        <v>495.76998900000001</v>
      </c>
      <c r="C612" s="6">
        <v>253.050003</v>
      </c>
      <c r="D612" s="6">
        <v>47.415000999999997</v>
      </c>
      <c r="E612" s="6">
        <v>148.220001</v>
      </c>
      <c r="F612" s="6">
        <v>129.89999399999999</v>
      </c>
      <c r="G612" s="6">
        <v>49.450001</v>
      </c>
      <c r="H612" s="6">
        <v>151.240005</v>
      </c>
      <c r="I612" s="6">
        <v>254.28999300000001</v>
      </c>
      <c r="J612" s="6">
        <v>33.93</v>
      </c>
      <c r="K612" s="6">
        <v>32.150002000000001</v>
      </c>
      <c r="N612" s="18">
        <v>608</v>
      </c>
      <c r="O612" s="1">
        <v>44349</v>
      </c>
      <c r="P612" s="5">
        <f t="shared" si="232"/>
        <v>-2.8237940044910582E-4</v>
      </c>
      <c r="Q612" s="5">
        <f t="shared" si="233"/>
        <v>-3.0382724451654109E-3</v>
      </c>
      <c r="R612" s="5">
        <f t="shared" si="234"/>
        <v>1.3162338556452841E-2</v>
      </c>
      <c r="S612" s="5">
        <f t="shared" si="235"/>
        <v>3.9884858554895871E-3</v>
      </c>
      <c r="T612" s="5">
        <f t="shared" si="236"/>
        <v>1.684619294544823E-2</v>
      </c>
      <c r="U612" s="5">
        <f t="shared" si="237"/>
        <v>1.4461989060050386E-2</v>
      </c>
      <c r="V612" s="5">
        <f t="shared" si="238"/>
        <v>7.275854166400148E-4</v>
      </c>
      <c r="W612" s="5">
        <f t="shared" si="239"/>
        <v>-5.2948803765804709E-3</v>
      </c>
      <c r="X612" s="5">
        <f t="shared" si="240"/>
        <v>-1.7668437527196183E-3</v>
      </c>
      <c r="Y612" s="5">
        <f t="shared" si="241"/>
        <v>4.6766100922980653E-3</v>
      </c>
      <c r="Z612" s="33">
        <v>608</v>
      </c>
      <c r="AE612" s="20" t="str">
        <f t="shared" si="242"/>
        <v/>
      </c>
      <c r="AF612" s="22" t="str">
        <f t="shared" si="243"/>
        <v/>
      </c>
      <c r="AG612" s="9" t="str">
        <f t="shared" ca="1" si="222"/>
        <v/>
      </c>
      <c r="AH612" s="9" t="str">
        <f t="shared" ca="1" si="223"/>
        <v/>
      </c>
      <c r="AI612" s="9" t="str">
        <f t="shared" ca="1" si="224"/>
        <v/>
      </c>
      <c r="AJ612" s="9" t="str">
        <f t="shared" ca="1" si="225"/>
        <v/>
      </c>
      <c r="AK612" s="9" t="str">
        <f t="shared" ca="1" si="226"/>
        <v/>
      </c>
      <c r="AL612" s="9" t="str">
        <f t="shared" ca="1" si="227"/>
        <v/>
      </c>
      <c r="AM612" s="9" t="str">
        <f t="shared" ca="1" si="228"/>
        <v/>
      </c>
      <c r="AN612" s="9" t="str">
        <f t="shared" ca="1" si="229"/>
        <v/>
      </c>
      <c r="AO612" s="9" t="str">
        <f t="shared" ca="1" si="230"/>
        <v/>
      </c>
      <c r="AP612" s="9" t="str">
        <f t="shared" ca="1" si="231"/>
        <v/>
      </c>
      <c r="AQ612" s="9"/>
      <c r="AR612" s="9"/>
      <c r="AS612" s="9"/>
      <c r="AT612" s="9"/>
      <c r="AU612" s="9"/>
    </row>
    <row r="613" spans="1:47" x14ac:dyDescent="0.3">
      <c r="A613" s="1">
        <v>44350</v>
      </c>
      <c r="B613" s="6">
        <v>493.14001500000001</v>
      </c>
      <c r="C613" s="6">
        <v>250.58999600000001</v>
      </c>
      <c r="D613" s="6">
        <v>47.525002000000001</v>
      </c>
      <c r="E613" s="6">
        <v>147.66999799999999</v>
      </c>
      <c r="F613" s="6">
        <v>129.14999399999999</v>
      </c>
      <c r="G613" s="6">
        <v>49.049999</v>
      </c>
      <c r="H613" s="6">
        <v>152.03999300000001</v>
      </c>
      <c r="I613" s="6">
        <v>253.570007</v>
      </c>
      <c r="J613" s="6">
        <v>34.009998000000003</v>
      </c>
      <c r="K613" s="6">
        <v>31.629999000000002</v>
      </c>
      <c r="N613" s="19">
        <v>609</v>
      </c>
      <c r="O613" s="1">
        <v>44350</v>
      </c>
      <c r="P613" s="5">
        <f t="shared" si="232"/>
        <v>-5.3189475074303183E-3</v>
      </c>
      <c r="Q613" s="5">
        <f t="shared" si="233"/>
        <v>-9.7689880418558878E-3</v>
      </c>
      <c r="R613" s="5">
        <f t="shared" si="234"/>
        <v>2.3172750315433826E-3</v>
      </c>
      <c r="S613" s="5">
        <f t="shared" si="235"/>
        <v>-3.7176223279705278E-3</v>
      </c>
      <c r="T613" s="5">
        <f t="shared" si="236"/>
        <v>-5.7904044029353507E-3</v>
      </c>
      <c r="U613" s="5">
        <f t="shared" si="237"/>
        <v>-8.1219126671558152E-3</v>
      </c>
      <c r="V613" s="5">
        <f t="shared" si="238"/>
        <v>5.2755859977626782E-3</v>
      </c>
      <c r="W613" s="5">
        <f t="shared" si="239"/>
        <v>-2.8353738524446123E-3</v>
      </c>
      <c r="X613" s="5">
        <f t="shared" si="240"/>
        <v>2.3549614167303144E-3</v>
      </c>
      <c r="Y613" s="5">
        <f t="shared" si="241"/>
        <v>-1.6306507190022471E-2</v>
      </c>
      <c r="Z613" s="33">
        <v>609</v>
      </c>
      <c r="AE613" s="20" t="str">
        <f t="shared" si="242"/>
        <v/>
      </c>
      <c r="AF613" s="22" t="str">
        <f t="shared" si="243"/>
        <v/>
      </c>
      <c r="AG613" s="9" t="str">
        <f t="shared" ca="1" si="222"/>
        <v/>
      </c>
      <c r="AH613" s="9" t="str">
        <f t="shared" ca="1" si="223"/>
        <v/>
      </c>
      <c r="AI613" s="9" t="str">
        <f t="shared" ca="1" si="224"/>
        <v/>
      </c>
      <c r="AJ613" s="9" t="str">
        <f t="shared" ca="1" si="225"/>
        <v/>
      </c>
      <c r="AK613" s="9" t="str">
        <f t="shared" ca="1" si="226"/>
        <v/>
      </c>
      <c r="AL613" s="9" t="str">
        <f t="shared" ca="1" si="227"/>
        <v/>
      </c>
      <c r="AM613" s="9" t="str">
        <f t="shared" ca="1" si="228"/>
        <v/>
      </c>
      <c r="AN613" s="9" t="str">
        <f t="shared" ca="1" si="229"/>
        <v/>
      </c>
      <c r="AO613" s="9" t="str">
        <f t="shared" ca="1" si="230"/>
        <v/>
      </c>
      <c r="AP613" s="9" t="str">
        <f t="shared" ca="1" si="231"/>
        <v/>
      </c>
      <c r="AQ613" s="9"/>
      <c r="AR613" s="9"/>
      <c r="AS613" s="9"/>
      <c r="AT613" s="9"/>
      <c r="AU613" s="9"/>
    </row>
    <row r="614" spans="1:47" x14ac:dyDescent="0.3">
      <c r="A614" s="1">
        <v>44351</v>
      </c>
      <c r="B614" s="6">
        <v>504.5</v>
      </c>
      <c r="C614" s="6">
        <v>255.88000500000001</v>
      </c>
      <c r="D614" s="6">
        <v>47.685001</v>
      </c>
      <c r="E614" s="6">
        <v>147.83999600000001</v>
      </c>
      <c r="F614" s="6">
        <v>129.179993</v>
      </c>
      <c r="G614" s="6">
        <v>49.029998999999997</v>
      </c>
      <c r="H614" s="6">
        <v>153.14999399999999</v>
      </c>
      <c r="I614" s="6">
        <v>254.33999600000001</v>
      </c>
      <c r="J614" s="6">
        <v>33.740001999999997</v>
      </c>
      <c r="K614" s="6">
        <v>31.549999</v>
      </c>
      <c r="N614" s="18">
        <v>610</v>
      </c>
      <c r="O614" s="1">
        <v>44351</v>
      </c>
      <c r="P614" s="5">
        <f t="shared" si="232"/>
        <v>2.2774699987874764E-2</v>
      </c>
      <c r="Q614" s="5">
        <f t="shared" si="233"/>
        <v>2.0890482648750604E-2</v>
      </c>
      <c r="R614" s="5">
        <f t="shared" si="234"/>
        <v>3.3609735442245883E-3</v>
      </c>
      <c r="S614" s="5">
        <f t="shared" si="235"/>
        <v>1.1505398951265184E-3</v>
      </c>
      <c r="T614" s="5">
        <f t="shared" si="236"/>
        <v>2.3225333212947477E-4</v>
      </c>
      <c r="U614" s="5">
        <f t="shared" si="237"/>
        <v>-4.0783035654656498E-4</v>
      </c>
      <c r="V614" s="5">
        <f t="shared" si="238"/>
        <v>7.2741960209748626E-3</v>
      </c>
      <c r="W614" s="5">
        <f t="shared" si="239"/>
        <v>3.0319922243160157E-3</v>
      </c>
      <c r="X614" s="5">
        <f t="shared" si="240"/>
        <v>-7.9704038182258803E-3</v>
      </c>
      <c r="Y614" s="5">
        <f t="shared" si="241"/>
        <v>-2.5324484105016293E-3</v>
      </c>
      <c r="Z614" s="33">
        <v>610</v>
      </c>
      <c r="AE614" s="20" t="str">
        <f t="shared" si="242"/>
        <v/>
      </c>
      <c r="AF614" s="22" t="str">
        <f t="shared" si="243"/>
        <v/>
      </c>
      <c r="AG614" s="9" t="str">
        <f t="shared" ca="1" si="222"/>
        <v/>
      </c>
      <c r="AH614" s="9" t="str">
        <f t="shared" ca="1" si="223"/>
        <v/>
      </c>
      <c r="AI614" s="9" t="str">
        <f t="shared" ca="1" si="224"/>
        <v/>
      </c>
      <c r="AJ614" s="9" t="str">
        <f t="shared" ca="1" si="225"/>
        <v/>
      </c>
      <c r="AK614" s="9" t="str">
        <f t="shared" ca="1" si="226"/>
        <v/>
      </c>
      <c r="AL614" s="9" t="str">
        <f t="shared" ca="1" si="227"/>
        <v/>
      </c>
      <c r="AM614" s="9" t="str">
        <f t="shared" ca="1" si="228"/>
        <v/>
      </c>
      <c r="AN614" s="9" t="str">
        <f t="shared" ca="1" si="229"/>
        <v/>
      </c>
      <c r="AO614" s="9" t="str">
        <f t="shared" ca="1" si="230"/>
        <v/>
      </c>
      <c r="AP614" s="9" t="str">
        <f t="shared" ca="1" si="231"/>
        <v/>
      </c>
      <c r="AQ614" s="9"/>
      <c r="AR614" s="9"/>
      <c r="AS614" s="9"/>
      <c r="AT614" s="9"/>
      <c r="AU614" s="9"/>
    </row>
    <row r="615" spans="1:47" x14ac:dyDescent="0.3">
      <c r="A615" s="1">
        <v>44354</v>
      </c>
      <c r="B615" s="6">
        <v>509.47000100000002</v>
      </c>
      <c r="C615" s="6">
        <v>252.58999600000001</v>
      </c>
      <c r="D615" s="6">
        <v>47.150002000000001</v>
      </c>
      <c r="E615" s="6">
        <v>147.75</v>
      </c>
      <c r="F615" s="6">
        <v>129.96000699999999</v>
      </c>
      <c r="G615" s="6">
        <v>49.380001</v>
      </c>
      <c r="H615" s="6">
        <v>151.63000500000001</v>
      </c>
      <c r="I615" s="6">
        <v>251.08999600000001</v>
      </c>
      <c r="J615" s="6">
        <v>33.439999</v>
      </c>
      <c r="K615" s="6">
        <v>31.24</v>
      </c>
      <c r="N615" s="19">
        <v>611</v>
      </c>
      <c r="O615" s="1">
        <v>44354</v>
      </c>
      <c r="P615" s="5">
        <f t="shared" si="232"/>
        <v>9.8031318422374357E-3</v>
      </c>
      <c r="Q615" s="5">
        <f t="shared" si="233"/>
        <v>-1.2940999107400588E-2</v>
      </c>
      <c r="R615" s="5">
        <f t="shared" si="234"/>
        <v>-1.128285250454958E-2</v>
      </c>
      <c r="S615" s="5">
        <f t="shared" si="235"/>
        <v>-6.0892455088917363E-4</v>
      </c>
      <c r="T615" s="5">
        <f t="shared" si="236"/>
        <v>6.0200382472546917E-3</v>
      </c>
      <c r="U615" s="5">
        <f t="shared" si="237"/>
        <v>7.1131689006815706E-3</v>
      </c>
      <c r="V615" s="5">
        <f t="shared" si="238"/>
        <v>-9.974418313653902E-3</v>
      </c>
      <c r="W615" s="5">
        <f t="shared" si="239"/>
        <v>-1.2860514196659454E-2</v>
      </c>
      <c r="X615" s="5">
        <f t="shared" si="240"/>
        <v>-8.9313780824489247E-3</v>
      </c>
      <c r="Y615" s="5">
        <f t="shared" si="241"/>
        <v>-9.8742323200153859E-3</v>
      </c>
      <c r="Z615" s="33">
        <v>611</v>
      </c>
      <c r="AE615" s="20" t="str">
        <f t="shared" si="242"/>
        <v/>
      </c>
      <c r="AF615" s="22" t="str">
        <f t="shared" si="243"/>
        <v/>
      </c>
      <c r="AG615" s="9" t="str">
        <f t="shared" ca="1" si="222"/>
        <v/>
      </c>
      <c r="AH615" s="9" t="str">
        <f t="shared" ca="1" si="223"/>
        <v/>
      </c>
      <c r="AI615" s="9" t="str">
        <f t="shared" ca="1" si="224"/>
        <v/>
      </c>
      <c r="AJ615" s="9" t="str">
        <f t="shared" ca="1" si="225"/>
        <v/>
      </c>
      <c r="AK615" s="9" t="str">
        <f t="shared" ca="1" si="226"/>
        <v/>
      </c>
      <c r="AL615" s="9" t="str">
        <f t="shared" ca="1" si="227"/>
        <v/>
      </c>
      <c r="AM615" s="9" t="str">
        <f t="shared" ca="1" si="228"/>
        <v/>
      </c>
      <c r="AN615" s="9" t="str">
        <f t="shared" ca="1" si="229"/>
        <v/>
      </c>
      <c r="AO615" s="9" t="str">
        <f t="shared" ca="1" si="230"/>
        <v/>
      </c>
      <c r="AP615" s="9" t="str">
        <f t="shared" ca="1" si="231"/>
        <v/>
      </c>
      <c r="AQ615" s="9"/>
      <c r="AR615" s="9"/>
      <c r="AS615" s="9"/>
      <c r="AT615" s="9"/>
      <c r="AU615" s="9"/>
    </row>
    <row r="616" spans="1:47" x14ac:dyDescent="0.3">
      <c r="A616" s="1">
        <v>44355</v>
      </c>
      <c r="B616" s="6">
        <v>509.20001200000002</v>
      </c>
      <c r="C616" s="6">
        <v>254.990005</v>
      </c>
      <c r="D616" s="6">
        <v>47.080002</v>
      </c>
      <c r="E616" s="6">
        <v>146.36999499999999</v>
      </c>
      <c r="F616" s="6">
        <v>132.029999</v>
      </c>
      <c r="G616" s="6">
        <v>49.580002</v>
      </c>
      <c r="H616" s="6">
        <v>152.020004</v>
      </c>
      <c r="I616" s="6">
        <v>247.949997</v>
      </c>
      <c r="J616" s="6">
        <v>33.57</v>
      </c>
      <c r="K616" s="6">
        <v>30.040001</v>
      </c>
      <c r="N616" s="18">
        <v>612</v>
      </c>
      <c r="O616" s="1">
        <v>44355</v>
      </c>
      <c r="P616" s="5">
        <f t="shared" si="232"/>
        <v>-5.3008138627116735E-4</v>
      </c>
      <c r="Q616" s="5">
        <f t="shared" si="233"/>
        <v>9.4567432968627133E-3</v>
      </c>
      <c r="R616" s="5">
        <f t="shared" si="234"/>
        <v>-1.4857266243224019E-3</v>
      </c>
      <c r="S616" s="5">
        <f t="shared" si="235"/>
        <v>-9.3840279503582345E-3</v>
      </c>
      <c r="T616" s="5">
        <f t="shared" si="236"/>
        <v>1.5802397253448411E-2</v>
      </c>
      <c r="U616" s="5">
        <f t="shared" si="237"/>
        <v>4.0420627777429021E-3</v>
      </c>
      <c r="V616" s="5">
        <f t="shared" si="238"/>
        <v>2.5687416623689512E-3</v>
      </c>
      <c r="W616" s="5">
        <f t="shared" si="239"/>
        <v>-1.2584323833032341E-2</v>
      </c>
      <c r="X616" s="5">
        <f t="shared" si="240"/>
        <v>3.8800526797493776E-3</v>
      </c>
      <c r="Y616" s="5">
        <f t="shared" si="241"/>
        <v>-3.9169464786603603E-2</v>
      </c>
      <c r="Z616" s="33">
        <v>612</v>
      </c>
      <c r="AE616" s="20" t="str">
        <f t="shared" si="242"/>
        <v/>
      </c>
      <c r="AF616" s="22" t="str">
        <f t="shared" si="243"/>
        <v/>
      </c>
      <c r="AG616" s="9" t="str">
        <f t="shared" ca="1" si="222"/>
        <v/>
      </c>
      <c r="AH616" s="9" t="str">
        <f t="shared" ca="1" si="223"/>
        <v/>
      </c>
      <c r="AI616" s="9" t="str">
        <f t="shared" ca="1" si="224"/>
        <v/>
      </c>
      <c r="AJ616" s="9" t="str">
        <f t="shared" ca="1" si="225"/>
        <v/>
      </c>
      <c r="AK616" s="9" t="str">
        <f t="shared" ca="1" si="226"/>
        <v/>
      </c>
      <c r="AL616" s="9" t="str">
        <f t="shared" ca="1" si="227"/>
        <v/>
      </c>
      <c r="AM616" s="9" t="str">
        <f t="shared" ca="1" si="228"/>
        <v/>
      </c>
      <c r="AN616" s="9" t="str">
        <f t="shared" ca="1" si="229"/>
        <v/>
      </c>
      <c r="AO616" s="9" t="str">
        <f t="shared" ca="1" si="230"/>
        <v/>
      </c>
      <c r="AP616" s="9" t="str">
        <f t="shared" ca="1" si="231"/>
        <v/>
      </c>
      <c r="AQ616" s="9"/>
      <c r="AR616" s="9"/>
      <c r="AS616" s="9"/>
      <c r="AT616" s="9"/>
      <c r="AU616" s="9"/>
    </row>
    <row r="617" spans="1:47" x14ac:dyDescent="0.3">
      <c r="A617" s="1">
        <v>44356</v>
      </c>
      <c r="B617" s="6">
        <v>514.67999299999997</v>
      </c>
      <c r="C617" s="6">
        <v>256.05999800000001</v>
      </c>
      <c r="D617" s="6">
        <v>46.619999</v>
      </c>
      <c r="E617" s="6">
        <v>146.10000600000001</v>
      </c>
      <c r="F617" s="6">
        <v>132.83000200000001</v>
      </c>
      <c r="G617" s="6">
        <v>49.669998</v>
      </c>
      <c r="H617" s="6">
        <v>150.66000399999999</v>
      </c>
      <c r="I617" s="6">
        <v>244.41999799999999</v>
      </c>
      <c r="J617" s="6">
        <v>33.520000000000003</v>
      </c>
      <c r="K617" s="6">
        <v>30.559999000000001</v>
      </c>
      <c r="N617" s="19">
        <v>613</v>
      </c>
      <c r="O617" s="1">
        <v>44356</v>
      </c>
      <c r="P617" s="5">
        <f t="shared" si="232"/>
        <v>1.0704444466475586E-2</v>
      </c>
      <c r="Q617" s="5">
        <f t="shared" si="233"/>
        <v>4.1874358955552035E-3</v>
      </c>
      <c r="R617" s="5">
        <f t="shared" si="234"/>
        <v>-9.818712715369337E-3</v>
      </c>
      <c r="S617" s="5">
        <f t="shared" si="235"/>
        <v>-1.8462685114345458E-3</v>
      </c>
      <c r="T617" s="5">
        <f t="shared" si="236"/>
        <v>6.0409682841778478E-3</v>
      </c>
      <c r="U617" s="5">
        <f t="shared" si="237"/>
        <v>1.8135219076144604E-3</v>
      </c>
      <c r="V617" s="5">
        <f t="shared" si="238"/>
        <v>-8.9864485028258341E-3</v>
      </c>
      <c r="W617" s="5">
        <f t="shared" si="239"/>
        <v>-1.4339052008711278E-2</v>
      </c>
      <c r="X617" s="5">
        <f t="shared" si="240"/>
        <v>-1.4905353780611794E-3</v>
      </c>
      <c r="Y617" s="5">
        <f t="shared" si="241"/>
        <v>1.7162071390924679E-2</v>
      </c>
      <c r="Z617" s="33">
        <v>613</v>
      </c>
      <c r="AE617" s="20" t="str">
        <f t="shared" si="242"/>
        <v/>
      </c>
      <c r="AF617" s="22" t="str">
        <f t="shared" si="243"/>
        <v/>
      </c>
      <c r="AG617" s="9" t="str">
        <f t="shared" ca="1" si="222"/>
        <v/>
      </c>
      <c r="AH617" s="9" t="str">
        <f t="shared" ca="1" si="223"/>
        <v/>
      </c>
      <c r="AI617" s="9" t="str">
        <f t="shared" ca="1" si="224"/>
        <v/>
      </c>
      <c r="AJ617" s="9" t="str">
        <f t="shared" ca="1" si="225"/>
        <v/>
      </c>
      <c r="AK617" s="9" t="str">
        <f t="shared" ca="1" si="226"/>
        <v/>
      </c>
      <c r="AL617" s="9" t="str">
        <f t="shared" ca="1" si="227"/>
        <v/>
      </c>
      <c r="AM617" s="9" t="str">
        <f t="shared" ca="1" si="228"/>
        <v/>
      </c>
      <c r="AN617" s="9" t="str">
        <f t="shared" ca="1" si="229"/>
        <v/>
      </c>
      <c r="AO617" s="9" t="str">
        <f t="shared" ca="1" si="230"/>
        <v/>
      </c>
      <c r="AP617" s="9" t="str">
        <f t="shared" ca="1" si="231"/>
        <v/>
      </c>
      <c r="AQ617" s="9"/>
      <c r="AR617" s="9"/>
      <c r="AS617" s="9"/>
      <c r="AT617" s="9"/>
      <c r="AU617" s="9"/>
    </row>
    <row r="618" spans="1:47" x14ac:dyDescent="0.3">
      <c r="A618" s="1">
        <v>44357</v>
      </c>
      <c r="B618" s="6">
        <v>535.52002000000005</v>
      </c>
      <c r="C618" s="6">
        <v>262.07000699999998</v>
      </c>
      <c r="D618" s="6">
        <v>46.884998000000003</v>
      </c>
      <c r="E618" s="6">
        <v>147.60000600000001</v>
      </c>
      <c r="F618" s="6">
        <v>135.03999300000001</v>
      </c>
      <c r="G618" s="6">
        <v>50.189999</v>
      </c>
      <c r="H618" s="6">
        <v>150.28999300000001</v>
      </c>
      <c r="I618" s="6">
        <v>240.58000200000001</v>
      </c>
      <c r="J618" s="6">
        <v>33.560001</v>
      </c>
      <c r="K618" s="6">
        <v>30.139999</v>
      </c>
      <c r="N618" s="18">
        <v>614</v>
      </c>
      <c r="O618" s="1">
        <v>44357</v>
      </c>
      <c r="P618" s="5">
        <f t="shared" si="232"/>
        <v>3.9692940093788286E-2</v>
      </c>
      <c r="Q618" s="5">
        <f t="shared" si="233"/>
        <v>2.3199886151635474E-2</v>
      </c>
      <c r="R618" s="5">
        <f t="shared" si="234"/>
        <v>5.6681400564317867E-3</v>
      </c>
      <c r="S618" s="5">
        <f t="shared" si="235"/>
        <v>1.0214592992363103E-2</v>
      </c>
      <c r="T618" s="5">
        <f t="shared" si="236"/>
        <v>1.6500848809901453E-2</v>
      </c>
      <c r="U618" s="5">
        <f t="shared" si="237"/>
        <v>1.0414694889050061E-2</v>
      </c>
      <c r="V618" s="5">
        <f t="shared" si="238"/>
        <v>-2.4589545780121544E-3</v>
      </c>
      <c r="W618" s="5">
        <f t="shared" si="239"/>
        <v>-1.5835365948048408E-2</v>
      </c>
      <c r="X618" s="5">
        <f t="shared" si="240"/>
        <v>1.1926357825003875E-3</v>
      </c>
      <c r="Y618" s="5">
        <f t="shared" si="241"/>
        <v>-1.3838771555957674E-2</v>
      </c>
      <c r="Z618" s="33">
        <v>614</v>
      </c>
      <c r="AE618" s="20" t="str">
        <f t="shared" si="242"/>
        <v/>
      </c>
      <c r="AF618" s="22" t="str">
        <f t="shared" si="243"/>
        <v/>
      </c>
      <c r="AG618" s="9" t="str">
        <f t="shared" ca="1" si="222"/>
        <v/>
      </c>
      <c r="AH618" s="9" t="str">
        <f t="shared" ca="1" si="223"/>
        <v/>
      </c>
      <c r="AI618" s="9" t="str">
        <f t="shared" ca="1" si="224"/>
        <v/>
      </c>
      <c r="AJ618" s="9" t="str">
        <f t="shared" ca="1" si="225"/>
        <v/>
      </c>
      <c r="AK618" s="9" t="str">
        <f t="shared" ca="1" si="226"/>
        <v/>
      </c>
      <c r="AL618" s="9" t="str">
        <f t="shared" ca="1" si="227"/>
        <v/>
      </c>
      <c r="AM618" s="9" t="str">
        <f t="shared" ca="1" si="228"/>
        <v/>
      </c>
      <c r="AN618" s="9" t="str">
        <f t="shared" ca="1" si="229"/>
        <v/>
      </c>
      <c r="AO618" s="9" t="str">
        <f t="shared" ca="1" si="230"/>
        <v/>
      </c>
      <c r="AP618" s="9" t="str">
        <f t="shared" ca="1" si="231"/>
        <v/>
      </c>
      <c r="AQ618" s="9"/>
      <c r="AR618" s="9"/>
      <c r="AS618" s="9"/>
      <c r="AT618" s="9"/>
      <c r="AU618" s="9"/>
    </row>
    <row r="619" spans="1:47" x14ac:dyDescent="0.3">
      <c r="A619" s="1">
        <v>44358</v>
      </c>
      <c r="B619" s="6">
        <v>541.26000999999997</v>
      </c>
      <c r="C619" s="6">
        <v>263.07000699999998</v>
      </c>
      <c r="D619" s="6">
        <v>46.75</v>
      </c>
      <c r="E619" s="6">
        <v>147.69000199999999</v>
      </c>
      <c r="F619" s="6">
        <v>135.259995</v>
      </c>
      <c r="G619" s="6">
        <v>50.290000999999997</v>
      </c>
      <c r="H619" s="6">
        <v>151.759995</v>
      </c>
      <c r="I619" s="6">
        <v>238.88000500000001</v>
      </c>
      <c r="J619" s="6">
        <v>34.159999999999997</v>
      </c>
      <c r="K619" s="6">
        <v>30.790001</v>
      </c>
      <c r="N619" s="19">
        <v>615</v>
      </c>
      <c r="O619" s="1">
        <v>44358</v>
      </c>
      <c r="P619" s="5">
        <f t="shared" si="232"/>
        <v>1.0661498562117658E-2</v>
      </c>
      <c r="Q619" s="5">
        <f t="shared" si="233"/>
        <v>3.808512709261708E-3</v>
      </c>
      <c r="R619" s="5">
        <f t="shared" si="234"/>
        <v>-2.883496479325212E-3</v>
      </c>
      <c r="S619" s="5">
        <f t="shared" si="235"/>
        <v>6.0954316331925682E-4</v>
      </c>
      <c r="T619" s="5">
        <f t="shared" si="236"/>
        <v>1.6278361697968768E-3</v>
      </c>
      <c r="U619" s="5">
        <f t="shared" si="237"/>
        <v>1.9904863259875452E-3</v>
      </c>
      <c r="V619" s="5">
        <f t="shared" si="238"/>
        <v>9.7335783106168167E-3</v>
      </c>
      <c r="W619" s="5">
        <f t="shared" si="239"/>
        <v>-7.0913281572780986E-3</v>
      </c>
      <c r="X619" s="5">
        <f t="shared" si="240"/>
        <v>1.7720457523986245E-2</v>
      </c>
      <c r="Y619" s="5">
        <f t="shared" si="241"/>
        <v>2.1336834394637249E-2</v>
      </c>
      <c r="Z619" s="33">
        <v>615</v>
      </c>
      <c r="AE619" s="20" t="str">
        <f t="shared" si="242"/>
        <v/>
      </c>
      <c r="AF619" s="22" t="str">
        <f t="shared" si="243"/>
        <v/>
      </c>
      <c r="AG619" s="9" t="str">
        <f t="shared" ca="1" si="222"/>
        <v/>
      </c>
      <c r="AH619" s="9" t="str">
        <f t="shared" ca="1" si="223"/>
        <v/>
      </c>
      <c r="AI619" s="9" t="str">
        <f t="shared" ca="1" si="224"/>
        <v/>
      </c>
      <c r="AJ619" s="9" t="str">
        <f t="shared" ca="1" si="225"/>
        <v/>
      </c>
      <c r="AK619" s="9" t="str">
        <f t="shared" ca="1" si="226"/>
        <v/>
      </c>
      <c r="AL619" s="9" t="str">
        <f t="shared" ca="1" si="227"/>
        <v/>
      </c>
      <c r="AM619" s="9" t="str">
        <f t="shared" ca="1" si="228"/>
        <v/>
      </c>
      <c r="AN619" s="9" t="str">
        <f t="shared" ca="1" si="229"/>
        <v/>
      </c>
      <c r="AO619" s="9" t="str">
        <f t="shared" ca="1" si="230"/>
        <v/>
      </c>
      <c r="AP619" s="9" t="str">
        <f t="shared" ca="1" si="231"/>
        <v/>
      </c>
      <c r="AQ619" s="9"/>
      <c r="AR619" s="9"/>
      <c r="AS619" s="9"/>
      <c r="AT619" s="9"/>
      <c r="AU619" s="9"/>
    </row>
    <row r="620" spans="1:47" x14ac:dyDescent="0.3">
      <c r="A620" s="1">
        <v>44361</v>
      </c>
      <c r="B620" s="6">
        <v>556.95001200000002</v>
      </c>
      <c r="C620" s="6">
        <v>266.48998999999998</v>
      </c>
      <c r="D620" s="6">
        <v>46.700001</v>
      </c>
      <c r="E620" s="6">
        <v>148.570007</v>
      </c>
      <c r="F620" s="6">
        <v>135.19000199999999</v>
      </c>
      <c r="G620" s="6">
        <v>50.119999</v>
      </c>
      <c r="H620" s="6">
        <v>150.33999600000001</v>
      </c>
      <c r="I620" s="6">
        <v>235.25</v>
      </c>
      <c r="J620" s="6">
        <v>33.630001</v>
      </c>
      <c r="K620" s="6">
        <v>30.82</v>
      </c>
      <c r="N620" s="18">
        <v>616</v>
      </c>
      <c r="O620" s="1">
        <v>44361</v>
      </c>
      <c r="P620" s="5">
        <f t="shared" si="232"/>
        <v>2.8575717465106981E-2</v>
      </c>
      <c r="Q620" s="5">
        <f t="shared" si="233"/>
        <v>1.2916498856597416E-2</v>
      </c>
      <c r="R620" s="5">
        <f t="shared" si="234"/>
        <v>-1.0700696465683734E-3</v>
      </c>
      <c r="S620" s="5">
        <f t="shared" si="235"/>
        <v>5.9407787850011195E-3</v>
      </c>
      <c r="T620" s="5">
        <f t="shared" si="236"/>
        <v>-5.1760401064216636E-4</v>
      </c>
      <c r="U620" s="5">
        <f t="shared" si="237"/>
        <v>-3.3861599927896674E-3</v>
      </c>
      <c r="V620" s="5">
        <f t="shared" si="238"/>
        <v>-9.4009235370365579E-3</v>
      </c>
      <c r="W620" s="5">
        <f t="shared" si="239"/>
        <v>-1.5312576256402479E-2</v>
      </c>
      <c r="X620" s="5">
        <f t="shared" si="240"/>
        <v>-1.5636813432835937E-2</v>
      </c>
      <c r="Y620" s="5">
        <f t="shared" si="241"/>
        <v>9.7383547748385133E-4</v>
      </c>
      <c r="Z620" s="33">
        <v>616</v>
      </c>
      <c r="AE620" s="20" t="str">
        <f t="shared" si="242"/>
        <v/>
      </c>
      <c r="AF620" s="22" t="str">
        <f t="shared" si="243"/>
        <v/>
      </c>
      <c r="AG620" s="9" t="str">
        <f t="shared" ca="1" si="222"/>
        <v/>
      </c>
      <c r="AH620" s="9" t="str">
        <f t="shared" ca="1" si="223"/>
        <v/>
      </c>
      <c r="AI620" s="9" t="str">
        <f t="shared" ca="1" si="224"/>
        <v/>
      </c>
      <c r="AJ620" s="9" t="str">
        <f t="shared" ca="1" si="225"/>
        <v/>
      </c>
      <c r="AK620" s="9" t="str">
        <f t="shared" ca="1" si="226"/>
        <v/>
      </c>
      <c r="AL620" s="9" t="str">
        <f t="shared" ca="1" si="227"/>
        <v/>
      </c>
      <c r="AM620" s="9" t="str">
        <f t="shared" ca="1" si="228"/>
        <v/>
      </c>
      <c r="AN620" s="9" t="str">
        <f t="shared" ca="1" si="229"/>
        <v/>
      </c>
      <c r="AO620" s="9" t="str">
        <f t="shared" ca="1" si="230"/>
        <v/>
      </c>
      <c r="AP620" s="9" t="str">
        <f t="shared" ca="1" si="231"/>
        <v/>
      </c>
      <c r="AQ620" s="9"/>
      <c r="AR620" s="9"/>
      <c r="AS620" s="9"/>
      <c r="AT620" s="9"/>
      <c r="AU620" s="9"/>
    </row>
    <row r="621" spans="1:47" x14ac:dyDescent="0.3">
      <c r="A621" s="1">
        <v>44362</v>
      </c>
      <c r="B621" s="6">
        <v>548.46002199999998</v>
      </c>
      <c r="C621" s="6">
        <v>264.08999599999999</v>
      </c>
      <c r="D621" s="6">
        <v>46.095001000000003</v>
      </c>
      <c r="E621" s="6">
        <v>148.58000200000001</v>
      </c>
      <c r="F621" s="6">
        <v>134.44000199999999</v>
      </c>
      <c r="G621" s="6">
        <v>49.610000999999997</v>
      </c>
      <c r="H621" s="6">
        <v>151.36999499999999</v>
      </c>
      <c r="I621" s="6">
        <v>231.08999600000001</v>
      </c>
      <c r="J621" s="6">
        <v>33.740001999999997</v>
      </c>
      <c r="K621" s="6">
        <v>30.07</v>
      </c>
      <c r="N621" s="19">
        <v>617</v>
      </c>
      <c r="O621" s="1">
        <v>44362</v>
      </c>
      <c r="P621" s="5">
        <f t="shared" si="232"/>
        <v>-1.5361099831022292E-2</v>
      </c>
      <c r="Q621" s="5">
        <f t="shared" si="233"/>
        <v>-9.0467429302856072E-3</v>
      </c>
      <c r="R621" s="5">
        <f t="shared" si="234"/>
        <v>-1.3039680143243162E-2</v>
      </c>
      <c r="S621" s="5">
        <f t="shared" si="235"/>
        <v>6.7272419323999693E-5</v>
      </c>
      <c r="T621" s="5">
        <f t="shared" si="236"/>
        <v>-5.5631934368778708E-3</v>
      </c>
      <c r="U621" s="5">
        <f t="shared" si="237"/>
        <v>-1.0227663605568838E-2</v>
      </c>
      <c r="V621" s="5">
        <f t="shared" si="238"/>
        <v>6.8277685998653116E-3</v>
      </c>
      <c r="W621" s="5">
        <f t="shared" si="239"/>
        <v>-1.7841550741778418E-2</v>
      </c>
      <c r="X621" s="5">
        <f t="shared" si="240"/>
        <v>3.265580907110128E-3</v>
      </c>
      <c r="Y621" s="5">
        <f t="shared" si="241"/>
        <v>-2.4635832891531959E-2</v>
      </c>
      <c r="Z621" s="33">
        <v>617</v>
      </c>
      <c r="AE621" s="20" t="str">
        <f t="shared" si="242"/>
        <v/>
      </c>
      <c r="AF621" s="22" t="str">
        <f t="shared" si="243"/>
        <v/>
      </c>
      <c r="AG621" s="9" t="str">
        <f t="shared" ca="1" si="222"/>
        <v/>
      </c>
      <c r="AH621" s="9" t="str">
        <f t="shared" ca="1" si="223"/>
        <v/>
      </c>
      <c r="AI621" s="9" t="str">
        <f t="shared" ca="1" si="224"/>
        <v/>
      </c>
      <c r="AJ621" s="9" t="str">
        <f t="shared" ca="1" si="225"/>
        <v/>
      </c>
      <c r="AK621" s="9" t="str">
        <f t="shared" ca="1" si="226"/>
        <v/>
      </c>
      <c r="AL621" s="9" t="str">
        <f t="shared" ca="1" si="227"/>
        <v/>
      </c>
      <c r="AM621" s="9" t="str">
        <f t="shared" ca="1" si="228"/>
        <v/>
      </c>
      <c r="AN621" s="9" t="str">
        <f t="shared" ca="1" si="229"/>
        <v/>
      </c>
      <c r="AO621" s="9" t="str">
        <f t="shared" ca="1" si="230"/>
        <v/>
      </c>
      <c r="AP621" s="9" t="str">
        <f t="shared" ca="1" si="231"/>
        <v/>
      </c>
      <c r="AQ621" s="9"/>
      <c r="AR621" s="9"/>
      <c r="AS621" s="9"/>
      <c r="AT621" s="9"/>
      <c r="AU621" s="9"/>
    </row>
    <row r="622" spans="1:47" x14ac:dyDescent="0.3">
      <c r="A622" s="1">
        <v>44363</v>
      </c>
      <c r="B622" s="6">
        <v>543.330017</v>
      </c>
      <c r="C622" s="6">
        <v>261.41000400000001</v>
      </c>
      <c r="D622" s="6">
        <v>45.759998000000003</v>
      </c>
      <c r="E622" s="6">
        <v>147.10000600000001</v>
      </c>
      <c r="F622" s="6">
        <v>133.66999799999999</v>
      </c>
      <c r="G622" s="6">
        <v>49.209999000000003</v>
      </c>
      <c r="H622" s="6">
        <v>149.990005</v>
      </c>
      <c r="I622" s="6">
        <v>223.66000399999999</v>
      </c>
      <c r="J622" s="6">
        <v>33.450001</v>
      </c>
      <c r="K622" s="6">
        <v>30.459999</v>
      </c>
      <c r="N622" s="18">
        <v>618</v>
      </c>
      <c r="O622" s="1">
        <v>44363</v>
      </c>
      <c r="P622" s="5">
        <f t="shared" si="232"/>
        <v>-9.3974895730068453E-3</v>
      </c>
      <c r="Q622" s="5">
        <f t="shared" si="233"/>
        <v>-1.0199867687488156E-2</v>
      </c>
      <c r="R622" s="5">
        <f t="shared" si="234"/>
        <v>-7.2942025796365519E-3</v>
      </c>
      <c r="S622" s="5">
        <f t="shared" si="235"/>
        <v>-1.0010878788451798E-2</v>
      </c>
      <c r="T622" s="5">
        <f t="shared" si="236"/>
        <v>-5.7439567122684627E-3</v>
      </c>
      <c r="U622" s="5">
        <f t="shared" si="237"/>
        <v>-8.0956119133698441E-3</v>
      </c>
      <c r="V622" s="5">
        <f t="shared" si="238"/>
        <v>-9.1584792000056169E-3</v>
      </c>
      <c r="W622" s="5">
        <f t="shared" si="239"/>
        <v>-3.2680168239379921E-2</v>
      </c>
      <c r="X622" s="5">
        <f t="shared" si="240"/>
        <v>-8.6323199250399382E-3</v>
      </c>
      <c r="Y622" s="5">
        <f t="shared" si="241"/>
        <v>1.2886317636636517E-2</v>
      </c>
      <c r="Z622" s="33">
        <v>618</v>
      </c>
      <c r="AE622" s="20" t="str">
        <f t="shared" si="242"/>
        <v/>
      </c>
      <c r="AF622" s="22" t="str">
        <f t="shared" si="243"/>
        <v/>
      </c>
      <c r="AG622" s="9" t="str">
        <f t="shared" ca="1" si="222"/>
        <v/>
      </c>
      <c r="AH622" s="9" t="str">
        <f t="shared" ca="1" si="223"/>
        <v/>
      </c>
      <c r="AI622" s="9" t="str">
        <f t="shared" ca="1" si="224"/>
        <v/>
      </c>
      <c r="AJ622" s="9" t="str">
        <f t="shared" ca="1" si="225"/>
        <v/>
      </c>
      <c r="AK622" s="9" t="str">
        <f t="shared" ca="1" si="226"/>
        <v/>
      </c>
      <c r="AL622" s="9" t="str">
        <f t="shared" ca="1" si="227"/>
        <v/>
      </c>
      <c r="AM622" s="9" t="str">
        <f t="shared" ca="1" si="228"/>
        <v/>
      </c>
      <c r="AN622" s="9" t="str">
        <f t="shared" ca="1" si="229"/>
        <v/>
      </c>
      <c r="AO622" s="9" t="str">
        <f t="shared" ca="1" si="230"/>
        <v/>
      </c>
      <c r="AP622" s="9" t="str">
        <f t="shared" ca="1" si="231"/>
        <v/>
      </c>
      <c r="AQ622" s="9"/>
      <c r="AR622" s="9"/>
      <c r="AS622" s="9"/>
      <c r="AT622" s="9"/>
      <c r="AU622" s="9"/>
    </row>
    <row r="623" spans="1:47" x14ac:dyDescent="0.3">
      <c r="A623" s="1">
        <v>44364</v>
      </c>
      <c r="B623" s="6">
        <v>551.35998500000005</v>
      </c>
      <c r="C623" s="6">
        <v>265.14001500000001</v>
      </c>
      <c r="D623" s="6">
        <v>46.284999999999997</v>
      </c>
      <c r="E623" s="6">
        <v>148.520004</v>
      </c>
      <c r="F623" s="6">
        <v>134.5</v>
      </c>
      <c r="G623" s="6">
        <v>49.209999000000003</v>
      </c>
      <c r="H623" s="6">
        <v>145.759995</v>
      </c>
      <c r="I623" s="6">
        <v>215.13000500000001</v>
      </c>
      <c r="J623" s="6">
        <v>32.43</v>
      </c>
      <c r="K623" s="6">
        <v>29.41</v>
      </c>
      <c r="N623" s="19">
        <v>619</v>
      </c>
      <c r="O623" s="1">
        <v>44364</v>
      </c>
      <c r="P623" s="5">
        <f t="shared" si="232"/>
        <v>1.4671024701019808E-2</v>
      </c>
      <c r="Q623" s="5">
        <f t="shared" si="233"/>
        <v>1.4167973637502985E-2</v>
      </c>
      <c r="R623" s="5">
        <f t="shared" si="234"/>
        <v>1.1407631153926581E-2</v>
      </c>
      <c r="S623" s="5">
        <f t="shared" si="235"/>
        <v>9.6069878453083485E-3</v>
      </c>
      <c r="T623" s="5">
        <f t="shared" si="236"/>
        <v>6.1901380207326495E-3</v>
      </c>
      <c r="U623" s="5">
        <f t="shared" si="237"/>
        <v>0</v>
      </c>
      <c r="V623" s="5">
        <f t="shared" si="238"/>
        <v>-2.8607259334139368E-2</v>
      </c>
      <c r="W623" s="5">
        <f t="shared" si="239"/>
        <v>-3.8884539679976932E-2</v>
      </c>
      <c r="X623" s="5">
        <f t="shared" si="240"/>
        <v>-3.0967896150376695E-2</v>
      </c>
      <c r="Y623" s="5">
        <f t="shared" si="241"/>
        <v>-3.5079562071170661E-2</v>
      </c>
      <c r="Z623" s="33">
        <v>619</v>
      </c>
      <c r="AE623" s="20" t="str">
        <f t="shared" si="242"/>
        <v/>
      </c>
      <c r="AF623" s="22" t="str">
        <f t="shared" si="243"/>
        <v/>
      </c>
      <c r="AG623" s="9" t="str">
        <f t="shared" ca="1" si="222"/>
        <v/>
      </c>
      <c r="AH623" s="9" t="str">
        <f t="shared" ca="1" si="223"/>
        <v/>
      </c>
      <c r="AI623" s="9" t="str">
        <f t="shared" ca="1" si="224"/>
        <v/>
      </c>
      <c r="AJ623" s="9" t="str">
        <f t="shared" ca="1" si="225"/>
        <v/>
      </c>
      <c r="AK623" s="9" t="str">
        <f t="shared" ca="1" si="226"/>
        <v/>
      </c>
      <c r="AL623" s="9" t="str">
        <f t="shared" ca="1" si="227"/>
        <v/>
      </c>
      <c r="AM623" s="9" t="str">
        <f t="shared" ca="1" si="228"/>
        <v/>
      </c>
      <c r="AN623" s="9" t="str">
        <f t="shared" ca="1" si="229"/>
        <v/>
      </c>
      <c r="AO623" s="9" t="str">
        <f t="shared" ca="1" si="230"/>
        <v/>
      </c>
      <c r="AP623" s="9" t="str">
        <f t="shared" ca="1" si="231"/>
        <v/>
      </c>
      <c r="AQ623" s="9"/>
      <c r="AR623" s="9"/>
      <c r="AS623" s="9"/>
      <c r="AT623" s="9"/>
      <c r="AU623" s="9"/>
    </row>
    <row r="624" spans="1:47" x14ac:dyDescent="0.3">
      <c r="A624" s="1">
        <v>44365</v>
      </c>
      <c r="B624" s="6">
        <v>565.59002699999996</v>
      </c>
      <c r="C624" s="6">
        <v>265.85998499999999</v>
      </c>
      <c r="D624" s="6">
        <v>45.880001</v>
      </c>
      <c r="E624" s="6">
        <v>145.41999799999999</v>
      </c>
      <c r="F624" s="6">
        <v>132.61000100000001</v>
      </c>
      <c r="G624" s="6">
        <v>48.23</v>
      </c>
      <c r="H624" s="6">
        <v>142.96000699999999</v>
      </c>
      <c r="I624" s="6">
        <v>212.58000200000001</v>
      </c>
      <c r="J624" s="6">
        <v>31.51</v>
      </c>
      <c r="K624" s="6">
        <v>29.08</v>
      </c>
      <c r="N624" s="18">
        <v>620</v>
      </c>
      <c r="O624" s="1">
        <v>44365</v>
      </c>
      <c r="P624" s="5">
        <f t="shared" si="232"/>
        <v>2.5481555690251848E-2</v>
      </c>
      <c r="Q624" s="5">
        <f t="shared" si="233"/>
        <v>2.7117530741914749E-3</v>
      </c>
      <c r="R624" s="5">
        <f t="shared" si="234"/>
        <v>-8.7886204620152772E-3</v>
      </c>
      <c r="S624" s="5">
        <f t="shared" si="235"/>
        <v>-2.109356277263439E-2</v>
      </c>
      <c r="T624" s="5">
        <f t="shared" si="236"/>
        <v>-1.4151701811476734E-2</v>
      </c>
      <c r="U624" s="5">
        <f t="shared" si="237"/>
        <v>-2.0115600475933325E-2</v>
      </c>
      <c r="V624" s="5">
        <f t="shared" si="238"/>
        <v>-1.9396479392767167E-2</v>
      </c>
      <c r="W624" s="5">
        <f t="shared" si="239"/>
        <v>-1.1924122290695368E-2</v>
      </c>
      <c r="X624" s="5">
        <f t="shared" si="240"/>
        <v>-2.8778964550043289E-2</v>
      </c>
      <c r="Y624" s="5">
        <f t="shared" si="241"/>
        <v>-1.128409990058506E-2</v>
      </c>
      <c r="Z624" s="33">
        <v>620</v>
      </c>
      <c r="AE624" s="20" t="str">
        <f t="shared" si="242"/>
        <v/>
      </c>
      <c r="AF624" s="22" t="str">
        <f t="shared" si="243"/>
        <v/>
      </c>
      <c r="AG624" s="9" t="str">
        <f t="shared" ca="1" si="222"/>
        <v/>
      </c>
      <c r="AH624" s="9" t="str">
        <f t="shared" ca="1" si="223"/>
        <v/>
      </c>
      <c r="AI624" s="9" t="str">
        <f t="shared" ca="1" si="224"/>
        <v/>
      </c>
      <c r="AJ624" s="9" t="str">
        <f t="shared" ca="1" si="225"/>
        <v/>
      </c>
      <c r="AK624" s="9" t="str">
        <f t="shared" ca="1" si="226"/>
        <v/>
      </c>
      <c r="AL624" s="9" t="str">
        <f t="shared" ca="1" si="227"/>
        <v/>
      </c>
      <c r="AM624" s="9" t="str">
        <f t="shared" ca="1" si="228"/>
        <v/>
      </c>
      <c r="AN624" s="9" t="str">
        <f t="shared" ca="1" si="229"/>
        <v/>
      </c>
      <c r="AO624" s="9" t="str">
        <f t="shared" ca="1" si="230"/>
        <v/>
      </c>
      <c r="AP624" s="9" t="str">
        <f t="shared" ca="1" si="231"/>
        <v/>
      </c>
      <c r="AQ624" s="9"/>
      <c r="AR624" s="9"/>
      <c r="AS624" s="9"/>
      <c r="AT624" s="9"/>
      <c r="AU624" s="9"/>
    </row>
    <row r="625" spans="1:47" x14ac:dyDescent="0.3">
      <c r="A625" s="1">
        <v>44368</v>
      </c>
      <c r="B625" s="6">
        <v>567.34997599999997</v>
      </c>
      <c r="C625" s="6">
        <v>264.79998799999998</v>
      </c>
      <c r="D625" s="6">
        <v>46.02</v>
      </c>
      <c r="E625" s="6">
        <v>146.55999800000001</v>
      </c>
      <c r="F625" s="6">
        <v>135.44000199999999</v>
      </c>
      <c r="G625" s="6">
        <v>49.549999</v>
      </c>
      <c r="H625" s="6">
        <v>146.300003</v>
      </c>
      <c r="I625" s="6">
        <v>220.529999</v>
      </c>
      <c r="J625" s="6">
        <v>32.389999000000003</v>
      </c>
      <c r="K625" s="6">
        <v>29.690000999999999</v>
      </c>
      <c r="N625" s="19">
        <v>621</v>
      </c>
      <c r="O625" s="1">
        <v>44368</v>
      </c>
      <c r="P625" s="5">
        <f t="shared" si="232"/>
        <v>3.1068731107065659E-3</v>
      </c>
      <c r="Q625" s="5">
        <f t="shared" si="233"/>
        <v>-3.9950192731475027E-3</v>
      </c>
      <c r="R625" s="5">
        <f t="shared" si="234"/>
        <v>3.0467705500605391E-3</v>
      </c>
      <c r="S625" s="5">
        <f t="shared" si="235"/>
        <v>7.8087938108877273E-3</v>
      </c>
      <c r="T625" s="5">
        <f t="shared" si="236"/>
        <v>2.1116255361148993E-2</v>
      </c>
      <c r="U625" s="5">
        <f t="shared" si="237"/>
        <v>2.7001006513481612E-2</v>
      </c>
      <c r="V625" s="5">
        <f t="shared" si="238"/>
        <v>2.3094408715971751E-2</v>
      </c>
      <c r="W625" s="5">
        <f t="shared" si="239"/>
        <v>3.6715338005917079E-2</v>
      </c>
      <c r="X625" s="5">
        <f t="shared" si="240"/>
        <v>2.7544746540327902E-2</v>
      </c>
      <c r="Y625" s="5">
        <f t="shared" si="241"/>
        <v>2.0759669791723463E-2</v>
      </c>
      <c r="Z625" s="33">
        <v>621</v>
      </c>
      <c r="AE625" s="20" t="str">
        <f t="shared" si="242"/>
        <v/>
      </c>
      <c r="AF625" s="22" t="str">
        <f t="shared" si="243"/>
        <v/>
      </c>
      <c r="AG625" s="9" t="str">
        <f t="shared" ca="1" si="222"/>
        <v/>
      </c>
      <c r="AH625" s="9" t="str">
        <f t="shared" ca="1" si="223"/>
        <v/>
      </c>
      <c r="AI625" s="9" t="str">
        <f t="shared" ca="1" si="224"/>
        <v/>
      </c>
      <c r="AJ625" s="9" t="str">
        <f t="shared" ca="1" si="225"/>
        <v/>
      </c>
      <c r="AK625" s="9" t="str">
        <f t="shared" ca="1" si="226"/>
        <v/>
      </c>
      <c r="AL625" s="9" t="str">
        <f t="shared" ca="1" si="227"/>
        <v/>
      </c>
      <c r="AM625" s="9" t="str">
        <f t="shared" ca="1" si="228"/>
        <v/>
      </c>
      <c r="AN625" s="9" t="str">
        <f t="shared" ca="1" si="229"/>
        <v/>
      </c>
      <c r="AO625" s="9" t="str">
        <f t="shared" ca="1" si="230"/>
        <v/>
      </c>
      <c r="AP625" s="9" t="str">
        <f t="shared" ca="1" si="231"/>
        <v/>
      </c>
      <c r="AQ625" s="9"/>
      <c r="AR625" s="9"/>
      <c r="AS625" s="9"/>
      <c r="AT625" s="9"/>
      <c r="AU625" s="9"/>
    </row>
    <row r="626" spans="1:47" x14ac:dyDescent="0.3">
      <c r="A626" s="1">
        <v>44369</v>
      </c>
      <c r="B626" s="6">
        <v>575.73999000000003</v>
      </c>
      <c r="C626" s="6">
        <v>268.459991</v>
      </c>
      <c r="D626" s="6">
        <v>45.889999000000003</v>
      </c>
      <c r="E626" s="6">
        <v>146.779999</v>
      </c>
      <c r="F626" s="6">
        <v>134.979996</v>
      </c>
      <c r="G626" s="6">
        <v>49.459999000000003</v>
      </c>
      <c r="H626" s="6">
        <v>147.300003</v>
      </c>
      <c r="I626" s="6">
        <v>219.779999</v>
      </c>
      <c r="J626" s="6">
        <v>31.940000999999999</v>
      </c>
      <c r="K626" s="6">
        <v>29.49</v>
      </c>
      <c r="N626" s="18">
        <v>622</v>
      </c>
      <c r="O626" s="1">
        <v>44369</v>
      </c>
      <c r="P626" s="5">
        <f t="shared" si="232"/>
        <v>1.4679797596351647E-2</v>
      </c>
      <c r="Q626" s="5">
        <f t="shared" si="233"/>
        <v>1.372711478931052E-2</v>
      </c>
      <c r="R626" s="5">
        <f t="shared" si="234"/>
        <v>-2.8288779917178459E-3</v>
      </c>
      <c r="S626" s="5">
        <f t="shared" si="235"/>
        <v>1.4999730244675273E-3</v>
      </c>
      <c r="T626" s="5">
        <f t="shared" si="236"/>
        <v>-3.4021629103258748E-3</v>
      </c>
      <c r="U626" s="5">
        <f t="shared" si="237"/>
        <v>-1.8179987194503339E-3</v>
      </c>
      <c r="V626" s="5">
        <f t="shared" si="238"/>
        <v>6.8120153032948669E-3</v>
      </c>
      <c r="W626" s="5">
        <f t="shared" si="239"/>
        <v>-3.4066940508020601E-3</v>
      </c>
      <c r="X626" s="5">
        <f t="shared" si="240"/>
        <v>-1.3990528213941398E-2</v>
      </c>
      <c r="Y626" s="5">
        <f t="shared" si="241"/>
        <v>-6.7590996298571996E-3</v>
      </c>
      <c r="Z626" s="33">
        <v>622</v>
      </c>
      <c r="AE626" s="20" t="str">
        <f t="shared" si="242"/>
        <v/>
      </c>
      <c r="AF626" s="22" t="str">
        <f t="shared" si="243"/>
        <v/>
      </c>
      <c r="AG626" s="9" t="str">
        <f t="shared" ca="1" si="222"/>
        <v/>
      </c>
      <c r="AH626" s="9" t="str">
        <f t="shared" ca="1" si="223"/>
        <v/>
      </c>
      <c r="AI626" s="9" t="str">
        <f t="shared" ca="1" si="224"/>
        <v/>
      </c>
      <c r="AJ626" s="9" t="str">
        <f t="shared" ca="1" si="225"/>
        <v/>
      </c>
      <c r="AK626" s="9" t="str">
        <f t="shared" ca="1" si="226"/>
        <v/>
      </c>
      <c r="AL626" s="9" t="str">
        <f t="shared" ca="1" si="227"/>
        <v/>
      </c>
      <c r="AM626" s="9" t="str">
        <f t="shared" ca="1" si="228"/>
        <v/>
      </c>
      <c r="AN626" s="9" t="str">
        <f t="shared" ca="1" si="229"/>
        <v/>
      </c>
      <c r="AO626" s="9" t="str">
        <f t="shared" ca="1" si="230"/>
        <v/>
      </c>
      <c r="AP626" s="9" t="str">
        <f t="shared" ca="1" si="231"/>
        <v/>
      </c>
      <c r="AQ626" s="9"/>
      <c r="AR626" s="9"/>
      <c r="AS626" s="9"/>
      <c r="AT626" s="9"/>
      <c r="AU626" s="9"/>
    </row>
    <row r="627" spans="1:47" x14ac:dyDescent="0.3">
      <c r="A627" s="1">
        <v>44370</v>
      </c>
      <c r="B627" s="6">
        <v>574.22997999999995</v>
      </c>
      <c r="C627" s="6">
        <v>268.85998499999999</v>
      </c>
      <c r="D627" s="6">
        <v>45.154998999999997</v>
      </c>
      <c r="E627" s="6">
        <v>144.85000600000001</v>
      </c>
      <c r="F627" s="6">
        <v>135.28999300000001</v>
      </c>
      <c r="G627" s="6">
        <v>49.580002</v>
      </c>
      <c r="H627" s="6">
        <v>146.91000399999999</v>
      </c>
      <c r="I627" s="6">
        <v>219.220001</v>
      </c>
      <c r="J627" s="6">
        <v>32.040000999999997</v>
      </c>
      <c r="K627" s="6">
        <v>29.51</v>
      </c>
      <c r="N627" s="19">
        <v>623</v>
      </c>
      <c r="O627" s="1">
        <v>44370</v>
      </c>
      <c r="P627" s="5">
        <f t="shared" si="232"/>
        <v>-2.6261744345412179E-3</v>
      </c>
      <c r="Q627" s="5">
        <f t="shared" si="233"/>
        <v>1.4888487000449654E-3</v>
      </c>
      <c r="R627" s="5">
        <f t="shared" si="234"/>
        <v>-1.6146213058682003E-2</v>
      </c>
      <c r="S627" s="5">
        <f t="shared" si="235"/>
        <v>-1.3236094666479979E-2</v>
      </c>
      <c r="T627" s="5">
        <f t="shared" si="236"/>
        <v>2.2939811933222268E-3</v>
      </c>
      <c r="U627" s="5">
        <f t="shared" si="237"/>
        <v>2.4233250709783075E-3</v>
      </c>
      <c r="V627" s="5">
        <f t="shared" si="238"/>
        <v>-2.6511622252936573E-3</v>
      </c>
      <c r="W627" s="5">
        <f t="shared" si="239"/>
        <v>-2.5512451195685982E-3</v>
      </c>
      <c r="X627" s="5">
        <f t="shared" si="240"/>
        <v>3.1259793155743957E-3</v>
      </c>
      <c r="Y627" s="5">
        <f t="shared" si="241"/>
        <v>6.7796612766327536E-4</v>
      </c>
      <c r="Z627" s="33">
        <v>623</v>
      </c>
      <c r="AE627" s="20" t="str">
        <f t="shared" si="242"/>
        <v/>
      </c>
      <c r="AF627" s="22" t="str">
        <f t="shared" si="243"/>
        <v/>
      </c>
      <c r="AG627" s="9" t="str">
        <f t="shared" ca="1" si="222"/>
        <v/>
      </c>
      <c r="AH627" s="9" t="str">
        <f t="shared" ca="1" si="223"/>
        <v/>
      </c>
      <c r="AI627" s="9" t="str">
        <f t="shared" ca="1" si="224"/>
        <v/>
      </c>
      <c r="AJ627" s="9" t="str">
        <f t="shared" ca="1" si="225"/>
        <v/>
      </c>
      <c r="AK627" s="9" t="str">
        <f t="shared" ca="1" si="226"/>
        <v/>
      </c>
      <c r="AL627" s="9" t="str">
        <f t="shared" ca="1" si="227"/>
        <v/>
      </c>
      <c r="AM627" s="9" t="str">
        <f t="shared" ca="1" si="228"/>
        <v/>
      </c>
      <c r="AN627" s="9" t="str">
        <f t="shared" ca="1" si="229"/>
        <v/>
      </c>
      <c r="AO627" s="9" t="str">
        <f t="shared" ca="1" si="230"/>
        <v/>
      </c>
      <c r="AP627" s="9" t="str">
        <f t="shared" ca="1" si="231"/>
        <v/>
      </c>
      <c r="AQ627" s="9"/>
      <c r="AR627" s="9"/>
      <c r="AS627" s="9"/>
      <c r="AT627" s="9"/>
      <c r="AU627" s="9"/>
    </row>
    <row r="628" spans="1:47" x14ac:dyDescent="0.3">
      <c r="A628" s="1">
        <v>44371</v>
      </c>
      <c r="B628" s="6">
        <v>578.26000999999997</v>
      </c>
      <c r="C628" s="6">
        <v>273.79998799999998</v>
      </c>
      <c r="D628" s="6">
        <v>45.07</v>
      </c>
      <c r="E628" s="6">
        <v>145.66999799999999</v>
      </c>
      <c r="F628" s="6">
        <v>134.979996</v>
      </c>
      <c r="G628" s="6">
        <v>49.610000999999997</v>
      </c>
      <c r="H628" s="6">
        <v>147.679993</v>
      </c>
      <c r="I628" s="6">
        <v>221.279999</v>
      </c>
      <c r="J628" s="6">
        <v>32.549999</v>
      </c>
      <c r="K628" s="6">
        <v>30.32</v>
      </c>
      <c r="N628" s="18">
        <v>624</v>
      </c>
      <c r="O628" s="1">
        <v>44371</v>
      </c>
      <c r="P628" s="5">
        <f t="shared" si="232"/>
        <v>6.9936337165474524E-3</v>
      </c>
      <c r="Q628" s="5">
        <f t="shared" si="233"/>
        <v>1.8207126791749136E-2</v>
      </c>
      <c r="R628" s="5">
        <f t="shared" si="234"/>
        <v>-1.8841568542631508E-3</v>
      </c>
      <c r="S628" s="5">
        <f t="shared" si="235"/>
        <v>5.6450100936737716E-3</v>
      </c>
      <c r="T628" s="5">
        <f t="shared" si="236"/>
        <v>-2.2939811933223204E-3</v>
      </c>
      <c r="U628" s="5">
        <f t="shared" si="237"/>
        <v>6.0487952429376639E-4</v>
      </c>
      <c r="V628" s="5">
        <f t="shared" si="238"/>
        <v>5.2275417448680184E-3</v>
      </c>
      <c r="W628" s="5">
        <f t="shared" si="239"/>
        <v>9.3530670480820536E-3</v>
      </c>
      <c r="X628" s="5">
        <f t="shared" si="240"/>
        <v>1.5792184521467328E-2</v>
      </c>
      <c r="Y628" s="5">
        <f t="shared" si="241"/>
        <v>2.7078371819322756E-2</v>
      </c>
      <c r="Z628" s="33">
        <v>624</v>
      </c>
      <c r="AE628" s="20" t="str">
        <f t="shared" si="242"/>
        <v/>
      </c>
      <c r="AF628" s="22" t="str">
        <f t="shared" si="243"/>
        <v/>
      </c>
      <c r="AG628" s="9" t="str">
        <f t="shared" ca="1" si="222"/>
        <v/>
      </c>
      <c r="AH628" s="9" t="str">
        <f t="shared" ca="1" si="223"/>
        <v/>
      </c>
      <c r="AI628" s="9" t="str">
        <f t="shared" ca="1" si="224"/>
        <v/>
      </c>
      <c r="AJ628" s="9" t="str">
        <f t="shared" ca="1" si="225"/>
        <v/>
      </c>
      <c r="AK628" s="9" t="str">
        <f t="shared" ca="1" si="226"/>
        <v/>
      </c>
      <c r="AL628" s="9" t="str">
        <f t="shared" ca="1" si="227"/>
        <v/>
      </c>
      <c r="AM628" s="9" t="str">
        <f t="shared" ca="1" si="228"/>
        <v/>
      </c>
      <c r="AN628" s="9" t="str">
        <f t="shared" ca="1" si="229"/>
        <v/>
      </c>
      <c r="AO628" s="9" t="str">
        <f t="shared" ca="1" si="230"/>
        <v/>
      </c>
      <c r="AP628" s="9" t="str">
        <f t="shared" ca="1" si="231"/>
        <v/>
      </c>
      <c r="AQ628" s="9"/>
      <c r="AR628" s="9"/>
      <c r="AS628" s="9"/>
      <c r="AT628" s="9"/>
      <c r="AU628" s="9"/>
    </row>
    <row r="629" spans="1:47" x14ac:dyDescent="0.3">
      <c r="A629" s="1">
        <v>44372</v>
      </c>
      <c r="B629" s="6">
        <v>579.65997300000004</v>
      </c>
      <c r="C629" s="6">
        <v>268.97000100000002</v>
      </c>
      <c r="D629" s="6">
        <v>46.060001</v>
      </c>
      <c r="E629" s="6">
        <v>146.41000399999999</v>
      </c>
      <c r="F629" s="6">
        <v>135.220001</v>
      </c>
      <c r="G629" s="6">
        <v>49.860000999999997</v>
      </c>
      <c r="H629" s="6">
        <v>149.30999800000001</v>
      </c>
      <c r="I629" s="6">
        <v>221.820007</v>
      </c>
      <c r="J629" s="6">
        <v>32.709999000000003</v>
      </c>
      <c r="K629" s="6">
        <v>30.860001</v>
      </c>
      <c r="N629" s="19">
        <v>625</v>
      </c>
      <c r="O629" s="1">
        <v>44372</v>
      </c>
      <c r="P629" s="5">
        <f t="shared" si="232"/>
        <v>2.4180663650179707E-3</v>
      </c>
      <c r="Q629" s="5">
        <f t="shared" si="233"/>
        <v>-1.77980160898609E-2</v>
      </c>
      <c r="R629" s="5">
        <f t="shared" si="234"/>
        <v>2.1728079400793986E-2</v>
      </c>
      <c r="S629" s="5">
        <f t="shared" si="235"/>
        <v>5.0671567947352825E-3</v>
      </c>
      <c r="T629" s="5">
        <f t="shared" si="236"/>
        <v>1.7764993766473626E-3</v>
      </c>
      <c r="U629" s="5">
        <f t="shared" si="237"/>
        <v>5.0266516813852347E-3</v>
      </c>
      <c r="V629" s="5">
        <f t="shared" si="238"/>
        <v>1.0976944788864894E-2</v>
      </c>
      <c r="W629" s="5">
        <f t="shared" si="239"/>
        <v>2.4374103364265582E-3</v>
      </c>
      <c r="X629" s="5">
        <f t="shared" si="240"/>
        <v>4.9034730459900202E-3</v>
      </c>
      <c r="Y629" s="5">
        <f t="shared" si="241"/>
        <v>1.7653318565250455E-2</v>
      </c>
      <c r="Z629" s="33">
        <v>625</v>
      </c>
      <c r="AE629" s="20" t="str">
        <f t="shared" si="242"/>
        <v/>
      </c>
      <c r="AF629" s="22" t="str">
        <f t="shared" si="243"/>
        <v/>
      </c>
      <c r="AG629" s="9" t="str">
        <f t="shared" ca="1" si="222"/>
        <v/>
      </c>
      <c r="AH629" s="9" t="str">
        <f t="shared" ca="1" si="223"/>
        <v/>
      </c>
      <c r="AI629" s="9" t="str">
        <f t="shared" ca="1" si="224"/>
        <v/>
      </c>
      <c r="AJ629" s="9" t="str">
        <f t="shared" ca="1" si="225"/>
        <v/>
      </c>
      <c r="AK629" s="9" t="str">
        <f t="shared" ca="1" si="226"/>
        <v/>
      </c>
      <c r="AL629" s="9" t="str">
        <f t="shared" ca="1" si="227"/>
        <v/>
      </c>
      <c r="AM629" s="9" t="str">
        <f t="shared" ca="1" si="228"/>
        <v/>
      </c>
      <c r="AN629" s="9" t="str">
        <f t="shared" ca="1" si="229"/>
        <v/>
      </c>
      <c r="AO629" s="9" t="str">
        <f t="shared" ca="1" si="230"/>
        <v/>
      </c>
      <c r="AP629" s="9" t="str">
        <f t="shared" ca="1" si="231"/>
        <v/>
      </c>
      <c r="AQ629" s="9"/>
      <c r="AR629" s="9"/>
      <c r="AS629" s="9"/>
      <c r="AT629" s="9"/>
      <c r="AU629" s="9"/>
    </row>
    <row r="630" spans="1:47" x14ac:dyDescent="0.3">
      <c r="A630" s="1">
        <v>44375</v>
      </c>
      <c r="B630" s="6">
        <v>588.79998799999998</v>
      </c>
      <c r="C630" s="6">
        <v>274.02999899999998</v>
      </c>
      <c r="D630" s="6">
        <v>45.73</v>
      </c>
      <c r="E630" s="6">
        <v>147.03999300000001</v>
      </c>
      <c r="F630" s="6">
        <v>134.779999</v>
      </c>
      <c r="G630" s="6">
        <v>49.779998999999997</v>
      </c>
      <c r="H630" s="6">
        <v>148.990005</v>
      </c>
      <c r="I630" s="6">
        <v>219.070007</v>
      </c>
      <c r="J630" s="6">
        <v>31.860001</v>
      </c>
      <c r="K630" s="6">
        <v>30.57</v>
      </c>
      <c r="N630" s="18">
        <v>626</v>
      </c>
      <c r="O630" s="1">
        <v>44375</v>
      </c>
      <c r="P630" s="5">
        <f t="shared" si="232"/>
        <v>1.5644868855788443E-2</v>
      </c>
      <c r="Q630" s="5">
        <f t="shared" si="233"/>
        <v>1.8637732859565544E-2</v>
      </c>
      <c r="R630" s="5">
        <f t="shared" si="234"/>
        <v>-7.1903784333870865E-3</v>
      </c>
      <c r="S630" s="5">
        <f t="shared" si="235"/>
        <v>4.2936784753537039E-3</v>
      </c>
      <c r="T630" s="5">
        <f t="shared" si="236"/>
        <v>-3.2592769593149913E-3</v>
      </c>
      <c r="U630" s="5">
        <f t="shared" si="237"/>
        <v>-1.6058213005120503E-3</v>
      </c>
      <c r="V630" s="5">
        <f t="shared" si="238"/>
        <v>-2.1454449850758072E-3</v>
      </c>
      <c r="W630" s="5">
        <f t="shared" si="239"/>
        <v>-1.2474928333048899E-2</v>
      </c>
      <c r="X630" s="5">
        <f t="shared" si="240"/>
        <v>-2.6329475109380059E-2</v>
      </c>
      <c r="Y630" s="5">
        <f t="shared" si="241"/>
        <v>-9.4417434366781215E-3</v>
      </c>
      <c r="Z630" s="33">
        <v>626</v>
      </c>
      <c r="AE630" s="20" t="str">
        <f t="shared" si="242"/>
        <v/>
      </c>
      <c r="AF630" s="22" t="str">
        <f t="shared" si="243"/>
        <v/>
      </c>
      <c r="AG630" s="9" t="str">
        <f t="shared" ca="1" si="222"/>
        <v/>
      </c>
      <c r="AH630" s="9" t="str">
        <f t="shared" ca="1" si="223"/>
        <v/>
      </c>
      <c r="AI630" s="9" t="str">
        <f t="shared" ca="1" si="224"/>
        <v/>
      </c>
      <c r="AJ630" s="9" t="str">
        <f t="shared" ca="1" si="225"/>
        <v/>
      </c>
      <c r="AK630" s="9" t="str">
        <f t="shared" ca="1" si="226"/>
        <v/>
      </c>
      <c r="AL630" s="9" t="str">
        <f t="shared" ca="1" si="227"/>
        <v/>
      </c>
      <c r="AM630" s="9" t="str">
        <f t="shared" ca="1" si="228"/>
        <v/>
      </c>
      <c r="AN630" s="9" t="str">
        <f t="shared" ca="1" si="229"/>
        <v/>
      </c>
      <c r="AO630" s="9" t="str">
        <f t="shared" ca="1" si="230"/>
        <v/>
      </c>
      <c r="AP630" s="9" t="str">
        <f t="shared" ca="1" si="231"/>
        <v/>
      </c>
      <c r="AQ630" s="9"/>
      <c r="AR630" s="9"/>
      <c r="AS630" s="9"/>
      <c r="AT630" s="9"/>
      <c r="AU630" s="9"/>
    </row>
    <row r="631" spans="1:47" x14ac:dyDescent="0.3">
      <c r="A631" s="1">
        <v>44376</v>
      </c>
      <c r="B631" s="6">
        <v>590.75</v>
      </c>
      <c r="C631" s="6">
        <v>276.17999300000002</v>
      </c>
      <c r="D631" s="6">
        <v>45.779998999999997</v>
      </c>
      <c r="E631" s="6">
        <v>146.94000199999999</v>
      </c>
      <c r="F631" s="6">
        <v>133.949997</v>
      </c>
      <c r="G631" s="6">
        <v>49.470001000000003</v>
      </c>
      <c r="H631" s="6">
        <v>149.229996</v>
      </c>
      <c r="I631" s="6">
        <v>219.240005</v>
      </c>
      <c r="J631" s="6">
        <v>31.780000999999999</v>
      </c>
      <c r="K631" s="6">
        <v>30.34</v>
      </c>
      <c r="N631" s="19">
        <v>627</v>
      </c>
      <c r="O631" s="1">
        <v>44376</v>
      </c>
      <c r="P631" s="5">
        <f t="shared" si="232"/>
        <v>3.3063690327856756E-3</v>
      </c>
      <c r="Q631" s="5">
        <f t="shared" si="233"/>
        <v>7.8152159149750908E-3</v>
      </c>
      <c r="R631" s="5">
        <f t="shared" si="234"/>
        <v>1.0927550108567265E-3</v>
      </c>
      <c r="S631" s="5">
        <f t="shared" si="235"/>
        <v>-6.8025719815331014E-4</v>
      </c>
      <c r="T631" s="5">
        <f t="shared" si="236"/>
        <v>-6.1772385043716536E-3</v>
      </c>
      <c r="U631" s="5">
        <f t="shared" si="237"/>
        <v>-6.2468313971683603E-3</v>
      </c>
      <c r="V631" s="5">
        <f t="shared" si="238"/>
        <v>1.6094899805677934E-3</v>
      </c>
      <c r="W631" s="5">
        <f t="shared" si="239"/>
        <v>7.7569758330808185E-4</v>
      </c>
      <c r="X631" s="5">
        <f t="shared" si="240"/>
        <v>-2.5141432943211069E-3</v>
      </c>
      <c r="Y631" s="5">
        <f t="shared" si="241"/>
        <v>-7.5521619823570117E-3</v>
      </c>
      <c r="Z631" s="33">
        <v>627</v>
      </c>
      <c r="AE631" s="20" t="str">
        <f t="shared" si="242"/>
        <v/>
      </c>
      <c r="AF631" s="22" t="str">
        <f t="shared" si="243"/>
        <v/>
      </c>
      <c r="AG631" s="9" t="str">
        <f t="shared" ca="1" si="222"/>
        <v/>
      </c>
      <c r="AH631" s="9" t="str">
        <f t="shared" ca="1" si="223"/>
        <v/>
      </c>
      <c r="AI631" s="9" t="str">
        <f t="shared" ca="1" si="224"/>
        <v/>
      </c>
      <c r="AJ631" s="9" t="str">
        <f t="shared" ca="1" si="225"/>
        <v/>
      </c>
      <c r="AK631" s="9" t="str">
        <f t="shared" ca="1" si="226"/>
        <v/>
      </c>
      <c r="AL631" s="9" t="str">
        <f t="shared" ca="1" si="227"/>
        <v/>
      </c>
      <c r="AM631" s="9" t="str">
        <f t="shared" ca="1" si="228"/>
        <v/>
      </c>
      <c r="AN631" s="9" t="str">
        <f t="shared" ca="1" si="229"/>
        <v/>
      </c>
      <c r="AO631" s="9" t="str">
        <f t="shared" ca="1" si="230"/>
        <v/>
      </c>
      <c r="AP631" s="9" t="str">
        <f t="shared" ca="1" si="231"/>
        <v/>
      </c>
      <c r="AQ631" s="9"/>
      <c r="AR631" s="9"/>
      <c r="AS631" s="9"/>
      <c r="AT631" s="9"/>
      <c r="AU631" s="9"/>
    </row>
    <row r="632" spans="1:47" x14ac:dyDescent="0.3">
      <c r="A632" s="1">
        <v>44377</v>
      </c>
      <c r="B632" s="6">
        <v>585.64001499999995</v>
      </c>
      <c r="C632" s="6">
        <v>275.790009</v>
      </c>
      <c r="D632" s="6">
        <v>45.674999</v>
      </c>
      <c r="E632" s="6">
        <v>148.16999799999999</v>
      </c>
      <c r="F632" s="6">
        <v>132.66999799999999</v>
      </c>
      <c r="G632" s="6">
        <v>48.98</v>
      </c>
      <c r="H632" s="6">
        <v>150.60000600000001</v>
      </c>
      <c r="I632" s="6">
        <v>223.429993</v>
      </c>
      <c r="J632" s="6">
        <v>32.490001999999997</v>
      </c>
      <c r="K632" s="6">
        <v>30.68</v>
      </c>
      <c r="N632" s="18">
        <v>628</v>
      </c>
      <c r="O632" s="1">
        <v>44377</v>
      </c>
      <c r="P632" s="5">
        <f t="shared" si="232"/>
        <v>-8.6876241287315789E-3</v>
      </c>
      <c r="Q632" s="5">
        <f t="shared" si="233"/>
        <v>-1.4130625341178917E-3</v>
      </c>
      <c r="R632" s="5">
        <f t="shared" si="234"/>
        <v>-2.2962123105653644E-3</v>
      </c>
      <c r="S632" s="5">
        <f t="shared" si="235"/>
        <v>8.3358959195050999E-3</v>
      </c>
      <c r="T632" s="5">
        <f t="shared" si="236"/>
        <v>-9.6017467403737324E-3</v>
      </c>
      <c r="U632" s="5">
        <f t="shared" si="237"/>
        <v>-9.9543939298667884E-3</v>
      </c>
      <c r="V632" s="5">
        <f t="shared" si="238"/>
        <v>9.1386420673156259E-3</v>
      </c>
      <c r="W632" s="5">
        <f t="shared" si="239"/>
        <v>1.893109157769898E-2</v>
      </c>
      <c r="X632" s="5">
        <f t="shared" si="240"/>
        <v>2.209521866350888E-2</v>
      </c>
      <c r="Y632" s="5">
        <f t="shared" si="241"/>
        <v>1.1144002578669205E-2</v>
      </c>
      <c r="Z632" s="33">
        <v>628</v>
      </c>
      <c r="AE632" s="20" t="str">
        <f t="shared" si="242"/>
        <v/>
      </c>
      <c r="AF632" s="22" t="str">
        <f t="shared" si="243"/>
        <v/>
      </c>
      <c r="AG632" s="9" t="str">
        <f t="shared" ca="1" si="222"/>
        <v/>
      </c>
      <c r="AH632" s="9" t="str">
        <f t="shared" ca="1" si="223"/>
        <v/>
      </c>
      <c r="AI632" s="9" t="str">
        <f t="shared" ca="1" si="224"/>
        <v/>
      </c>
      <c r="AJ632" s="9" t="str">
        <f t="shared" ca="1" si="225"/>
        <v/>
      </c>
      <c r="AK632" s="9" t="str">
        <f t="shared" ca="1" si="226"/>
        <v/>
      </c>
      <c r="AL632" s="9" t="str">
        <f t="shared" ca="1" si="227"/>
        <v/>
      </c>
      <c r="AM632" s="9" t="str">
        <f t="shared" ca="1" si="228"/>
        <v/>
      </c>
      <c r="AN632" s="9" t="str">
        <f t="shared" ca="1" si="229"/>
        <v/>
      </c>
      <c r="AO632" s="9" t="str">
        <f t="shared" ca="1" si="230"/>
        <v/>
      </c>
      <c r="AP632" s="9" t="str">
        <f t="shared" ca="1" si="231"/>
        <v/>
      </c>
      <c r="AQ632" s="9"/>
      <c r="AR632" s="9"/>
      <c r="AS632" s="9"/>
      <c r="AT632" s="9"/>
      <c r="AU632" s="9"/>
    </row>
    <row r="633" spans="1:47" x14ac:dyDescent="0.3">
      <c r="A633" s="1">
        <v>44378</v>
      </c>
      <c r="B633" s="6">
        <v>584.72997999999995</v>
      </c>
      <c r="C633" s="6">
        <v>277.10998499999999</v>
      </c>
      <c r="D633" s="6">
        <v>45.575001</v>
      </c>
      <c r="E633" s="6">
        <v>148.199997</v>
      </c>
      <c r="F633" s="6">
        <v>133.490005</v>
      </c>
      <c r="G633" s="6">
        <v>49.59</v>
      </c>
      <c r="H633" s="6">
        <v>150.96000699999999</v>
      </c>
      <c r="I633" s="6">
        <v>223.41999799999999</v>
      </c>
      <c r="J633" s="6">
        <v>33.150002000000001</v>
      </c>
      <c r="K633" s="6">
        <v>31.200001</v>
      </c>
      <c r="N633" s="19">
        <v>629</v>
      </c>
      <c r="O633" s="1">
        <v>44378</v>
      </c>
      <c r="P633" s="5">
        <f t="shared" si="232"/>
        <v>-1.5551239134478059E-3</v>
      </c>
      <c r="Q633" s="5">
        <f t="shared" si="233"/>
        <v>4.7747459652000973E-3</v>
      </c>
      <c r="R633" s="5">
        <f t="shared" si="234"/>
        <v>-2.1917378636745807E-3</v>
      </c>
      <c r="S633" s="5">
        <f t="shared" si="235"/>
        <v>2.0244289643732555E-4</v>
      </c>
      <c r="T633" s="5">
        <f t="shared" si="236"/>
        <v>6.161779269802368E-3</v>
      </c>
      <c r="U633" s="5">
        <f t="shared" si="237"/>
        <v>1.2377148977020878E-2</v>
      </c>
      <c r="V633" s="5">
        <f t="shared" si="238"/>
        <v>2.387592223763022E-3</v>
      </c>
      <c r="W633" s="5">
        <f t="shared" si="239"/>
        <v>-4.4735370719433197E-5</v>
      </c>
      <c r="X633" s="5">
        <f t="shared" si="240"/>
        <v>2.0110365725285625E-2</v>
      </c>
      <c r="Y633" s="5">
        <f t="shared" si="241"/>
        <v>1.6807150367662796E-2</v>
      </c>
      <c r="Z633" s="33">
        <v>629</v>
      </c>
      <c r="AE633" s="20" t="str">
        <f t="shared" si="242"/>
        <v/>
      </c>
      <c r="AF633" s="22" t="str">
        <f t="shared" si="243"/>
        <v/>
      </c>
      <c r="AG633" s="9" t="str">
        <f t="shared" ca="1" si="222"/>
        <v/>
      </c>
      <c r="AH633" s="9" t="str">
        <f t="shared" ca="1" si="223"/>
        <v/>
      </c>
      <c r="AI633" s="9" t="str">
        <f t="shared" ca="1" si="224"/>
        <v/>
      </c>
      <c r="AJ633" s="9" t="str">
        <f t="shared" ca="1" si="225"/>
        <v/>
      </c>
      <c r="AK633" s="9" t="str">
        <f t="shared" ca="1" si="226"/>
        <v/>
      </c>
      <c r="AL633" s="9" t="str">
        <f t="shared" ca="1" si="227"/>
        <v/>
      </c>
      <c r="AM633" s="9" t="str">
        <f t="shared" ca="1" si="228"/>
        <v/>
      </c>
      <c r="AN633" s="9" t="str">
        <f t="shared" ca="1" si="229"/>
        <v/>
      </c>
      <c r="AO633" s="9" t="str">
        <f t="shared" ca="1" si="230"/>
        <v/>
      </c>
      <c r="AP633" s="9" t="str">
        <f t="shared" ca="1" si="231"/>
        <v/>
      </c>
      <c r="AQ633" s="9"/>
      <c r="AR633" s="9"/>
      <c r="AS633" s="9"/>
      <c r="AT633" s="9"/>
      <c r="AU633" s="9"/>
    </row>
    <row r="634" spans="1:47" x14ac:dyDescent="0.3">
      <c r="A634" s="1">
        <v>44379</v>
      </c>
      <c r="B634" s="6">
        <v>593.07000700000003</v>
      </c>
      <c r="C634" s="6">
        <v>279.16000400000001</v>
      </c>
      <c r="D634" s="6">
        <v>45.43</v>
      </c>
      <c r="E634" s="6">
        <v>148.91000399999999</v>
      </c>
      <c r="F634" s="6">
        <v>134.229996</v>
      </c>
      <c r="G634" s="6">
        <v>49.720001000000003</v>
      </c>
      <c r="H634" s="6">
        <v>151.800003</v>
      </c>
      <c r="I634" s="6">
        <v>223.91000399999999</v>
      </c>
      <c r="J634" s="6">
        <v>33.040000999999997</v>
      </c>
      <c r="K634" s="6">
        <v>31.139999</v>
      </c>
      <c r="N634" s="18">
        <v>630</v>
      </c>
      <c r="O634" s="1">
        <v>44379</v>
      </c>
      <c r="P634" s="5">
        <f t="shared" si="232"/>
        <v>1.4162279654109175E-2</v>
      </c>
      <c r="Q634" s="5">
        <f t="shared" si="233"/>
        <v>7.3706233351530561E-3</v>
      </c>
      <c r="R634" s="5">
        <f t="shared" si="234"/>
        <v>-3.1866627352686912E-3</v>
      </c>
      <c r="S634" s="5">
        <f t="shared" si="235"/>
        <v>4.7794308449047758E-3</v>
      </c>
      <c r="T634" s="5">
        <f t="shared" si="236"/>
        <v>5.5281105763171096E-3</v>
      </c>
      <c r="U634" s="5">
        <f t="shared" si="237"/>
        <v>2.6180862540984761E-3</v>
      </c>
      <c r="V634" s="5">
        <f t="shared" si="238"/>
        <v>5.548937294182205E-3</v>
      </c>
      <c r="W634" s="5">
        <f t="shared" si="239"/>
        <v>2.1908040766153236E-3</v>
      </c>
      <c r="X634" s="5">
        <f t="shared" si="240"/>
        <v>-3.3237980445741146E-3</v>
      </c>
      <c r="Y634" s="5">
        <f t="shared" si="241"/>
        <v>-1.9249925739043788E-3</v>
      </c>
      <c r="Z634" s="33">
        <v>630</v>
      </c>
      <c r="AE634" s="20" t="str">
        <f t="shared" si="242"/>
        <v/>
      </c>
      <c r="AF634" s="22" t="str">
        <f t="shared" si="243"/>
        <v/>
      </c>
      <c r="AG634" s="9" t="str">
        <f t="shared" ca="1" si="222"/>
        <v/>
      </c>
      <c r="AH634" s="9" t="str">
        <f t="shared" ca="1" si="223"/>
        <v/>
      </c>
      <c r="AI634" s="9" t="str">
        <f t="shared" ca="1" si="224"/>
        <v/>
      </c>
      <c r="AJ634" s="9" t="str">
        <f t="shared" ca="1" si="225"/>
        <v/>
      </c>
      <c r="AK634" s="9" t="str">
        <f t="shared" ca="1" si="226"/>
        <v/>
      </c>
      <c r="AL634" s="9" t="str">
        <f t="shared" ca="1" si="227"/>
        <v/>
      </c>
      <c r="AM634" s="9" t="str">
        <f t="shared" ca="1" si="228"/>
        <v/>
      </c>
      <c r="AN634" s="9" t="str">
        <f t="shared" ca="1" si="229"/>
        <v/>
      </c>
      <c r="AO634" s="9" t="str">
        <f t="shared" ca="1" si="230"/>
        <v/>
      </c>
      <c r="AP634" s="9" t="str">
        <f t="shared" ca="1" si="231"/>
        <v/>
      </c>
      <c r="AQ634" s="9"/>
      <c r="AR634" s="9"/>
      <c r="AS634" s="9"/>
      <c r="AT634" s="9"/>
      <c r="AU634" s="9"/>
    </row>
    <row r="635" spans="1:47" x14ac:dyDescent="0.3">
      <c r="A635" s="1">
        <v>44383</v>
      </c>
      <c r="B635" s="6">
        <v>596.90002400000003</v>
      </c>
      <c r="C635" s="6">
        <v>279.290009</v>
      </c>
      <c r="D635" s="6">
        <v>45.305</v>
      </c>
      <c r="E635" s="6">
        <v>149.13000500000001</v>
      </c>
      <c r="F635" s="6">
        <v>136.820007</v>
      </c>
      <c r="G635" s="6">
        <v>50.369999</v>
      </c>
      <c r="H635" s="6">
        <v>150.570007</v>
      </c>
      <c r="I635" s="6">
        <v>222.479996</v>
      </c>
      <c r="J635" s="6">
        <v>32.389999000000003</v>
      </c>
      <c r="K635" s="6">
        <v>30.34</v>
      </c>
      <c r="N635" s="19">
        <v>631</v>
      </c>
      <c r="O635" s="1">
        <v>44383</v>
      </c>
      <c r="P635" s="5">
        <f t="shared" si="232"/>
        <v>6.437187703396575E-3</v>
      </c>
      <c r="Q635" s="5">
        <f t="shared" si="233"/>
        <v>4.6559226187520286E-4</v>
      </c>
      <c r="R635" s="5">
        <f t="shared" si="234"/>
        <v>-2.7552780972880382E-3</v>
      </c>
      <c r="S635" s="5">
        <f t="shared" si="235"/>
        <v>1.4763188385089391E-3</v>
      </c>
      <c r="T635" s="5">
        <f t="shared" si="236"/>
        <v>1.9111527795014877E-2</v>
      </c>
      <c r="U635" s="5">
        <f t="shared" si="237"/>
        <v>1.2988453149330918E-2</v>
      </c>
      <c r="V635" s="5">
        <f t="shared" si="238"/>
        <v>-8.1357458994196687E-3</v>
      </c>
      <c r="W635" s="5">
        <f t="shared" si="239"/>
        <v>-6.4070113210023842E-3</v>
      </c>
      <c r="X635" s="5">
        <f t="shared" si="240"/>
        <v>-1.9869276609609542E-2</v>
      </c>
      <c r="Y635" s="5">
        <f t="shared" si="241"/>
        <v>-2.6026160372427623E-2</v>
      </c>
      <c r="Z635" s="33">
        <v>631</v>
      </c>
      <c r="AE635" s="20" t="str">
        <f t="shared" si="242"/>
        <v/>
      </c>
      <c r="AF635" s="22" t="str">
        <f t="shared" si="243"/>
        <v/>
      </c>
      <c r="AG635" s="9" t="str">
        <f t="shared" ca="1" si="222"/>
        <v/>
      </c>
      <c r="AH635" s="9" t="str">
        <f t="shared" ca="1" si="223"/>
        <v/>
      </c>
      <c r="AI635" s="9" t="str">
        <f t="shared" ca="1" si="224"/>
        <v/>
      </c>
      <c r="AJ635" s="9" t="str">
        <f t="shared" ca="1" si="225"/>
        <v/>
      </c>
      <c r="AK635" s="9" t="str">
        <f t="shared" ca="1" si="226"/>
        <v/>
      </c>
      <c r="AL635" s="9" t="str">
        <f t="shared" ca="1" si="227"/>
        <v/>
      </c>
      <c r="AM635" s="9" t="str">
        <f t="shared" ca="1" si="228"/>
        <v/>
      </c>
      <c r="AN635" s="9" t="str">
        <f t="shared" ca="1" si="229"/>
        <v/>
      </c>
      <c r="AO635" s="9" t="str">
        <f t="shared" ca="1" si="230"/>
        <v/>
      </c>
      <c r="AP635" s="9" t="str">
        <f t="shared" ca="1" si="231"/>
        <v/>
      </c>
      <c r="AQ635" s="9"/>
      <c r="AR635" s="9"/>
      <c r="AS635" s="9"/>
      <c r="AT635" s="9"/>
      <c r="AU635" s="9"/>
    </row>
    <row r="636" spans="1:47" x14ac:dyDescent="0.3">
      <c r="A636" s="1">
        <v>44384</v>
      </c>
      <c r="B636" s="6">
        <v>605.77002000000005</v>
      </c>
      <c r="C636" s="6">
        <v>279.85998499999999</v>
      </c>
      <c r="D636" s="6">
        <v>45.419998</v>
      </c>
      <c r="E636" s="6">
        <v>149.78999300000001</v>
      </c>
      <c r="F636" s="6">
        <v>137.36000100000001</v>
      </c>
      <c r="G636" s="6">
        <v>50.98</v>
      </c>
      <c r="H636" s="6">
        <v>153.08000200000001</v>
      </c>
      <c r="I636" s="6">
        <v>226.11000100000001</v>
      </c>
      <c r="J636" s="6">
        <v>32.360000999999997</v>
      </c>
      <c r="K636" s="6">
        <v>29.559999000000001</v>
      </c>
      <c r="N636" s="18">
        <v>632</v>
      </c>
      <c r="O636" s="1">
        <v>44384</v>
      </c>
      <c r="P636" s="5">
        <f t="shared" si="232"/>
        <v>1.4750773706247809E-2</v>
      </c>
      <c r="Q636" s="5">
        <f t="shared" si="233"/>
        <v>2.03872378981174E-3</v>
      </c>
      <c r="R636" s="5">
        <f t="shared" si="234"/>
        <v>2.5350909699219664E-3</v>
      </c>
      <c r="S636" s="5">
        <f t="shared" si="235"/>
        <v>4.415824146049992E-3</v>
      </c>
      <c r="T636" s="5">
        <f t="shared" si="236"/>
        <v>3.9389793743985369E-3</v>
      </c>
      <c r="U636" s="5">
        <f t="shared" si="237"/>
        <v>1.2037659043497545E-2</v>
      </c>
      <c r="V636" s="5">
        <f t="shared" si="238"/>
        <v>1.6532534797609941E-2</v>
      </c>
      <c r="W636" s="5">
        <f t="shared" si="239"/>
        <v>1.61844189995493E-2</v>
      </c>
      <c r="X636" s="5">
        <f t="shared" si="240"/>
        <v>-9.2657921687214575E-4</v>
      </c>
      <c r="Y636" s="5">
        <f t="shared" si="241"/>
        <v>-2.6044911669884995E-2</v>
      </c>
      <c r="Z636" s="33">
        <v>632</v>
      </c>
      <c r="AE636" s="20" t="str">
        <f t="shared" si="242"/>
        <v/>
      </c>
      <c r="AF636" s="22" t="str">
        <f t="shared" si="243"/>
        <v/>
      </c>
      <c r="AG636" s="9" t="str">
        <f t="shared" ca="1" si="222"/>
        <v/>
      </c>
      <c r="AH636" s="9" t="str">
        <f t="shared" ca="1" si="223"/>
        <v/>
      </c>
      <c r="AI636" s="9" t="str">
        <f t="shared" ca="1" si="224"/>
        <v/>
      </c>
      <c r="AJ636" s="9" t="str">
        <f t="shared" ca="1" si="225"/>
        <v/>
      </c>
      <c r="AK636" s="9" t="str">
        <f t="shared" ca="1" si="226"/>
        <v/>
      </c>
      <c r="AL636" s="9" t="str">
        <f t="shared" ca="1" si="227"/>
        <v/>
      </c>
      <c r="AM636" s="9" t="str">
        <f t="shared" ca="1" si="228"/>
        <v/>
      </c>
      <c r="AN636" s="9" t="str">
        <f t="shared" ca="1" si="229"/>
        <v/>
      </c>
      <c r="AO636" s="9" t="str">
        <f t="shared" ca="1" si="230"/>
        <v/>
      </c>
      <c r="AP636" s="9" t="str">
        <f t="shared" ca="1" si="231"/>
        <v/>
      </c>
      <c r="AQ636" s="9"/>
      <c r="AR636" s="9"/>
      <c r="AS636" s="9"/>
      <c r="AT636" s="9"/>
      <c r="AU636" s="9"/>
    </row>
    <row r="637" spans="1:47" x14ac:dyDescent="0.3">
      <c r="A637" s="1">
        <v>44385</v>
      </c>
      <c r="B637" s="6">
        <v>605.95001200000002</v>
      </c>
      <c r="C637" s="6">
        <v>278.85998499999999</v>
      </c>
      <c r="D637" s="6">
        <v>44.919998</v>
      </c>
      <c r="E637" s="6">
        <v>149.86000100000001</v>
      </c>
      <c r="F637" s="6">
        <v>138.83000200000001</v>
      </c>
      <c r="G637" s="6">
        <v>51.139999000000003</v>
      </c>
      <c r="H637" s="6">
        <v>151.13999899999999</v>
      </c>
      <c r="I637" s="6">
        <v>223.75</v>
      </c>
      <c r="J637" s="6">
        <v>31.93</v>
      </c>
      <c r="K637" s="6">
        <v>28.780000999999999</v>
      </c>
      <c r="N637" s="19">
        <v>633</v>
      </c>
      <c r="O637" s="1">
        <v>44385</v>
      </c>
      <c r="P637" s="5">
        <f t="shared" si="232"/>
        <v>2.970851295191267E-4</v>
      </c>
      <c r="Q637" s="5">
        <f t="shared" si="233"/>
        <v>-3.5796145528971955E-3</v>
      </c>
      <c r="R637" s="5">
        <f t="shared" si="234"/>
        <v>-1.1069407297302094E-2</v>
      </c>
      <c r="S637" s="5">
        <f t="shared" si="235"/>
        <v>4.672651605245352E-4</v>
      </c>
      <c r="T637" s="5">
        <f t="shared" si="236"/>
        <v>1.0644953583459118E-2</v>
      </c>
      <c r="U637" s="5">
        <f t="shared" si="237"/>
        <v>3.1335513609060612E-3</v>
      </c>
      <c r="V637" s="5">
        <f t="shared" si="238"/>
        <v>-1.2754120646373938E-2</v>
      </c>
      <c r="W637" s="5">
        <f t="shared" si="239"/>
        <v>-1.0492253791149651E-2</v>
      </c>
      <c r="X637" s="5">
        <f t="shared" si="240"/>
        <v>-1.3377116365948304E-2</v>
      </c>
      <c r="Y637" s="5">
        <f t="shared" si="241"/>
        <v>-2.674132604492847E-2</v>
      </c>
      <c r="Z637" s="33">
        <v>633</v>
      </c>
      <c r="AE637" s="20" t="str">
        <f t="shared" si="242"/>
        <v/>
      </c>
      <c r="AF637" s="22" t="str">
        <f t="shared" si="243"/>
        <v/>
      </c>
      <c r="AG637" s="9" t="str">
        <f t="shared" ca="1" si="222"/>
        <v/>
      </c>
      <c r="AH637" s="9" t="str">
        <f t="shared" ca="1" si="223"/>
        <v/>
      </c>
      <c r="AI637" s="9" t="str">
        <f t="shared" ca="1" si="224"/>
        <v/>
      </c>
      <c r="AJ637" s="9" t="str">
        <f t="shared" ca="1" si="225"/>
        <v/>
      </c>
      <c r="AK637" s="9" t="str">
        <f t="shared" ca="1" si="226"/>
        <v/>
      </c>
      <c r="AL637" s="9" t="str">
        <f t="shared" ca="1" si="227"/>
        <v/>
      </c>
      <c r="AM637" s="9" t="str">
        <f t="shared" ca="1" si="228"/>
        <v/>
      </c>
      <c r="AN637" s="9" t="str">
        <f t="shared" ca="1" si="229"/>
        <v/>
      </c>
      <c r="AO637" s="9" t="str">
        <f t="shared" ca="1" si="230"/>
        <v/>
      </c>
      <c r="AP637" s="9" t="str">
        <f t="shared" ca="1" si="231"/>
        <v/>
      </c>
      <c r="AQ637" s="9"/>
      <c r="AR637" s="9"/>
      <c r="AS637" s="9"/>
      <c r="AT637" s="9"/>
      <c r="AU637" s="9"/>
    </row>
    <row r="638" spans="1:47" x14ac:dyDescent="0.3">
      <c r="A638" s="1">
        <v>44386</v>
      </c>
      <c r="B638" s="6">
        <v>604.5</v>
      </c>
      <c r="C638" s="6">
        <v>280.75</v>
      </c>
      <c r="D638" s="6">
        <v>45.119999</v>
      </c>
      <c r="E638" s="6">
        <v>149.479996</v>
      </c>
      <c r="F638" s="6">
        <v>141.179993</v>
      </c>
      <c r="G638" s="6">
        <v>51.959999000000003</v>
      </c>
      <c r="H638" s="6">
        <v>153.46000699999999</v>
      </c>
      <c r="I638" s="6">
        <v>227.64999399999999</v>
      </c>
      <c r="J638" s="6">
        <v>33.080002</v>
      </c>
      <c r="K638" s="6">
        <v>29.299999</v>
      </c>
      <c r="N638" s="18">
        <v>634</v>
      </c>
      <c r="O638" s="1">
        <v>44386</v>
      </c>
      <c r="P638" s="5">
        <f t="shared" si="232"/>
        <v>-2.3958241632630259E-3</v>
      </c>
      <c r="Q638" s="5">
        <f t="shared" si="233"/>
        <v>6.7547836421116177E-3</v>
      </c>
      <c r="R638" s="5">
        <f t="shared" si="234"/>
        <v>4.4424996800387952E-3</v>
      </c>
      <c r="S638" s="5">
        <f t="shared" si="235"/>
        <v>-2.5389537512093101E-3</v>
      </c>
      <c r="T638" s="5">
        <f t="shared" si="236"/>
        <v>1.6785444932411828E-2</v>
      </c>
      <c r="U638" s="5">
        <f t="shared" si="237"/>
        <v>1.5907222247949847E-2</v>
      </c>
      <c r="V638" s="5">
        <f t="shared" si="238"/>
        <v>1.523343938781882E-2</v>
      </c>
      <c r="W638" s="5">
        <f t="shared" si="239"/>
        <v>1.7279978269577365E-2</v>
      </c>
      <c r="X638" s="5">
        <f t="shared" si="240"/>
        <v>3.5382923888290251E-2</v>
      </c>
      <c r="Y638" s="5">
        <f t="shared" si="241"/>
        <v>1.7906745687755351E-2</v>
      </c>
      <c r="Z638" s="33">
        <v>634</v>
      </c>
      <c r="AE638" s="20" t="str">
        <f t="shared" si="242"/>
        <v/>
      </c>
      <c r="AF638" s="22" t="str">
        <f t="shared" si="243"/>
        <v/>
      </c>
      <c r="AG638" s="9" t="str">
        <f t="shared" ca="1" si="222"/>
        <v/>
      </c>
      <c r="AH638" s="9" t="str">
        <f t="shared" ca="1" si="223"/>
        <v/>
      </c>
      <c r="AI638" s="9" t="str">
        <f t="shared" ca="1" si="224"/>
        <v/>
      </c>
      <c r="AJ638" s="9" t="str">
        <f t="shared" ca="1" si="225"/>
        <v/>
      </c>
      <c r="AK638" s="9" t="str">
        <f t="shared" ca="1" si="226"/>
        <v/>
      </c>
      <c r="AL638" s="9" t="str">
        <f t="shared" ca="1" si="227"/>
        <v/>
      </c>
      <c r="AM638" s="9" t="str">
        <f t="shared" ca="1" si="228"/>
        <v/>
      </c>
      <c r="AN638" s="9" t="str">
        <f t="shared" ca="1" si="229"/>
        <v/>
      </c>
      <c r="AO638" s="9" t="str">
        <f t="shared" ca="1" si="230"/>
        <v/>
      </c>
      <c r="AP638" s="9" t="str">
        <f t="shared" ca="1" si="231"/>
        <v/>
      </c>
      <c r="AQ638" s="9"/>
      <c r="AR638" s="9"/>
      <c r="AS638" s="9"/>
      <c r="AT638" s="9"/>
      <c r="AU638" s="9"/>
    </row>
    <row r="639" spans="1:47" x14ac:dyDescent="0.3">
      <c r="A639" s="1">
        <v>44389</v>
      </c>
      <c r="B639" s="6">
        <v>600.20001200000002</v>
      </c>
      <c r="C639" s="6">
        <v>278.55999800000001</v>
      </c>
      <c r="D639" s="6">
        <v>45.584999000000003</v>
      </c>
      <c r="E639" s="6">
        <v>149.509995</v>
      </c>
      <c r="F639" s="6">
        <v>142.14999399999999</v>
      </c>
      <c r="G639" s="6">
        <v>52.279998999999997</v>
      </c>
      <c r="H639" s="6">
        <v>154.88000500000001</v>
      </c>
      <c r="I639" s="6">
        <v>227.070007</v>
      </c>
      <c r="J639" s="6">
        <v>33</v>
      </c>
      <c r="K639" s="6">
        <v>29.65</v>
      </c>
      <c r="N639" s="19">
        <v>635</v>
      </c>
      <c r="O639" s="1">
        <v>44389</v>
      </c>
      <c r="P639" s="5">
        <f t="shared" si="232"/>
        <v>-7.138717055245233E-3</v>
      </c>
      <c r="Q639" s="5">
        <f t="shared" si="233"/>
        <v>-7.8311247784553662E-3</v>
      </c>
      <c r="R639" s="5">
        <f t="shared" si="234"/>
        <v>1.0253108073142494E-2</v>
      </c>
      <c r="S639" s="5">
        <f t="shared" si="235"/>
        <v>2.006689254067906E-4</v>
      </c>
      <c r="T639" s="5">
        <f t="shared" si="236"/>
        <v>6.8471735028426128E-3</v>
      </c>
      <c r="U639" s="5">
        <f t="shared" si="237"/>
        <v>6.1396970714221802E-3</v>
      </c>
      <c r="V639" s="5">
        <f t="shared" si="238"/>
        <v>9.210663447313942E-3</v>
      </c>
      <c r="W639" s="5">
        <f t="shared" si="239"/>
        <v>-2.5509646078586091E-3</v>
      </c>
      <c r="X639" s="5">
        <f t="shared" si="240"/>
        <v>-2.4213691485006511E-3</v>
      </c>
      <c r="Y639" s="5">
        <f t="shared" si="241"/>
        <v>1.1874643550406237E-2</v>
      </c>
      <c r="Z639" s="33">
        <v>635</v>
      </c>
      <c r="AE639" s="20" t="str">
        <f t="shared" si="242"/>
        <v/>
      </c>
      <c r="AF639" s="22" t="str">
        <f t="shared" si="243"/>
        <v/>
      </c>
      <c r="AG639" s="9" t="str">
        <f t="shared" ca="1" si="222"/>
        <v/>
      </c>
      <c r="AH639" s="9" t="str">
        <f t="shared" ca="1" si="223"/>
        <v/>
      </c>
      <c r="AI639" s="9" t="str">
        <f t="shared" ca="1" si="224"/>
        <v/>
      </c>
      <c r="AJ639" s="9" t="str">
        <f t="shared" ca="1" si="225"/>
        <v/>
      </c>
      <c r="AK639" s="9" t="str">
        <f t="shared" ca="1" si="226"/>
        <v/>
      </c>
      <c r="AL639" s="9" t="str">
        <f t="shared" ca="1" si="227"/>
        <v/>
      </c>
      <c r="AM639" s="9" t="str">
        <f t="shared" ca="1" si="228"/>
        <v/>
      </c>
      <c r="AN639" s="9" t="str">
        <f t="shared" ca="1" si="229"/>
        <v/>
      </c>
      <c r="AO639" s="9" t="str">
        <f t="shared" ca="1" si="230"/>
        <v/>
      </c>
      <c r="AP639" s="9" t="str">
        <f t="shared" ca="1" si="231"/>
        <v/>
      </c>
      <c r="AQ639" s="9"/>
      <c r="AR639" s="9"/>
      <c r="AS639" s="9"/>
      <c r="AT639" s="9"/>
      <c r="AU639" s="9"/>
    </row>
    <row r="640" spans="1:47" x14ac:dyDescent="0.3">
      <c r="A640" s="1">
        <v>44390</v>
      </c>
      <c r="B640" s="6">
        <v>605.01000999999997</v>
      </c>
      <c r="C640" s="6">
        <v>278.08999599999999</v>
      </c>
      <c r="D640" s="6">
        <v>46.009998000000003</v>
      </c>
      <c r="E640" s="6">
        <v>152.96000699999999</v>
      </c>
      <c r="F640" s="6">
        <v>140.91000399999999</v>
      </c>
      <c r="G640" s="6">
        <v>51.900002000000001</v>
      </c>
      <c r="H640" s="6">
        <v>154.41000399999999</v>
      </c>
      <c r="I640" s="6">
        <v>223.509995</v>
      </c>
      <c r="J640" s="6">
        <v>32.360000999999997</v>
      </c>
      <c r="K640" s="6">
        <v>29.1</v>
      </c>
      <c r="N640" s="18">
        <v>636</v>
      </c>
      <c r="O640" s="1">
        <v>44390</v>
      </c>
      <c r="P640" s="5">
        <f t="shared" si="232"/>
        <v>7.982050348910287E-3</v>
      </c>
      <c r="Q640" s="5">
        <f t="shared" si="233"/>
        <v>-1.6886809189109603E-3</v>
      </c>
      <c r="R640" s="5">
        <f t="shared" si="234"/>
        <v>9.2800275987400382E-3</v>
      </c>
      <c r="S640" s="5">
        <f t="shared" si="235"/>
        <v>2.2813248283431464E-2</v>
      </c>
      <c r="T640" s="5">
        <f t="shared" si="236"/>
        <v>-8.7613787941470383E-3</v>
      </c>
      <c r="U640" s="5">
        <f t="shared" si="237"/>
        <v>-7.2950409207596812E-3</v>
      </c>
      <c r="V640" s="5">
        <f t="shared" si="238"/>
        <v>-3.0392275734939553E-3</v>
      </c>
      <c r="W640" s="5">
        <f t="shared" si="239"/>
        <v>-1.5802237405043454E-2</v>
      </c>
      <c r="X640" s="5">
        <f t="shared" si="240"/>
        <v>-1.9584438373841318E-2</v>
      </c>
      <c r="Y640" s="5">
        <f t="shared" si="241"/>
        <v>-1.8723951266287526E-2</v>
      </c>
      <c r="Z640" s="33">
        <v>636</v>
      </c>
      <c r="AE640" s="20" t="str">
        <f t="shared" si="242"/>
        <v/>
      </c>
      <c r="AF640" s="22" t="str">
        <f t="shared" si="243"/>
        <v/>
      </c>
      <c r="AG640" s="9" t="str">
        <f t="shared" ca="1" si="222"/>
        <v/>
      </c>
      <c r="AH640" s="9" t="str">
        <f t="shared" ca="1" si="223"/>
        <v/>
      </c>
      <c r="AI640" s="9" t="str">
        <f t="shared" ca="1" si="224"/>
        <v/>
      </c>
      <c r="AJ640" s="9" t="str">
        <f t="shared" ca="1" si="225"/>
        <v/>
      </c>
      <c r="AK640" s="9" t="str">
        <f t="shared" ca="1" si="226"/>
        <v/>
      </c>
      <c r="AL640" s="9" t="str">
        <f t="shared" ca="1" si="227"/>
        <v/>
      </c>
      <c r="AM640" s="9" t="str">
        <f t="shared" ca="1" si="228"/>
        <v/>
      </c>
      <c r="AN640" s="9" t="str">
        <f t="shared" ca="1" si="229"/>
        <v/>
      </c>
      <c r="AO640" s="9" t="str">
        <f t="shared" ca="1" si="230"/>
        <v/>
      </c>
      <c r="AP640" s="9" t="str">
        <f t="shared" ca="1" si="231"/>
        <v/>
      </c>
      <c r="AQ640" s="9"/>
      <c r="AR640" s="9"/>
      <c r="AS640" s="9"/>
      <c r="AT640" s="9"/>
      <c r="AU640" s="9"/>
    </row>
    <row r="641" spans="1:47" x14ac:dyDescent="0.3">
      <c r="A641" s="1">
        <v>44391</v>
      </c>
      <c r="B641" s="6">
        <v>608.830017</v>
      </c>
      <c r="C641" s="6">
        <v>279.07998700000002</v>
      </c>
      <c r="D641" s="6">
        <v>46.5</v>
      </c>
      <c r="E641" s="6">
        <v>154.53999300000001</v>
      </c>
      <c r="F641" s="6">
        <v>141.979996</v>
      </c>
      <c r="G641" s="6">
        <v>52.32</v>
      </c>
      <c r="H641" s="6">
        <v>155.300003</v>
      </c>
      <c r="I641" s="6">
        <v>224.949997</v>
      </c>
      <c r="J641" s="6">
        <v>32.490001999999997</v>
      </c>
      <c r="K641" s="6">
        <v>28.74</v>
      </c>
      <c r="N641" s="19">
        <v>637</v>
      </c>
      <c r="O641" s="1">
        <v>44391</v>
      </c>
      <c r="P641" s="5">
        <f t="shared" si="232"/>
        <v>6.2941071740415548E-3</v>
      </c>
      <c r="Q641" s="5">
        <f t="shared" si="233"/>
        <v>3.5536445682233437E-3</v>
      </c>
      <c r="R641" s="5">
        <f t="shared" si="234"/>
        <v>1.05935918947454E-2</v>
      </c>
      <c r="S641" s="5">
        <f t="shared" si="235"/>
        <v>1.0276422143032227E-2</v>
      </c>
      <c r="T641" s="5">
        <f t="shared" si="236"/>
        <v>7.5647573443307073E-3</v>
      </c>
      <c r="U641" s="5">
        <f t="shared" si="237"/>
        <v>8.0598784414556458E-3</v>
      </c>
      <c r="V641" s="5">
        <f t="shared" si="238"/>
        <v>5.7473212342609367E-3</v>
      </c>
      <c r="W641" s="5">
        <f t="shared" si="239"/>
        <v>6.4220085392442897E-3</v>
      </c>
      <c r="X641" s="5">
        <f t="shared" si="240"/>
        <v>4.0092881457703487E-3</v>
      </c>
      <c r="Y641" s="5">
        <f t="shared" si="241"/>
        <v>-1.244829352656803E-2</v>
      </c>
      <c r="Z641" s="33">
        <v>637</v>
      </c>
      <c r="AE641" s="20" t="str">
        <f t="shared" si="242"/>
        <v/>
      </c>
      <c r="AF641" s="22" t="str">
        <f t="shared" si="243"/>
        <v/>
      </c>
      <c r="AG641" s="9" t="str">
        <f t="shared" ca="1" si="222"/>
        <v/>
      </c>
      <c r="AH641" s="9" t="str">
        <f t="shared" ca="1" si="223"/>
        <v/>
      </c>
      <c r="AI641" s="9" t="str">
        <f t="shared" ca="1" si="224"/>
        <v/>
      </c>
      <c r="AJ641" s="9" t="str">
        <f t="shared" ca="1" si="225"/>
        <v/>
      </c>
      <c r="AK641" s="9" t="str">
        <f t="shared" ca="1" si="226"/>
        <v/>
      </c>
      <c r="AL641" s="9" t="str">
        <f t="shared" ca="1" si="227"/>
        <v/>
      </c>
      <c r="AM641" s="9" t="str">
        <f t="shared" ca="1" si="228"/>
        <v/>
      </c>
      <c r="AN641" s="9" t="str">
        <f t="shared" ca="1" si="229"/>
        <v/>
      </c>
      <c r="AO641" s="9" t="str">
        <f t="shared" ca="1" si="230"/>
        <v/>
      </c>
      <c r="AP641" s="9" t="str">
        <f t="shared" ca="1" si="231"/>
        <v/>
      </c>
      <c r="AQ641" s="9"/>
      <c r="AR641" s="9"/>
      <c r="AS641" s="9"/>
      <c r="AT641" s="9"/>
      <c r="AU641" s="9"/>
    </row>
    <row r="642" spans="1:47" x14ac:dyDescent="0.3">
      <c r="A642" s="1">
        <v>44392</v>
      </c>
      <c r="B642" s="6">
        <v>606.169983</v>
      </c>
      <c r="C642" s="6">
        <v>277.67999300000002</v>
      </c>
      <c r="D642" s="6">
        <v>46.810001</v>
      </c>
      <c r="E642" s="6">
        <v>155.25</v>
      </c>
      <c r="F642" s="6">
        <v>143.03999300000001</v>
      </c>
      <c r="G642" s="6">
        <v>52.77</v>
      </c>
      <c r="H642" s="6">
        <v>155.64999399999999</v>
      </c>
      <c r="I642" s="6">
        <v>223.61999499999999</v>
      </c>
      <c r="J642" s="6">
        <v>32.060001</v>
      </c>
      <c r="K642" s="6">
        <v>28.459999</v>
      </c>
      <c r="N642" s="18">
        <v>638</v>
      </c>
      <c r="O642" s="1">
        <v>44392</v>
      </c>
      <c r="P642" s="5">
        <f t="shared" si="232"/>
        <v>-4.3786637860094169E-3</v>
      </c>
      <c r="Q642" s="5">
        <f t="shared" si="233"/>
        <v>-5.0290861447523892E-3</v>
      </c>
      <c r="R642" s="5">
        <f t="shared" si="234"/>
        <v>6.6445640816249407E-3</v>
      </c>
      <c r="S642" s="5">
        <f t="shared" si="235"/>
        <v>4.5838036038676217E-3</v>
      </c>
      <c r="T642" s="5">
        <f t="shared" si="236"/>
        <v>7.4380880495854614E-3</v>
      </c>
      <c r="U642" s="5">
        <f t="shared" si="237"/>
        <v>8.5641402686333044E-3</v>
      </c>
      <c r="V642" s="5">
        <f t="shared" si="238"/>
        <v>2.2511088675007339E-3</v>
      </c>
      <c r="W642" s="5">
        <f t="shared" si="239"/>
        <v>-5.9299815910221487E-3</v>
      </c>
      <c r="X642" s="5">
        <f t="shared" si="240"/>
        <v>-1.3323232865486881E-2</v>
      </c>
      <c r="Y642" s="5">
        <f t="shared" si="241"/>
        <v>-9.7903231262075879E-3</v>
      </c>
      <c r="Z642" s="33">
        <v>638</v>
      </c>
      <c r="AE642" s="20" t="str">
        <f t="shared" si="242"/>
        <v/>
      </c>
      <c r="AF642" s="22" t="str">
        <f t="shared" si="243"/>
        <v/>
      </c>
      <c r="AG642" s="9" t="str">
        <f t="shared" ca="1" si="222"/>
        <v/>
      </c>
      <c r="AH642" s="9" t="str">
        <f t="shared" ca="1" si="223"/>
        <v/>
      </c>
      <c r="AI642" s="9" t="str">
        <f t="shared" ca="1" si="224"/>
        <v/>
      </c>
      <c r="AJ642" s="9" t="str">
        <f t="shared" ca="1" si="225"/>
        <v/>
      </c>
      <c r="AK642" s="9" t="str">
        <f t="shared" ca="1" si="226"/>
        <v/>
      </c>
      <c r="AL642" s="9" t="str">
        <f t="shared" ca="1" si="227"/>
        <v/>
      </c>
      <c r="AM642" s="9" t="str">
        <f t="shared" ca="1" si="228"/>
        <v/>
      </c>
      <c r="AN642" s="9" t="str">
        <f t="shared" ca="1" si="229"/>
        <v/>
      </c>
      <c r="AO642" s="9" t="str">
        <f t="shared" ca="1" si="230"/>
        <v/>
      </c>
      <c r="AP642" s="9" t="str">
        <f t="shared" ca="1" si="231"/>
        <v/>
      </c>
      <c r="AQ642" s="9"/>
      <c r="AR642" s="9"/>
      <c r="AS642" s="9"/>
      <c r="AT642" s="9"/>
      <c r="AU642" s="9"/>
    </row>
    <row r="643" spans="1:47" x14ac:dyDescent="0.3">
      <c r="A643" s="1">
        <v>44393</v>
      </c>
      <c r="B643" s="6">
        <v>606.09997599999997</v>
      </c>
      <c r="C643" s="6">
        <v>276.55999800000001</v>
      </c>
      <c r="D643" s="6">
        <v>46.534999999999997</v>
      </c>
      <c r="E643" s="6">
        <v>155.820007</v>
      </c>
      <c r="F643" s="6">
        <v>144.020004</v>
      </c>
      <c r="G643" s="6">
        <v>53.25</v>
      </c>
      <c r="H643" s="6">
        <v>154.949997</v>
      </c>
      <c r="I643" s="6">
        <v>219.800003</v>
      </c>
      <c r="J643" s="6">
        <v>31.440000999999999</v>
      </c>
      <c r="K643" s="6">
        <v>28.18</v>
      </c>
      <c r="N643" s="19">
        <v>639</v>
      </c>
      <c r="O643" s="1">
        <v>44393</v>
      </c>
      <c r="P643" s="5">
        <f t="shared" si="232"/>
        <v>-1.1549737673211758E-4</v>
      </c>
      <c r="Q643" s="5">
        <f t="shared" si="233"/>
        <v>-4.0415579629917526E-3</v>
      </c>
      <c r="R643" s="5">
        <f t="shared" si="234"/>
        <v>-5.8921590372618595E-3</v>
      </c>
      <c r="S643" s="5">
        <f t="shared" si="235"/>
        <v>3.6648190127528462E-3</v>
      </c>
      <c r="T643" s="5">
        <f t="shared" si="236"/>
        <v>6.8279441067979636E-3</v>
      </c>
      <c r="U643" s="5">
        <f t="shared" si="237"/>
        <v>9.0549571719578809E-3</v>
      </c>
      <c r="V643" s="5">
        <f t="shared" si="238"/>
        <v>-4.5073934669191918E-3</v>
      </c>
      <c r="W643" s="5">
        <f t="shared" si="239"/>
        <v>-1.723010474156959E-2</v>
      </c>
      <c r="X643" s="5">
        <f t="shared" si="240"/>
        <v>-1.9528179005301276E-2</v>
      </c>
      <c r="Y643" s="5">
        <f t="shared" si="241"/>
        <v>-9.8870510541371331E-3</v>
      </c>
      <c r="Z643" s="33">
        <v>639</v>
      </c>
      <c r="AE643" s="20" t="str">
        <f t="shared" si="242"/>
        <v/>
      </c>
      <c r="AF643" s="22" t="str">
        <f t="shared" si="243"/>
        <v/>
      </c>
      <c r="AG643" s="9" t="str">
        <f t="shared" ca="1" si="222"/>
        <v/>
      </c>
      <c r="AH643" s="9" t="str">
        <f t="shared" ca="1" si="223"/>
        <v/>
      </c>
      <c r="AI643" s="9" t="str">
        <f t="shared" ca="1" si="224"/>
        <v/>
      </c>
      <c r="AJ643" s="9" t="str">
        <f t="shared" ca="1" si="225"/>
        <v/>
      </c>
      <c r="AK643" s="9" t="str">
        <f t="shared" ca="1" si="226"/>
        <v/>
      </c>
      <c r="AL643" s="9" t="str">
        <f t="shared" ca="1" si="227"/>
        <v/>
      </c>
      <c r="AM643" s="9" t="str">
        <f t="shared" ca="1" si="228"/>
        <v/>
      </c>
      <c r="AN643" s="9" t="str">
        <f t="shared" ca="1" si="229"/>
        <v/>
      </c>
      <c r="AO643" s="9" t="str">
        <f t="shared" ca="1" si="230"/>
        <v/>
      </c>
      <c r="AP643" s="9" t="str">
        <f t="shared" ca="1" si="231"/>
        <v/>
      </c>
      <c r="AQ643" s="9"/>
      <c r="AR643" s="9"/>
      <c r="AS643" s="9"/>
      <c r="AT643" s="9"/>
      <c r="AU643" s="9"/>
    </row>
    <row r="644" spans="1:47" x14ac:dyDescent="0.3">
      <c r="A644" s="1">
        <v>44396</v>
      </c>
      <c r="B644" s="6">
        <v>602.04998799999998</v>
      </c>
      <c r="C644" s="6">
        <v>274.48001099999999</v>
      </c>
      <c r="D644" s="6">
        <v>46.125</v>
      </c>
      <c r="E644" s="6">
        <v>155.800003</v>
      </c>
      <c r="F644" s="6">
        <v>142.91999799999999</v>
      </c>
      <c r="G644" s="6">
        <v>52.709999000000003</v>
      </c>
      <c r="H644" s="6">
        <v>151.970001</v>
      </c>
      <c r="I644" s="6">
        <v>216.36999499999999</v>
      </c>
      <c r="J644" s="6">
        <v>30.9</v>
      </c>
      <c r="K644" s="6">
        <v>27.82</v>
      </c>
      <c r="N644" s="18">
        <v>640</v>
      </c>
      <c r="O644" s="1">
        <v>44396</v>
      </c>
      <c r="P644" s="5">
        <f t="shared" si="232"/>
        <v>-6.7044709534839399E-3</v>
      </c>
      <c r="Q644" s="5">
        <f t="shared" si="233"/>
        <v>-7.5493497556921724E-3</v>
      </c>
      <c r="R644" s="5">
        <f t="shared" si="234"/>
        <v>-8.8496152769824993E-3</v>
      </c>
      <c r="S644" s="5">
        <f t="shared" si="235"/>
        <v>-1.2838713423744604E-4</v>
      </c>
      <c r="T644" s="5">
        <f t="shared" si="236"/>
        <v>-7.6671874332744994E-3</v>
      </c>
      <c r="U644" s="5">
        <f t="shared" si="237"/>
        <v>-1.0192632694151223E-2</v>
      </c>
      <c r="V644" s="5">
        <f t="shared" si="238"/>
        <v>-1.9419325346912927E-2</v>
      </c>
      <c r="W644" s="5">
        <f t="shared" si="239"/>
        <v>-1.5728173527518652E-2</v>
      </c>
      <c r="X644" s="5">
        <f t="shared" si="240"/>
        <v>-1.7324815463921346E-2</v>
      </c>
      <c r="Y644" s="5">
        <f t="shared" si="241"/>
        <v>-1.2857319975237317E-2</v>
      </c>
      <c r="Z644" s="33">
        <v>640</v>
      </c>
      <c r="AE644" s="20" t="str">
        <f t="shared" si="242"/>
        <v/>
      </c>
      <c r="AF644" s="22" t="str">
        <f t="shared" si="243"/>
        <v/>
      </c>
      <c r="AG644" s="9" t="str">
        <f t="shared" ca="1" si="222"/>
        <v/>
      </c>
      <c r="AH644" s="9" t="str">
        <f t="shared" ca="1" si="223"/>
        <v/>
      </c>
      <c r="AI644" s="9" t="str">
        <f t="shared" ca="1" si="224"/>
        <v/>
      </c>
      <c r="AJ644" s="9" t="str">
        <f t="shared" ca="1" si="225"/>
        <v/>
      </c>
      <c r="AK644" s="9" t="str">
        <f t="shared" ca="1" si="226"/>
        <v/>
      </c>
      <c r="AL644" s="9" t="str">
        <f t="shared" ca="1" si="227"/>
        <v/>
      </c>
      <c r="AM644" s="9" t="str">
        <f t="shared" ca="1" si="228"/>
        <v/>
      </c>
      <c r="AN644" s="9" t="str">
        <f t="shared" ca="1" si="229"/>
        <v/>
      </c>
      <c r="AO644" s="9" t="str">
        <f t="shared" ca="1" si="230"/>
        <v/>
      </c>
      <c r="AP644" s="9" t="str">
        <f t="shared" ca="1" si="231"/>
        <v/>
      </c>
      <c r="AQ644" s="9"/>
      <c r="AR644" s="9"/>
      <c r="AS644" s="9"/>
      <c r="AT644" s="9"/>
      <c r="AU644" s="9"/>
    </row>
    <row r="645" spans="1:47" x14ac:dyDescent="0.3">
      <c r="A645" s="1">
        <v>44397</v>
      </c>
      <c r="B645" s="6">
        <v>608.71997099999999</v>
      </c>
      <c r="C645" s="6">
        <v>277.89001500000001</v>
      </c>
      <c r="D645" s="6">
        <v>46.854999999999997</v>
      </c>
      <c r="E645" s="6">
        <v>155.820007</v>
      </c>
      <c r="F645" s="6">
        <v>146.78999300000001</v>
      </c>
      <c r="G645" s="6">
        <v>54.169998</v>
      </c>
      <c r="H645" s="6">
        <v>162.13999899999999</v>
      </c>
      <c r="I645" s="6">
        <v>223.259995</v>
      </c>
      <c r="J645" s="6">
        <v>31.27</v>
      </c>
      <c r="K645" s="6">
        <v>28.129999000000002</v>
      </c>
      <c r="N645" s="19">
        <v>641</v>
      </c>
      <c r="O645" s="1">
        <v>44397</v>
      </c>
      <c r="P645" s="5">
        <f t="shared" si="232"/>
        <v>1.101786582098622E-2</v>
      </c>
      <c r="Q645" s="5">
        <f t="shared" si="233"/>
        <v>1.234696728626402E-2</v>
      </c>
      <c r="R645" s="5">
        <f t="shared" si="234"/>
        <v>1.5702624215095579E-2</v>
      </c>
      <c r="S645" s="5">
        <f t="shared" si="235"/>
        <v>1.2838713423750112E-4</v>
      </c>
      <c r="T645" s="5">
        <f t="shared" si="236"/>
        <v>2.6717927120602392E-2</v>
      </c>
      <c r="U645" s="5">
        <f t="shared" si="237"/>
        <v>2.7322040853618758E-2</v>
      </c>
      <c r="V645" s="5">
        <f t="shared" si="238"/>
        <v>6.4777013866291658E-2</v>
      </c>
      <c r="W645" s="5">
        <f t="shared" si="239"/>
        <v>3.1347107100398564E-2</v>
      </c>
      <c r="X645" s="5">
        <f t="shared" si="240"/>
        <v>1.1902987566050162E-2</v>
      </c>
      <c r="Y645" s="5">
        <f t="shared" si="241"/>
        <v>1.1081400457232325E-2</v>
      </c>
      <c r="Z645" s="33">
        <v>641</v>
      </c>
      <c r="AE645" s="20" t="str">
        <f t="shared" si="242"/>
        <v/>
      </c>
      <c r="AF645" s="22" t="str">
        <f t="shared" si="243"/>
        <v/>
      </c>
      <c r="AG645" s="9" t="str">
        <f t="shared" ref="AG645:AG708" ca="1" si="244">IF($AE645="","",OFFSET(P$4,$AE645,0))</f>
        <v/>
      </c>
      <c r="AH645" s="9" t="str">
        <f t="shared" ref="AH645:AH708" ca="1" si="245">IF($AE645="","",OFFSET(Q$4,$AE645,0))</f>
        <v/>
      </c>
      <c r="AI645" s="9" t="str">
        <f t="shared" ref="AI645:AI708" ca="1" si="246">IF($AE645="","",OFFSET(R$4,$AE645,0))</f>
        <v/>
      </c>
      <c r="AJ645" s="9" t="str">
        <f t="shared" ref="AJ645:AJ708" ca="1" si="247">IF($AE645="","",OFFSET(S$4,$AE645,0))</f>
        <v/>
      </c>
      <c r="AK645" s="9" t="str">
        <f t="shared" ref="AK645:AK708" ca="1" si="248">IF($AE645="","",OFFSET(T$4,$AE645,0))</f>
        <v/>
      </c>
      <c r="AL645" s="9" t="str">
        <f t="shared" ref="AL645:AL708" ca="1" si="249">IF($AE645="","",OFFSET(U$4,$AE645,0))</f>
        <v/>
      </c>
      <c r="AM645" s="9" t="str">
        <f t="shared" ref="AM645:AM708" ca="1" si="250">IF($AE645="","",OFFSET(V$4,$AE645,0))</f>
        <v/>
      </c>
      <c r="AN645" s="9" t="str">
        <f t="shared" ref="AN645:AN708" ca="1" si="251">IF($AE645="","",OFFSET(W$4,$AE645,0))</f>
        <v/>
      </c>
      <c r="AO645" s="9" t="str">
        <f t="shared" ref="AO645:AO708" ca="1" si="252">IF($AE645="","",OFFSET(X$4,$AE645,0))</f>
        <v/>
      </c>
      <c r="AP645" s="9" t="str">
        <f t="shared" ref="AP645:AP708" ca="1" si="253">IF($AE645="","",OFFSET(Y$4,$AE645,0))</f>
        <v/>
      </c>
      <c r="AQ645" s="9"/>
      <c r="AR645" s="9"/>
      <c r="AS645" s="9"/>
      <c r="AT645" s="9"/>
      <c r="AU645" s="9"/>
    </row>
    <row r="646" spans="1:47" x14ac:dyDescent="0.3">
      <c r="A646" s="1">
        <v>44398</v>
      </c>
      <c r="B646" s="6">
        <v>612.26000999999997</v>
      </c>
      <c r="C646" s="6">
        <v>278.22000100000002</v>
      </c>
      <c r="D646" s="6">
        <v>46.674999</v>
      </c>
      <c r="E646" s="6">
        <v>155.240005</v>
      </c>
      <c r="F646" s="6">
        <v>146.39999399999999</v>
      </c>
      <c r="G646" s="6">
        <v>54.349997999999999</v>
      </c>
      <c r="H646" s="6">
        <v>164.08999600000001</v>
      </c>
      <c r="I646" s="6">
        <v>224.029999</v>
      </c>
      <c r="J646" s="6">
        <v>34.810001</v>
      </c>
      <c r="K646" s="6">
        <v>28.790001</v>
      </c>
      <c r="N646" s="18">
        <v>642</v>
      </c>
      <c r="O646" s="1">
        <v>44398</v>
      </c>
      <c r="P646" s="5">
        <f t="shared" ref="P646:P709" si="254">LN(B646/B645)</f>
        <v>5.7987010017309902E-3</v>
      </c>
      <c r="Q646" s="5">
        <f t="shared" ref="Q646:Q709" si="255">LN(C646/C645)</f>
        <v>1.1867653134652405E-3</v>
      </c>
      <c r="R646" s="5">
        <f t="shared" ref="R646:R709" si="256">LN(D646/D645)</f>
        <v>-3.8490585727464113E-3</v>
      </c>
      <c r="S646" s="5">
        <f t="shared" ref="S646:S709" si="257">LN(E646/E645)</f>
        <v>-3.7292011174421802E-3</v>
      </c>
      <c r="T646" s="5">
        <f t="shared" ref="T646:T709" si="258">LN(F646/F645)</f>
        <v>-2.6603857383649429E-3</v>
      </c>
      <c r="U646" s="5">
        <f t="shared" ref="U646:U709" si="259">LN(G646/G645)</f>
        <v>3.3173640196878474E-3</v>
      </c>
      <c r="V646" s="5">
        <f t="shared" ref="V646:V709" si="260">LN(H646/H645)</f>
        <v>1.1954880018141042E-2</v>
      </c>
      <c r="W646" s="5">
        <f t="shared" ref="W646:W709" si="261">LN(I646/I645)</f>
        <v>3.4429778039776946E-3</v>
      </c>
      <c r="X646" s="5">
        <f t="shared" ref="X646:X709" si="262">LN(J646/J645)</f>
        <v>0.1072455590809743</v>
      </c>
      <c r="Y646" s="5">
        <f t="shared" ref="Y646:Y709" si="263">LN(K646/K645)</f>
        <v>2.3191552405837521E-2</v>
      </c>
      <c r="Z646" s="33">
        <v>642</v>
      </c>
      <c r="AE646" s="20" t="str">
        <f t="shared" ref="AE646:AE709" si="264">IF(AE645="","",IF(AE645+1&lt;=$AC$5,AE645+1,""))</f>
        <v/>
      </c>
      <c r="AF646" s="22" t="str">
        <f t="shared" ref="AF646:AF709" si="265">IF(AE646="","",VLOOKUP(AE646,N645:O1902,2))</f>
        <v/>
      </c>
      <c r="AG646" s="9" t="str">
        <f t="shared" ca="1" si="244"/>
        <v/>
      </c>
      <c r="AH646" s="9" t="str">
        <f t="shared" ca="1" si="245"/>
        <v/>
      </c>
      <c r="AI646" s="9" t="str">
        <f t="shared" ca="1" si="246"/>
        <v/>
      </c>
      <c r="AJ646" s="9" t="str">
        <f t="shared" ca="1" si="247"/>
        <v/>
      </c>
      <c r="AK646" s="9" t="str">
        <f t="shared" ca="1" si="248"/>
        <v/>
      </c>
      <c r="AL646" s="9" t="str">
        <f t="shared" ca="1" si="249"/>
        <v/>
      </c>
      <c r="AM646" s="9" t="str">
        <f t="shared" ca="1" si="250"/>
        <v/>
      </c>
      <c r="AN646" s="9" t="str">
        <f t="shared" ca="1" si="251"/>
        <v/>
      </c>
      <c r="AO646" s="9" t="str">
        <f t="shared" ca="1" si="252"/>
        <v/>
      </c>
      <c r="AP646" s="9" t="str">
        <f t="shared" ca="1" si="253"/>
        <v/>
      </c>
      <c r="AQ646" s="9"/>
      <c r="AR646" s="9"/>
      <c r="AS646" s="9"/>
      <c r="AT646" s="9"/>
      <c r="AU646" s="9"/>
    </row>
    <row r="647" spans="1:47" x14ac:dyDescent="0.3">
      <c r="A647" s="1">
        <v>44399</v>
      </c>
      <c r="B647" s="6">
        <v>623.67999299999997</v>
      </c>
      <c r="C647" s="6">
        <v>281.60000600000001</v>
      </c>
      <c r="D647" s="6">
        <v>46.685001</v>
      </c>
      <c r="E647" s="6">
        <v>155.19000199999999</v>
      </c>
      <c r="F647" s="6">
        <v>145.949997</v>
      </c>
      <c r="G647" s="6">
        <v>54.34</v>
      </c>
      <c r="H647" s="6">
        <v>164.83000200000001</v>
      </c>
      <c r="I647" s="6">
        <v>221.58000200000001</v>
      </c>
      <c r="J647" s="6">
        <v>34.110000999999997</v>
      </c>
      <c r="K647" s="6">
        <v>28.48</v>
      </c>
      <c r="N647" s="19">
        <v>643</v>
      </c>
      <c r="O647" s="1">
        <v>44399</v>
      </c>
      <c r="P647" s="5">
        <f t="shared" si="254"/>
        <v>1.8480359866445827E-2</v>
      </c>
      <c r="Q647" s="5">
        <f t="shared" si="255"/>
        <v>1.2075474365002958E-2</v>
      </c>
      <c r="R647" s="5">
        <f t="shared" si="256"/>
        <v>2.1426735300494881E-4</v>
      </c>
      <c r="S647" s="5">
        <f t="shared" si="257"/>
        <v>-3.2215313793717426E-4</v>
      </c>
      <c r="T647" s="5">
        <f t="shared" si="258"/>
        <v>-3.0784837984647851E-3</v>
      </c>
      <c r="U647" s="5">
        <f t="shared" si="259"/>
        <v>-1.8397277048798699E-4</v>
      </c>
      <c r="V647" s="5">
        <f t="shared" si="260"/>
        <v>4.4996184667856296E-3</v>
      </c>
      <c r="W647" s="5">
        <f t="shared" si="261"/>
        <v>-1.0996259876537851E-2</v>
      </c>
      <c r="X647" s="5">
        <f t="shared" si="262"/>
        <v>-2.0314104803254573E-2</v>
      </c>
      <c r="Y647" s="5">
        <f t="shared" si="263"/>
        <v>-1.0826052814591619E-2</v>
      </c>
      <c r="Z647" s="33">
        <v>643</v>
      </c>
      <c r="AE647" s="20" t="str">
        <f t="shared" si="264"/>
        <v/>
      </c>
      <c r="AF647" s="22" t="str">
        <f t="shared" si="265"/>
        <v/>
      </c>
      <c r="AG647" s="9" t="str">
        <f t="shared" ca="1" si="244"/>
        <v/>
      </c>
      <c r="AH647" s="9" t="str">
        <f t="shared" ca="1" si="245"/>
        <v/>
      </c>
      <c r="AI647" s="9" t="str">
        <f t="shared" ca="1" si="246"/>
        <v/>
      </c>
      <c r="AJ647" s="9" t="str">
        <f t="shared" ca="1" si="247"/>
        <v/>
      </c>
      <c r="AK647" s="9" t="str">
        <f t="shared" ca="1" si="248"/>
        <v/>
      </c>
      <c r="AL647" s="9" t="str">
        <f t="shared" ca="1" si="249"/>
        <v/>
      </c>
      <c r="AM647" s="9" t="str">
        <f t="shared" ca="1" si="250"/>
        <v/>
      </c>
      <c r="AN647" s="9" t="str">
        <f t="shared" ca="1" si="251"/>
        <v/>
      </c>
      <c r="AO647" s="9" t="str">
        <f t="shared" ca="1" si="252"/>
        <v/>
      </c>
      <c r="AP647" s="9" t="str">
        <f t="shared" ca="1" si="253"/>
        <v/>
      </c>
      <c r="AQ647" s="9"/>
      <c r="AR647" s="9"/>
      <c r="AS647" s="9"/>
      <c r="AT647" s="9"/>
      <c r="AU647" s="9"/>
    </row>
    <row r="648" spans="1:47" x14ac:dyDescent="0.3">
      <c r="A648" s="1">
        <v>44400</v>
      </c>
      <c r="B648" s="6">
        <v>625.86999500000002</v>
      </c>
      <c r="C648" s="6">
        <v>285.07000699999998</v>
      </c>
      <c r="D648" s="6">
        <v>48.145000000000003</v>
      </c>
      <c r="E648" s="6">
        <v>157.179993</v>
      </c>
      <c r="F648" s="6">
        <v>147.229996</v>
      </c>
      <c r="G648" s="6">
        <v>54.93</v>
      </c>
      <c r="H648" s="6">
        <v>164.28999300000001</v>
      </c>
      <c r="I648" s="6">
        <v>224.58999600000001</v>
      </c>
      <c r="J648" s="6">
        <v>35.290000999999997</v>
      </c>
      <c r="K648" s="6">
        <v>28.469999000000001</v>
      </c>
      <c r="N648" s="18">
        <v>644</v>
      </c>
      <c r="O648" s="1">
        <v>44400</v>
      </c>
      <c r="P648" s="5">
        <f t="shared" si="254"/>
        <v>3.5052687181691741E-3</v>
      </c>
      <c r="Q648" s="5">
        <f t="shared" si="255"/>
        <v>1.2247143110215936E-2</v>
      </c>
      <c r="R648" s="5">
        <f t="shared" si="256"/>
        <v>3.0794355336201926E-2</v>
      </c>
      <c r="S648" s="5">
        <f t="shared" si="257"/>
        <v>1.2741415332138089E-2</v>
      </c>
      <c r="T648" s="5">
        <f t="shared" si="258"/>
        <v>8.7318859638018213E-3</v>
      </c>
      <c r="U648" s="5">
        <f t="shared" si="259"/>
        <v>1.0799043356327269E-2</v>
      </c>
      <c r="V648" s="5">
        <f t="shared" si="260"/>
        <v>-3.2815355663176641E-3</v>
      </c>
      <c r="W648" s="5">
        <f t="shared" si="261"/>
        <v>1.3492792786787023E-2</v>
      </c>
      <c r="X648" s="5">
        <f t="shared" si="262"/>
        <v>3.4009040276347671E-2</v>
      </c>
      <c r="Y648" s="5">
        <f t="shared" si="263"/>
        <v>-3.5122037852210956E-4</v>
      </c>
      <c r="Z648" s="33">
        <v>644</v>
      </c>
      <c r="AE648" s="20" t="str">
        <f t="shared" si="264"/>
        <v/>
      </c>
      <c r="AF648" s="22" t="str">
        <f t="shared" si="265"/>
        <v/>
      </c>
      <c r="AG648" s="9" t="str">
        <f t="shared" ca="1" si="244"/>
        <v/>
      </c>
      <c r="AH648" s="9" t="str">
        <f t="shared" ca="1" si="245"/>
        <v/>
      </c>
      <c r="AI648" s="9" t="str">
        <f t="shared" ca="1" si="246"/>
        <v/>
      </c>
      <c r="AJ648" s="9" t="str">
        <f t="shared" ca="1" si="247"/>
        <v/>
      </c>
      <c r="AK648" s="9" t="str">
        <f t="shared" ca="1" si="248"/>
        <v/>
      </c>
      <c r="AL648" s="9" t="str">
        <f t="shared" ca="1" si="249"/>
        <v/>
      </c>
      <c r="AM648" s="9" t="str">
        <f t="shared" ca="1" si="250"/>
        <v/>
      </c>
      <c r="AN648" s="9" t="str">
        <f t="shared" ca="1" si="251"/>
        <v/>
      </c>
      <c r="AO648" s="9" t="str">
        <f t="shared" ca="1" si="252"/>
        <v/>
      </c>
      <c r="AP648" s="9" t="str">
        <f t="shared" ca="1" si="253"/>
        <v/>
      </c>
      <c r="AQ648" s="9"/>
      <c r="AR648" s="9"/>
      <c r="AS648" s="9"/>
      <c r="AT648" s="9"/>
      <c r="AU648" s="9"/>
    </row>
    <row r="649" spans="1:47" x14ac:dyDescent="0.3">
      <c r="A649" s="1">
        <v>44403</v>
      </c>
      <c r="B649" s="6">
        <v>620.79998799999998</v>
      </c>
      <c r="C649" s="6">
        <v>283.89001500000001</v>
      </c>
      <c r="D649" s="6">
        <v>48</v>
      </c>
      <c r="E649" s="6">
        <v>157.070007</v>
      </c>
      <c r="F649" s="6">
        <v>146.320007</v>
      </c>
      <c r="G649" s="6">
        <v>55.07</v>
      </c>
      <c r="H649" s="6">
        <v>162.91000399999999</v>
      </c>
      <c r="I649" s="6">
        <v>220.13000500000001</v>
      </c>
      <c r="J649" s="6">
        <v>35.630001</v>
      </c>
      <c r="K649" s="6">
        <v>29.34</v>
      </c>
      <c r="N649" s="19">
        <v>645</v>
      </c>
      <c r="O649" s="1">
        <v>44403</v>
      </c>
      <c r="P649" s="5">
        <f t="shared" si="254"/>
        <v>-8.1337242745486617E-3</v>
      </c>
      <c r="Q649" s="5">
        <f t="shared" si="255"/>
        <v>-4.1478966753049247E-3</v>
      </c>
      <c r="R649" s="5">
        <f t="shared" si="256"/>
        <v>-3.0162797843564073E-3</v>
      </c>
      <c r="S649" s="5">
        <f t="shared" si="257"/>
        <v>-6.999904820427518E-4</v>
      </c>
      <c r="T649" s="5">
        <f t="shared" si="258"/>
        <v>-6.1999107859817045E-3</v>
      </c>
      <c r="U649" s="5">
        <f t="shared" si="259"/>
        <v>2.5454559198610479E-3</v>
      </c>
      <c r="V649" s="5">
        <f t="shared" si="260"/>
        <v>-8.4351906791485121E-3</v>
      </c>
      <c r="W649" s="5">
        <f t="shared" si="261"/>
        <v>-2.0058196266308698E-2</v>
      </c>
      <c r="X649" s="5">
        <f t="shared" si="262"/>
        <v>9.5883416601632073E-3</v>
      </c>
      <c r="Y649" s="5">
        <f t="shared" si="263"/>
        <v>3.0100906549582796E-2</v>
      </c>
      <c r="Z649" s="33">
        <v>645</v>
      </c>
      <c r="AE649" s="20" t="str">
        <f t="shared" si="264"/>
        <v/>
      </c>
      <c r="AF649" s="22" t="str">
        <f t="shared" si="265"/>
        <v/>
      </c>
      <c r="AG649" s="9" t="str">
        <f t="shared" ca="1" si="244"/>
        <v/>
      </c>
      <c r="AH649" s="9" t="str">
        <f t="shared" ca="1" si="245"/>
        <v/>
      </c>
      <c r="AI649" s="9" t="str">
        <f t="shared" ca="1" si="246"/>
        <v/>
      </c>
      <c r="AJ649" s="9" t="str">
        <f t="shared" ca="1" si="247"/>
        <v/>
      </c>
      <c r="AK649" s="9" t="str">
        <f t="shared" ca="1" si="248"/>
        <v/>
      </c>
      <c r="AL649" s="9" t="str">
        <f t="shared" ca="1" si="249"/>
        <v/>
      </c>
      <c r="AM649" s="9" t="str">
        <f t="shared" ca="1" si="250"/>
        <v/>
      </c>
      <c r="AN649" s="9" t="str">
        <f t="shared" ca="1" si="251"/>
        <v/>
      </c>
      <c r="AO649" s="9" t="str">
        <f t="shared" ca="1" si="252"/>
        <v/>
      </c>
      <c r="AP649" s="9" t="str">
        <f t="shared" ca="1" si="253"/>
        <v/>
      </c>
      <c r="AQ649" s="9"/>
      <c r="AR649" s="9"/>
      <c r="AS649" s="9"/>
      <c r="AT649" s="9"/>
      <c r="AU649" s="9"/>
    </row>
    <row r="650" spans="1:47" x14ac:dyDescent="0.3">
      <c r="A650" s="1">
        <v>44404</v>
      </c>
      <c r="B650" s="6">
        <v>618.28002900000001</v>
      </c>
      <c r="C650" s="6">
        <v>281.16000400000001</v>
      </c>
      <c r="D650" s="6">
        <v>47.59</v>
      </c>
      <c r="E650" s="6">
        <v>157.94000199999999</v>
      </c>
      <c r="F650" s="6">
        <v>146.83999600000001</v>
      </c>
      <c r="G650" s="6">
        <v>55.209999000000003</v>
      </c>
      <c r="H650" s="6">
        <v>163.83000200000001</v>
      </c>
      <c r="I650" s="6">
        <v>220.44000199999999</v>
      </c>
      <c r="J650" s="6">
        <v>35.340000000000003</v>
      </c>
      <c r="K650" s="6">
        <v>28.83</v>
      </c>
      <c r="N650" s="18">
        <v>646</v>
      </c>
      <c r="O650" s="1">
        <v>44404</v>
      </c>
      <c r="P650" s="5">
        <f t="shared" si="254"/>
        <v>-4.0674733506799541E-3</v>
      </c>
      <c r="Q650" s="5">
        <f t="shared" si="255"/>
        <v>-9.6629754911368784E-3</v>
      </c>
      <c r="R650" s="5">
        <f t="shared" si="256"/>
        <v>-8.5783557748717286E-3</v>
      </c>
      <c r="S650" s="5">
        <f t="shared" si="257"/>
        <v>5.523616311414385E-3</v>
      </c>
      <c r="T650" s="5">
        <f t="shared" si="258"/>
        <v>3.5474794651401973E-3</v>
      </c>
      <c r="U650" s="5">
        <f t="shared" si="259"/>
        <v>2.5389749089023304E-3</v>
      </c>
      <c r="V650" s="5">
        <f t="shared" si="260"/>
        <v>5.6313914084363962E-3</v>
      </c>
      <c r="W650" s="5">
        <f t="shared" si="261"/>
        <v>1.4072544487075689E-3</v>
      </c>
      <c r="X650" s="5">
        <f t="shared" si="262"/>
        <v>-8.1725407924301361E-3</v>
      </c>
      <c r="Y650" s="5">
        <f t="shared" si="263"/>
        <v>-1.753526106452493E-2</v>
      </c>
      <c r="Z650" s="33">
        <v>646</v>
      </c>
      <c r="AE650" s="20" t="str">
        <f t="shared" si="264"/>
        <v/>
      </c>
      <c r="AF650" s="22" t="str">
        <f t="shared" si="265"/>
        <v/>
      </c>
      <c r="AG650" s="9" t="str">
        <f t="shared" ca="1" si="244"/>
        <v/>
      </c>
      <c r="AH650" s="9" t="str">
        <f t="shared" ca="1" si="245"/>
        <v/>
      </c>
      <c r="AI650" s="9" t="str">
        <f t="shared" ca="1" si="246"/>
        <v/>
      </c>
      <c r="AJ650" s="9" t="str">
        <f t="shared" ca="1" si="247"/>
        <v/>
      </c>
      <c r="AK650" s="9" t="str">
        <f t="shared" ca="1" si="248"/>
        <v/>
      </c>
      <c r="AL650" s="9" t="str">
        <f t="shared" ca="1" si="249"/>
        <v/>
      </c>
      <c r="AM650" s="9" t="str">
        <f t="shared" ca="1" si="250"/>
        <v/>
      </c>
      <c r="AN650" s="9" t="str">
        <f t="shared" ca="1" si="251"/>
        <v/>
      </c>
      <c r="AO650" s="9" t="str">
        <f t="shared" ca="1" si="252"/>
        <v/>
      </c>
      <c r="AP650" s="9" t="str">
        <f t="shared" ca="1" si="253"/>
        <v/>
      </c>
      <c r="AQ650" s="9"/>
      <c r="AR650" s="9"/>
      <c r="AS650" s="9"/>
      <c r="AT650" s="9"/>
      <c r="AU650" s="9"/>
    </row>
    <row r="651" spans="1:47" x14ac:dyDescent="0.3">
      <c r="A651" s="1">
        <v>44405</v>
      </c>
      <c r="B651" s="6">
        <v>620.919983</v>
      </c>
      <c r="C651" s="6">
        <v>283.69000199999999</v>
      </c>
      <c r="D651" s="6">
        <v>47.025002000000001</v>
      </c>
      <c r="E651" s="6">
        <v>156.490005</v>
      </c>
      <c r="F651" s="6">
        <v>146.08000200000001</v>
      </c>
      <c r="G651" s="6">
        <v>55.080002</v>
      </c>
      <c r="H651" s="6">
        <v>162.96000699999999</v>
      </c>
      <c r="I651" s="6">
        <v>220.28999300000001</v>
      </c>
      <c r="J651" s="6">
        <v>35.25</v>
      </c>
      <c r="K651" s="6">
        <v>29.389999</v>
      </c>
      <c r="N651" s="19">
        <v>647</v>
      </c>
      <c r="O651" s="1">
        <v>44405</v>
      </c>
      <c r="P651" s="5">
        <f t="shared" si="254"/>
        <v>4.2607455910819471E-3</v>
      </c>
      <c r="Q651" s="5">
        <f t="shared" si="255"/>
        <v>8.9581832070934637E-3</v>
      </c>
      <c r="R651" s="5">
        <f t="shared" si="256"/>
        <v>-1.1943237415357145E-2</v>
      </c>
      <c r="S651" s="5">
        <f t="shared" si="257"/>
        <v>-9.2230846064680055E-3</v>
      </c>
      <c r="T651" s="5">
        <f t="shared" si="258"/>
        <v>-5.1891008503129506E-3</v>
      </c>
      <c r="U651" s="5">
        <f t="shared" si="259"/>
        <v>-2.3573680120182699E-3</v>
      </c>
      <c r="V651" s="5">
        <f t="shared" si="260"/>
        <v>-5.3245021660725316E-3</v>
      </c>
      <c r="W651" s="5">
        <f t="shared" si="261"/>
        <v>-6.8072973246458164E-4</v>
      </c>
      <c r="X651" s="5">
        <f t="shared" si="262"/>
        <v>-2.5499376332727593E-3</v>
      </c>
      <c r="Y651" s="5">
        <f t="shared" si="263"/>
        <v>1.9237934755336056E-2</v>
      </c>
      <c r="Z651" s="33">
        <v>647</v>
      </c>
      <c r="AE651" s="20" t="str">
        <f t="shared" si="264"/>
        <v/>
      </c>
      <c r="AF651" s="22" t="str">
        <f t="shared" si="265"/>
        <v/>
      </c>
      <c r="AG651" s="9" t="str">
        <f t="shared" ca="1" si="244"/>
        <v/>
      </c>
      <c r="AH651" s="9" t="str">
        <f t="shared" ca="1" si="245"/>
        <v/>
      </c>
      <c r="AI651" s="9" t="str">
        <f t="shared" ca="1" si="246"/>
        <v/>
      </c>
      <c r="AJ651" s="9" t="str">
        <f t="shared" ca="1" si="247"/>
        <v/>
      </c>
      <c r="AK651" s="9" t="str">
        <f t="shared" ca="1" si="248"/>
        <v/>
      </c>
      <c r="AL651" s="9" t="str">
        <f t="shared" ca="1" si="249"/>
        <v/>
      </c>
      <c r="AM651" s="9" t="str">
        <f t="shared" ca="1" si="250"/>
        <v/>
      </c>
      <c r="AN651" s="9" t="str">
        <f t="shared" ca="1" si="251"/>
        <v/>
      </c>
      <c r="AO651" s="9" t="str">
        <f t="shared" ca="1" si="252"/>
        <v/>
      </c>
      <c r="AP651" s="9" t="str">
        <f t="shared" ca="1" si="253"/>
        <v/>
      </c>
      <c r="AQ651" s="9"/>
      <c r="AR651" s="9"/>
      <c r="AS651" s="9"/>
      <c r="AT651" s="9"/>
      <c r="AU651" s="9"/>
    </row>
    <row r="652" spans="1:47" x14ac:dyDescent="0.3">
      <c r="A652" s="1">
        <v>44406</v>
      </c>
      <c r="B652" s="6">
        <v>621.70001200000002</v>
      </c>
      <c r="C652" s="6">
        <v>285.52999899999998</v>
      </c>
      <c r="D652" s="6">
        <v>47.290000999999997</v>
      </c>
      <c r="E652" s="6">
        <v>156.80999800000001</v>
      </c>
      <c r="F652" s="6">
        <v>148.75</v>
      </c>
      <c r="G652" s="6">
        <v>55.59</v>
      </c>
      <c r="H652" s="6">
        <v>165.11000100000001</v>
      </c>
      <c r="I652" s="6">
        <v>221.029999</v>
      </c>
      <c r="J652" s="6">
        <v>34.939999</v>
      </c>
      <c r="K652" s="6">
        <v>30.18</v>
      </c>
      <c r="N652" s="18">
        <v>648</v>
      </c>
      <c r="O652" s="1">
        <v>44406</v>
      </c>
      <c r="P652" s="5">
        <f t="shared" si="254"/>
        <v>1.2554587976919814E-3</v>
      </c>
      <c r="Q652" s="5">
        <f t="shared" si="255"/>
        <v>6.4649991409486286E-3</v>
      </c>
      <c r="R652" s="5">
        <f t="shared" si="256"/>
        <v>5.6194600842417002E-3</v>
      </c>
      <c r="S652" s="5">
        <f t="shared" si="257"/>
        <v>2.042726512648088E-3</v>
      </c>
      <c r="T652" s="5">
        <f t="shared" si="258"/>
        <v>1.81126138879526E-2</v>
      </c>
      <c r="U652" s="5">
        <f t="shared" si="259"/>
        <v>9.2166187941041568E-3</v>
      </c>
      <c r="V652" s="5">
        <f t="shared" si="260"/>
        <v>1.3107109626433577E-2</v>
      </c>
      <c r="W652" s="5">
        <f t="shared" si="261"/>
        <v>3.3536060317447113E-3</v>
      </c>
      <c r="X652" s="5">
        <f t="shared" si="262"/>
        <v>-8.8332531728598125E-3</v>
      </c>
      <c r="Y652" s="5">
        <f t="shared" si="263"/>
        <v>2.6525006934055972E-2</v>
      </c>
      <c r="Z652" s="33">
        <v>648</v>
      </c>
      <c r="AE652" s="20" t="str">
        <f t="shared" si="264"/>
        <v/>
      </c>
      <c r="AF652" s="22" t="str">
        <f t="shared" si="265"/>
        <v/>
      </c>
      <c r="AG652" s="9" t="str">
        <f t="shared" ca="1" si="244"/>
        <v/>
      </c>
      <c r="AH652" s="9" t="str">
        <f t="shared" ca="1" si="245"/>
        <v/>
      </c>
      <c r="AI652" s="9" t="str">
        <f t="shared" ca="1" si="246"/>
        <v/>
      </c>
      <c r="AJ652" s="9" t="str">
        <f t="shared" ca="1" si="247"/>
        <v/>
      </c>
      <c r="AK652" s="9" t="str">
        <f t="shared" ca="1" si="248"/>
        <v/>
      </c>
      <c r="AL652" s="9" t="str">
        <f t="shared" ca="1" si="249"/>
        <v/>
      </c>
      <c r="AM652" s="9" t="str">
        <f t="shared" ca="1" si="250"/>
        <v/>
      </c>
      <c r="AN652" s="9" t="str">
        <f t="shared" ca="1" si="251"/>
        <v/>
      </c>
      <c r="AO652" s="9" t="str">
        <f t="shared" ca="1" si="252"/>
        <v/>
      </c>
      <c r="AP652" s="9" t="str">
        <f t="shared" ca="1" si="253"/>
        <v/>
      </c>
      <c r="AQ652" s="9"/>
      <c r="AR652" s="9"/>
      <c r="AS652" s="9"/>
      <c r="AT652" s="9"/>
      <c r="AU652" s="9"/>
    </row>
    <row r="653" spans="1:47" x14ac:dyDescent="0.3">
      <c r="A653" s="1">
        <v>44407</v>
      </c>
      <c r="B653" s="6">
        <v>621.63000499999998</v>
      </c>
      <c r="C653" s="6">
        <v>287.98998999999998</v>
      </c>
      <c r="D653" s="6">
        <v>47.16</v>
      </c>
      <c r="E653" s="6">
        <v>156.949997</v>
      </c>
      <c r="F653" s="6">
        <v>149.38999899999999</v>
      </c>
      <c r="G653" s="6">
        <v>54.990001999999997</v>
      </c>
      <c r="H653" s="6">
        <v>167.11999499999999</v>
      </c>
      <c r="I653" s="6">
        <v>217.979996</v>
      </c>
      <c r="J653" s="6">
        <v>35.360000999999997</v>
      </c>
      <c r="K653" s="6">
        <v>29.01</v>
      </c>
      <c r="N653" s="19">
        <v>649</v>
      </c>
      <c r="O653" s="1">
        <v>44407</v>
      </c>
      <c r="P653" s="5">
        <f t="shared" si="254"/>
        <v>-1.1261209673511208E-4</v>
      </c>
      <c r="Q653" s="5">
        <f t="shared" si="255"/>
        <v>8.5786237049434201E-3</v>
      </c>
      <c r="R653" s="5">
        <f t="shared" si="256"/>
        <v>-2.7528021327337168E-3</v>
      </c>
      <c r="S653" s="5">
        <f t="shared" si="257"/>
        <v>8.9239553494323688E-4</v>
      </c>
      <c r="T653" s="5">
        <f t="shared" si="258"/>
        <v>4.2932849345982621E-3</v>
      </c>
      <c r="U653" s="5">
        <f t="shared" si="259"/>
        <v>-1.0851942075406391E-2</v>
      </c>
      <c r="V653" s="5">
        <f t="shared" si="260"/>
        <v>1.2100162829379034E-2</v>
      </c>
      <c r="W653" s="5">
        <f t="shared" si="261"/>
        <v>-1.3895137276220042E-2</v>
      </c>
      <c r="X653" s="5">
        <f t="shared" si="262"/>
        <v>1.1948989964567428E-2</v>
      </c>
      <c r="Y653" s="5">
        <f t="shared" si="263"/>
        <v>-3.9538855206390069E-2</v>
      </c>
      <c r="Z653" s="33">
        <v>649</v>
      </c>
      <c r="AE653" s="20" t="str">
        <f t="shared" si="264"/>
        <v/>
      </c>
      <c r="AF653" s="22" t="str">
        <f t="shared" si="265"/>
        <v/>
      </c>
      <c r="AG653" s="9" t="str">
        <f t="shared" ca="1" si="244"/>
        <v/>
      </c>
      <c r="AH653" s="9" t="str">
        <f t="shared" ca="1" si="245"/>
        <v/>
      </c>
      <c r="AI653" s="9" t="str">
        <f t="shared" ca="1" si="246"/>
        <v/>
      </c>
      <c r="AJ653" s="9" t="str">
        <f t="shared" ca="1" si="247"/>
        <v/>
      </c>
      <c r="AK653" s="9" t="str">
        <f t="shared" ca="1" si="248"/>
        <v/>
      </c>
      <c r="AL653" s="9" t="str">
        <f t="shared" ca="1" si="249"/>
        <v/>
      </c>
      <c r="AM653" s="9" t="str">
        <f t="shared" ca="1" si="250"/>
        <v/>
      </c>
      <c r="AN653" s="9" t="str">
        <f t="shared" ca="1" si="251"/>
        <v/>
      </c>
      <c r="AO653" s="9" t="str">
        <f t="shared" ca="1" si="252"/>
        <v/>
      </c>
      <c r="AP653" s="9" t="str">
        <f t="shared" ca="1" si="253"/>
        <v/>
      </c>
      <c r="AQ653" s="9"/>
      <c r="AR653" s="9"/>
      <c r="AS653" s="9"/>
      <c r="AT653" s="9"/>
      <c r="AU653" s="9"/>
    </row>
    <row r="654" spans="1:47" x14ac:dyDescent="0.3">
      <c r="A654" s="1">
        <v>44410</v>
      </c>
      <c r="B654" s="6">
        <v>618.75</v>
      </c>
      <c r="C654" s="6">
        <v>287.60998499999999</v>
      </c>
      <c r="D654" s="6">
        <v>46.68</v>
      </c>
      <c r="E654" s="6">
        <v>156.320007</v>
      </c>
      <c r="F654" s="6">
        <v>150.11999499999999</v>
      </c>
      <c r="G654" s="6">
        <v>54.990001999999997</v>
      </c>
      <c r="H654" s="6">
        <v>166.94000199999999</v>
      </c>
      <c r="I654" s="6">
        <v>219.220001</v>
      </c>
      <c r="J654" s="6">
        <v>35.549999</v>
      </c>
      <c r="K654" s="6">
        <v>29.09</v>
      </c>
      <c r="N654" s="18">
        <v>650</v>
      </c>
      <c r="O654" s="1">
        <v>44410</v>
      </c>
      <c r="P654" s="5">
        <f t="shared" si="254"/>
        <v>-4.64375459757067E-3</v>
      </c>
      <c r="Q654" s="5">
        <f t="shared" si="255"/>
        <v>-1.320378984409822E-3</v>
      </c>
      <c r="R654" s="5">
        <f t="shared" si="256"/>
        <v>-1.0230268250814922E-2</v>
      </c>
      <c r="S654" s="5">
        <f t="shared" si="257"/>
        <v>-4.0220310991845335E-3</v>
      </c>
      <c r="T654" s="5">
        <f t="shared" si="258"/>
        <v>4.8746115997940253E-3</v>
      </c>
      <c r="U654" s="5">
        <f t="shared" si="259"/>
        <v>0</v>
      </c>
      <c r="V654" s="5">
        <f t="shared" si="260"/>
        <v>-1.077608926745731E-3</v>
      </c>
      <c r="W654" s="5">
        <f t="shared" si="261"/>
        <v>5.6724992383467713E-3</v>
      </c>
      <c r="X654" s="5">
        <f t="shared" si="262"/>
        <v>5.3588620698690175E-3</v>
      </c>
      <c r="Y654" s="5">
        <f t="shared" si="263"/>
        <v>2.7538743737974712E-3</v>
      </c>
      <c r="Z654" s="33">
        <v>650</v>
      </c>
      <c r="AE654" s="20" t="str">
        <f t="shared" si="264"/>
        <v/>
      </c>
      <c r="AF654" s="22" t="str">
        <f t="shared" si="265"/>
        <v/>
      </c>
      <c r="AG654" s="9" t="str">
        <f t="shared" ca="1" si="244"/>
        <v/>
      </c>
      <c r="AH654" s="9" t="str">
        <f t="shared" ca="1" si="245"/>
        <v/>
      </c>
      <c r="AI654" s="9" t="str">
        <f t="shared" ca="1" si="246"/>
        <v/>
      </c>
      <c r="AJ654" s="9" t="str">
        <f t="shared" ca="1" si="247"/>
        <v/>
      </c>
      <c r="AK654" s="9" t="str">
        <f t="shared" ca="1" si="248"/>
        <v/>
      </c>
      <c r="AL654" s="9" t="str">
        <f t="shared" ca="1" si="249"/>
        <v/>
      </c>
      <c r="AM654" s="9" t="str">
        <f t="shared" ca="1" si="250"/>
        <v/>
      </c>
      <c r="AN654" s="9" t="str">
        <f t="shared" ca="1" si="251"/>
        <v/>
      </c>
      <c r="AO654" s="9" t="str">
        <f t="shared" ca="1" si="252"/>
        <v/>
      </c>
      <c r="AP654" s="9" t="str">
        <f t="shared" ca="1" si="253"/>
        <v/>
      </c>
      <c r="AQ654" s="9"/>
      <c r="AR654" s="9"/>
      <c r="AS654" s="9"/>
      <c r="AT654" s="9"/>
      <c r="AU654" s="9"/>
    </row>
    <row r="655" spans="1:47" x14ac:dyDescent="0.3">
      <c r="A655" s="1">
        <v>44411</v>
      </c>
      <c r="B655" s="6">
        <v>621.28002900000001</v>
      </c>
      <c r="C655" s="6">
        <v>289.20001200000002</v>
      </c>
      <c r="D655" s="6">
        <v>46.52</v>
      </c>
      <c r="E655" s="6">
        <v>156.66999799999999</v>
      </c>
      <c r="F655" s="6">
        <v>148.36999499999999</v>
      </c>
      <c r="G655" s="6">
        <v>55.130001</v>
      </c>
      <c r="H655" s="6">
        <v>169.66999799999999</v>
      </c>
      <c r="I655" s="6">
        <v>223.270004</v>
      </c>
      <c r="J655" s="6">
        <v>36.029998999999997</v>
      </c>
      <c r="K655" s="6">
        <v>27.870000999999998</v>
      </c>
      <c r="N655" s="19">
        <v>651</v>
      </c>
      <c r="O655" s="1">
        <v>44411</v>
      </c>
      <c r="P655" s="5">
        <f t="shared" si="254"/>
        <v>4.0805987782824397E-3</v>
      </c>
      <c r="Q655" s="5">
        <f t="shared" si="255"/>
        <v>5.5131881753297399E-3</v>
      </c>
      <c r="R655" s="5">
        <f t="shared" si="256"/>
        <v>-3.4334797678915192E-3</v>
      </c>
      <c r="S655" s="5">
        <f t="shared" si="257"/>
        <v>2.236436565299418E-3</v>
      </c>
      <c r="T655" s="5">
        <f t="shared" si="258"/>
        <v>-1.1725820696964815E-2</v>
      </c>
      <c r="U655" s="5">
        <f t="shared" si="259"/>
        <v>2.5426638505646718E-3</v>
      </c>
      <c r="V655" s="5">
        <f t="shared" si="260"/>
        <v>1.6220883864317595E-2</v>
      </c>
      <c r="W655" s="5">
        <f t="shared" si="261"/>
        <v>1.8306022976668956E-2</v>
      </c>
      <c r="X655" s="5">
        <f t="shared" si="262"/>
        <v>1.3411768885498226E-2</v>
      </c>
      <c r="Y655" s="5">
        <f t="shared" si="263"/>
        <v>-4.2843595132378641E-2</v>
      </c>
      <c r="Z655" s="33">
        <v>651</v>
      </c>
      <c r="AE655" s="20" t="str">
        <f t="shared" si="264"/>
        <v/>
      </c>
      <c r="AF655" s="22" t="str">
        <f t="shared" si="265"/>
        <v/>
      </c>
      <c r="AG655" s="9" t="str">
        <f t="shared" ca="1" si="244"/>
        <v/>
      </c>
      <c r="AH655" s="9" t="str">
        <f t="shared" ca="1" si="245"/>
        <v/>
      </c>
      <c r="AI655" s="9" t="str">
        <f t="shared" ca="1" si="246"/>
        <v/>
      </c>
      <c r="AJ655" s="9" t="str">
        <f t="shared" ca="1" si="247"/>
        <v/>
      </c>
      <c r="AK655" s="9" t="str">
        <f t="shared" ca="1" si="248"/>
        <v/>
      </c>
      <c r="AL655" s="9" t="str">
        <f t="shared" ca="1" si="249"/>
        <v/>
      </c>
      <c r="AM655" s="9" t="str">
        <f t="shared" ca="1" si="250"/>
        <v/>
      </c>
      <c r="AN655" s="9" t="str">
        <f t="shared" ca="1" si="251"/>
        <v/>
      </c>
      <c r="AO655" s="9" t="str">
        <f t="shared" ca="1" si="252"/>
        <v/>
      </c>
      <c r="AP655" s="9" t="str">
        <f t="shared" ca="1" si="253"/>
        <v/>
      </c>
      <c r="AQ655" s="9"/>
      <c r="AR655" s="9"/>
      <c r="AS655" s="9"/>
      <c r="AT655" s="9"/>
      <c r="AU655" s="9"/>
    </row>
    <row r="656" spans="1:47" x14ac:dyDescent="0.3">
      <c r="A656" s="1">
        <v>44412</v>
      </c>
      <c r="B656" s="6">
        <v>625.67999299999997</v>
      </c>
      <c r="C656" s="6">
        <v>291.48998999999998</v>
      </c>
      <c r="D656" s="6">
        <v>46.005001</v>
      </c>
      <c r="E656" s="6">
        <v>154.050003</v>
      </c>
      <c r="F656" s="6">
        <v>147.990005</v>
      </c>
      <c r="G656" s="6">
        <v>54.860000999999997</v>
      </c>
      <c r="H656" s="6">
        <v>168.070007</v>
      </c>
      <c r="I656" s="6">
        <v>221.479996</v>
      </c>
      <c r="J656" s="6">
        <v>35.560001</v>
      </c>
      <c r="K656" s="6">
        <v>28.34</v>
      </c>
      <c r="N656" s="18">
        <v>652</v>
      </c>
      <c r="O656" s="1">
        <v>44412</v>
      </c>
      <c r="P656" s="5">
        <f t="shared" si="254"/>
        <v>7.0571344443455825E-3</v>
      </c>
      <c r="Q656" s="5">
        <f t="shared" si="255"/>
        <v>7.8871337999022878E-3</v>
      </c>
      <c r="R656" s="5">
        <f t="shared" si="256"/>
        <v>-1.1132219679371646E-2</v>
      </c>
      <c r="S656" s="5">
        <f t="shared" si="257"/>
        <v>-1.6864425122836264E-2</v>
      </c>
      <c r="T656" s="5">
        <f t="shared" si="258"/>
        <v>-2.5643825633440381E-3</v>
      </c>
      <c r="U656" s="5">
        <f t="shared" si="259"/>
        <v>-4.9095470028621439E-3</v>
      </c>
      <c r="V656" s="5">
        <f t="shared" si="260"/>
        <v>-9.4747613294732143E-3</v>
      </c>
      <c r="W656" s="5">
        <f t="shared" si="261"/>
        <v>-8.0495454314290157E-3</v>
      </c>
      <c r="X656" s="5">
        <f t="shared" si="262"/>
        <v>-1.3130458238164291E-2</v>
      </c>
      <c r="Y656" s="5">
        <f t="shared" si="263"/>
        <v>1.6723356887802732E-2</v>
      </c>
      <c r="Z656" s="33">
        <v>652</v>
      </c>
      <c r="AE656" s="20" t="str">
        <f t="shared" si="264"/>
        <v/>
      </c>
      <c r="AF656" s="22" t="str">
        <f t="shared" si="265"/>
        <v/>
      </c>
      <c r="AG656" s="9" t="str">
        <f t="shared" ca="1" si="244"/>
        <v/>
      </c>
      <c r="AH656" s="9" t="str">
        <f t="shared" ca="1" si="245"/>
        <v/>
      </c>
      <c r="AI656" s="9" t="str">
        <f t="shared" ca="1" si="246"/>
        <v/>
      </c>
      <c r="AJ656" s="9" t="str">
        <f t="shared" ca="1" si="247"/>
        <v/>
      </c>
      <c r="AK656" s="9" t="str">
        <f t="shared" ca="1" si="248"/>
        <v/>
      </c>
      <c r="AL656" s="9" t="str">
        <f t="shared" ca="1" si="249"/>
        <v/>
      </c>
      <c r="AM656" s="9" t="str">
        <f t="shared" ca="1" si="250"/>
        <v/>
      </c>
      <c r="AN656" s="9" t="str">
        <f t="shared" ca="1" si="251"/>
        <v/>
      </c>
      <c r="AO656" s="9" t="str">
        <f t="shared" ca="1" si="252"/>
        <v/>
      </c>
      <c r="AP656" s="9" t="str">
        <f t="shared" ca="1" si="253"/>
        <v/>
      </c>
      <c r="AQ656" s="9"/>
      <c r="AR656" s="9"/>
      <c r="AS656" s="9"/>
      <c r="AT656" s="9"/>
      <c r="AU656" s="9"/>
    </row>
    <row r="657" spans="1:47" x14ac:dyDescent="0.3">
      <c r="A657" s="1">
        <v>44413</v>
      </c>
      <c r="B657" s="6">
        <v>632.080017</v>
      </c>
      <c r="C657" s="6">
        <v>293.20001200000002</v>
      </c>
      <c r="D657" s="6">
        <v>45.974997999999999</v>
      </c>
      <c r="E657" s="6">
        <v>154.30999800000001</v>
      </c>
      <c r="F657" s="6">
        <v>149.070007</v>
      </c>
      <c r="G657" s="6">
        <v>55.27</v>
      </c>
      <c r="H657" s="6">
        <v>169.19000199999999</v>
      </c>
      <c r="I657" s="6">
        <v>222.949997</v>
      </c>
      <c r="J657" s="6">
        <v>36.479999999999997</v>
      </c>
      <c r="K657" s="6">
        <v>29.200001</v>
      </c>
      <c r="N657" s="19">
        <v>653</v>
      </c>
      <c r="O657" s="1">
        <v>44413</v>
      </c>
      <c r="P657" s="5">
        <f t="shared" si="254"/>
        <v>1.0176948204278899E-2</v>
      </c>
      <c r="Q657" s="5">
        <f t="shared" si="255"/>
        <v>5.8493453619029648E-3</v>
      </c>
      <c r="R657" s="5">
        <f t="shared" si="256"/>
        <v>-6.5238098261142467E-4</v>
      </c>
      <c r="S657" s="5">
        <f t="shared" si="257"/>
        <v>1.6863086053170127E-3</v>
      </c>
      <c r="T657" s="5">
        <f t="shared" si="258"/>
        <v>7.2713035403203776E-3</v>
      </c>
      <c r="U657" s="5">
        <f t="shared" si="259"/>
        <v>7.4457621074974145E-3</v>
      </c>
      <c r="V657" s="5">
        <f t="shared" si="260"/>
        <v>6.6417546539473422E-3</v>
      </c>
      <c r="W657" s="5">
        <f t="shared" si="261"/>
        <v>6.6152437231090421E-3</v>
      </c>
      <c r="X657" s="5">
        <f t="shared" si="262"/>
        <v>2.554272643894227E-2</v>
      </c>
      <c r="Y657" s="5">
        <f t="shared" si="263"/>
        <v>2.9894509258276553E-2</v>
      </c>
      <c r="Z657" s="33">
        <v>653</v>
      </c>
      <c r="AE657" s="20" t="str">
        <f t="shared" si="264"/>
        <v/>
      </c>
      <c r="AF657" s="22" t="str">
        <f t="shared" si="265"/>
        <v/>
      </c>
      <c r="AG657" s="9" t="str">
        <f t="shared" ca="1" si="244"/>
        <v/>
      </c>
      <c r="AH657" s="9" t="str">
        <f t="shared" ca="1" si="245"/>
        <v/>
      </c>
      <c r="AI657" s="9" t="str">
        <f t="shared" ca="1" si="246"/>
        <v/>
      </c>
      <c r="AJ657" s="9" t="str">
        <f t="shared" ca="1" si="247"/>
        <v/>
      </c>
      <c r="AK657" s="9" t="str">
        <f t="shared" ca="1" si="248"/>
        <v/>
      </c>
      <c r="AL657" s="9" t="str">
        <f t="shared" ca="1" si="249"/>
        <v/>
      </c>
      <c r="AM657" s="9" t="str">
        <f t="shared" ca="1" si="250"/>
        <v/>
      </c>
      <c r="AN657" s="9" t="str">
        <f t="shared" ca="1" si="251"/>
        <v/>
      </c>
      <c r="AO657" s="9" t="str">
        <f t="shared" ca="1" si="252"/>
        <v/>
      </c>
      <c r="AP657" s="9" t="str">
        <f t="shared" ca="1" si="253"/>
        <v/>
      </c>
      <c r="AQ657" s="9"/>
      <c r="AR657" s="9"/>
      <c r="AS657" s="9"/>
      <c r="AT657" s="9"/>
      <c r="AU657" s="9"/>
    </row>
    <row r="658" spans="1:47" x14ac:dyDescent="0.3">
      <c r="A658" s="1">
        <v>44414</v>
      </c>
      <c r="B658" s="6">
        <v>631.38000499999998</v>
      </c>
      <c r="C658" s="6">
        <v>292.42999300000002</v>
      </c>
      <c r="D658" s="6">
        <v>48.485000999999997</v>
      </c>
      <c r="E658" s="6">
        <v>154.33000200000001</v>
      </c>
      <c r="F658" s="6">
        <v>147.86999499999999</v>
      </c>
      <c r="G658" s="6">
        <v>54.880001</v>
      </c>
      <c r="H658" s="6">
        <v>169.490005</v>
      </c>
      <c r="I658" s="6">
        <v>224.44000199999999</v>
      </c>
      <c r="J658" s="6">
        <v>36.93</v>
      </c>
      <c r="K658" s="6">
        <v>29.040001</v>
      </c>
      <c r="N658" s="18">
        <v>654</v>
      </c>
      <c r="O658" s="1">
        <v>44414</v>
      </c>
      <c r="P658" s="5">
        <f t="shared" si="254"/>
        <v>-1.1080874098701721E-3</v>
      </c>
      <c r="Q658" s="5">
        <f t="shared" si="255"/>
        <v>-2.6297130856485491E-3</v>
      </c>
      <c r="R658" s="5">
        <f t="shared" si="256"/>
        <v>5.3156765392964211E-2</v>
      </c>
      <c r="S658" s="5">
        <f t="shared" si="257"/>
        <v>1.2962674979266937E-4</v>
      </c>
      <c r="T658" s="5">
        <f t="shared" si="258"/>
        <v>-8.0825656682322437E-3</v>
      </c>
      <c r="U658" s="5">
        <f t="shared" si="259"/>
        <v>-7.0812642059676755E-3</v>
      </c>
      <c r="V658" s="5">
        <f t="shared" si="260"/>
        <v>1.7716019384935683E-3</v>
      </c>
      <c r="W658" s="5">
        <f t="shared" si="261"/>
        <v>6.6609021762850454E-3</v>
      </c>
      <c r="X658" s="5">
        <f t="shared" si="262"/>
        <v>1.2260063658341321E-2</v>
      </c>
      <c r="Y658" s="5">
        <f t="shared" si="263"/>
        <v>-5.4945191289543548E-3</v>
      </c>
      <c r="Z658" s="33">
        <v>654</v>
      </c>
      <c r="AE658" s="20" t="str">
        <f t="shared" si="264"/>
        <v/>
      </c>
      <c r="AF658" s="22" t="str">
        <f t="shared" si="265"/>
        <v/>
      </c>
      <c r="AG658" s="9" t="str">
        <f t="shared" ca="1" si="244"/>
        <v/>
      </c>
      <c r="AH658" s="9" t="str">
        <f t="shared" ca="1" si="245"/>
        <v/>
      </c>
      <c r="AI658" s="9" t="str">
        <f t="shared" ca="1" si="246"/>
        <v/>
      </c>
      <c r="AJ658" s="9" t="str">
        <f t="shared" ca="1" si="247"/>
        <v/>
      </c>
      <c r="AK658" s="9" t="str">
        <f t="shared" ca="1" si="248"/>
        <v/>
      </c>
      <c r="AL658" s="9" t="str">
        <f t="shared" ca="1" si="249"/>
        <v/>
      </c>
      <c r="AM658" s="9" t="str">
        <f t="shared" ca="1" si="250"/>
        <v/>
      </c>
      <c r="AN658" s="9" t="str">
        <f t="shared" ca="1" si="251"/>
        <v/>
      </c>
      <c r="AO658" s="9" t="str">
        <f t="shared" ca="1" si="252"/>
        <v/>
      </c>
      <c r="AP658" s="9" t="str">
        <f t="shared" ca="1" si="253"/>
        <v/>
      </c>
      <c r="AQ658" s="9"/>
      <c r="AR658" s="9"/>
      <c r="AS658" s="9"/>
      <c r="AT658" s="9"/>
      <c r="AU658" s="9"/>
    </row>
    <row r="659" spans="1:47" x14ac:dyDescent="0.3">
      <c r="A659" s="1">
        <v>44417</v>
      </c>
      <c r="B659" s="6">
        <v>629.21997099999999</v>
      </c>
      <c r="C659" s="6">
        <v>291.39999399999999</v>
      </c>
      <c r="D659" s="6">
        <v>49.235000999999997</v>
      </c>
      <c r="E659" s="6">
        <v>154.35000600000001</v>
      </c>
      <c r="F659" s="6">
        <v>146.05999800000001</v>
      </c>
      <c r="G659" s="6">
        <v>54.599997999999999</v>
      </c>
      <c r="H659" s="6">
        <v>169.05999800000001</v>
      </c>
      <c r="I659" s="6">
        <v>223.46000699999999</v>
      </c>
      <c r="J659" s="6">
        <v>36.380001</v>
      </c>
      <c r="K659" s="6">
        <v>29.23</v>
      </c>
      <c r="N659" s="19">
        <v>655</v>
      </c>
      <c r="O659" s="1">
        <v>44417</v>
      </c>
      <c r="P659" s="5">
        <f t="shared" si="254"/>
        <v>-3.4269969143776429E-3</v>
      </c>
      <c r="Q659" s="5">
        <f t="shared" si="255"/>
        <v>-3.5284246836912152E-3</v>
      </c>
      <c r="R659" s="5">
        <f t="shared" si="256"/>
        <v>1.5350280629074918E-2</v>
      </c>
      <c r="S659" s="5">
        <f t="shared" si="257"/>
        <v>1.2960994887626823E-4</v>
      </c>
      <c r="T659" s="5">
        <f t="shared" si="258"/>
        <v>-1.23159930729499E-2</v>
      </c>
      <c r="U659" s="5">
        <f t="shared" si="259"/>
        <v>-5.1151555183819274E-3</v>
      </c>
      <c r="V659" s="5">
        <f t="shared" si="260"/>
        <v>-2.5402878595660234E-3</v>
      </c>
      <c r="W659" s="5">
        <f t="shared" si="261"/>
        <v>-4.3759613491304713E-3</v>
      </c>
      <c r="X659" s="5">
        <f t="shared" si="262"/>
        <v>-1.5005028286865401E-2</v>
      </c>
      <c r="Y659" s="5">
        <f t="shared" si="263"/>
        <v>6.5213547312980326E-3</v>
      </c>
      <c r="Z659" s="33">
        <v>655</v>
      </c>
      <c r="AE659" s="20" t="str">
        <f t="shared" si="264"/>
        <v/>
      </c>
      <c r="AF659" s="22" t="str">
        <f t="shared" si="265"/>
        <v/>
      </c>
      <c r="AG659" s="9" t="str">
        <f t="shared" ca="1" si="244"/>
        <v/>
      </c>
      <c r="AH659" s="9" t="str">
        <f t="shared" ca="1" si="245"/>
        <v/>
      </c>
      <c r="AI659" s="9" t="str">
        <f t="shared" ca="1" si="246"/>
        <v/>
      </c>
      <c r="AJ659" s="9" t="str">
        <f t="shared" ca="1" si="247"/>
        <v/>
      </c>
      <c r="AK659" s="9" t="str">
        <f t="shared" ca="1" si="248"/>
        <v/>
      </c>
      <c r="AL659" s="9" t="str">
        <f t="shared" ca="1" si="249"/>
        <v/>
      </c>
      <c r="AM659" s="9" t="str">
        <f t="shared" ca="1" si="250"/>
        <v/>
      </c>
      <c r="AN659" s="9" t="str">
        <f t="shared" ca="1" si="251"/>
        <v/>
      </c>
      <c r="AO659" s="9" t="str">
        <f t="shared" ca="1" si="252"/>
        <v/>
      </c>
      <c r="AP659" s="9" t="str">
        <f t="shared" ca="1" si="253"/>
        <v/>
      </c>
      <c r="AQ659" s="9"/>
      <c r="AR659" s="9"/>
      <c r="AS659" s="9"/>
      <c r="AT659" s="9"/>
      <c r="AU659" s="9"/>
    </row>
    <row r="660" spans="1:47" x14ac:dyDescent="0.3">
      <c r="A660" s="1">
        <v>44418</v>
      </c>
      <c r="B660" s="6">
        <v>621.73999000000003</v>
      </c>
      <c r="C660" s="6">
        <v>288.25</v>
      </c>
      <c r="D660" s="6">
        <v>49.395000000000003</v>
      </c>
      <c r="E660" s="6">
        <v>154.429993</v>
      </c>
      <c r="F660" s="6">
        <v>143.13999899999999</v>
      </c>
      <c r="G660" s="6">
        <v>53.75</v>
      </c>
      <c r="H660" s="6">
        <v>171.75</v>
      </c>
      <c r="I660" s="6">
        <v>225.35000600000001</v>
      </c>
      <c r="J660" s="6">
        <v>36.919998</v>
      </c>
      <c r="K660" s="6">
        <v>29.440000999999999</v>
      </c>
      <c r="N660" s="18">
        <v>656</v>
      </c>
      <c r="O660" s="1">
        <v>44418</v>
      </c>
      <c r="P660" s="5">
        <f t="shared" si="254"/>
        <v>-1.1958928150183434E-2</v>
      </c>
      <c r="Q660" s="5">
        <f t="shared" si="255"/>
        <v>-1.0868714021681864E-2</v>
      </c>
      <c r="R660" s="5">
        <f t="shared" si="256"/>
        <v>3.2444314859176085E-3</v>
      </c>
      <c r="S660" s="5">
        <f t="shared" si="257"/>
        <v>5.180840860687625E-4</v>
      </c>
      <c r="T660" s="5">
        <f t="shared" si="258"/>
        <v>-2.0194317174676842E-2</v>
      </c>
      <c r="U660" s="5">
        <f t="shared" si="259"/>
        <v>-1.5690179113049908E-2</v>
      </c>
      <c r="V660" s="5">
        <f t="shared" si="260"/>
        <v>1.5786261431796549E-2</v>
      </c>
      <c r="W660" s="5">
        <f t="shared" si="261"/>
        <v>8.4223173171982801E-3</v>
      </c>
      <c r="X660" s="5">
        <f t="shared" si="262"/>
        <v>1.4734154885862627E-2</v>
      </c>
      <c r="Y660" s="5">
        <f t="shared" si="263"/>
        <v>7.1587487049116598E-3</v>
      </c>
      <c r="Z660" s="33">
        <v>656</v>
      </c>
      <c r="AE660" s="20" t="str">
        <f t="shared" si="264"/>
        <v/>
      </c>
      <c r="AF660" s="22" t="str">
        <f t="shared" si="265"/>
        <v/>
      </c>
      <c r="AG660" s="9" t="str">
        <f t="shared" ca="1" si="244"/>
        <v/>
      </c>
      <c r="AH660" s="9" t="str">
        <f t="shared" ca="1" si="245"/>
        <v/>
      </c>
      <c r="AI660" s="9" t="str">
        <f t="shared" ca="1" si="246"/>
        <v/>
      </c>
      <c r="AJ660" s="9" t="str">
        <f t="shared" ca="1" si="247"/>
        <v/>
      </c>
      <c r="AK660" s="9" t="str">
        <f t="shared" ca="1" si="248"/>
        <v/>
      </c>
      <c r="AL660" s="9" t="str">
        <f t="shared" ca="1" si="249"/>
        <v/>
      </c>
      <c r="AM660" s="9" t="str">
        <f t="shared" ca="1" si="250"/>
        <v/>
      </c>
      <c r="AN660" s="9" t="str">
        <f t="shared" ca="1" si="251"/>
        <v/>
      </c>
      <c r="AO660" s="9" t="str">
        <f t="shared" ca="1" si="252"/>
        <v/>
      </c>
      <c r="AP660" s="9" t="str">
        <f t="shared" ca="1" si="253"/>
        <v/>
      </c>
      <c r="AQ660" s="9"/>
      <c r="AR660" s="9"/>
      <c r="AS660" s="9"/>
      <c r="AT660" s="9"/>
      <c r="AU660" s="9"/>
    </row>
    <row r="661" spans="1:47" x14ac:dyDescent="0.3">
      <c r="A661" s="1">
        <v>44419</v>
      </c>
      <c r="B661" s="6">
        <v>626.03002900000001</v>
      </c>
      <c r="C661" s="6">
        <v>288.95001200000002</v>
      </c>
      <c r="D661" s="6">
        <v>49.360000999999997</v>
      </c>
      <c r="E661" s="6">
        <v>155.03999300000001</v>
      </c>
      <c r="F661" s="6">
        <v>144.28999300000001</v>
      </c>
      <c r="G661" s="6">
        <v>53.299999</v>
      </c>
      <c r="H661" s="6">
        <v>172.490005</v>
      </c>
      <c r="I661" s="6">
        <v>229.83999600000001</v>
      </c>
      <c r="J661" s="6">
        <v>37.5</v>
      </c>
      <c r="K661" s="6">
        <v>29.450001</v>
      </c>
      <c r="N661" s="19">
        <v>657</v>
      </c>
      <c r="O661" s="1">
        <v>44419</v>
      </c>
      <c r="P661" s="5">
        <f t="shared" si="254"/>
        <v>6.8763567627781567E-3</v>
      </c>
      <c r="Q661" s="5">
        <f t="shared" si="255"/>
        <v>2.4255451442942518E-3</v>
      </c>
      <c r="R661" s="5">
        <f t="shared" si="256"/>
        <v>-7.0880463998598624E-4</v>
      </c>
      <c r="S661" s="5">
        <f t="shared" si="257"/>
        <v>3.9422290858881544E-3</v>
      </c>
      <c r="T661" s="5">
        <f t="shared" si="258"/>
        <v>8.0019494714688427E-3</v>
      </c>
      <c r="U661" s="5">
        <f t="shared" si="259"/>
        <v>-8.4073545976995658E-3</v>
      </c>
      <c r="V661" s="5">
        <f t="shared" si="260"/>
        <v>4.2993616612661007E-3</v>
      </c>
      <c r="W661" s="5">
        <f t="shared" si="261"/>
        <v>1.9728621505716394E-2</v>
      </c>
      <c r="X661" s="5">
        <f t="shared" si="262"/>
        <v>1.5587577512896064E-2</v>
      </c>
      <c r="Y661" s="5">
        <f t="shared" si="263"/>
        <v>3.3961622538646253E-4</v>
      </c>
      <c r="Z661" s="33">
        <v>657</v>
      </c>
      <c r="AE661" s="20" t="str">
        <f t="shared" si="264"/>
        <v/>
      </c>
      <c r="AF661" s="22" t="str">
        <f t="shared" si="265"/>
        <v/>
      </c>
      <c r="AG661" s="9" t="str">
        <f t="shared" ca="1" si="244"/>
        <v/>
      </c>
      <c r="AH661" s="9" t="str">
        <f t="shared" ca="1" si="245"/>
        <v/>
      </c>
      <c r="AI661" s="9" t="str">
        <f t="shared" ca="1" si="246"/>
        <v/>
      </c>
      <c r="AJ661" s="9" t="str">
        <f t="shared" ca="1" si="247"/>
        <v/>
      </c>
      <c r="AK661" s="9" t="str">
        <f t="shared" ca="1" si="248"/>
        <v/>
      </c>
      <c r="AL661" s="9" t="str">
        <f t="shared" ca="1" si="249"/>
        <v/>
      </c>
      <c r="AM661" s="9" t="str">
        <f t="shared" ca="1" si="250"/>
        <v/>
      </c>
      <c r="AN661" s="9" t="str">
        <f t="shared" ca="1" si="251"/>
        <v/>
      </c>
      <c r="AO661" s="9" t="str">
        <f t="shared" ca="1" si="252"/>
        <v/>
      </c>
      <c r="AP661" s="9" t="str">
        <f t="shared" ca="1" si="253"/>
        <v/>
      </c>
      <c r="AQ661" s="9"/>
      <c r="AR661" s="9"/>
      <c r="AS661" s="9"/>
      <c r="AT661" s="9"/>
      <c r="AU661" s="9"/>
    </row>
    <row r="662" spans="1:47" x14ac:dyDescent="0.3">
      <c r="A662" s="1">
        <v>44420</v>
      </c>
      <c r="B662" s="6">
        <v>634.34997599999997</v>
      </c>
      <c r="C662" s="6">
        <v>292.19000199999999</v>
      </c>
      <c r="D662" s="6">
        <v>48.810001</v>
      </c>
      <c r="E662" s="6">
        <v>155.070007</v>
      </c>
      <c r="F662" s="6">
        <v>145.020004</v>
      </c>
      <c r="G662" s="6">
        <v>53.23</v>
      </c>
      <c r="H662" s="6">
        <v>172.05999800000001</v>
      </c>
      <c r="I662" s="6">
        <v>227.83000200000001</v>
      </c>
      <c r="J662" s="6">
        <v>37.580002</v>
      </c>
      <c r="K662" s="6">
        <v>28.9</v>
      </c>
      <c r="N662" s="18">
        <v>658</v>
      </c>
      <c r="O662" s="1">
        <v>44420</v>
      </c>
      <c r="P662" s="5">
        <f t="shared" si="254"/>
        <v>1.3202475154449065E-2</v>
      </c>
      <c r="Q662" s="5">
        <f t="shared" si="255"/>
        <v>1.1150578147533705E-2</v>
      </c>
      <c r="R662" s="5">
        <f t="shared" si="256"/>
        <v>-1.1205169469790445E-2</v>
      </c>
      <c r="S662" s="5">
        <f t="shared" si="257"/>
        <v>1.9357002414438818E-4</v>
      </c>
      <c r="T662" s="5">
        <f t="shared" si="258"/>
        <v>5.0465767300959131E-3</v>
      </c>
      <c r="U662" s="5">
        <f t="shared" si="259"/>
        <v>-1.3141652254066213E-3</v>
      </c>
      <c r="V662" s="5">
        <f t="shared" si="260"/>
        <v>-2.4960511943748188E-3</v>
      </c>
      <c r="W662" s="5">
        <f t="shared" si="261"/>
        <v>-8.7836516781890101E-3</v>
      </c>
      <c r="X662" s="5">
        <f t="shared" si="262"/>
        <v>2.131114228750433E-3</v>
      </c>
      <c r="Y662" s="5">
        <f t="shared" si="263"/>
        <v>-1.8852348935066054E-2</v>
      </c>
      <c r="Z662" s="33">
        <v>658</v>
      </c>
      <c r="AE662" s="20" t="str">
        <f t="shared" si="264"/>
        <v/>
      </c>
      <c r="AF662" s="22" t="str">
        <f t="shared" si="265"/>
        <v/>
      </c>
      <c r="AG662" s="9" t="str">
        <f t="shared" ca="1" si="244"/>
        <v/>
      </c>
      <c r="AH662" s="9" t="str">
        <f t="shared" ca="1" si="245"/>
        <v/>
      </c>
      <c r="AI662" s="9" t="str">
        <f t="shared" ca="1" si="246"/>
        <v/>
      </c>
      <c r="AJ662" s="9" t="str">
        <f t="shared" ca="1" si="247"/>
        <v/>
      </c>
      <c r="AK662" s="9" t="str">
        <f t="shared" ca="1" si="248"/>
        <v/>
      </c>
      <c r="AL662" s="9" t="str">
        <f t="shared" ca="1" si="249"/>
        <v/>
      </c>
      <c r="AM662" s="9" t="str">
        <f t="shared" ca="1" si="250"/>
        <v/>
      </c>
      <c r="AN662" s="9" t="str">
        <f t="shared" ca="1" si="251"/>
        <v/>
      </c>
      <c r="AO662" s="9" t="str">
        <f t="shared" ca="1" si="252"/>
        <v/>
      </c>
      <c r="AP662" s="9" t="str">
        <f t="shared" ca="1" si="253"/>
        <v/>
      </c>
      <c r="AQ662" s="9"/>
      <c r="AR662" s="9"/>
      <c r="AS662" s="9"/>
      <c r="AT662" s="9"/>
      <c r="AU662" s="9"/>
    </row>
    <row r="663" spans="1:47" x14ac:dyDescent="0.3">
      <c r="A663" s="1">
        <v>44421</v>
      </c>
      <c r="B663" s="6">
        <v>637.30999799999995</v>
      </c>
      <c r="C663" s="6">
        <v>293.11999500000002</v>
      </c>
      <c r="D663" s="6">
        <v>49.060001</v>
      </c>
      <c r="E663" s="6">
        <v>156.520004</v>
      </c>
      <c r="F663" s="6">
        <v>146</v>
      </c>
      <c r="G663" s="6">
        <v>53.490001999999997</v>
      </c>
      <c r="H663" s="6">
        <v>171.63999899999999</v>
      </c>
      <c r="I663" s="6">
        <v>230.13999899999999</v>
      </c>
      <c r="J663" s="6">
        <v>37.520000000000003</v>
      </c>
      <c r="K663" s="6">
        <v>28.42</v>
      </c>
      <c r="N663" s="19">
        <v>659</v>
      </c>
      <c r="O663" s="1">
        <v>44421</v>
      </c>
      <c r="P663" s="5">
        <f t="shared" si="254"/>
        <v>4.6553755035877564E-3</v>
      </c>
      <c r="Q663" s="5">
        <f t="shared" si="255"/>
        <v>3.1777819869087055E-3</v>
      </c>
      <c r="R663" s="5">
        <f t="shared" si="256"/>
        <v>5.1088288268864301E-3</v>
      </c>
      <c r="S663" s="5">
        <f t="shared" si="257"/>
        <v>9.30714988109008E-3</v>
      </c>
      <c r="T663" s="5">
        <f t="shared" si="258"/>
        <v>6.7349301824877932E-3</v>
      </c>
      <c r="U663" s="5">
        <f t="shared" si="259"/>
        <v>4.8726107486583188E-3</v>
      </c>
      <c r="V663" s="5">
        <f t="shared" si="260"/>
        <v>-2.443987272173789E-3</v>
      </c>
      <c r="W663" s="5">
        <f t="shared" si="261"/>
        <v>1.008806946069723E-2</v>
      </c>
      <c r="X663" s="5">
        <f t="shared" si="262"/>
        <v>-1.597923067091615E-3</v>
      </c>
      <c r="Y663" s="5">
        <f t="shared" si="263"/>
        <v>-1.6748472449431819E-2</v>
      </c>
      <c r="Z663" s="33">
        <v>659</v>
      </c>
      <c r="AE663" s="20" t="str">
        <f t="shared" si="264"/>
        <v/>
      </c>
      <c r="AF663" s="22" t="str">
        <f t="shared" si="265"/>
        <v/>
      </c>
      <c r="AG663" s="9" t="str">
        <f t="shared" ca="1" si="244"/>
        <v/>
      </c>
      <c r="AH663" s="9" t="str">
        <f t="shared" ca="1" si="245"/>
        <v/>
      </c>
      <c r="AI663" s="9" t="str">
        <f t="shared" ca="1" si="246"/>
        <v/>
      </c>
      <c r="AJ663" s="9" t="str">
        <f t="shared" ca="1" si="247"/>
        <v/>
      </c>
      <c r="AK663" s="9" t="str">
        <f t="shared" ca="1" si="248"/>
        <v/>
      </c>
      <c r="AL663" s="9" t="str">
        <f t="shared" ca="1" si="249"/>
        <v/>
      </c>
      <c r="AM663" s="9" t="str">
        <f t="shared" ca="1" si="250"/>
        <v/>
      </c>
      <c r="AN663" s="9" t="str">
        <f t="shared" ca="1" si="251"/>
        <v/>
      </c>
      <c r="AO663" s="9" t="str">
        <f t="shared" ca="1" si="252"/>
        <v/>
      </c>
      <c r="AP663" s="9" t="str">
        <f t="shared" ca="1" si="253"/>
        <v/>
      </c>
      <c r="AQ663" s="9"/>
      <c r="AR663" s="9"/>
      <c r="AS663" s="9"/>
      <c r="AT663" s="9"/>
      <c r="AU663" s="9"/>
    </row>
    <row r="664" spans="1:47" x14ac:dyDescent="0.3">
      <c r="A664" s="1">
        <v>44424</v>
      </c>
      <c r="B664" s="6">
        <v>636.94000200000005</v>
      </c>
      <c r="C664" s="6">
        <v>294.42001299999998</v>
      </c>
      <c r="D664" s="6">
        <v>49.209999000000003</v>
      </c>
      <c r="E664" s="6">
        <v>158.050003</v>
      </c>
      <c r="F664" s="6">
        <v>146.88000500000001</v>
      </c>
      <c r="G664" s="6">
        <v>53.450001</v>
      </c>
      <c r="H664" s="6">
        <v>173.96000699999999</v>
      </c>
      <c r="I664" s="6">
        <v>231.63000500000001</v>
      </c>
      <c r="J664" s="6">
        <v>37.599997999999999</v>
      </c>
      <c r="K664" s="6">
        <v>28.34</v>
      </c>
      <c r="N664" s="18">
        <v>660</v>
      </c>
      <c r="O664" s="1">
        <v>44424</v>
      </c>
      <c r="P664" s="5">
        <f t="shared" si="254"/>
        <v>-5.8072750307736499E-4</v>
      </c>
      <c r="Q664" s="5">
        <f t="shared" si="255"/>
        <v>4.4252990565700305E-3</v>
      </c>
      <c r="R664" s="5">
        <f t="shared" si="256"/>
        <v>3.0527753432665022E-3</v>
      </c>
      <c r="S664" s="5">
        <f t="shared" si="257"/>
        <v>9.727634744910606E-3</v>
      </c>
      <c r="T664" s="5">
        <f t="shared" si="258"/>
        <v>6.0093392052377034E-3</v>
      </c>
      <c r="U664" s="5">
        <f t="shared" si="259"/>
        <v>-7.4810175319644622E-4</v>
      </c>
      <c r="V664" s="5">
        <f t="shared" si="260"/>
        <v>1.3426173671396001E-2</v>
      </c>
      <c r="W664" s="5">
        <f t="shared" si="261"/>
        <v>6.4534775248528773E-3</v>
      </c>
      <c r="X664" s="5">
        <f t="shared" si="262"/>
        <v>2.1298730663340776E-3</v>
      </c>
      <c r="Y664" s="5">
        <f t="shared" si="263"/>
        <v>-2.8188884064202771E-3</v>
      </c>
      <c r="Z664" s="33">
        <v>660</v>
      </c>
      <c r="AE664" s="20" t="str">
        <f t="shared" si="264"/>
        <v/>
      </c>
      <c r="AF664" s="22" t="str">
        <f t="shared" si="265"/>
        <v/>
      </c>
      <c r="AG664" s="9" t="str">
        <f t="shared" ca="1" si="244"/>
        <v/>
      </c>
      <c r="AH664" s="9" t="str">
        <f t="shared" ca="1" si="245"/>
        <v/>
      </c>
      <c r="AI664" s="9" t="str">
        <f t="shared" ca="1" si="246"/>
        <v/>
      </c>
      <c r="AJ664" s="9" t="str">
        <f t="shared" ca="1" si="247"/>
        <v/>
      </c>
      <c r="AK664" s="9" t="str">
        <f t="shared" ca="1" si="248"/>
        <v/>
      </c>
      <c r="AL664" s="9" t="str">
        <f t="shared" ca="1" si="249"/>
        <v/>
      </c>
      <c r="AM664" s="9" t="str">
        <f t="shared" ca="1" si="250"/>
        <v/>
      </c>
      <c r="AN664" s="9" t="str">
        <f t="shared" ca="1" si="251"/>
        <v/>
      </c>
      <c r="AO664" s="9" t="str">
        <f t="shared" ca="1" si="252"/>
        <v/>
      </c>
      <c r="AP664" s="9" t="str">
        <f t="shared" ca="1" si="253"/>
        <v/>
      </c>
      <c r="AQ664" s="9"/>
      <c r="AR664" s="9"/>
      <c r="AS664" s="9"/>
      <c r="AT664" s="9"/>
      <c r="AU664" s="9"/>
    </row>
    <row r="665" spans="1:47" x14ac:dyDescent="0.3">
      <c r="A665" s="1">
        <v>44425</v>
      </c>
      <c r="B665" s="6">
        <v>635.01000999999997</v>
      </c>
      <c r="C665" s="6">
        <v>291.61999500000002</v>
      </c>
      <c r="D665" s="6">
        <v>48.759998000000003</v>
      </c>
      <c r="E665" s="6">
        <v>157.89999399999999</v>
      </c>
      <c r="F665" s="6">
        <v>146.66999799999999</v>
      </c>
      <c r="G665" s="6">
        <v>53</v>
      </c>
      <c r="H665" s="6">
        <v>173.020004</v>
      </c>
      <c r="I665" s="6">
        <v>225.929993</v>
      </c>
      <c r="J665" s="6">
        <v>37.450001</v>
      </c>
      <c r="K665" s="6">
        <v>28.610001</v>
      </c>
      <c r="N665" s="19">
        <v>661</v>
      </c>
      <c r="O665" s="1">
        <v>44425</v>
      </c>
      <c r="P665" s="5">
        <f t="shared" si="254"/>
        <v>-3.0347002051415383E-3</v>
      </c>
      <c r="Q665" s="5">
        <f t="shared" si="255"/>
        <v>-9.5557957419363238E-3</v>
      </c>
      <c r="R665" s="5">
        <f t="shared" si="256"/>
        <v>-9.1865709609710248E-3</v>
      </c>
      <c r="S665" s="5">
        <f t="shared" si="257"/>
        <v>-9.4957438009928745E-4</v>
      </c>
      <c r="T665" s="5">
        <f t="shared" si="258"/>
        <v>-1.4308092909641663E-3</v>
      </c>
      <c r="U665" s="5">
        <f t="shared" si="259"/>
        <v>-8.4547426280061292E-3</v>
      </c>
      <c r="V665" s="5">
        <f t="shared" si="260"/>
        <v>-5.4182100976296601E-3</v>
      </c>
      <c r="W665" s="5">
        <f t="shared" si="261"/>
        <v>-2.4916106776662578E-2</v>
      </c>
      <c r="X665" s="5">
        <f t="shared" si="262"/>
        <v>-3.9972605388602471E-3</v>
      </c>
      <c r="Y665" s="5">
        <f t="shared" si="263"/>
        <v>9.4821077522975784E-3</v>
      </c>
      <c r="Z665" s="33">
        <v>661</v>
      </c>
      <c r="AE665" s="20" t="str">
        <f t="shared" si="264"/>
        <v/>
      </c>
      <c r="AF665" s="22" t="str">
        <f t="shared" si="265"/>
        <v/>
      </c>
      <c r="AG665" s="9" t="str">
        <f t="shared" ca="1" si="244"/>
        <v/>
      </c>
      <c r="AH665" s="9" t="str">
        <f t="shared" ca="1" si="245"/>
        <v/>
      </c>
      <c r="AI665" s="9" t="str">
        <f t="shared" ca="1" si="246"/>
        <v/>
      </c>
      <c r="AJ665" s="9" t="str">
        <f t="shared" ca="1" si="247"/>
        <v/>
      </c>
      <c r="AK665" s="9" t="str">
        <f t="shared" ca="1" si="248"/>
        <v/>
      </c>
      <c r="AL665" s="9" t="str">
        <f t="shared" ca="1" si="249"/>
        <v/>
      </c>
      <c r="AM665" s="9" t="str">
        <f t="shared" ca="1" si="250"/>
        <v/>
      </c>
      <c r="AN665" s="9" t="str">
        <f t="shared" ca="1" si="251"/>
        <v/>
      </c>
      <c r="AO665" s="9" t="str">
        <f t="shared" ca="1" si="252"/>
        <v/>
      </c>
      <c r="AP665" s="9" t="str">
        <f t="shared" ca="1" si="253"/>
        <v/>
      </c>
      <c r="AQ665" s="9"/>
      <c r="AR665" s="9"/>
      <c r="AS665" s="9"/>
      <c r="AT665" s="9"/>
      <c r="AU665" s="9"/>
    </row>
    <row r="666" spans="1:47" x14ac:dyDescent="0.3">
      <c r="A666" s="1">
        <v>44426</v>
      </c>
      <c r="B666" s="6">
        <v>626.77002000000005</v>
      </c>
      <c r="C666" s="6">
        <v>290.63000499999998</v>
      </c>
      <c r="D666" s="6">
        <v>47.93</v>
      </c>
      <c r="E666" s="6">
        <v>156.279999</v>
      </c>
      <c r="F666" s="6">
        <v>146.25</v>
      </c>
      <c r="G666" s="6">
        <v>52.619999</v>
      </c>
      <c r="H666" s="6">
        <v>171.509995</v>
      </c>
      <c r="I666" s="6">
        <v>220.35000600000001</v>
      </c>
      <c r="J666" s="6">
        <v>36.869999</v>
      </c>
      <c r="K666" s="6">
        <v>28.450001</v>
      </c>
      <c r="N666" s="18">
        <v>662</v>
      </c>
      <c r="O666" s="1">
        <v>44426</v>
      </c>
      <c r="P666" s="5">
        <f t="shared" si="254"/>
        <v>-1.3061083458892349E-2</v>
      </c>
      <c r="Q666" s="5">
        <f t="shared" si="255"/>
        <v>-3.40057004383012E-3</v>
      </c>
      <c r="R666" s="5">
        <f t="shared" si="256"/>
        <v>-1.7168650424302902E-2</v>
      </c>
      <c r="S666" s="5">
        <f t="shared" si="257"/>
        <v>-1.0312619474763815E-2</v>
      </c>
      <c r="T666" s="5">
        <f t="shared" si="258"/>
        <v>-2.8676655106441885E-3</v>
      </c>
      <c r="U666" s="5">
        <f t="shared" si="259"/>
        <v>-7.1956569441562436E-3</v>
      </c>
      <c r="V666" s="5">
        <f t="shared" si="260"/>
        <v>-8.7656730797724802E-3</v>
      </c>
      <c r="W666" s="5">
        <f t="shared" si="261"/>
        <v>-2.5007967280918215E-2</v>
      </c>
      <c r="X666" s="5">
        <f t="shared" si="262"/>
        <v>-1.5608551541766692E-2</v>
      </c>
      <c r="Y666" s="5">
        <f t="shared" si="263"/>
        <v>-5.6081462931078414E-3</v>
      </c>
      <c r="Z666" s="33">
        <v>662</v>
      </c>
      <c r="AE666" s="20" t="str">
        <f t="shared" si="264"/>
        <v/>
      </c>
      <c r="AF666" s="22" t="str">
        <f t="shared" si="265"/>
        <v/>
      </c>
      <c r="AG666" s="9" t="str">
        <f t="shared" ca="1" si="244"/>
        <v/>
      </c>
      <c r="AH666" s="9" t="str">
        <f t="shared" ca="1" si="245"/>
        <v/>
      </c>
      <c r="AI666" s="9" t="str">
        <f t="shared" ca="1" si="246"/>
        <v/>
      </c>
      <c r="AJ666" s="9" t="str">
        <f t="shared" ca="1" si="247"/>
        <v/>
      </c>
      <c r="AK666" s="9" t="str">
        <f t="shared" ca="1" si="248"/>
        <v/>
      </c>
      <c r="AL666" s="9" t="str">
        <f t="shared" ca="1" si="249"/>
        <v/>
      </c>
      <c r="AM666" s="9" t="str">
        <f t="shared" ca="1" si="250"/>
        <v/>
      </c>
      <c r="AN666" s="9" t="str">
        <f t="shared" ca="1" si="251"/>
        <v/>
      </c>
      <c r="AO666" s="9" t="str">
        <f t="shared" ca="1" si="252"/>
        <v/>
      </c>
      <c r="AP666" s="9" t="str">
        <f t="shared" ca="1" si="253"/>
        <v/>
      </c>
      <c r="AQ666" s="9"/>
      <c r="AR666" s="9"/>
      <c r="AS666" s="9"/>
      <c r="AT666" s="9"/>
      <c r="AU666" s="9"/>
    </row>
    <row r="667" spans="1:47" x14ac:dyDescent="0.3">
      <c r="A667" s="1">
        <v>44427</v>
      </c>
      <c r="B667" s="6">
        <v>637.65997300000004</v>
      </c>
      <c r="C667" s="6">
        <v>315.98998999999998</v>
      </c>
      <c r="D667" s="6">
        <v>48.59</v>
      </c>
      <c r="E667" s="6">
        <v>158.91000399999999</v>
      </c>
      <c r="F667" s="6">
        <v>146.96000699999999</v>
      </c>
      <c r="G667" s="6">
        <v>53</v>
      </c>
      <c r="H667" s="6">
        <v>172.41999799999999</v>
      </c>
      <c r="I667" s="6">
        <v>216.38000500000001</v>
      </c>
      <c r="J667" s="6">
        <v>36.099997999999999</v>
      </c>
      <c r="K667" s="6">
        <v>27.74</v>
      </c>
      <c r="N667" s="19">
        <v>663</v>
      </c>
      <c r="O667" s="1">
        <v>44427</v>
      </c>
      <c r="P667" s="5">
        <f t="shared" si="254"/>
        <v>1.7225504503033694E-2</v>
      </c>
      <c r="Q667" s="5">
        <f t="shared" si="255"/>
        <v>8.3659538171279996E-2</v>
      </c>
      <c r="R667" s="5">
        <f t="shared" si="256"/>
        <v>1.3676135246271832E-2</v>
      </c>
      <c r="S667" s="5">
        <f t="shared" si="257"/>
        <v>1.6688765607926957E-2</v>
      </c>
      <c r="T667" s="5">
        <f t="shared" si="258"/>
        <v>4.8430024269118591E-3</v>
      </c>
      <c r="U667" s="5">
        <f t="shared" si="259"/>
        <v>7.1956569441563164E-3</v>
      </c>
      <c r="V667" s="5">
        <f t="shared" si="260"/>
        <v>5.2918043910263586E-3</v>
      </c>
      <c r="W667" s="5">
        <f t="shared" si="261"/>
        <v>-1.8181074150480227E-2</v>
      </c>
      <c r="X667" s="5">
        <f t="shared" si="262"/>
        <v>-2.1105375186559423E-2</v>
      </c>
      <c r="Y667" s="5">
        <f t="shared" si="263"/>
        <v>-2.5272780835038762E-2</v>
      </c>
      <c r="Z667" s="33">
        <v>663</v>
      </c>
      <c r="AE667" s="20" t="str">
        <f t="shared" si="264"/>
        <v/>
      </c>
      <c r="AF667" s="22" t="str">
        <f t="shared" si="265"/>
        <v/>
      </c>
      <c r="AG667" s="9" t="str">
        <f t="shared" ca="1" si="244"/>
        <v/>
      </c>
      <c r="AH667" s="9" t="str">
        <f t="shared" ca="1" si="245"/>
        <v/>
      </c>
      <c r="AI667" s="9" t="str">
        <f t="shared" ca="1" si="246"/>
        <v/>
      </c>
      <c r="AJ667" s="9" t="str">
        <f t="shared" ca="1" si="247"/>
        <v/>
      </c>
      <c r="AK667" s="9" t="str">
        <f t="shared" ca="1" si="248"/>
        <v/>
      </c>
      <c r="AL667" s="9" t="str">
        <f t="shared" ca="1" si="249"/>
        <v/>
      </c>
      <c r="AM667" s="9" t="str">
        <f t="shared" ca="1" si="250"/>
        <v/>
      </c>
      <c r="AN667" s="9" t="str">
        <f t="shared" ca="1" si="251"/>
        <v/>
      </c>
      <c r="AO667" s="9" t="str">
        <f t="shared" ca="1" si="252"/>
        <v/>
      </c>
      <c r="AP667" s="9" t="str">
        <f t="shared" ca="1" si="253"/>
        <v/>
      </c>
      <c r="AQ667" s="9"/>
      <c r="AR667" s="9"/>
      <c r="AS667" s="9"/>
      <c r="AT667" s="9"/>
      <c r="AU667" s="9"/>
    </row>
    <row r="668" spans="1:47" x14ac:dyDescent="0.3">
      <c r="A668" s="1">
        <v>44428</v>
      </c>
      <c r="B668" s="6">
        <v>647.34002699999996</v>
      </c>
      <c r="C668" s="6">
        <v>316.88000499999998</v>
      </c>
      <c r="D668" s="6">
        <v>48.369999</v>
      </c>
      <c r="E668" s="6">
        <v>158.35000600000001</v>
      </c>
      <c r="F668" s="6">
        <v>146.699997</v>
      </c>
      <c r="G668" s="6">
        <v>53.09</v>
      </c>
      <c r="H668" s="6">
        <v>172.699997</v>
      </c>
      <c r="I668" s="6">
        <v>219.529999</v>
      </c>
      <c r="J668" s="6">
        <v>36.450001</v>
      </c>
      <c r="K668" s="6">
        <v>28.07</v>
      </c>
      <c r="N668" s="18">
        <v>664</v>
      </c>
      <c r="O668" s="1">
        <v>44428</v>
      </c>
      <c r="P668" s="5">
        <f t="shared" si="254"/>
        <v>1.5066516908337735E-2</v>
      </c>
      <c r="Q668" s="5">
        <f t="shared" si="255"/>
        <v>2.8126332225161749E-3</v>
      </c>
      <c r="R668" s="5">
        <f t="shared" si="256"/>
        <v>-4.537982256891583E-3</v>
      </c>
      <c r="S668" s="5">
        <f t="shared" si="257"/>
        <v>-3.530218520628826E-3</v>
      </c>
      <c r="T668" s="5">
        <f t="shared" si="258"/>
        <v>-1.7708238398396895E-3</v>
      </c>
      <c r="U668" s="5">
        <f t="shared" si="259"/>
        <v>1.696673043458426E-3</v>
      </c>
      <c r="V668" s="5">
        <f t="shared" si="260"/>
        <v>1.6226185992723957E-3</v>
      </c>
      <c r="W668" s="5">
        <f t="shared" si="261"/>
        <v>1.4452748513722214E-2</v>
      </c>
      <c r="X668" s="5">
        <f t="shared" si="262"/>
        <v>9.6486759523374561E-3</v>
      </c>
      <c r="Y668" s="5">
        <f t="shared" si="263"/>
        <v>1.1825975487105674E-2</v>
      </c>
      <c r="Z668" s="33">
        <v>664</v>
      </c>
      <c r="AE668" s="20" t="str">
        <f t="shared" si="264"/>
        <v/>
      </c>
      <c r="AF668" s="22" t="str">
        <f t="shared" si="265"/>
        <v/>
      </c>
      <c r="AG668" s="9" t="str">
        <f t="shared" ca="1" si="244"/>
        <v/>
      </c>
      <c r="AH668" s="9" t="str">
        <f t="shared" ca="1" si="245"/>
        <v/>
      </c>
      <c r="AI668" s="9" t="str">
        <f t="shared" ca="1" si="246"/>
        <v/>
      </c>
      <c r="AJ668" s="9" t="str">
        <f t="shared" ca="1" si="247"/>
        <v/>
      </c>
      <c r="AK668" s="9" t="str">
        <f t="shared" ca="1" si="248"/>
        <v/>
      </c>
      <c r="AL668" s="9" t="str">
        <f t="shared" ca="1" si="249"/>
        <v/>
      </c>
      <c r="AM668" s="9" t="str">
        <f t="shared" ca="1" si="250"/>
        <v/>
      </c>
      <c r="AN668" s="9" t="str">
        <f t="shared" ca="1" si="251"/>
        <v/>
      </c>
      <c r="AO668" s="9" t="str">
        <f t="shared" ca="1" si="252"/>
        <v/>
      </c>
      <c r="AP668" s="9" t="str">
        <f t="shared" ca="1" si="253"/>
        <v/>
      </c>
      <c r="AQ668" s="9"/>
      <c r="AR668" s="9"/>
      <c r="AS668" s="9"/>
      <c r="AT668" s="9"/>
      <c r="AU668" s="9"/>
    </row>
    <row r="669" spans="1:47" x14ac:dyDescent="0.3">
      <c r="A669" s="1">
        <v>44431</v>
      </c>
      <c r="B669" s="6">
        <v>656.85998500000005</v>
      </c>
      <c r="C669" s="6">
        <v>320.92001299999998</v>
      </c>
      <c r="D669" s="6">
        <v>48.375</v>
      </c>
      <c r="E669" s="6">
        <v>157.85000600000001</v>
      </c>
      <c r="F669" s="6">
        <v>144.58999600000001</v>
      </c>
      <c r="G669" s="6">
        <v>52.630001</v>
      </c>
      <c r="H669" s="6">
        <v>173.10000600000001</v>
      </c>
      <c r="I669" s="6">
        <v>222.16000399999999</v>
      </c>
      <c r="J669" s="6">
        <v>37.009998000000003</v>
      </c>
      <c r="K669" s="6">
        <v>28.440000999999999</v>
      </c>
      <c r="N669" s="19">
        <v>665</v>
      </c>
      <c r="O669" s="1">
        <v>44431</v>
      </c>
      <c r="P669" s="5">
        <f t="shared" si="254"/>
        <v>1.4599182639254348E-2</v>
      </c>
      <c r="Q669" s="5">
        <f t="shared" si="255"/>
        <v>1.2668742301487642E-2</v>
      </c>
      <c r="R669" s="5">
        <f t="shared" si="256"/>
        <v>1.0338518902581536E-4</v>
      </c>
      <c r="S669" s="5">
        <f t="shared" si="257"/>
        <v>-3.1625578606267169E-3</v>
      </c>
      <c r="T669" s="5">
        <f t="shared" si="258"/>
        <v>-1.4487541323433875E-2</v>
      </c>
      <c r="U669" s="5">
        <f t="shared" si="259"/>
        <v>-8.7022682293227023E-3</v>
      </c>
      <c r="V669" s="5">
        <f t="shared" si="260"/>
        <v>2.3135290627391207E-3</v>
      </c>
      <c r="W669" s="5">
        <f t="shared" si="261"/>
        <v>1.1908968122939899E-2</v>
      </c>
      <c r="X669" s="5">
        <f t="shared" si="262"/>
        <v>1.5246606469105421E-2</v>
      </c>
      <c r="Y669" s="5">
        <f t="shared" si="263"/>
        <v>1.3095249722992322E-2</v>
      </c>
      <c r="Z669" s="33">
        <v>665</v>
      </c>
      <c r="AE669" s="20" t="str">
        <f t="shared" si="264"/>
        <v/>
      </c>
      <c r="AF669" s="22" t="str">
        <f t="shared" si="265"/>
        <v/>
      </c>
      <c r="AG669" s="9" t="str">
        <f t="shared" ca="1" si="244"/>
        <v/>
      </c>
      <c r="AH669" s="9" t="str">
        <f t="shared" ca="1" si="245"/>
        <v/>
      </c>
      <c r="AI669" s="9" t="str">
        <f t="shared" ca="1" si="246"/>
        <v/>
      </c>
      <c r="AJ669" s="9" t="str">
        <f t="shared" ca="1" si="247"/>
        <v/>
      </c>
      <c r="AK669" s="9" t="str">
        <f t="shared" ca="1" si="248"/>
        <v/>
      </c>
      <c r="AL669" s="9" t="str">
        <f t="shared" ca="1" si="249"/>
        <v/>
      </c>
      <c r="AM669" s="9" t="str">
        <f t="shared" ca="1" si="250"/>
        <v/>
      </c>
      <c r="AN669" s="9" t="str">
        <f t="shared" ca="1" si="251"/>
        <v/>
      </c>
      <c r="AO669" s="9" t="str">
        <f t="shared" ca="1" si="252"/>
        <v/>
      </c>
      <c r="AP669" s="9" t="str">
        <f t="shared" ca="1" si="253"/>
        <v/>
      </c>
      <c r="AQ669" s="9"/>
      <c r="AR669" s="9"/>
      <c r="AS669" s="9"/>
      <c r="AT669" s="9"/>
      <c r="AU669" s="9"/>
    </row>
    <row r="670" spans="1:47" x14ac:dyDescent="0.3">
      <c r="A670" s="1">
        <v>44432</v>
      </c>
      <c r="B670" s="6">
        <v>657.23999000000003</v>
      </c>
      <c r="C670" s="6">
        <v>324.95001200000002</v>
      </c>
      <c r="D670" s="6">
        <v>48.314999</v>
      </c>
      <c r="E670" s="6">
        <v>155.88999899999999</v>
      </c>
      <c r="F670" s="6">
        <v>142.5</v>
      </c>
      <c r="G670" s="6">
        <v>52.130001</v>
      </c>
      <c r="H670" s="6">
        <v>174.229996</v>
      </c>
      <c r="I670" s="6">
        <v>225.33999600000001</v>
      </c>
      <c r="J670" s="6">
        <v>37.020000000000003</v>
      </c>
      <c r="K670" s="6">
        <v>28.700001</v>
      </c>
      <c r="N670" s="18">
        <v>666</v>
      </c>
      <c r="O670" s="1">
        <v>44432</v>
      </c>
      <c r="P670" s="5">
        <f t="shared" si="254"/>
        <v>5.7835022878265389E-4</v>
      </c>
      <c r="Q670" s="5">
        <f t="shared" si="255"/>
        <v>1.2479449875123288E-2</v>
      </c>
      <c r="R670" s="5">
        <f t="shared" si="256"/>
        <v>-1.2411005961802328E-3</v>
      </c>
      <c r="S670" s="5">
        <f t="shared" si="257"/>
        <v>-1.2494629104959928E-2</v>
      </c>
      <c r="T670" s="5">
        <f t="shared" si="258"/>
        <v>-1.4560123666899016E-2</v>
      </c>
      <c r="U670" s="5">
        <f t="shared" si="259"/>
        <v>-9.5457004034308693E-3</v>
      </c>
      <c r="V670" s="5">
        <f t="shared" si="260"/>
        <v>6.5067456324469563E-3</v>
      </c>
      <c r="W670" s="5">
        <f t="shared" si="261"/>
        <v>1.4212493981480317E-2</v>
      </c>
      <c r="X670" s="5">
        <f t="shared" si="262"/>
        <v>2.7021478673699241E-4</v>
      </c>
      <c r="Y670" s="5">
        <f t="shared" si="263"/>
        <v>9.1005175119968952E-3</v>
      </c>
      <c r="Z670" s="33">
        <v>666</v>
      </c>
      <c r="AE670" s="20" t="str">
        <f t="shared" si="264"/>
        <v/>
      </c>
      <c r="AF670" s="22" t="str">
        <f t="shared" si="265"/>
        <v/>
      </c>
      <c r="AG670" s="9" t="str">
        <f t="shared" ca="1" si="244"/>
        <v/>
      </c>
      <c r="AH670" s="9" t="str">
        <f t="shared" ca="1" si="245"/>
        <v/>
      </c>
      <c r="AI670" s="9" t="str">
        <f t="shared" ca="1" si="246"/>
        <v/>
      </c>
      <c r="AJ670" s="9" t="str">
        <f t="shared" ca="1" si="247"/>
        <v/>
      </c>
      <c r="AK670" s="9" t="str">
        <f t="shared" ca="1" si="248"/>
        <v/>
      </c>
      <c r="AL670" s="9" t="str">
        <f t="shared" ca="1" si="249"/>
        <v/>
      </c>
      <c r="AM670" s="9" t="str">
        <f t="shared" ca="1" si="250"/>
        <v/>
      </c>
      <c r="AN670" s="9" t="str">
        <f t="shared" ca="1" si="251"/>
        <v/>
      </c>
      <c r="AO670" s="9" t="str">
        <f t="shared" ca="1" si="252"/>
        <v/>
      </c>
      <c r="AP670" s="9" t="str">
        <f t="shared" ca="1" si="253"/>
        <v/>
      </c>
      <c r="AQ670" s="9"/>
      <c r="AR670" s="9"/>
      <c r="AS670" s="9"/>
      <c r="AT670" s="9"/>
      <c r="AU670" s="9"/>
    </row>
    <row r="671" spans="1:47" x14ac:dyDescent="0.3">
      <c r="A671" s="1">
        <v>44433</v>
      </c>
      <c r="B671" s="6">
        <v>656.79998799999998</v>
      </c>
      <c r="C671" s="6">
        <v>325.01001000000002</v>
      </c>
      <c r="D671" s="6">
        <v>48.564999</v>
      </c>
      <c r="E671" s="6">
        <v>155.199997</v>
      </c>
      <c r="F671" s="6">
        <v>144.220001</v>
      </c>
      <c r="G671" s="6">
        <v>52.18</v>
      </c>
      <c r="H671" s="6">
        <v>174.46000699999999</v>
      </c>
      <c r="I671" s="6">
        <v>226.270004</v>
      </c>
      <c r="J671" s="6">
        <v>37.119999</v>
      </c>
      <c r="K671" s="6">
        <v>28.74</v>
      </c>
      <c r="N671" s="19">
        <v>667</v>
      </c>
      <c r="O671" s="1">
        <v>44433</v>
      </c>
      <c r="P671" s="5">
        <f t="shared" si="254"/>
        <v>-6.6969350067179858E-4</v>
      </c>
      <c r="Q671" s="5">
        <f t="shared" si="255"/>
        <v>1.8462058631168421E-4</v>
      </c>
      <c r="R671" s="5">
        <f t="shared" si="256"/>
        <v>5.1610355095673514E-3</v>
      </c>
      <c r="S671" s="5">
        <f t="shared" si="257"/>
        <v>-4.4360354905885651E-3</v>
      </c>
      <c r="T671" s="5">
        <f t="shared" si="258"/>
        <v>1.1997918713759157E-2</v>
      </c>
      <c r="U671" s="5">
        <f t="shared" si="259"/>
        <v>9.5866174575572039E-4</v>
      </c>
      <c r="V671" s="5">
        <f t="shared" si="260"/>
        <v>1.3192866522273358E-3</v>
      </c>
      <c r="W671" s="5">
        <f t="shared" si="261"/>
        <v>4.1186391561659E-3</v>
      </c>
      <c r="X671" s="5">
        <f t="shared" si="262"/>
        <v>2.6975738329926644E-3</v>
      </c>
      <c r="Y671" s="5">
        <f t="shared" si="263"/>
        <v>1.3927230420984612E-3</v>
      </c>
      <c r="Z671" s="33">
        <v>667</v>
      </c>
      <c r="AE671" s="20" t="str">
        <f t="shared" si="264"/>
        <v/>
      </c>
      <c r="AF671" s="22" t="str">
        <f t="shared" si="265"/>
        <v/>
      </c>
      <c r="AG671" s="9" t="str">
        <f t="shared" ca="1" si="244"/>
        <v/>
      </c>
      <c r="AH671" s="9" t="str">
        <f t="shared" ca="1" si="245"/>
        <v/>
      </c>
      <c r="AI671" s="9" t="str">
        <f t="shared" ca="1" si="246"/>
        <v/>
      </c>
      <c r="AJ671" s="9" t="str">
        <f t="shared" ca="1" si="247"/>
        <v/>
      </c>
      <c r="AK671" s="9" t="str">
        <f t="shared" ca="1" si="248"/>
        <v/>
      </c>
      <c r="AL671" s="9" t="str">
        <f t="shared" ca="1" si="249"/>
        <v/>
      </c>
      <c r="AM671" s="9" t="str">
        <f t="shared" ca="1" si="250"/>
        <v/>
      </c>
      <c r="AN671" s="9" t="str">
        <f t="shared" ca="1" si="251"/>
        <v/>
      </c>
      <c r="AO671" s="9" t="str">
        <f t="shared" ca="1" si="252"/>
        <v/>
      </c>
      <c r="AP671" s="9" t="str">
        <f t="shared" ca="1" si="253"/>
        <v/>
      </c>
      <c r="AQ671" s="9"/>
      <c r="AR671" s="9"/>
      <c r="AS671" s="9"/>
      <c r="AT671" s="9"/>
      <c r="AU671" s="9"/>
    </row>
    <row r="672" spans="1:47" x14ac:dyDescent="0.3">
      <c r="A672" s="1">
        <v>44434</v>
      </c>
      <c r="B672" s="6">
        <v>652.39001499999995</v>
      </c>
      <c r="C672" s="6">
        <v>326.51001000000002</v>
      </c>
      <c r="D672" s="6">
        <v>48.419998</v>
      </c>
      <c r="E672" s="6">
        <v>154.63000500000001</v>
      </c>
      <c r="F672" s="6">
        <v>145.71000699999999</v>
      </c>
      <c r="G672" s="6">
        <v>52.490001999999997</v>
      </c>
      <c r="H672" s="6">
        <v>174.03999300000001</v>
      </c>
      <c r="I672" s="6">
        <v>224.83000200000001</v>
      </c>
      <c r="J672" s="6">
        <v>36.450001</v>
      </c>
      <c r="K672" s="6">
        <v>27.889999</v>
      </c>
      <c r="N672" s="18">
        <v>668</v>
      </c>
      <c r="O672" s="1">
        <v>44434</v>
      </c>
      <c r="P672" s="5">
        <f t="shared" si="254"/>
        <v>-6.7369742656711801E-3</v>
      </c>
      <c r="Q672" s="5">
        <f t="shared" si="255"/>
        <v>4.6046248903306971E-3</v>
      </c>
      <c r="R672" s="5">
        <f t="shared" si="256"/>
        <v>-2.9901760586673212E-3</v>
      </c>
      <c r="S672" s="5">
        <f t="shared" si="257"/>
        <v>-3.679389596630727E-3</v>
      </c>
      <c r="T672" s="5">
        <f t="shared" si="258"/>
        <v>1.027847464392608E-2</v>
      </c>
      <c r="U672" s="5">
        <f t="shared" si="259"/>
        <v>5.9234336581208708E-3</v>
      </c>
      <c r="V672" s="5">
        <f t="shared" si="260"/>
        <v>-2.4104114970425034E-3</v>
      </c>
      <c r="W672" s="5">
        <f t="shared" si="261"/>
        <v>-6.3844241727104047E-3</v>
      </c>
      <c r="X672" s="5">
        <f t="shared" si="262"/>
        <v>-1.8214395088835239E-2</v>
      </c>
      <c r="Y672" s="5">
        <f t="shared" si="263"/>
        <v>-3.0021714866627067E-2</v>
      </c>
      <c r="Z672" s="33">
        <v>668</v>
      </c>
      <c r="AE672" s="20" t="str">
        <f t="shared" si="264"/>
        <v/>
      </c>
      <c r="AF672" s="22" t="str">
        <f t="shared" si="265"/>
        <v/>
      </c>
      <c r="AG672" s="9" t="str">
        <f t="shared" ca="1" si="244"/>
        <v/>
      </c>
      <c r="AH672" s="9" t="str">
        <f t="shared" ca="1" si="245"/>
        <v/>
      </c>
      <c r="AI672" s="9" t="str">
        <f t="shared" ca="1" si="246"/>
        <v/>
      </c>
      <c r="AJ672" s="9" t="str">
        <f t="shared" ca="1" si="247"/>
        <v/>
      </c>
      <c r="AK672" s="9" t="str">
        <f t="shared" ca="1" si="248"/>
        <v/>
      </c>
      <c r="AL672" s="9" t="str">
        <f t="shared" ca="1" si="249"/>
        <v/>
      </c>
      <c r="AM672" s="9" t="str">
        <f t="shared" ca="1" si="250"/>
        <v/>
      </c>
      <c r="AN672" s="9" t="str">
        <f t="shared" ca="1" si="251"/>
        <v/>
      </c>
      <c r="AO672" s="9" t="str">
        <f t="shared" ca="1" si="252"/>
        <v/>
      </c>
      <c r="AP672" s="9" t="str">
        <f t="shared" ca="1" si="253"/>
        <v/>
      </c>
      <c r="AQ672" s="9"/>
      <c r="AR672" s="9"/>
      <c r="AS672" s="9"/>
      <c r="AT672" s="9"/>
      <c r="AU672" s="9"/>
    </row>
    <row r="673" spans="1:47" x14ac:dyDescent="0.3">
      <c r="A673" s="1">
        <v>44435</v>
      </c>
      <c r="B673" s="6">
        <v>658.52002000000005</v>
      </c>
      <c r="C673" s="6">
        <v>331.80999800000001</v>
      </c>
      <c r="D673" s="6">
        <v>48.665000999999997</v>
      </c>
      <c r="E673" s="6">
        <v>154.94000199999999</v>
      </c>
      <c r="F673" s="6">
        <v>146.759995</v>
      </c>
      <c r="G673" s="6">
        <v>52.810001</v>
      </c>
      <c r="H673" s="6">
        <v>174.58999600000001</v>
      </c>
      <c r="I673" s="6">
        <v>227.240005</v>
      </c>
      <c r="J673" s="6">
        <v>36.840000000000003</v>
      </c>
      <c r="K673" s="6">
        <v>28.280000999999999</v>
      </c>
      <c r="N673" s="19">
        <v>669</v>
      </c>
      <c r="O673" s="1">
        <v>44435</v>
      </c>
      <c r="P673" s="5">
        <f t="shared" si="254"/>
        <v>9.3523575488107316E-3</v>
      </c>
      <c r="Q673" s="5">
        <f t="shared" si="255"/>
        <v>1.6101903166614157E-2</v>
      </c>
      <c r="R673" s="5">
        <f t="shared" si="256"/>
        <v>5.0471962224396816E-3</v>
      </c>
      <c r="S673" s="5">
        <f t="shared" si="257"/>
        <v>2.0027592893883048E-3</v>
      </c>
      <c r="T673" s="5">
        <f t="shared" si="258"/>
        <v>7.1801723514615477E-3</v>
      </c>
      <c r="U673" s="5">
        <f t="shared" si="259"/>
        <v>6.0778722879458675E-3</v>
      </c>
      <c r="V673" s="5">
        <f t="shared" si="260"/>
        <v>3.1552274540234504E-3</v>
      </c>
      <c r="W673" s="5">
        <f t="shared" si="261"/>
        <v>1.0662179723573193E-2</v>
      </c>
      <c r="X673" s="5">
        <f t="shared" si="262"/>
        <v>1.0642725497597084E-2</v>
      </c>
      <c r="Y673" s="5">
        <f t="shared" si="263"/>
        <v>1.3886710604798482E-2</v>
      </c>
      <c r="Z673" s="33">
        <v>669</v>
      </c>
      <c r="AE673" s="20" t="str">
        <f t="shared" si="264"/>
        <v/>
      </c>
      <c r="AF673" s="22" t="str">
        <f t="shared" si="265"/>
        <v/>
      </c>
      <c r="AG673" s="9" t="str">
        <f t="shared" ca="1" si="244"/>
        <v/>
      </c>
      <c r="AH673" s="9" t="str">
        <f t="shared" ca="1" si="245"/>
        <v/>
      </c>
      <c r="AI673" s="9" t="str">
        <f t="shared" ca="1" si="246"/>
        <v/>
      </c>
      <c r="AJ673" s="9" t="str">
        <f t="shared" ca="1" si="247"/>
        <v/>
      </c>
      <c r="AK673" s="9" t="str">
        <f t="shared" ca="1" si="248"/>
        <v/>
      </c>
      <c r="AL673" s="9" t="str">
        <f t="shared" ca="1" si="249"/>
        <v/>
      </c>
      <c r="AM673" s="9" t="str">
        <f t="shared" ca="1" si="250"/>
        <v/>
      </c>
      <c r="AN673" s="9" t="str">
        <f t="shared" ca="1" si="251"/>
        <v/>
      </c>
      <c r="AO673" s="9" t="str">
        <f t="shared" ca="1" si="252"/>
        <v/>
      </c>
      <c r="AP673" s="9" t="str">
        <f t="shared" ca="1" si="253"/>
        <v/>
      </c>
      <c r="AQ673" s="9"/>
      <c r="AR673" s="9"/>
      <c r="AS673" s="9"/>
      <c r="AT673" s="9"/>
      <c r="AU673" s="9"/>
    </row>
    <row r="674" spans="1:47" x14ac:dyDescent="0.3">
      <c r="A674" s="1">
        <v>44438</v>
      </c>
      <c r="B674" s="6">
        <v>665.98999000000003</v>
      </c>
      <c r="C674" s="6">
        <v>334.27999899999998</v>
      </c>
      <c r="D674" s="6">
        <v>48.904998999999997</v>
      </c>
      <c r="E674" s="6">
        <v>156</v>
      </c>
      <c r="F674" s="6">
        <v>148.78999300000001</v>
      </c>
      <c r="G674" s="6">
        <v>53.459999000000003</v>
      </c>
      <c r="H674" s="6">
        <v>175.78999300000001</v>
      </c>
      <c r="I674" s="6">
        <v>226.16000399999999</v>
      </c>
      <c r="J674" s="6">
        <v>36.540000999999997</v>
      </c>
      <c r="K674" s="6">
        <v>27.85</v>
      </c>
      <c r="N674" s="18">
        <v>670</v>
      </c>
      <c r="O674" s="1">
        <v>44438</v>
      </c>
      <c r="P674" s="5">
        <f t="shared" si="254"/>
        <v>1.1279717246451149E-2</v>
      </c>
      <c r="Q674" s="5">
        <f t="shared" si="255"/>
        <v>7.4164522293590383E-3</v>
      </c>
      <c r="R674" s="5">
        <f t="shared" si="256"/>
        <v>4.9195138675433587E-3</v>
      </c>
      <c r="S674" s="5">
        <f t="shared" si="257"/>
        <v>6.8180491375582856E-3</v>
      </c>
      <c r="T674" s="5">
        <f t="shared" si="258"/>
        <v>1.3737303375580521E-2</v>
      </c>
      <c r="U674" s="5">
        <f t="shared" si="259"/>
        <v>1.2233106350549383E-2</v>
      </c>
      <c r="V674" s="5">
        <f t="shared" si="260"/>
        <v>6.8497159056956254E-3</v>
      </c>
      <c r="W674" s="5">
        <f t="shared" si="261"/>
        <v>-4.7640186201660375E-3</v>
      </c>
      <c r="X674" s="5">
        <f t="shared" si="262"/>
        <v>-8.1766330699772696E-3</v>
      </c>
      <c r="Y674" s="5">
        <f t="shared" si="263"/>
        <v>-1.5321910015757204E-2</v>
      </c>
      <c r="Z674" s="33">
        <v>670</v>
      </c>
      <c r="AE674" s="20" t="str">
        <f t="shared" si="264"/>
        <v/>
      </c>
      <c r="AF674" s="22" t="str">
        <f t="shared" si="265"/>
        <v/>
      </c>
      <c r="AG674" s="9" t="str">
        <f t="shared" ca="1" si="244"/>
        <v/>
      </c>
      <c r="AH674" s="9" t="str">
        <f t="shared" ca="1" si="245"/>
        <v/>
      </c>
      <c r="AI674" s="9" t="str">
        <f t="shared" ca="1" si="246"/>
        <v/>
      </c>
      <c r="AJ674" s="9" t="str">
        <f t="shared" ca="1" si="247"/>
        <v/>
      </c>
      <c r="AK674" s="9" t="str">
        <f t="shared" ca="1" si="248"/>
        <v/>
      </c>
      <c r="AL674" s="9" t="str">
        <f t="shared" ca="1" si="249"/>
        <v/>
      </c>
      <c r="AM674" s="9" t="str">
        <f t="shared" ca="1" si="250"/>
        <v/>
      </c>
      <c r="AN674" s="9" t="str">
        <f t="shared" ca="1" si="251"/>
        <v/>
      </c>
      <c r="AO674" s="9" t="str">
        <f t="shared" ca="1" si="252"/>
        <v/>
      </c>
      <c r="AP674" s="9" t="str">
        <f t="shared" ca="1" si="253"/>
        <v/>
      </c>
      <c r="AQ674" s="9"/>
      <c r="AR674" s="9"/>
      <c r="AS674" s="9"/>
      <c r="AT674" s="9"/>
      <c r="AU674" s="9"/>
    </row>
    <row r="675" spans="1:47" x14ac:dyDescent="0.3">
      <c r="A675" s="1">
        <v>44439</v>
      </c>
      <c r="B675" s="6">
        <v>663.70001200000002</v>
      </c>
      <c r="C675" s="6">
        <v>332.23998999999998</v>
      </c>
      <c r="D675" s="6">
        <v>48.784999999999997</v>
      </c>
      <c r="E675" s="6">
        <v>156.38999899999999</v>
      </c>
      <c r="F675" s="6">
        <v>150.03999300000001</v>
      </c>
      <c r="G675" s="6">
        <v>54.02</v>
      </c>
      <c r="H675" s="6">
        <v>174.36000100000001</v>
      </c>
      <c r="I675" s="6">
        <v>224.949997</v>
      </c>
      <c r="J675" s="6">
        <v>37.229999999999997</v>
      </c>
      <c r="K675" s="6">
        <v>28.84</v>
      </c>
      <c r="N675" s="19">
        <v>671</v>
      </c>
      <c r="O675" s="1">
        <v>44439</v>
      </c>
      <c r="P675" s="5">
        <f t="shared" si="254"/>
        <v>-3.4443821650699679E-3</v>
      </c>
      <c r="Q675" s="5">
        <f t="shared" si="255"/>
        <v>-6.1213929179574876E-3</v>
      </c>
      <c r="R675" s="5">
        <f t="shared" si="256"/>
        <v>-2.4567317347357113E-3</v>
      </c>
      <c r="S675" s="5">
        <f t="shared" si="257"/>
        <v>2.4968738043164764E-3</v>
      </c>
      <c r="T675" s="5">
        <f t="shared" si="258"/>
        <v>8.3660097660275354E-3</v>
      </c>
      <c r="U675" s="5">
        <f t="shared" si="259"/>
        <v>1.0420656359271087E-2</v>
      </c>
      <c r="V675" s="5">
        <f t="shared" si="260"/>
        <v>-8.167927886106624E-3</v>
      </c>
      <c r="W675" s="5">
        <f t="shared" si="261"/>
        <v>-5.3645891210440354E-3</v>
      </c>
      <c r="X675" s="5">
        <f t="shared" si="262"/>
        <v>1.8707309567496517E-2</v>
      </c>
      <c r="Y675" s="5">
        <f t="shared" si="263"/>
        <v>3.4930346043455261E-2</v>
      </c>
      <c r="Z675" s="33">
        <v>671</v>
      </c>
      <c r="AE675" s="20" t="str">
        <f t="shared" si="264"/>
        <v/>
      </c>
      <c r="AF675" s="22" t="str">
        <f t="shared" si="265"/>
        <v/>
      </c>
      <c r="AG675" s="9" t="str">
        <f t="shared" ca="1" si="244"/>
        <v/>
      </c>
      <c r="AH675" s="9" t="str">
        <f t="shared" ca="1" si="245"/>
        <v/>
      </c>
      <c r="AI675" s="9" t="str">
        <f t="shared" ca="1" si="246"/>
        <v/>
      </c>
      <c r="AJ675" s="9" t="str">
        <f t="shared" ca="1" si="247"/>
        <v/>
      </c>
      <c r="AK675" s="9" t="str">
        <f t="shared" ca="1" si="248"/>
        <v/>
      </c>
      <c r="AL675" s="9" t="str">
        <f t="shared" ca="1" si="249"/>
        <v/>
      </c>
      <c r="AM675" s="9" t="str">
        <f t="shared" ca="1" si="250"/>
        <v/>
      </c>
      <c r="AN675" s="9" t="str">
        <f t="shared" ca="1" si="251"/>
        <v/>
      </c>
      <c r="AO675" s="9" t="str">
        <f t="shared" ca="1" si="252"/>
        <v/>
      </c>
      <c r="AP675" s="9" t="str">
        <f t="shared" ca="1" si="253"/>
        <v/>
      </c>
      <c r="AQ675" s="9"/>
      <c r="AR675" s="9"/>
      <c r="AS675" s="9"/>
      <c r="AT675" s="9"/>
      <c r="AU675" s="9"/>
    </row>
    <row r="676" spans="1:47" x14ac:dyDescent="0.3">
      <c r="A676" s="1">
        <v>44440</v>
      </c>
      <c r="B676" s="6">
        <v>665.89001499999995</v>
      </c>
      <c r="C676" s="6">
        <v>333.63000499999998</v>
      </c>
      <c r="D676" s="6">
        <v>48.900002000000001</v>
      </c>
      <c r="E676" s="6">
        <v>157.91000399999999</v>
      </c>
      <c r="F676" s="6">
        <v>152.509995</v>
      </c>
      <c r="G676" s="6">
        <v>55.290000999999997</v>
      </c>
      <c r="H676" s="6">
        <v>173.88999899999999</v>
      </c>
      <c r="I676" s="6">
        <v>224.929993</v>
      </c>
      <c r="J676" s="6">
        <v>37.150002000000001</v>
      </c>
      <c r="K676" s="6">
        <v>28.43</v>
      </c>
      <c r="N676" s="18">
        <v>672</v>
      </c>
      <c r="O676" s="1">
        <v>44440</v>
      </c>
      <c r="P676" s="5">
        <f t="shared" si="254"/>
        <v>3.2942560278616758E-3</v>
      </c>
      <c r="Q676" s="5">
        <f t="shared" si="255"/>
        <v>4.1750402617482694E-3</v>
      </c>
      <c r="R676" s="5">
        <f t="shared" si="256"/>
        <v>2.3545488207077758E-3</v>
      </c>
      <c r="S676" s="5">
        <f t="shared" si="257"/>
        <v>9.6723947555826875E-3</v>
      </c>
      <c r="T676" s="5">
        <f t="shared" si="258"/>
        <v>1.6328256323896392E-2</v>
      </c>
      <c r="U676" s="5">
        <f t="shared" si="259"/>
        <v>2.3237730071825089E-2</v>
      </c>
      <c r="V676" s="5">
        <f t="shared" si="260"/>
        <v>-2.699223462236808E-3</v>
      </c>
      <c r="W676" s="5">
        <f t="shared" si="261"/>
        <v>-8.8930383470379695E-5</v>
      </c>
      <c r="X676" s="5">
        <f t="shared" si="262"/>
        <v>-2.1510628850578786E-3</v>
      </c>
      <c r="Y676" s="5">
        <f t="shared" si="263"/>
        <v>-1.4318386753839906E-2</v>
      </c>
      <c r="Z676" s="33">
        <v>672</v>
      </c>
      <c r="AE676" s="20" t="str">
        <f t="shared" si="264"/>
        <v/>
      </c>
      <c r="AF676" s="22" t="str">
        <f t="shared" si="265"/>
        <v/>
      </c>
      <c r="AG676" s="9" t="str">
        <f t="shared" ca="1" si="244"/>
        <v/>
      </c>
      <c r="AH676" s="9" t="str">
        <f t="shared" ca="1" si="245"/>
        <v/>
      </c>
      <c r="AI676" s="9" t="str">
        <f t="shared" ca="1" si="246"/>
        <v/>
      </c>
      <c r="AJ676" s="9" t="str">
        <f t="shared" ca="1" si="247"/>
        <v/>
      </c>
      <c r="AK676" s="9" t="str">
        <f t="shared" ca="1" si="248"/>
        <v/>
      </c>
      <c r="AL676" s="9" t="str">
        <f t="shared" ca="1" si="249"/>
        <v/>
      </c>
      <c r="AM676" s="9" t="str">
        <f t="shared" ca="1" si="250"/>
        <v/>
      </c>
      <c r="AN676" s="9" t="str">
        <f t="shared" ca="1" si="251"/>
        <v/>
      </c>
      <c r="AO676" s="9" t="str">
        <f t="shared" ca="1" si="252"/>
        <v/>
      </c>
      <c r="AP676" s="9" t="str">
        <f t="shared" ca="1" si="253"/>
        <v/>
      </c>
      <c r="AQ676" s="9"/>
      <c r="AR676" s="9"/>
      <c r="AS676" s="9"/>
      <c r="AT676" s="9"/>
      <c r="AU676" s="9"/>
    </row>
    <row r="677" spans="1:47" x14ac:dyDescent="0.3">
      <c r="A677" s="1">
        <v>44441</v>
      </c>
      <c r="B677" s="6">
        <v>664.64001499999995</v>
      </c>
      <c r="C677" s="6">
        <v>337.73998999999998</v>
      </c>
      <c r="D677" s="6">
        <v>48.799999</v>
      </c>
      <c r="E677" s="6">
        <v>156.949997</v>
      </c>
      <c r="F677" s="6">
        <v>153</v>
      </c>
      <c r="G677" s="6">
        <v>55.459999000000003</v>
      </c>
      <c r="H677" s="6">
        <v>175.990005</v>
      </c>
      <c r="I677" s="6">
        <v>228.220001</v>
      </c>
      <c r="J677" s="6">
        <v>37.509998000000003</v>
      </c>
      <c r="K677" s="6">
        <v>28.940000999999999</v>
      </c>
      <c r="N677" s="19">
        <v>673</v>
      </c>
      <c r="O677" s="1">
        <v>44441</v>
      </c>
      <c r="P677" s="5">
        <f t="shared" si="254"/>
        <v>-1.8789510038429815E-3</v>
      </c>
      <c r="Q677" s="5">
        <f t="shared" si="255"/>
        <v>1.2243729609893146E-2</v>
      </c>
      <c r="R677" s="5">
        <f t="shared" si="256"/>
        <v>-2.0471450133229918E-3</v>
      </c>
      <c r="S677" s="5">
        <f t="shared" si="257"/>
        <v>-6.0980116358413253E-3</v>
      </c>
      <c r="T677" s="5">
        <f t="shared" si="258"/>
        <v>3.2077865090790803E-3</v>
      </c>
      <c r="U677" s="5">
        <f t="shared" si="259"/>
        <v>3.0699437203238942E-3</v>
      </c>
      <c r="V677" s="5">
        <f t="shared" si="260"/>
        <v>1.2004294009608764E-2</v>
      </c>
      <c r="W677" s="5">
        <f t="shared" si="261"/>
        <v>1.4520868820856781E-2</v>
      </c>
      <c r="X677" s="5">
        <f t="shared" si="262"/>
        <v>9.6436857751122009E-3</v>
      </c>
      <c r="Y677" s="5">
        <f t="shared" si="263"/>
        <v>1.7779830094678952E-2</v>
      </c>
      <c r="Z677" s="33">
        <v>673</v>
      </c>
      <c r="AE677" s="20" t="str">
        <f t="shared" si="264"/>
        <v/>
      </c>
      <c r="AF677" s="22" t="str">
        <f t="shared" si="265"/>
        <v/>
      </c>
      <c r="AG677" s="9" t="str">
        <f t="shared" ca="1" si="244"/>
        <v/>
      </c>
      <c r="AH677" s="9" t="str">
        <f t="shared" ca="1" si="245"/>
        <v/>
      </c>
      <c r="AI677" s="9" t="str">
        <f t="shared" ca="1" si="246"/>
        <v/>
      </c>
      <c r="AJ677" s="9" t="str">
        <f t="shared" ca="1" si="247"/>
        <v/>
      </c>
      <c r="AK677" s="9" t="str">
        <f t="shared" ca="1" si="248"/>
        <v/>
      </c>
      <c r="AL677" s="9" t="str">
        <f t="shared" ca="1" si="249"/>
        <v/>
      </c>
      <c r="AM677" s="9" t="str">
        <f t="shared" ca="1" si="250"/>
        <v/>
      </c>
      <c r="AN677" s="9" t="str">
        <f t="shared" ca="1" si="251"/>
        <v/>
      </c>
      <c r="AO677" s="9" t="str">
        <f t="shared" ca="1" si="252"/>
        <v/>
      </c>
      <c r="AP677" s="9" t="str">
        <f t="shared" ca="1" si="253"/>
        <v/>
      </c>
      <c r="AQ677" s="9"/>
      <c r="AR677" s="9"/>
      <c r="AS677" s="9"/>
      <c r="AT677" s="9"/>
      <c r="AU677" s="9"/>
    </row>
    <row r="678" spans="1:47" x14ac:dyDescent="0.3">
      <c r="A678" s="1">
        <v>44442</v>
      </c>
      <c r="B678" s="6">
        <v>666.59002699999996</v>
      </c>
      <c r="C678" s="6">
        <v>336.64001500000001</v>
      </c>
      <c r="D678" s="6">
        <v>48.790000999999997</v>
      </c>
      <c r="E678" s="6">
        <v>157.08999600000001</v>
      </c>
      <c r="F678" s="6">
        <v>153.44000199999999</v>
      </c>
      <c r="G678" s="6">
        <v>55.369999</v>
      </c>
      <c r="H678" s="6">
        <v>174.929993</v>
      </c>
      <c r="I678" s="6">
        <v>226.89999399999999</v>
      </c>
      <c r="J678" s="6">
        <v>37.299999</v>
      </c>
      <c r="K678" s="6">
        <v>28.309999000000001</v>
      </c>
      <c r="N678" s="18">
        <v>674</v>
      </c>
      <c r="O678" s="1">
        <v>44442</v>
      </c>
      <c r="P678" s="5">
        <f t="shared" si="254"/>
        <v>2.9296415092670038E-3</v>
      </c>
      <c r="Q678" s="5">
        <f t="shared" si="255"/>
        <v>-3.2621844281409233E-3</v>
      </c>
      <c r="R678" s="5">
        <f t="shared" si="256"/>
        <v>-2.0489804354916828E-4</v>
      </c>
      <c r="S678" s="5">
        <f t="shared" si="257"/>
        <v>8.9159987514318077E-4</v>
      </c>
      <c r="T678" s="5">
        <f t="shared" si="258"/>
        <v>2.8717027771034288E-3</v>
      </c>
      <c r="U678" s="5">
        <f t="shared" si="259"/>
        <v>-1.6241093820643375E-3</v>
      </c>
      <c r="V678" s="5">
        <f t="shared" si="260"/>
        <v>-6.0413497666571576E-3</v>
      </c>
      <c r="W678" s="5">
        <f t="shared" si="261"/>
        <v>-5.800715045841994E-3</v>
      </c>
      <c r="X678" s="5">
        <f t="shared" si="262"/>
        <v>-5.6142109345616777E-3</v>
      </c>
      <c r="Y678" s="5">
        <f t="shared" si="263"/>
        <v>-2.2009691956987047E-2</v>
      </c>
      <c r="Z678" s="33">
        <v>674</v>
      </c>
      <c r="AE678" s="20" t="str">
        <f t="shared" si="264"/>
        <v/>
      </c>
      <c r="AF678" s="22" t="str">
        <f t="shared" si="265"/>
        <v/>
      </c>
      <c r="AG678" s="9" t="str">
        <f t="shared" ca="1" si="244"/>
        <v/>
      </c>
      <c r="AH678" s="9" t="str">
        <f t="shared" ca="1" si="245"/>
        <v/>
      </c>
      <c r="AI678" s="9" t="str">
        <f t="shared" ca="1" si="246"/>
        <v/>
      </c>
      <c r="AJ678" s="9" t="str">
        <f t="shared" ca="1" si="247"/>
        <v/>
      </c>
      <c r="AK678" s="9" t="str">
        <f t="shared" ca="1" si="248"/>
        <v/>
      </c>
      <c r="AL678" s="9" t="str">
        <f t="shared" ca="1" si="249"/>
        <v/>
      </c>
      <c r="AM678" s="9" t="str">
        <f t="shared" ca="1" si="250"/>
        <v/>
      </c>
      <c r="AN678" s="9" t="str">
        <f t="shared" ca="1" si="251"/>
        <v/>
      </c>
      <c r="AO678" s="9" t="str">
        <f t="shared" ca="1" si="252"/>
        <v/>
      </c>
      <c r="AP678" s="9" t="str">
        <f t="shared" ca="1" si="253"/>
        <v/>
      </c>
      <c r="AQ678" s="9"/>
      <c r="AR678" s="9"/>
      <c r="AS678" s="9"/>
      <c r="AT678" s="9"/>
      <c r="AU678" s="9"/>
    </row>
    <row r="679" spans="1:47" x14ac:dyDescent="0.3">
      <c r="A679" s="1">
        <v>44446</v>
      </c>
      <c r="B679" s="6">
        <v>661.39001499999995</v>
      </c>
      <c r="C679" s="6">
        <v>336.32000699999998</v>
      </c>
      <c r="D679" s="6">
        <v>47.59</v>
      </c>
      <c r="E679" s="6">
        <v>154.529999</v>
      </c>
      <c r="F679" s="6">
        <v>150.470001</v>
      </c>
      <c r="G679" s="6">
        <v>53.849997999999999</v>
      </c>
      <c r="H679" s="6">
        <v>172.770004</v>
      </c>
      <c r="I679" s="6">
        <v>221.83000200000001</v>
      </c>
      <c r="J679" s="6">
        <v>36.82</v>
      </c>
      <c r="K679" s="6">
        <v>27.959999</v>
      </c>
      <c r="N679" s="19">
        <v>675</v>
      </c>
      <c r="O679" s="1">
        <v>44446</v>
      </c>
      <c r="P679" s="5">
        <f t="shared" si="254"/>
        <v>-7.8315010963268244E-3</v>
      </c>
      <c r="Q679" s="5">
        <f t="shared" si="255"/>
        <v>-9.51046165177152E-4</v>
      </c>
      <c r="R679" s="5">
        <f t="shared" si="256"/>
        <v>-2.4902739190729658E-2</v>
      </c>
      <c r="S679" s="5">
        <f t="shared" si="257"/>
        <v>-1.643061827436965E-2</v>
      </c>
      <c r="T679" s="5">
        <f t="shared" si="258"/>
        <v>-1.9545888752909149E-2</v>
      </c>
      <c r="U679" s="5">
        <f t="shared" si="259"/>
        <v>-2.7835546312361605E-2</v>
      </c>
      <c r="V679" s="5">
        <f t="shared" si="260"/>
        <v>-1.242460054730905E-2</v>
      </c>
      <c r="W679" s="5">
        <f t="shared" si="261"/>
        <v>-2.2598033568372779E-2</v>
      </c>
      <c r="X679" s="5">
        <f t="shared" si="262"/>
        <v>-1.2952124035186188E-2</v>
      </c>
      <c r="Y679" s="5">
        <f t="shared" si="263"/>
        <v>-1.2440182200370577E-2</v>
      </c>
      <c r="Z679" s="33">
        <v>675</v>
      </c>
      <c r="AE679" s="20" t="str">
        <f t="shared" si="264"/>
        <v/>
      </c>
      <c r="AF679" s="22" t="str">
        <f t="shared" si="265"/>
        <v/>
      </c>
      <c r="AG679" s="9" t="str">
        <f t="shared" ca="1" si="244"/>
        <v/>
      </c>
      <c r="AH679" s="9" t="str">
        <f t="shared" ca="1" si="245"/>
        <v/>
      </c>
      <c r="AI679" s="9" t="str">
        <f t="shared" ca="1" si="246"/>
        <v/>
      </c>
      <c r="AJ679" s="9" t="str">
        <f t="shared" ca="1" si="247"/>
        <v/>
      </c>
      <c r="AK679" s="9" t="str">
        <f t="shared" ca="1" si="248"/>
        <v/>
      </c>
      <c r="AL679" s="9" t="str">
        <f t="shared" ca="1" si="249"/>
        <v/>
      </c>
      <c r="AM679" s="9" t="str">
        <f t="shared" ca="1" si="250"/>
        <v/>
      </c>
      <c r="AN679" s="9" t="str">
        <f t="shared" ca="1" si="251"/>
        <v/>
      </c>
      <c r="AO679" s="9" t="str">
        <f t="shared" ca="1" si="252"/>
        <v/>
      </c>
      <c r="AP679" s="9" t="str">
        <f t="shared" ca="1" si="253"/>
        <v/>
      </c>
      <c r="AQ679" s="9"/>
      <c r="AR679" s="9"/>
      <c r="AS679" s="9"/>
      <c r="AT679" s="9"/>
      <c r="AU679" s="9"/>
    </row>
    <row r="680" spans="1:47" x14ac:dyDescent="0.3">
      <c r="A680" s="1">
        <v>44447</v>
      </c>
      <c r="B680" s="6">
        <v>663.21997099999999</v>
      </c>
      <c r="C680" s="6">
        <v>336.58999599999999</v>
      </c>
      <c r="D680" s="6">
        <v>48.419998</v>
      </c>
      <c r="E680" s="6">
        <v>156.720001</v>
      </c>
      <c r="F680" s="6">
        <v>153.13999899999999</v>
      </c>
      <c r="G680" s="6">
        <v>54.5</v>
      </c>
      <c r="H680" s="6">
        <v>174.85000600000001</v>
      </c>
      <c r="I680" s="6">
        <v>223.30999800000001</v>
      </c>
      <c r="J680" s="6">
        <v>37.150002000000001</v>
      </c>
      <c r="K680" s="6">
        <v>26.98</v>
      </c>
      <c r="N680" s="18">
        <v>676</v>
      </c>
      <c r="O680" s="1">
        <v>44447</v>
      </c>
      <c r="P680" s="5">
        <f t="shared" si="254"/>
        <v>2.7630127864571815E-3</v>
      </c>
      <c r="Q680" s="5">
        <f t="shared" si="255"/>
        <v>8.0245207615932748E-4</v>
      </c>
      <c r="R680" s="5">
        <f t="shared" si="256"/>
        <v>1.729025507164654E-2</v>
      </c>
      <c r="S680" s="5">
        <f t="shared" si="257"/>
        <v>1.4072534242723695E-2</v>
      </c>
      <c r="T680" s="5">
        <f t="shared" si="258"/>
        <v>1.7588793738375106E-2</v>
      </c>
      <c r="U680" s="5">
        <f t="shared" si="259"/>
        <v>1.199833520700575E-2</v>
      </c>
      <c r="V680" s="5">
        <f t="shared" si="260"/>
        <v>1.1967244485653564E-2</v>
      </c>
      <c r="W680" s="5">
        <f t="shared" si="261"/>
        <v>6.6495999165805232E-3</v>
      </c>
      <c r="X680" s="5">
        <f t="shared" si="262"/>
        <v>8.9226491946357983E-3</v>
      </c>
      <c r="Y680" s="5">
        <f t="shared" si="263"/>
        <v>-3.5679030820619878E-2</v>
      </c>
      <c r="Z680" s="33">
        <v>676</v>
      </c>
      <c r="AE680" s="20" t="str">
        <f t="shared" si="264"/>
        <v/>
      </c>
      <c r="AF680" s="22" t="str">
        <f t="shared" si="265"/>
        <v/>
      </c>
      <c r="AG680" s="9" t="str">
        <f t="shared" ca="1" si="244"/>
        <v/>
      </c>
      <c r="AH680" s="9" t="str">
        <f t="shared" ca="1" si="245"/>
        <v/>
      </c>
      <c r="AI680" s="9" t="str">
        <f t="shared" ca="1" si="246"/>
        <v/>
      </c>
      <c r="AJ680" s="9" t="str">
        <f t="shared" ca="1" si="247"/>
        <v/>
      </c>
      <c r="AK680" s="9" t="str">
        <f t="shared" ca="1" si="248"/>
        <v/>
      </c>
      <c r="AL680" s="9" t="str">
        <f t="shared" ca="1" si="249"/>
        <v/>
      </c>
      <c r="AM680" s="9" t="str">
        <f t="shared" ca="1" si="250"/>
        <v/>
      </c>
      <c r="AN680" s="9" t="str">
        <f t="shared" ca="1" si="251"/>
        <v/>
      </c>
      <c r="AO680" s="9" t="str">
        <f t="shared" ca="1" si="252"/>
        <v/>
      </c>
      <c r="AP680" s="9" t="str">
        <f t="shared" ca="1" si="253"/>
        <v/>
      </c>
      <c r="AQ680" s="9"/>
      <c r="AR680" s="9"/>
      <c r="AS680" s="9"/>
      <c r="AT680" s="9"/>
      <c r="AU680" s="9"/>
    </row>
    <row r="681" spans="1:47" x14ac:dyDescent="0.3">
      <c r="A681" s="1">
        <v>44448</v>
      </c>
      <c r="B681" s="6">
        <v>661.67999299999997</v>
      </c>
      <c r="C681" s="6">
        <v>333.54998799999998</v>
      </c>
      <c r="D681" s="6">
        <v>48.174999</v>
      </c>
      <c r="E681" s="6">
        <v>155.729996</v>
      </c>
      <c r="F681" s="6">
        <v>150.520004</v>
      </c>
      <c r="G681" s="6">
        <v>53.560001</v>
      </c>
      <c r="H681" s="6">
        <v>174.83999600000001</v>
      </c>
      <c r="I681" s="6">
        <v>220.30999800000001</v>
      </c>
      <c r="J681" s="6">
        <v>36.82</v>
      </c>
      <c r="K681" s="6">
        <v>26.790001</v>
      </c>
      <c r="N681" s="19">
        <v>677</v>
      </c>
      <c r="O681" s="1">
        <v>44448</v>
      </c>
      <c r="P681" s="5">
        <f t="shared" si="254"/>
        <v>-2.3246716512341486E-3</v>
      </c>
      <c r="Q681" s="5">
        <f t="shared" si="255"/>
        <v>-9.072817399347656E-3</v>
      </c>
      <c r="R681" s="5">
        <f t="shared" si="256"/>
        <v>-5.0727166618903356E-3</v>
      </c>
      <c r="S681" s="5">
        <f t="shared" si="257"/>
        <v>-6.3370671953260687E-3</v>
      </c>
      <c r="T681" s="5">
        <f t="shared" si="258"/>
        <v>-1.7256536855227003E-2</v>
      </c>
      <c r="U681" s="5">
        <f t="shared" si="259"/>
        <v>-1.7398162175577069E-2</v>
      </c>
      <c r="V681" s="5">
        <f t="shared" si="260"/>
        <v>-5.7250707457920156E-5</v>
      </c>
      <c r="W681" s="5">
        <f t="shared" si="261"/>
        <v>-1.3525295344279716E-2</v>
      </c>
      <c r="X681" s="5">
        <f t="shared" si="262"/>
        <v>-8.9226491946357653E-3</v>
      </c>
      <c r="Y681" s="5">
        <f t="shared" si="263"/>
        <v>-7.0671298957321474E-3</v>
      </c>
      <c r="Z681" s="33">
        <v>677</v>
      </c>
      <c r="AE681" s="20" t="str">
        <f t="shared" si="264"/>
        <v/>
      </c>
      <c r="AF681" s="22" t="str">
        <f t="shared" si="265"/>
        <v/>
      </c>
      <c r="AG681" s="9" t="str">
        <f t="shared" ca="1" si="244"/>
        <v/>
      </c>
      <c r="AH681" s="9" t="str">
        <f t="shared" ca="1" si="245"/>
        <v/>
      </c>
      <c r="AI681" s="9" t="str">
        <f t="shared" ca="1" si="246"/>
        <v/>
      </c>
      <c r="AJ681" s="9" t="str">
        <f t="shared" ca="1" si="247"/>
        <v/>
      </c>
      <c r="AK681" s="9" t="str">
        <f t="shared" ca="1" si="248"/>
        <v/>
      </c>
      <c r="AL681" s="9" t="str">
        <f t="shared" ca="1" si="249"/>
        <v/>
      </c>
      <c r="AM681" s="9" t="str">
        <f t="shared" ca="1" si="250"/>
        <v/>
      </c>
      <c r="AN681" s="9" t="str">
        <f t="shared" ca="1" si="251"/>
        <v/>
      </c>
      <c r="AO681" s="9" t="str">
        <f t="shared" ca="1" si="252"/>
        <v/>
      </c>
      <c r="AP681" s="9" t="str">
        <f t="shared" ca="1" si="253"/>
        <v/>
      </c>
      <c r="AQ681" s="9"/>
      <c r="AR681" s="9"/>
      <c r="AS681" s="9"/>
      <c r="AT681" s="9"/>
      <c r="AU681" s="9"/>
    </row>
    <row r="682" spans="1:47" x14ac:dyDescent="0.3">
      <c r="A682" s="1">
        <v>44449</v>
      </c>
      <c r="B682" s="6">
        <v>658.94000200000005</v>
      </c>
      <c r="C682" s="6">
        <v>332.48998999999998</v>
      </c>
      <c r="D682" s="6">
        <v>47.959999000000003</v>
      </c>
      <c r="E682" s="6">
        <v>155.46000699999999</v>
      </c>
      <c r="F682" s="6">
        <v>149.83000200000001</v>
      </c>
      <c r="G682" s="6">
        <v>52.75</v>
      </c>
      <c r="H682" s="6">
        <v>173.55999800000001</v>
      </c>
      <c r="I682" s="6">
        <v>218.63999899999999</v>
      </c>
      <c r="J682" s="6">
        <v>36.159999999999997</v>
      </c>
      <c r="K682" s="6">
        <v>26.15</v>
      </c>
      <c r="N682" s="18">
        <v>678</v>
      </c>
      <c r="O682" s="1">
        <v>44449</v>
      </c>
      <c r="P682" s="5">
        <f t="shared" si="254"/>
        <v>-4.1495584528386158E-3</v>
      </c>
      <c r="Q682" s="5">
        <f t="shared" si="255"/>
        <v>-3.1829887993301454E-3</v>
      </c>
      <c r="R682" s="5">
        <f t="shared" si="256"/>
        <v>-4.4728842341710835E-3</v>
      </c>
      <c r="S682" s="5">
        <f t="shared" si="257"/>
        <v>-1.7352039920333607E-3</v>
      </c>
      <c r="T682" s="5">
        <f t="shared" si="258"/>
        <v>-4.5946608962634389E-3</v>
      </c>
      <c r="U682" s="5">
        <f t="shared" si="259"/>
        <v>-1.5238767137445463E-2</v>
      </c>
      <c r="V682" s="5">
        <f t="shared" si="260"/>
        <v>-7.3478977102961933E-3</v>
      </c>
      <c r="W682" s="5">
        <f t="shared" si="261"/>
        <v>-7.6090993002725441E-3</v>
      </c>
      <c r="X682" s="5">
        <f t="shared" si="262"/>
        <v>-1.8087640280956125E-2</v>
      </c>
      <c r="Y682" s="5">
        <f t="shared" si="263"/>
        <v>-2.417953037294578E-2</v>
      </c>
      <c r="Z682" s="33">
        <v>678</v>
      </c>
      <c r="AE682" s="20" t="str">
        <f t="shared" si="264"/>
        <v/>
      </c>
      <c r="AF682" s="22" t="str">
        <f t="shared" si="265"/>
        <v/>
      </c>
      <c r="AG682" s="9" t="str">
        <f t="shared" ca="1" si="244"/>
        <v/>
      </c>
      <c r="AH682" s="9" t="str">
        <f t="shared" ca="1" si="245"/>
        <v/>
      </c>
      <c r="AI682" s="9" t="str">
        <f t="shared" ca="1" si="246"/>
        <v/>
      </c>
      <c r="AJ682" s="9" t="str">
        <f t="shared" ca="1" si="247"/>
        <v/>
      </c>
      <c r="AK682" s="9" t="str">
        <f t="shared" ca="1" si="248"/>
        <v/>
      </c>
      <c r="AL682" s="9" t="str">
        <f t="shared" ca="1" si="249"/>
        <v/>
      </c>
      <c r="AM682" s="9" t="str">
        <f t="shared" ca="1" si="250"/>
        <v/>
      </c>
      <c r="AN682" s="9" t="str">
        <f t="shared" ca="1" si="251"/>
        <v/>
      </c>
      <c r="AO682" s="9" t="str">
        <f t="shared" ca="1" si="252"/>
        <v/>
      </c>
      <c r="AP682" s="9" t="str">
        <f t="shared" ca="1" si="253"/>
        <v/>
      </c>
      <c r="AQ682" s="9"/>
      <c r="AR682" s="9"/>
      <c r="AS682" s="9"/>
      <c r="AT682" s="9"/>
      <c r="AU682" s="9"/>
    </row>
    <row r="683" spans="1:47" x14ac:dyDescent="0.3">
      <c r="A683" s="1">
        <v>44452</v>
      </c>
      <c r="B683" s="6">
        <v>645.15002400000003</v>
      </c>
      <c r="C683" s="6">
        <v>331.58999599999999</v>
      </c>
      <c r="D683" s="6">
        <v>47.695</v>
      </c>
      <c r="E683" s="6">
        <v>155.759995</v>
      </c>
      <c r="F683" s="6">
        <v>150.38999899999999</v>
      </c>
      <c r="G683" s="6">
        <v>53.34</v>
      </c>
      <c r="H683" s="6">
        <v>170.699997</v>
      </c>
      <c r="I683" s="6">
        <v>219.220001</v>
      </c>
      <c r="J683" s="6">
        <v>37.009998000000003</v>
      </c>
      <c r="K683" s="6">
        <v>27.059999000000001</v>
      </c>
      <c r="N683" s="19">
        <v>679</v>
      </c>
      <c r="O683" s="1">
        <v>44452</v>
      </c>
      <c r="P683" s="5">
        <f t="shared" si="254"/>
        <v>-2.1149601253174964E-2</v>
      </c>
      <c r="Q683" s="5">
        <f t="shared" si="255"/>
        <v>-2.7105004516946914E-3</v>
      </c>
      <c r="R683" s="5">
        <f t="shared" si="256"/>
        <v>-5.540738711432981E-3</v>
      </c>
      <c r="S683" s="5">
        <f t="shared" si="257"/>
        <v>1.927820133543767E-3</v>
      </c>
      <c r="T683" s="5">
        <f t="shared" si="258"/>
        <v>3.7305818906290659E-3</v>
      </c>
      <c r="U683" s="5">
        <f t="shared" si="259"/>
        <v>1.1122746397692382E-2</v>
      </c>
      <c r="V683" s="5">
        <f t="shared" si="260"/>
        <v>-1.6615737181055173E-2</v>
      </c>
      <c r="W683" s="5">
        <f t="shared" si="261"/>
        <v>2.6492593031209582E-3</v>
      </c>
      <c r="X683" s="5">
        <f t="shared" si="262"/>
        <v>2.3234556834638778E-2</v>
      </c>
      <c r="Y683" s="5">
        <f t="shared" si="263"/>
        <v>3.420739527679445E-2</v>
      </c>
      <c r="Z683" s="33">
        <v>679</v>
      </c>
      <c r="AE683" s="20" t="str">
        <f t="shared" si="264"/>
        <v/>
      </c>
      <c r="AF683" s="22" t="str">
        <f t="shared" si="265"/>
        <v/>
      </c>
      <c r="AG683" s="9" t="str">
        <f t="shared" ca="1" si="244"/>
        <v/>
      </c>
      <c r="AH683" s="9" t="str">
        <f t="shared" ca="1" si="245"/>
        <v/>
      </c>
      <c r="AI683" s="9" t="str">
        <f t="shared" ca="1" si="246"/>
        <v/>
      </c>
      <c r="AJ683" s="9" t="str">
        <f t="shared" ca="1" si="247"/>
        <v/>
      </c>
      <c r="AK683" s="9" t="str">
        <f t="shared" ca="1" si="248"/>
        <v/>
      </c>
      <c r="AL683" s="9" t="str">
        <f t="shared" ca="1" si="249"/>
        <v/>
      </c>
      <c r="AM683" s="9" t="str">
        <f t="shared" ca="1" si="250"/>
        <v/>
      </c>
      <c r="AN683" s="9" t="str">
        <f t="shared" ca="1" si="251"/>
        <v/>
      </c>
      <c r="AO683" s="9" t="str">
        <f t="shared" ca="1" si="252"/>
        <v/>
      </c>
      <c r="AP683" s="9" t="str">
        <f t="shared" ca="1" si="253"/>
        <v/>
      </c>
      <c r="AQ683" s="9"/>
      <c r="AR683" s="9"/>
      <c r="AS683" s="9"/>
      <c r="AT683" s="9"/>
      <c r="AU683" s="9"/>
    </row>
    <row r="684" spans="1:47" x14ac:dyDescent="0.3">
      <c r="A684" s="1">
        <v>44453</v>
      </c>
      <c r="B684" s="6">
        <v>645.01000999999997</v>
      </c>
      <c r="C684" s="6">
        <v>332.58999599999999</v>
      </c>
      <c r="D684" s="6">
        <v>47.48</v>
      </c>
      <c r="E684" s="6">
        <v>155.14999399999999</v>
      </c>
      <c r="F684" s="6">
        <v>151.13000500000001</v>
      </c>
      <c r="G684" s="6">
        <v>53.459999000000003</v>
      </c>
      <c r="H684" s="6">
        <v>166.970001</v>
      </c>
      <c r="I684" s="6">
        <v>216.070007</v>
      </c>
      <c r="J684" s="6">
        <v>37.020000000000003</v>
      </c>
      <c r="K684" s="6">
        <v>26.26</v>
      </c>
      <c r="N684" s="18">
        <v>680</v>
      </c>
      <c r="O684" s="1">
        <v>44453</v>
      </c>
      <c r="P684" s="5">
        <f t="shared" si="254"/>
        <v>-2.1704904331227754E-4</v>
      </c>
      <c r="Q684" s="5">
        <f t="shared" si="255"/>
        <v>3.0112342066080768E-3</v>
      </c>
      <c r="R684" s="5">
        <f t="shared" si="256"/>
        <v>-4.5180008557041693E-3</v>
      </c>
      <c r="S684" s="5">
        <f t="shared" si="257"/>
        <v>-3.9239767411402855E-3</v>
      </c>
      <c r="T684" s="5">
        <f t="shared" si="258"/>
        <v>4.9085133719852627E-3</v>
      </c>
      <c r="U684" s="5">
        <f t="shared" si="259"/>
        <v>2.2471732513302325E-3</v>
      </c>
      <c r="V684" s="5">
        <f t="shared" si="260"/>
        <v>-2.209345067573679E-2</v>
      </c>
      <c r="W684" s="5">
        <f t="shared" si="261"/>
        <v>-1.4473334694718181E-2</v>
      </c>
      <c r="X684" s="5">
        <f t="shared" si="262"/>
        <v>2.7021478673699241E-4</v>
      </c>
      <c r="Y684" s="5">
        <f t="shared" si="263"/>
        <v>-3.0009716913076148E-2</v>
      </c>
      <c r="Z684" s="33">
        <v>680</v>
      </c>
      <c r="AE684" s="20" t="str">
        <f t="shared" si="264"/>
        <v/>
      </c>
      <c r="AF684" s="22" t="str">
        <f t="shared" si="265"/>
        <v/>
      </c>
      <c r="AG684" s="9" t="str">
        <f t="shared" ca="1" si="244"/>
        <v/>
      </c>
      <c r="AH684" s="9" t="str">
        <f t="shared" ca="1" si="245"/>
        <v/>
      </c>
      <c r="AI684" s="9" t="str">
        <f t="shared" ca="1" si="246"/>
        <v/>
      </c>
      <c r="AJ684" s="9" t="str">
        <f t="shared" ca="1" si="247"/>
        <v/>
      </c>
      <c r="AK684" s="9" t="str">
        <f t="shared" ca="1" si="248"/>
        <v/>
      </c>
      <c r="AL684" s="9" t="str">
        <f t="shared" ca="1" si="249"/>
        <v/>
      </c>
      <c r="AM684" s="9" t="str">
        <f t="shared" ca="1" si="250"/>
        <v/>
      </c>
      <c r="AN684" s="9" t="str">
        <f t="shared" ca="1" si="251"/>
        <v/>
      </c>
      <c r="AO684" s="9" t="str">
        <f t="shared" ca="1" si="252"/>
        <v/>
      </c>
      <c r="AP684" s="9" t="str">
        <f t="shared" ca="1" si="253"/>
        <v/>
      </c>
      <c r="AQ684" s="9"/>
      <c r="AR684" s="9"/>
      <c r="AS684" s="9"/>
      <c r="AT684" s="9"/>
      <c r="AU684" s="9"/>
    </row>
    <row r="685" spans="1:47" x14ac:dyDescent="0.3">
      <c r="A685" s="1">
        <v>44454</v>
      </c>
      <c r="B685" s="6">
        <v>661.080017</v>
      </c>
      <c r="C685" s="6">
        <v>336.08999599999999</v>
      </c>
      <c r="D685" s="6">
        <v>47.57</v>
      </c>
      <c r="E685" s="6">
        <v>156.020004</v>
      </c>
      <c r="F685" s="6">
        <v>151.11000100000001</v>
      </c>
      <c r="G685" s="6">
        <v>53.650002000000001</v>
      </c>
      <c r="H685" s="6">
        <v>167.699997</v>
      </c>
      <c r="I685" s="6">
        <v>220.449997</v>
      </c>
      <c r="J685" s="6">
        <v>37.659999999999997</v>
      </c>
      <c r="K685" s="6">
        <v>26.809999000000001</v>
      </c>
      <c r="N685" s="19">
        <v>681</v>
      </c>
      <c r="O685" s="1">
        <v>44454</v>
      </c>
      <c r="P685" s="5">
        <f t="shared" si="254"/>
        <v>2.4609050932927968E-2</v>
      </c>
      <c r="Q685" s="5">
        <f t="shared" si="255"/>
        <v>1.0468481202675827E-2</v>
      </c>
      <c r="R685" s="5">
        <f t="shared" si="256"/>
        <v>1.893740702722798E-3</v>
      </c>
      <c r="S685" s="5">
        <f t="shared" si="257"/>
        <v>5.591877575769723E-3</v>
      </c>
      <c r="T685" s="5">
        <f t="shared" si="258"/>
        <v>-1.3237162276403007E-4</v>
      </c>
      <c r="U685" s="5">
        <f t="shared" si="259"/>
        <v>3.5478143501661559E-3</v>
      </c>
      <c r="V685" s="5">
        <f t="shared" si="260"/>
        <v>4.3624893901097915E-3</v>
      </c>
      <c r="W685" s="5">
        <f t="shared" si="261"/>
        <v>2.0068436540931767E-2</v>
      </c>
      <c r="X685" s="5">
        <f t="shared" si="262"/>
        <v>1.7140216083654809E-2</v>
      </c>
      <c r="Y685" s="5">
        <f t="shared" si="263"/>
        <v>2.0728046073701881E-2</v>
      </c>
      <c r="Z685" s="33">
        <v>681</v>
      </c>
      <c r="AE685" s="20" t="str">
        <f t="shared" si="264"/>
        <v/>
      </c>
      <c r="AF685" s="22" t="str">
        <f t="shared" si="265"/>
        <v/>
      </c>
      <c r="AG685" s="9" t="str">
        <f t="shared" ca="1" si="244"/>
        <v/>
      </c>
      <c r="AH685" s="9" t="str">
        <f t="shared" ca="1" si="245"/>
        <v/>
      </c>
      <c r="AI685" s="9" t="str">
        <f t="shared" ca="1" si="246"/>
        <v/>
      </c>
      <c r="AJ685" s="9" t="str">
        <f t="shared" ca="1" si="247"/>
        <v/>
      </c>
      <c r="AK685" s="9" t="str">
        <f t="shared" ca="1" si="248"/>
        <v/>
      </c>
      <c r="AL685" s="9" t="str">
        <f t="shared" ca="1" si="249"/>
        <v/>
      </c>
      <c r="AM685" s="9" t="str">
        <f t="shared" ca="1" si="250"/>
        <v/>
      </c>
      <c r="AN685" s="9" t="str">
        <f t="shared" ca="1" si="251"/>
        <v/>
      </c>
      <c r="AO685" s="9" t="str">
        <f t="shared" ca="1" si="252"/>
        <v/>
      </c>
      <c r="AP685" s="9" t="str">
        <f t="shared" ca="1" si="253"/>
        <v/>
      </c>
      <c r="AQ685" s="9"/>
      <c r="AR685" s="9"/>
      <c r="AS685" s="9"/>
      <c r="AT685" s="9"/>
      <c r="AU685" s="9"/>
    </row>
    <row r="686" spans="1:47" x14ac:dyDescent="0.3">
      <c r="A686" s="1">
        <v>44455</v>
      </c>
      <c r="B686" s="6">
        <v>665.10998500000005</v>
      </c>
      <c r="C686" s="6">
        <v>335.38000499999998</v>
      </c>
      <c r="D686" s="6">
        <v>47.939999</v>
      </c>
      <c r="E686" s="6">
        <v>155.55999800000001</v>
      </c>
      <c r="F686" s="6">
        <v>150.550003</v>
      </c>
      <c r="G686" s="6">
        <v>53.75</v>
      </c>
      <c r="H686" s="6">
        <v>164.25</v>
      </c>
      <c r="I686" s="6">
        <v>219.46000699999999</v>
      </c>
      <c r="J686" s="6">
        <v>37.07</v>
      </c>
      <c r="K686" s="6">
        <v>26.99</v>
      </c>
      <c r="N686" s="18">
        <v>682</v>
      </c>
      <c r="O686" s="1">
        <v>44455</v>
      </c>
      <c r="P686" s="5">
        <f t="shared" si="254"/>
        <v>6.077530969596916E-3</v>
      </c>
      <c r="Q686" s="5">
        <f t="shared" si="255"/>
        <v>-2.1147371097421318E-3</v>
      </c>
      <c r="R686" s="5">
        <f t="shared" si="256"/>
        <v>7.7478977026403323E-3</v>
      </c>
      <c r="S686" s="5">
        <f t="shared" si="257"/>
        <v>-2.9527333671345666E-3</v>
      </c>
      <c r="T686" s="5">
        <f t="shared" si="258"/>
        <v>-3.7127801886873897E-3</v>
      </c>
      <c r="U686" s="5">
        <f t="shared" si="259"/>
        <v>1.8621606524073721E-3</v>
      </c>
      <c r="V686" s="5">
        <f t="shared" si="260"/>
        <v>-2.078699357535542E-2</v>
      </c>
      <c r="W686" s="5">
        <f t="shared" si="261"/>
        <v>-4.5008827362928603E-3</v>
      </c>
      <c r="X686" s="5">
        <f t="shared" si="262"/>
        <v>-1.579050606636535E-2</v>
      </c>
      <c r="Y686" s="5">
        <f t="shared" si="263"/>
        <v>6.6915120815610445E-3</v>
      </c>
      <c r="Z686" s="33">
        <v>682</v>
      </c>
      <c r="AE686" s="20" t="str">
        <f t="shared" si="264"/>
        <v/>
      </c>
      <c r="AF686" s="22" t="str">
        <f t="shared" si="265"/>
        <v/>
      </c>
      <c r="AG686" s="9" t="str">
        <f t="shared" ca="1" si="244"/>
        <v/>
      </c>
      <c r="AH686" s="9" t="str">
        <f t="shared" ca="1" si="245"/>
        <v/>
      </c>
      <c r="AI686" s="9" t="str">
        <f t="shared" ca="1" si="246"/>
        <v/>
      </c>
      <c r="AJ686" s="9" t="str">
        <f t="shared" ca="1" si="247"/>
        <v/>
      </c>
      <c r="AK686" s="9" t="str">
        <f t="shared" ca="1" si="248"/>
        <v/>
      </c>
      <c r="AL686" s="9" t="str">
        <f t="shared" ca="1" si="249"/>
        <v/>
      </c>
      <c r="AM686" s="9" t="str">
        <f t="shared" ca="1" si="250"/>
        <v/>
      </c>
      <c r="AN686" s="9" t="str">
        <f t="shared" ca="1" si="251"/>
        <v/>
      </c>
      <c r="AO686" s="9" t="str">
        <f t="shared" ca="1" si="252"/>
        <v/>
      </c>
      <c r="AP686" s="9" t="str">
        <f t="shared" ca="1" si="253"/>
        <v/>
      </c>
      <c r="AQ686" s="9"/>
      <c r="AR686" s="9"/>
      <c r="AS686" s="9"/>
      <c r="AT686" s="9"/>
      <c r="AU686" s="9"/>
    </row>
    <row r="687" spans="1:47" x14ac:dyDescent="0.3">
      <c r="A687" s="1">
        <v>44456</v>
      </c>
      <c r="B687" s="6">
        <v>654.47997999999995</v>
      </c>
      <c r="C687" s="6">
        <v>325.540009</v>
      </c>
      <c r="D687" s="6">
        <v>47.32</v>
      </c>
      <c r="E687" s="6">
        <v>154.13000500000001</v>
      </c>
      <c r="F687" s="6">
        <v>148.35000600000001</v>
      </c>
      <c r="G687" s="6">
        <v>53.18</v>
      </c>
      <c r="H687" s="6">
        <v>162.63999899999999</v>
      </c>
      <c r="I687" s="6">
        <v>213.60000600000001</v>
      </c>
      <c r="J687" s="6">
        <v>36.990001999999997</v>
      </c>
      <c r="K687" s="6">
        <v>26.879999000000002</v>
      </c>
      <c r="N687" s="19">
        <v>683</v>
      </c>
      <c r="O687" s="1">
        <v>44456</v>
      </c>
      <c r="P687" s="5">
        <f t="shared" si="254"/>
        <v>-1.6111421310887108E-2</v>
      </c>
      <c r="Q687" s="5">
        <f t="shared" si="255"/>
        <v>-2.9778862617701463E-2</v>
      </c>
      <c r="R687" s="5">
        <f t="shared" si="256"/>
        <v>-1.3017169036644455E-2</v>
      </c>
      <c r="S687" s="5">
        <f t="shared" si="257"/>
        <v>-9.2350618319951023E-3</v>
      </c>
      <c r="T687" s="5">
        <f t="shared" si="258"/>
        <v>-1.4720887672953382E-2</v>
      </c>
      <c r="U687" s="5">
        <f t="shared" si="259"/>
        <v>-1.0661281192898473E-2</v>
      </c>
      <c r="V687" s="5">
        <f t="shared" si="260"/>
        <v>-9.8504941931776818E-3</v>
      </c>
      <c r="W687" s="5">
        <f t="shared" si="261"/>
        <v>-2.7064880283198676E-2</v>
      </c>
      <c r="X687" s="5">
        <f t="shared" si="262"/>
        <v>-2.1603572496125731E-3</v>
      </c>
      <c r="Y687" s="5">
        <f t="shared" si="263"/>
        <v>-4.0839485773459831E-3</v>
      </c>
      <c r="Z687" s="33">
        <v>683</v>
      </c>
      <c r="AE687" s="20" t="str">
        <f t="shared" si="264"/>
        <v/>
      </c>
      <c r="AF687" s="22" t="str">
        <f t="shared" si="265"/>
        <v/>
      </c>
      <c r="AG687" s="9" t="str">
        <f t="shared" ca="1" si="244"/>
        <v/>
      </c>
      <c r="AH687" s="9" t="str">
        <f t="shared" ca="1" si="245"/>
        <v/>
      </c>
      <c r="AI687" s="9" t="str">
        <f t="shared" ca="1" si="246"/>
        <v/>
      </c>
      <c r="AJ687" s="9" t="str">
        <f t="shared" ca="1" si="247"/>
        <v/>
      </c>
      <c r="AK687" s="9" t="str">
        <f t="shared" ca="1" si="248"/>
        <v/>
      </c>
      <c r="AL687" s="9" t="str">
        <f t="shared" ca="1" si="249"/>
        <v/>
      </c>
      <c r="AM687" s="9" t="str">
        <f t="shared" ca="1" si="250"/>
        <v/>
      </c>
      <c r="AN687" s="9" t="str">
        <f t="shared" ca="1" si="251"/>
        <v/>
      </c>
      <c r="AO687" s="9" t="str">
        <f t="shared" ca="1" si="252"/>
        <v/>
      </c>
      <c r="AP687" s="9" t="str">
        <f t="shared" ca="1" si="253"/>
        <v/>
      </c>
      <c r="AQ687" s="9"/>
      <c r="AR687" s="9"/>
      <c r="AS687" s="9"/>
      <c r="AT687" s="9"/>
      <c r="AU687" s="9"/>
    </row>
    <row r="688" spans="1:47" x14ac:dyDescent="0.3">
      <c r="A688" s="1">
        <v>44459</v>
      </c>
      <c r="B688" s="6">
        <v>641.28997800000002</v>
      </c>
      <c r="C688" s="6">
        <v>321.29998799999998</v>
      </c>
      <c r="D688" s="6">
        <v>46.395000000000003</v>
      </c>
      <c r="E688" s="6">
        <v>153.61000100000001</v>
      </c>
      <c r="F688" s="6">
        <v>148.69000199999999</v>
      </c>
      <c r="G688" s="6">
        <v>53.139999000000003</v>
      </c>
      <c r="H688" s="6">
        <v>162.53999300000001</v>
      </c>
      <c r="I688" s="6">
        <v>211.86999499999999</v>
      </c>
      <c r="J688" s="6">
        <v>36.220001000000003</v>
      </c>
      <c r="K688" s="6">
        <v>26.01</v>
      </c>
      <c r="N688" s="18">
        <v>684</v>
      </c>
      <c r="O688" s="1">
        <v>44459</v>
      </c>
      <c r="P688" s="5">
        <f t="shared" si="254"/>
        <v>-2.0359258245500046E-2</v>
      </c>
      <c r="Q688" s="5">
        <f t="shared" si="255"/>
        <v>-1.3110140836184616E-2</v>
      </c>
      <c r="R688" s="5">
        <f t="shared" si="256"/>
        <v>-1.9741344305043308E-2</v>
      </c>
      <c r="S688" s="5">
        <f t="shared" si="257"/>
        <v>-3.3795053277288693E-3</v>
      </c>
      <c r="T688" s="5">
        <f t="shared" si="258"/>
        <v>2.2892279782115266E-3</v>
      </c>
      <c r="U688" s="5">
        <f t="shared" si="259"/>
        <v>-7.5246430142245492E-4</v>
      </c>
      <c r="V688" s="5">
        <f t="shared" si="260"/>
        <v>-6.1508091280641807E-4</v>
      </c>
      <c r="W688" s="5">
        <f t="shared" si="261"/>
        <v>-8.1322797391052051E-3</v>
      </c>
      <c r="X688" s="5">
        <f t="shared" si="262"/>
        <v>-2.1036179848705427E-2</v>
      </c>
      <c r="Y688" s="5">
        <f t="shared" si="263"/>
        <v>-3.2901398992006961E-2</v>
      </c>
      <c r="Z688" s="33">
        <v>684</v>
      </c>
      <c r="AE688" s="20" t="str">
        <f t="shared" si="264"/>
        <v/>
      </c>
      <c r="AF688" s="22" t="str">
        <f t="shared" si="265"/>
        <v/>
      </c>
      <c r="AG688" s="9" t="str">
        <f t="shared" ca="1" si="244"/>
        <v/>
      </c>
      <c r="AH688" s="9" t="str">
        <f t="shared" ca="1" si="245"/>
        <v/>
      </c>
      <c r="AI688" s="9" t="str">
        <f t="shared" ca="1" si="246"/>
        <v/>
      </c>
      <c r="AJ688" s="9" t="str">
        <f t="shared" ca="1" si="247"/>
        <v/>
      </c>
      <c r="AK688" s="9" t="str">
        <f t="shared" ca="1" si="248"/>
        <v/>
      </c>
      <c r="AL688" s="9" t="str">
        <f t="shared" ca="1" si="249"/>
        <v/>
      </c>
      <c r="AM688" s="9" t="str">
        <f t="shared" ca="1" si="250"/>
        <v/>
      </c>
      <c r="AN688" s="9" t="str">
        <f t="shared" ca="1" si="251"/>
        <v/>
      </c>
      <c r="AO688" s="9" t="str">
        <f t="shared" ca="1" si="252"/>
        <v/>
      </c>
      <c r="AP688" s="9" t="str">
        <f t="shared" ca="1" si="253"/>
        <v/>
      </c>
      <c r="AQ688" s="9"/>
      <c r="AR688" s="9"/>
      <c r="AS688" s="9"/>
      <c r="AT688" s="9"/>
      <c r="AU688" s="9"/>
    </row>
    <row r="689" spans="1:47" x14ac:dyDescent="0.3">
      <c r="A689" s="1">
        <v>44460</v>
      </c>
      <c r="B689" s="6">
        <v>645.89001499999995</v>
      </c>
      <c r="C689" s="6">
        <v>317.89999399999999</v>
      </c>
      <c r="D689" s="6">
        <v>45.900002000000001</v>
      </c>
      <c r="E689" s="6">
        <v>153.53999300000001</v>
      </c>
      <c r="F689" s="6">
        <v>150.14999399999999</v>
      </c>
      <c r="G689" s="6">
        <v>53.32</v>
      </c>
      <c r="H689" s="6">
        <v>161.240005</v>
      </c>
      <c r="I689" s="6">
        <v>210</v>
      </c>
      <c r="J689" s="6">
        <v>36.020000000000003</v>
      </c>
      <c r="K689" s="6">
        <v>25.15</v>
      </c>
      <c r="N689" s="19">
        <v>685</v>
      </c>
      <c r="O689" s="1">
        <v>44460</v>
      </c>
      <c r="P689" s="5">
        <f t="shared" si="254"/>
        <v>7.1474954682152914E-3</v>
      </c>
      <c r="Q689" s="5">
        <f t="shared" si="255"/>
        <v>-1.0638379730642328E-2</v>
      </c>
      <c r="R689" s="5">
        <f t="shared" si="256"/>
        <v>-1.0726534165659427E-2</v>
      </c>
      <c r="S689" s="5">
        <f t="shared" si="257"/>
        <v>-4.5585546202113312E-4</v>
      </c>
      <c r="T689" s="5">
        <f t="shared" si="258"/>
        <v>9.7711393093629761E-3</v>
      </c>
      <c r="U689" s="5">
        <f t="shared" si="259"/>
        <v>3.3815737970567107E-3</v>
      </c>
      <c r="V689" s="5">
        <f t="shared" si="260"/>
        <v>-8.030113000096175E-3</v>
      </c>
      <c r="W689" s="5">
        <f t="shared" si="261"/>
        <v>-8.8653247193532011E-3</v>
      </c>
      <c r="X689" s="5">
        <f t="shared" si="262"/>
        <v>-5.5371403165127191E-3</v>
      </c>
      <c r="Y689" s="5">
        <f t="shared" si="263"/>
        <v>-3.3623182914812089E-2</v>
      </c>
      <c r="Z689" s="33">
        <v>685</v>
      </c>
      <c r="AE689" s="20" t="str">
        <f t="shared" si="264"/>
        <v/>
      </c>
      <c r="AF689" s="22" t="str">
        <f t="shared" si="265"/>
        <v/>
      </c>
      <c r="AG689" s="9" t="str">
        <f t="shared" ca="1" si="244"/>
        <v/>
      </c>
      <c r="AH689" s="9" t="str">
        <f t="shared" ca="1" si="245"/>
        <v/>
      </c>
      <c r="AI689" s="9" t="str">
        <f t="shared" ca="1" si="246"/>
        <v/>
      </c>
      <c r="AJ689" s="9" t="str">
        <f t="shared" ca="1" si="247"/>
        <v/>
      </c>
      <c r="AK689" s="9" t="str">
        <f t="shared" ca="1" si="248"/>
        <v/>
      </c>
      <c r="AL689" s="9" t="str">
        <f t="shared" ca="1" si="249"/>
        <v/>
      </c>
      <c r="AM689" s="9" t="str">
        <f t="shared" ca="1" si="250"/>
        <v/>
      </c>
      <c r="AN689" s="9" t="str">
        <f t="shared" ca="1" si="251"/>
        <v/>
      </c>
      <c r="AO689" s="9" t="str">
        <f t="shared" ca="1" si="252"/>
        <v/>
      </c>
      <c r="AP689" s="9" t="str">
        <f t="shared" ca="1" si="253"/>
        <v/>
      </c>
      <c r="AQ689" s="9"/>
      <c r="AR689" s="9"/>
      <c r="AS689" s="9"/>
      <c r="AT689" s="9"/>
      <c r="AU689" s="9"/>
    </row>
    <row r="690" spans="1:47" x14ac:dyDescent="0.3">
      <c r="A690" s="1">
        <v>44461</v>
      </c>
      <c r="B690" s="6">
        <v>626.080017</v>
      </c>
      <c r="C690" s="6">
        <v>320.51998900000001</v>
      </c>
      <c r="D690" s="6">
        <v>46.284999999999997</v>
      </c>
      <c r="E690" s="6">
        <v>154.009995</v>
      </c>
      <c r="F690" s="6">
        <v>150.75</v>
      </c>
      <c r="G690" s="6">
        <v>53.639999000000003</v>
      </c>
      <c r="H690" s="6">
        <v>162.25</v>
      </c>
      <c r="I690" s="6">
        <v>212.020004</v>
      </c>
      <c r="J690" s="6">
        <v>36.990001999999997</v>
      </c>
      <c r="K690" s="6">
        <v>25.440000999999999</v>
      </c>
      <c r="N690" s="18">
        <v>686</v>
      </c>
      <c r="O690" s="1">
        <v>44461</v>
      </c>
      <c r="P690" s="5">
        <f t="shared" si="254"/>
        <v>-3.1151048254364735E-2</v>
      </c>
      <c r="Q690" s="5">
        <f t="shared" si="255"/>
        <v>8.207793547740861E-3</v>
      </c>
      <c r="R690" s="5">
        <f t="shared" si="256"/>
        <v>8.3527738796913085E-3</v>
      </c>
      <c r="S690" s="5">
        <f t="shared" si="257"/>
        <v>3.0564290959234079E-3</v>
      </c>
      <c r="T690" s="5">
        <f t="shared" si="258"/>
        <v>3.9880811379963323E-3</v>
      </c>
      <c r="U690" s="5">
        <f t="shared" si="259"/>
        <v>5.9835444601659587E-3</v>
      </c>
      <c r="V690" s="5">
        <f t="shared" si="260"/>
        <v>6.2443863255598137E-3</v>
      </c>
      <c r="W690" s="5">
        <f t="shared" si="261"/>
        <v>9.5730979936274694E-3</v>
      </c>
      <c r="X690" s="5">
        <f t="shared" si="262"/>
        <v>2.6573320165218219E-2</v>
      </c>
      <c r="Y690" s="5">
        <f t="shared" si="263"/>
        <v>1.1464881234348483E-2</v>
      </c>
      <c r="Z690" s="33">
        <v>686</v>
      </c>
      <c r="AE690" s="20" t="str">
        <f t="shared" si="264"/>
        <v/>
      </c>
      <c r="AF690" s="22" t="str">
        <f t="shared" si="265"/>
        <v/>
      </c>
      <c r="AG690" s="9" t="str">
        <f t="shared" ca="1" si="244"/>
        <v/>
      </c>
      <c r="AH690" s="9" t="str">
        <f t="shared" ca="1" si="245"/>
        <v/>
      </c>
      <c r="AI690" s="9" t="str">
        <f t="shared" ca="1" si="246"/>
        <v/>
      </c>
      <c r="AJ690" s="9" t="str">
        <f t="shared" ca="1" si="247"/>
        <v/>
      </c>
      <c r="AK690" s="9" t="str">
        <f t="shared" ca="1" si="248"/>
        <v/>
      </c>
      <c r="AL690" s="9" t="str">
        <f t="shared" ca="1" si="249"/>
        <v/>
      </c>
      <c r="AM690" s="9" t="str">
        <f t="shared" ca="1" si="250"/>
        <v/>
      </c>
      <c r="AN690" s="9" t="str">
        <f t="shared" ca="1" si="251"/>
        <v/>
      </c>
      <c r="AO690" s="9" t="str">
        <f t="shared" ca="1" si="252"/>
        <v/>
      </c>
      <c r="AP690" s="9" t="str">
        <f t="shared" ca="1" si="253"/>
        <v/>
      </c>
      <c r="AQ690" s="9"/>
      <c r="AR690" s="9"/>
      <c r="AS690" s="9"/>
      <c r="AT690" s="9"/>
      <c r="AU690" s="9"/>
    </row>
    <row r="691" spans="1:47" x14ac:dyDescent="0.3">
      <c r="A691" s="1">
        <v>44462</v>
      </c>
      <c r="B691" s="6">
        <v>630.84002699999996</v>
      </c>
      <c r="C691" s="6">
        <v>322.88000499999998</v>
      </c>
      <c r="D691" s="6">
        <v>46.544998</v>
      </c>
      <c r="E691" s="6">
        <v>154.13000500000001</v>
      </c>
      <c r="F691" s="6">
        <v>151.10000600000001</v>
      </c>
      <c r="G691" s="6">
        <v>53.98</v>
      </c>
      <c r="H691" s="6">
        <v>163.53999300000001</v>
      </c>
      <c r="I691" s="6">
        <v>215.36999499999999</v>
      </c>
      <c r="J691" s="6">
        <v>38.409999999999997</v>
      </c>
      <c r="K691" s="6">
        <v>25.530000999999999</v>
      </c>
      <c r="N691" s="19">
        <v>687</v>
      </c>
      <c r="O691" s="1">
        <v>44462</v>
      </c>
      <c r="P691" s="5">
        <f t="shared" si="254"/>
        <v>7.574121804250585E-3</v>
      </c>
      <c r="Q691" s="5">
        <f t="shared" si="255"/>
        <v>7.3361100602352767E-3</v>
      </c>
      <c r="R691" s="5">
        <f t="shared" si="256"/>
        <v>5.6016090801082382E-3</v>
      </c>
      <c r="S691" s="5">
        <f t="shared" si="257"/>
        <v>7.7893169382656008E-4</v>
      </c>
      <c r="T691" s="5">
        <f t="shared" si="258"/>
        <v>2.3190733802005438E-3</v>
      </c>
      <c r="U691" s="5">
        <f t="shared" si="259"/>
        <v>6.3185678191847406E-3</v>
      </c>
      <c r="V691" s="5">
        <f t="shared" si="260"/>
        <v>7.9192103466469675E-3</v>
      </c>
      <c r="W691" s="5">
        <f t="shared" si="261"/>
        <v>1.5676827329543803E-2</v>
      </c>
      <c r="X691" s="5">
        <f t="shared" si="262"/>
        <v>3.7670182444785066E-2</v>
      </c>
      <c r="Y691" s="5">
        <f t="shared" si="263"/>
        <v>3.5314926428992948E-3</v>
      </c>
      <c r="Z691" s="33">
        <v>687</v>
      </c>
      <c r="AE691" s="20" t="str">
        <f t="shared" si="264"/>
        <v/>
      </c>
      <c r="AF691" s="22" t="str">
        <f t="shared" si="265"/>
        <v/>
      </c>
      <c r="AG691" s="9" t="str">
        <f t="shared" ca="1" si="244"/>
        <v/>
      </c>
      <c r="AH691" s="9" t="str">
        <f t="shared" ca="1" si="245"/>
        <v/>
      </c>
      <c r="AI691" s="9" t="str">
        <f t="shared" ca="1" si="246"/>
        <v/>
      </c>
      <c r="AJ691" s="9" t="str">
        <f t="shared" ca="1" si="247"/>
        <v/>
      </c>
      <c r="AK691" s="9" t="str">
        <f t="shared" ca="1" si="248"/>
        <v/>
      </c>
      <c r="AL691" s="9" t="str">
        <f t="shared" ca="1" si="249"/>
        <v/>
      </c>
      <c r="AM691" s="9" t="str">
        <f t="shared" ca="1" si="250"/>
        <v/>
      </c>
      <c r="AN691" s="9" t="str">
        <f t="shared" ca="1" si="251"/>
        <v/>
      </c>
      <c r="AO691" s="9" t="str">
        <f t="shared" ca="1" si="252"/>
        <v/>
      </c>
      <c r="AP691" s="9" t="str">
        <f t="shared" ca="1" si="253"/>
        <v/>
      </c>
      <c r="AQ691" s="9"/>
      <c r="AR691" s="9"/>
      <c r="AS691" s="9"/>
      <c r="AT691" s="9"/>
      <c r="AU691" s="9"/>
    </row>
    <row r="692" spans="1:47" x14ac:dyDescent="0.3">
      <c r="A692" s="1">
        <v>44463</v>
      </c>
      <c r="B692" s="6">
        <v>622.71002199999998</v>
      </c>
      <c r="C692" s="6">
        <v>321.94000199999999</v>
      </c>
      <c r="D692" s="6">
        <v>46.369999</v>
      </c>
      <c r="E692" s="6">
        <v>154.199997</v>
      </c>
      <c r="F692" s="6">
        <v>149.75</v>
      </c>
      <c r="G692" s="6">
        <v>53.549999</v>
      </c>
      <c r="H692" s="6">
        <v>161.89999399999999</v>
      </c>
      <c r="I692" s="6">
        <v>214.58999600000001</v>
      </c>
      <c r="J692" s="6">
        <v>38.880001</v>
      </c>
      <c r="K692" s="6">
        <v>25.299999</v>
      </c>
      <c r="N692" s="18">
        <v>688</v>
      </c>
      <c r="O692" s="1">
        <v>44463</v>
      </c>
      <c r="P692" s="5">
        <f t="shared" si="254"/>
        <v>-1.2971351243046542E-2</v>
      </c>
      <c r="Q692" s="5">
        <f t="shared" si="255"/>
        <v>-2.915553660452222E-3</v>
      </c>
      <c r="R692" s="5">
        <f t="shared" si="256"/>
        <v>-3.7668667615808949E-3</v>
      </c>
      <c r="S692" s="5">
        <f t="shared" si="257"/>
        <v>4.540070752000243E-4</v>
      </c>
      <c r="T692" s="5">
        <f t="shared" si="258"/>
        <v>-8.9746719919365538E-3</v>
      </c>
      <c r="U692" s="5">
        <f t="shared" si="259"/>
        <v>-7.9978293702373058E-3</v>
      </c>
      <c r="V692" s="5">
        <f t="shared" si="260"/>
        <v>-1.0078742307171179E-2</v>
      </c>
      <c r="W692" s="5">
        <f t="shared" si="261"/>
        <v>-3.6282438924354361E-3</v>
      </c>
      <c r="X692" s="5">
        <f t="shared" si="262"/>
        <v>1.2162162954589171E-2</v>
      </c>
      <c r="Y692" s="5">
        <f t="shared" si="263"/>
        <v>-9.0499142152139118E-3</v>
      </c>
      <c r="Z692" s="33">
        <v>688</v>
      </c>
      <c r="AE692" s="20" t="str">
        <f t="shared" si="264"/>
        <v/>
      </c>
      <c r="AF692" s="22" t="str">
        <f t="shared" si="265"/>
        <v/>
      </c>
      <c r="AG692" s="9" t="str">
        <f t="shared" ca="1" si="244"/>
        <v/>
      </c>
      <c r="AH692" s="9" t="str">
        <f t="shared" ca="1" si="245"/>
        <v/>
      </c>
      <c r="AI692" s="9" t="str">
        <f t="shared" ca="1" si="246"/>
        <v/>
      </c>
      <c r="AJ692" s="9" t="str">
        <f t="shared" ca="1" si="247"/>
        <v/>
      </c>
      <c r="AK692" s="9" t="str">
        <f t="shared" ca="1" si="248"/>
        <v/>
      </c>
      <c r="AL692" s="9" t="str">
        <f t="shared" ca="1" si="249"/>
        <v/>
      </c>
      <c r="AM692" s="9" t="str">
        <f t="shared" ca="1" si="250"/>
        <v/>
      </c>
      <c r="AN692" s="9" t="str">
        <f t="shared" ca="1" si="251"/>
        <v/>
      </c>
      <c r="AO692" s="9" t="str">
        <f t="shared" ca="1" si="252"/>
        <v/>
      </c>
      <c r="AP692" s="9" t="str">
        <f t="shared" ca="1" si="253"/>
        <v/>
      </c>
      <c r="AQ692" s="9"/>
      <c r="AR692" s="9"/>
      <c r="AS692" s="9"/>
      <c r="AT692" s="9"/>
      <c r="AU692" s="9"/>
    </row>
    <row r="693" spans="1:47" x14ac:dyDescent="0.3">
      <c r="A693" s="1">
        <v>44466</v>
      </c>
      <c r="B693" s="6">
        <v>603.65002400000003</v>
      </c>
      <c r="C693" s="6">
        <v>313.39999399999999</v>
      </c>
      <c r="D693" s="6">
        <v>45.895000000000003</v>
      </c>
      <c r="E693" s="6">
        <v>152.720001</v>
      </c>
      <c r="F693" s="6">
        <v>147.229996</v>
      </c>
      <c r="G693" s="6">
        <v>52.689999</v>
      </c>
      <c r="H693" s="6">
        <v>161.66000399999999</v>
      </c>
      <c r="I693" s="6">
        <v>216.88999899999999</v>
      </c>
      <c r="J693" s="6">
        <v>38.720001000000003</v>
      </c>
      <c r="K693" s="6">
        <v>26.139999</v>
      </c>
      <c r="N693" s="19">
        <v>689</v>
      </c>
      <c r="O693" s="1">
        <v>44466</v>
      </c>
      <c r="P693" s="5">
        <f t="shared" si="254"/>
        <v>-3.108635663985182E-2</v>
      </c>
      <c r="Q693" s="5">
        <f t="shared" si="255"/>
        <v>-2.6884888213363541E-2</v>
      </c>
      <c r="R693" s="5">
        <f t="shared" si="256"/>
        <v>-1.0296498166647379E-2</v>
      </c>
      <c r="S693" s="5">
        <f t="shared" si="257"/>
        <v>-9.6442557085529464E-3</v>
      </c>
      <c r="T693" s="5">
        <f t="shared" si="258"/>
        <v>-1.6971274286617984E-2</v>
      </c>
      <c r="U693" s="5">
        <f t="shared" si="259"/>
        <v>-1.6190112977360376E-2</v>
      </c>
      <c r="V693" s="5">
        <f t="shared" si="260"/>
        <v>-1.4834345746889078E-3</v>
      </c>
      <c r="W693" s="5">
        <f t="shared" si="261"/>
        <v>1.0661095815679174E-2</v>
      </c>
      <c r="X693" s="5">
        <f t="shared" si="262"/>
        <v>-4.1237170775803344E-3</v>
      </c>
      <c r="Y693" s="5">
        <f t="shared" si="263"/>
        <v>3.2662313732745925E-2</v>
      </c>
      <c r="Z693" s="33">
        <v>689</v>
      </c>
      <c r="AE693" s="20" t="str">
        <f t="shared" si="264"/>
        <v/>
      </c>
      <c r="AF693" s="22" t="str">
        <f t="shared" si="265"/>
        <v/>
      </c>
      <c r="AG693" s="9" t="str">
        <f t="shared" ca="1" si="244"/>
        <v/>
      </c>
      <c r="AH693" s="9" t="str">
        <f t="shared" ca="1" si="245"/>
        <v/>
      </c>
      <c r="AI693" s="9" t="str">
        <f t="shared" ca="1" si="246"/>
        <v/>
      </c>
      <c r="AJ693" s="9" t="str">
        <f t="shared" ca="1" si="247"/>
        <v/>
      </c>
      <c r="AK693" s="9" t="str">
        <f t="shared" ca="1" si="248"/>
        <v/>
      </c>
      <c r="AL693" s="9" t="str">
        <f t="shared" ca="1" si="249"/>
        <v/>
      </c>
      <c r="AM693" s="9" t="str">
        <f t="shared" ca="1" si="250"/>
        <v/>
      </c>
      <c r="AN693" s="9" t="str">
        <f t="shared" ca="1" si="251"/>
        <v/>
      </c>
      <c r="AO693" s="9" t="str">
        <f t="shared" ca="1" si="252"/>
        <v/>
      </c>
      <c r="AP693" s="9" t="str">
        <f t="shared" ca="1" si="253"/>
        <v/>
      </c>
      <c r="AQ693" s="9"/>
      <c r="AR693" s="9"/>
      <c r="AS693" s="9"/>
      <c r="AT693" s="9"/>
      <c r="AU693" s="9"/>
    </row>
    <row r="694" spans="1:47" x14ac:dyDescent="0.3">
      <c r="A694" s="1">
        <v>44467</v>
      </c>
      <c r="B694" s="6">
        <v>578.77002000000005</v>
      </c>
      <c r="C694" s="6">
        <v>301.92999300000002</v>
      </c>
      <c r="D694" s="6">
        <v>44.75</v>
      </c>
      <c r="E694" s="6">
        <v>151.050003</v>
      </c>
      <c r="F694" s="6">
        <v>148.08000200000001</v>
      </c>
      <c r="G694" s="6">
        <v>52.689999</v>
      </c>
      <c r="H694" s="6">
        <v>158.83999600000001</v>
      </c>
      <c r="I694" s="6">
        <v>215.16999799999999</v>
      </c>
      <c r="J694" s="6">
        <v>37.540000999999997</v>
      </c>
      <c r="K694" s="6">
        <v>25.6</v>
      </c>
      <c r="N694" s="18">
        <v>690</v>
      </c>
      <c r="O694" s="1">
        <v>44467</v>
      </c>
      <c r="P694" s="5">
        <f t="shared" si="254"/>
        <v>-4.2089402941715433E-2</v>
      </c>
      <c r="Q694" s="5">
        <f t="shared" si="255"/>
        <v>-3.7285131532848584E-2</v>
      </c>
      <c r="R694" s="5">
        <f t="shared" si="256"/>
        <v>-2.5264733950189983E-2</v>
      </c>
      <c r="S694" s="5">
        <f t="shared" si="257"/>
        <v>-1.099525827176894E-2</v>
      </c>
      <c r="T694" s="5">
        <f t="shared" si="258"/>
        <v>5.7567190625141722E-3</v>
      </c>
      <c r="U694" s="5">
        <f t="shared" si="259"/>
        <v>0</v>
      </c>
      <c r="V694" s="5">
        <f t="shared" si="260"/>
        <v>-1.7598007968509445E-2</v>
      </c>
      <c r="W694" s="5">
        <f t="shared" si="261"/>
        <v>-7.9619038935000996E-3</v>
      </c>
      <c r="X694" s="5">
        <f t="shared" si="262"/>
        <v>-3.094923043820744E-2</v>
      </c>
      <c r="Y694" s="5">
        <f t="shared" si="263"/>
        <v>-2.0874318455011188E-2</v>
      </c>
      <c r="Z694" s="33">
        <v>690</v>
      </c>
      <c r="AE694" s="20" t="str">
        <f t="shared" si="264"/>
        <v/>
      </c>
      <c r="AF694" s="22" t="str">
        <f t="shared" si="265"/>
        <v/>
      </c>
      <c r="AG694" s="9" t="str">
        <f t="shared" ca="1" si="244"/>
        <v/>
      </c>
      <c r="AH694" s="9" t="str">
        <f t="shared" ca="1" si="245"/>
        <v/>
      </c>
      <c r="AI694" s="9" t="str">
        <f t="shared" ca="1" si="246"/>
        <v/>
      </c>
      <c r="AJ694" s="9" t="str">
        <f t="shared" ca="1" si="247"/>
        <v/>
      </c>
      <c r="AK694" s="9" t="str">
        <f t="shared" ca="1" si="248"/>
        <v/>
      </c>
      <c r="AL694" s="9" t="str">
        <f t="shared" ca="1" si="249"/>
        <v/>
      </c>
      <c r="AM694" s="9" t="str">
        <f t="shared" ca="1" si="250"/>
        <v/>
      </c>
      <c r="AN694" s="9" t="str">
        <f t="shared" ca="1" si="251"/>
        <v/>
      </c>
      <c r="AO694" s="9" t="str">
        <f t="shared" ca="1" si="252"/>
        <v/>
      </c>
      <c r="AP694" s="9" t="str">
        <f t="shared" ca="1" si="253"/>
        <v/>
      </c>
      <c r="AQ694" s="9"/>
      <c r="AR694" s="9"/>
      <c r="AS694" s="9"/>
      <c r="AT694" s="9"/>
      <c r="AU694" s="9"/>
    </row>
    <row r="695" spans="1:47" x14ac:dyDescent="0.3">
      <c r="A695" s="1">
        <v>44468</v>
      </c>
      <c r="B695" s="6">
        <v>577.70001200000002</v>
      </c>
      <c r="C695" s="6">
        <v>302.61999500000002</v>
      </c>
      <c r="D695" s="6">
        <v>44.665000999999997</v>
      </c>
      <c r="E695" s="6">
        <v>152.300003</v>
      </c>
      <c r="F695" s="6">
        <v>150.08999600000001</v>
      </c>
      <c r="G695" s="6">
        <v>53.529998999999997</v>
      </c>
      <c r="H695" s="6">
        <v>159.300003</v>
      </c>
      <c r="I695" s="6">
        <v>215.070007</v>
      </c>
      <c r="J695" s="6">
        <v>37.490001999999997</v>
      </c>
      <c r="K695" s="6">
        <v>25.42</v>
      </c>
      <c r="N695" s="19">
        <v>691</v>
      </c>
      <c r="O695" s="1">
        <v>44468</v>
      </c>
      <c r="P695" s="5">
        <f t="shared" si="254"/>
        <v>-1.8504730355715219E-3</v>
      </c>
      <c r="Q695" s="5">
        <f t="shared" si="255"/>
        <v>2.2826972568444834E-3</v>
      </c>
      <c r="R695" s="5">
        <f t="shared" si="256"/>
        <v>-1.9012251781671901E-3</v>
      </c>
      <c r="S695" s="5">
        <f t="shared" si="257"/>
        <v>8.2413519054264795E-3</v>
      </c>
      <c r="T695" s="5">
        <f t="shared" si="258"/>
        <v>1.3482405746091924E-2</v>
      </c>
      <c r="U695" s="5">
        <f t="shared" si="259"/>
        <v>1.5816560481915355E-2</v>
      </c>
      <c r="V695" s="5">
        <f t="shared" si="260"/>
        <v>2.8918546679176419E-3</v>
      </c>
      <c r="W695" s="5">
        <f t="shared" si="261"/>
        <v>-4.6481498995090172E-4</v>
      </c>
      <c r="X695" s="5">
        <f t="shared" si="262"/>
        <v>-1.3327737012363923E-3</v>
      </c>
      <c r="Y695" s="5">
        <f t="shared" si="263"/>
        <v>-7.056085724208733E-3</v>
      </c>
      <c r="Z695" s="33">
        <v>691</v>
      </c>
      <c r="AE695" s="20" t="str">
        <f t="shared" si="264"/>
        <v/>
      </c>
      <c r="AF695" s="22" t="str">
        <f t="shared" si="265"/>
        <v/>
      </c>
      <c r="AG695" s="9" t="str">
        <f t="shared" ca="1" si="244"/>
        <v/>
      </c>
      <c r="AH695" s="9" t="str">
        <f t="shared" ca="1" si="245"/>
        <v/>
      </c>
      <c r="AI695" s="9" t="str">
        <f t="shared" ca="1" si="246"/>
        <v/>
      </c>
      <c r="AJ695" s="9" t="str">
        <f t="shared" ca="1" si="247"/>
        <v/>
      </c>
      <c r="AK695" s="9" t="str">
        <f t="shared" ca="1" si="248"/>
        <v/>
      </c>
      <c r="AL695" s="9" t="str">
        <f t="shared" ca="1" si="249"/>
        <v/>
      </c>
      <c r="AM695" s="9" t="str">
        <f t="shared" ca="1" si="250"/>
        <v/>
      </c>
      <c r="AN695" s="9" t="str">
        <f t="shared" ca="1" si="251"/>
        <v/>
      </c>
      <c r="AO695" s="9" t="str">
        <f t="shared" ca="1" si="252"/>
        <v/>
      </c>
      <c r="AP695" s="9" t="str">
        <f t="shared" ca="1" si="253"/>
        <v/>
      </c>
      <c r="AQ695" s="9"/>
      <c r="AR695" s="9"/>
      <c r="AS695" s="9"/>
      <c r="AT695" s="9"/>
      <c r="AU695" s="9"/>
    </row>
    <row r="696" spans="1:47" x14ac:dyDescent="0.3">
      <c r="A696" s="1">
        <v>44469</v>
      </c>
      <c r="B696" s="6">
        <v>575.71997099999999</v>
      </c>
      <c r="C696" s="6">
        <v>299.41000400000001</v>
      </c>
      <c r="D696" s="6">
        <v>44.415000999999997</v>
      </c>
      <c r="E696" s="6">
        <v>150.41000399999999</v>
      </c>
      <c r="F696" s="6">
        <v>147.470001</v>
      </c>
      <c r="G696" s="6">
        <v>52.98</v>
      </c>
      <c r="H696" s="6">
        <v>155.5</v>
      </c>
      <c r="I696" s="6">
        <v>208.949997</v>
      </c>
      <c r="J696" s="6">
        <v>36.669998</v>
      </c>
      <c r="K696" s="6">
        <v>25.379999000000002</v>
      </c>
      <c r="N696" s="18">
        <v>692</v>
      </c>
      <c r="O696" s="1">
        <v>44469</v>
      </c>
      <c r="P696" s="5">
        <f t="shared" si="254"/>
        <v>-3.4333425364864627E-3</v>
      </c>
      <c r="Q696" s="5">
        <f t="shared" si="255"/>
        <v>-1.0663991580089677E-2</v>
      </c>
      <c r="R696" s="5">
        <f t="shared" si="256"/>
        <v>-5.6129468061170504E-3</v>
      </c>
      <c r="S696" s="5">
        <f t="shared" si="257"/>
        <v>-1.2487354337982539E-2</v>
      </c>
      <c r="T696" s="5">
        <f t="shared" si="258"/>
        <v>-1.7610315473657226E-2</v>
      </c>
      <c r="U696" s="5">
        <f t="shared" si="259"/>
        <v>-1.0327741880252735E-2</v>
      </c>
      <c r="V696" s="5">
        <f t="shared" si="260"/>
        <v>-2.414350412910558E-2</v>
      </c>
      <c r="W696" s="5">
        <f t="shared" si="261"/>
        <v>-2.8868614544010209E-2</v>
      </c>
      <c r="X696" s="5">
        <f t="shared" si="262"/>
        <v>-2.2115356552641685E-2</v>
      </c>
      <c r="Y696" s="5">
        <f t="shared" si="263"/>
        <v>-1.5748428761704258E-3</v>
      </c>
      <c r="Z696" s="33">
        <v>692</v>
      </c>
      <c r="AE696" s="20" t="str">
        <f t="shared" si="264"/>
        <v/>
      </c>
      <c r="AF696" s="22" t="str">
        <f t="shared" si="265"/>
        <v/>
      </c>
      <c r="AG696" s="9" t="str">
        <f t="shared" ca="1" si="244"/>
        <v/>
      </c>
      <c r="AH696" s="9" t="str">
        <f t="shared" ca="1" si="245"/>
        <v/>
      </c>
      <c r="AI696" s="9" t="str">
        <f t="shared" ca="1" si="246"/>
        <v/>
      </c>
      <c r="AJ696" s="9" t="str">
        <f t="shared" ca="1" si="247"/>
        <v/>
      </c>
      <c r="AK696" s="9" t="str">
        <f t="shared" ca="1" si="248"/>
        <v/>
      </c>
      <c r="AL696" s="9" t="str">
        <f t="shared" ca="1" si="249"/>
        <v/>
      </c>
      <c r="AM696" s="9" t="str">
        <f t="shared" ca="1" si="250"/>
        <v/>
      </c>
      <c r="AN696" s="9" t="str">
        <f t="shared" ca="1" si="251"/>
        <v/>
      </c>
      <c r="AO696" s="9" t="str">
        <f t="shared" ca="1" si="252"/>
        <v/>
      </c>
      <c r="AP696" s="9" t="str">
        <f t="shared" ca="1" si="253"/>
        <v/>
      </c>
      <c r="AQ696" s="9"/>
      <c r="AR696" s="9"/>
      <c r="AS696" s="9"/>
      <c r="AT696" s="9"/>
      <c r="AU696" s="9"/>
    </row>
    <row r="697" spans="1:47" x14ac:dyDescent="0.3">
      <c r="A697" s="1">
        <v>44470</v>
      </c>
      <c r="B697" s="6">
        <v>577.46997099999999</v>
      </c>
      <c r="C697" s="6">
        <v>302.48998999999998</v>
      </c>
      <c r="D697" s="6">
        <v>44.939999</v>
      </c>
      <c r="E697" s="6">
        <v>150.949997</v>
      </c>
      <c r="F697" s="6">
        <v>149.53999300000001</v>
      </c>
      <c r="G697" s="6">
        <v>53.540000999999997</v>
      </c>
      <c r="H697" s="6">
        <v>156.88000500000001</v>
      </c>
      <c r="I697" s="6">
        <v>209.41999799999999</v>
      </c>
      <c r="J697" s="6">
        <v>37.840000000000003</v>
      </c>
      <c r="K697" s="6">
        <v>25.74</v>
      </c>
      <c r="N697" s="19">
        <v>693</v>
      </c>
      <c r="O697" s="1">
        <v>44470</v>
      </c>
      <c r="P697" s="5">
        <f t="shared" si="254"/>
        <v>3.0350617528332995E-3</v>
      </c>
      <c r="Q697" s="5">
        <f t="shared" si="255"/>
        <v>1.023430109332522E-2</v>
      </c>
      <c r="R697" s="5">
        <f t="shared" si="256"/>
        <v>1.1750971768711437E-2</v>
      </c>
      <c r="S697" s="5">
        <f t="shared" si="257"/>
        <v>3.5837110176191404E-3</v>
      </c>
      <c r="T697" s="5">
        <f t="shared" si="258"/>
        <v>1.3939096717660734E-2</v>
      </c>
      <c r="U697" s="5">
        <f t="shared" si="259"/>
        <v>1.0514572925906769E-2</v>
      </c>
      <c r="V697" s="5">
        <f t="shared" si="260"/>
        <v>8.8354821402956488E-3</v>
      </c>
      <c r="W697" s="5">
        <f t="shared" si="261"/>
        <v>2.2468207727071167E-3</v>
      </c>
      <c r="X697" s="5">
        <f t="shared" si="262"/>
        <v>3.1407816640940715E-2</v>
      </c>
      <c r="Y697" s="5">
        <f t="shared" si="263"/>
        <v>1.4084779282842873E-2</v>
      </c>
      <c r="Z697" s="33">
        <v>693</v>
      </c>
      <c r="AE697" s="20" t="str">
        <f t="shared" si="264"/>
        <v/>
      </c>
      <c r="AF697" s="22" t="str">
        <f t="shared" si="265"/>
        <v/>
      </c>
      <c r="AG697" s="9" t="str">
        <f t="shared" ca="1" si="244"/>
        <v/>
      </c>
      <c r="AH697" s="9" t="str">
        <f t="shared" ca="1" si="245"/>
        <v/>
      </c>
      <c r="AI697" s="9" t="str">
        <f t="shared" ca="1" si="246"/>
        <v/>
      </c>
      <c r="AJ697" s="9" t="str">
        <f t="shared" ca="1" si="247"/>
        <v/>
      </c>
      <c r="AK697" s="9" t="str">
        <f t="shared" ca="1" si="248"/>
        <v/>
      </c>
      <c r="AL697" s="9" t="str">
        <f t="shared" ca="1" si="249"/>
        <v/>
      </c>
      <c r="AM697" s="9" t="str">
        <f t="shared" ca="1" si="250"/>
        <v/>
      </c>
      <c r="AN697" s="9" t="str">
        <f t="shared" ca="1" si="251"/>
        <v/>
      </c>
      <c r="AO697" s="9" t="str">
        <f t="shared" ca="1" si="252"/>
        <v/>
      </c>
      <c r="AP697" s="9" t="str">
        <f t="shared" ca="1" si="253"/>
        <v/>
      </c>
      <c r="AQ697" s="9"/>
      <c r="AR697" s="9"/>
      <c r="AS697" s="9"/>
      <c r="AT697" s="9"/>
      <c r="AU697" s="9"/>
    </row>
    <row r="698" spans="1:47" x14ac:dyDescent="0.3">
      <c r="A698" s="1">
        <v>44473</v>
      </c>
      <c r="B698" s="6">
        <v>558.48999000000003</v>
      </c>
      <c r="C698" s="6">
        <v>289.25</v>
      </c>
      <c r="D698" s="6">
        <v>44.25</v>
      </c>
      <c r="E698" s="6">
        <v>150.199997</v>
      </c>
      <c r="F698" s="6">
        <v>151.33000200000001</v>
      </c>
      <c r="G698" s="6">
        <v>53.740001999999997</v>
      </c>
      <c r="H698" s="6">
        <v>155.990005</v>
      </c>
      <c r="I698" s="6">
        <v>213.5</v>
      </c>
      <c r="J698" s="6">
        <v>37.470001000000003</v>
      </c>
      <c r="K698" s="6">
        <v>25.610001</v>
      </c>
      <c r="N698" s="18">
        <v>694</v>
      </c>
      <c r="O698" s="1">
        <v>44473</v>
      </c>
      <c r="P698" s="5">
        <f t="shared" si="254"/>
        <v>-3.3419747435014406E-2</v>
      </c>
      <c r="Q698" s="5">
        <f t="shared" si="255"/>
        <v>-4.4756819940503019E-2</v>
      </c>
      <c r="R698" s="5">
        <f t="shared" si="256"/>
        <v>-1.5472873051352965E-2</v>
      </c>
      <c r="S698" s="5">
        <f t="shared" si="257"/>
        <v>-4.9809169220517684E-3</v>
      </c>
      <c r="T698" s="5">
        <f t="shared" si="258"/>
        <v>1.1899027153534568E-2</v>
      </c>
      <c r="U698" s="5">
        <f t="shared" si="259"/>
        <v>3.7285836337402696E-3</v>
      </c>
      <c r="V698" s="5">
        <f t="shared" si="260"/>
        <v>-5.6892790754710506E-3</v>
      </c>
      <c r="W698" s="5">
        <f t="shared" si="261"/>
        <v>1.9295037359549464E-2</v>
      </c>
      <c r="X698" s="5">
        <f t="shared" si="262"/>
        <v>-9.8261046900648252E-3</v>
      </c>
      <c r="Y698" s="5">
        <f t="shared" si="263"/>
        <v>-5.0632629093002417E-3</v>
      </c>
      <c r="Z698" s="33">
        <v>694</v>
      </c>
      <c r="AE698" s="20" t="str">
        <f t="shared" si="264"/>
        <v/>
      </c>
      <c r="AF698" s="22" t="str">
        <f t="shared" si="265"/>
        <v/>
      </c>
      <c r="AG698" s="9" t="str">
        <f t="shared" ca="1" si="244"/>
        <v/>
      </c>
      <c r="AH698" s="9" t="str">
        <f t="shared" ca="1" si="245"/>
        <v/>
      </c>
      <c r="AI698" s="9" t="str">
        <f t="shared" ca="1" si="246"/>
        <v/>
      </c>
      <c r="AJ698" s="9" t="str">
        <f t="shared" ca="1" si="247"/>
        <v/>
      </c>
      <c r="AK698" s="9" t="str">
        <f t="shared" ca="1" si="248"/>
        <v/>
      </c>
      <c r="AL698" s="9" t="str">
        <f t="shared" ca="1" si="249"/>
        <v/>
      </c>
      <c r="AM698" s="9" t="str">
        <f t="shared" ca="1" si="250"/>
        <v/>
      </c>
      <c r="AN698" s="9" t="str">
        <f t="shared" ca="1" si="251"/>
        <v/>
      </c>
      <c r="AO698" s="9" t="str">
        <f t="shared" ca="1" si="252"/>
        <v/>
      </c>
      <c r="AP698" s="9" t="str">
        <f t="shared" ca="1" si="253"/>
        <v/>
      </c>
      <c r="AQ698" s="9"/>
      <c r="AR698" s="9"/>
      <c r="AS698" s="9"/>
      <c r="AT698" s="9"/>
      <c r="AU698" s="9"/>
    </row>
    <row r="699" spans="1:47" x14ac:dyDescent="0.3">
      <c r="A699" s="1">
        <v>44474</v>
      </c>
      <c r="B699" s="6">
        <v>566.70001200000002</v>
      </c>
      <c r="C699" s="6">
        <v>293.35000600000001</v>
      </c>
      <c r="D699" s="6">
        <v>44.775002000000001</v>
      </c>
      <c r="E699" s="6">
        <v>151.08999600000001</v>
      </c>
      <c r="F699" s="6">
        <v>151.39999399999999</v>
      </c>
      <c r="G699" s="6">
        <v>53.529998999999997</v>
      </c>
      <c r="H699" s="6">
        <v>158.11999499999999</v>
      </c>
      <c r="I699" s="6">
        <v>215.679993</v>
      </c>
      <c r="J699" s="6">
        <v>38</v>
      </c>
      <c r="K699" s="6">
        <v>26.15</v>
      </c>
      <c r="N699" s="19">
        <v>695</v>
      </c>
      <c r="O699" s="1">
        <v>44474</v>
      </c>
      <c r="P699" s="5">
        <f t="shared" si="254"/>
        <v>1.4593389010219299E-2</v>
      </c>
      <c r="Q699" s="5">
        <f t="shared" si="255"/>
        <v>1.4075089751466156E-2</v>
      </c>
      <c r="R699" s="5">
        <f t="shared" si="256"/>
        <v>1.1794621160619344E-2</v>
      </c>
      <c r="S699" s="5">
        <f t="shared" si="257"/>
        <v>5.9079399207972259E-3</v>
      </c>
      <c r="T699" s="5">
        <f t="shared" si="258"/>
        <v>4.6240545814379465E-4</v>
      </c>
      <c r="U699" s="5">
        <f t="shared" si="259"/>
        <v>-3.9154146793944329E-3</v>
      </c>
      <c r="V699" s="5">
        <f t="shared" si="260"/>
        <v>1.3562272122817388E-2</v>
      </c>
      <c r="W699" s="5">
        <f t="shared" si="261"/>
        <v>1.0158962599772729E-2</v>
      </c>
      <c r="X699" s="5">
        <f t="shared" si="262"/>
        <v>1.404552023277288E-2</v>
      </c>
      <c r="Y699" s="5">
        <f t="shared" si="263"/>
        <v>2.0866251252251548E-2</v>
      </c>
      <c r="Z699" s="33">
        <v>695</v>
      </c>
      <c r="AE699" s="20" t="str">
        <f t="shared" si="264"/>
        <v/>
      </c>
      <c r="AF699" s="22" t="str">
        <f t="shared" si="265"/>
        <v/>
      </c>
      <c r="AG699" s="9" t="str">
        <f t="shared" ca="1" si="244"/>
        <v/>
      </c>
      <c r="AH699" s="9" t="str">
        <f t="shared" ca="1" si="245"/>
        <v/>
      </c>
      <c r="AI699" s="9" t="str">
        <f t="shared" ca="1" si="246"/>
        <v/>
      </c>
      <c r="AJ699" s="9" t="str">
        <f t="shared" ca="1" si="247"/>
        <v/>
      </c>
      <c r="AK699" s="9" t="str">
        <f t="shared" ca="1" si="248"/>
        <v/>
      </c>
      <c r="AL699" s="9" t="str">
        <f t="shared" ca="1" si="249"/>
        <v/>
      </c>
      <c r="AM699" s="9" t="str">
        <f t="shared" ca="1" si="250"/>
        <v/>
      </c>
      <c r="AN699" s="9" t="str">
        <f t="shared" ca="1" si="251"/>
        <v/>
      </c>
      <c r="AO699" s="9" t="str">
        <f t="shared" ca="1" si="252"/>
        <v/>
      </c>
      <c r="AP699" s="9" t="str">
        <f t="shared" ca="1" si="253"/>
        <v/>
      </c>
      <c r="AQ699" s="9"/>
      <c r="AR699" s="9"/>
      <c r="AS699" s="9"/>
      <c r="AT699" s="9"/>
      <c r="AU699" s="9"/>
    </row>
    <row r="700" spans="1:47" x14ac:dyDescent="0.3">
      <c r="A700" s="1">
        <v>44475</v>
      </c>
      <c r="B700" s="6">
        <v>570.30999799999995</v>
      </c>
      <c r="C700" s="6">
        <v>294.57000699999998</v>
      </c>
      <c r="D700" s="6">
        <v>45.049999</v>
      </c>
      <c r="E700" s="6">
        <v>154.96000699999999</v>
      </c>
      <c r="F700" s="6">
        <v>152.80999800000001</v>
      </c>
      <c r="G700" s="6">
        <v>54</v>
      </c>
      <c r="H700" s="6">
        <v>159.070007</v>
      </c>
      <c r="I700" s="6">
        <v>216.11000100000001</v>
      </c>
      <c r="J700" s="6">
        <v>37.400002000000001</v>
      </c>
      <c r="K700" s="6">
        <v>25.879999000000002</v>
      </c>
      <c r="N700" s="18">
        <v>696</v>
      </c>
      <c r="O700" s="1">
        <v>44475</v>
      </c>
      <c r="P700" s="5">
        <f t="shared" si="254"/>
        <v>6.3499847819961834E-3</v>
      </c>
      <c r="Q700" s="5">
        <f t="shared" si="255"/>
        <v>4.1502337875079171E-3</v>
      </c>
      <c r="R700" s="5">
        <f t="shared" si="256"/>
        <v>6.1229692422306112E-3</v>
      </c>
      <c r="S700" s="5">
        <f t="shared" si="257"/>
        <v>2.5291404994224657E-2</v>
      </c>
      <c r="T700" s="5">
        <f t="shared" si="258"/>
        <v>9.2700051557883436E-3</v>
      </c>
      <c r="U700" s="5">
        <f t="shared" si="259"/>
        <v>8.7418208400981325E-3</v>
      </c>
      <c r="V700" s="5">
        <f t="shared" si="260"/>
        <v>5.9901941091208867E-3</v>
      </c>
      <c r="W700" s="5">
        <f t="shared" si="261"/>
        <v>1.9917466737566091E-3</v>
      </c>
      <c r="X700" s="5">
        <f t="shared" si="262"/>
        <v>-1.5915401829965134E-2</v>
      </c>
      <c r="Y700" s="5">
        <f t="shared" si="263"/>
        <v>-1.0378759518109126E-2</v>
      </c>
      <c r="Z700" s="33">
        <v>696</v>
      </c>
      <c r="AE700" s="20" t="str">
        <f t="shared" si="264"/>
        <v/>
      </c>
      <c r="AF700" s="22" t="str">
        <f t="shared" si="265"/>
        <v/>
      </c>
      <c r="AG700" s="9" t="str">
        <f t="shared" ca="1" si="244"/>
        <v/>
      </c>
      <c r="AH700" s="9" t="str">
        <f t="shared" ca="1" si="245"/>
        <v/>
      </c>
      <c r="AI700" s="9" t="str">
        <f t="shared" ca="1" si="246"/>
        <v/>
      </c>
      <c r="AJ700" s="9" t="str">
        <f t="shared" ca="1" si="247"/>
        <v/>
      </c>
      <c r="AK700" s="9" t="str">
        <f t="shared" ca="1" si="248"/>
        <v/>
      </c>
      <c r="AL700" s="9" t="str">
        <f t="shared" ca="1" si="249"/>
        <v/>
      </c>
      <c r="AM700" s="9" t="str">
        <f t="shared" ca="1" si="250"/>
        <v/>
      </c>
      <c r="AN700" s="9" t="str">
        <f t="shared" ca="1" si="251"/>
        <v/>
      </c>
      <c r="AO700" s="9" t="str">
        <f t="shared" ca="1" si="252"/>
        <v/>
      </c>
      <c r="AP700" s="9" t="str">
        <f t="shared" ca="1" si="253"/>
        <v/>
      </c>
      <c r="AQ700" s="9"/>
      <c r="AR700" s="9"/>
      <c r="AS700" s="9"/>
      <c r="AT700" s="9"/>
      <c r="AU700" s="9"/>
    </row>
    <row r="701" spans="1:47" x14ac:dyDescent="0.3">
      <c r="A701" s="1">
        <v>44476</v>
      </c>
      <c r="B701" s="6">
        <v>578.96002199999998</v>
      </c>
      <c r="C701" s="6">
        <v>298.36999500000002</v>
      </c>
      <c r="D701" s="6">
        <v>45.034999999999997</v>
      </c>
      <c r="E701" s="6">
        <v>156.38999899999999</v>
      </c>
      <c r="F701" s="6">
        <v>152.10000600000001</v>
      </c>
      <c r="G701" s="6">
        <v>53.540000999999997</v>
      </c>
      <c r="H701" s="6">
        <v>159.800003</v>
      </c>
      <c r="I701" s="6">
        <v>216.16000399999999</v>
      </c>
      <c r="J701" s="6">
        <v>37.720001000000003</v>
      </c>
      <c r="K701" s="6">
        <v>26.459999</v>
      </c>
      <c r="N701" s="19">
        <v>697</v>
      </c>
      <c r="O701" s="1">
        <v>44476</v>
      </c>
      <c r="P701" s="5">
        <f t="shared" si="254"/>
        <v>1.5053359424247934E-2</v>
      </c>
      <c r="Q701" s="5">
        <f t="shared" si="255"/>
        <v>1.2817620711997482E-2</v>
      </c>
      <c r="R701" s="5">
        <f t="shared" si="256"/>
        <v>-3.3299662108236583E-4</v>
      </c>
      <c r="S701" s="5">
        <f t="shared" si="257"/>
        <v>9.1858167821661854E-3</v>
      </c>
      <c r="T701" s="5">
        <f t="shared" si="258"/>
        <v>-4.6570678160389369E-3</v>
      </c>
      <c r="U701" s="5">
        <f t="shared" si="259"/>
        <v>-8.5549897944439991E-3</v>
      </c>
      <c r="V701" s="5">
        <f t="shared" si="260"/>
        <v>4.5786511895892293E-3</v>
      </c>
      <c r="W701" s="5">
        <f t="shared" si="261"/>
        <v>2.3135077449096345E-4</v>
      </c>
      <c r="X701" s="5">
        <f t="shared" si="262"/>
        <v>8.5197263799704787E-3</v>
      </c>
      <c r="Y701" s="5">
        <f t="shared" si="263"/>
        <v>2.2163689901091108E-2</v>
      </c>
      <c r="Z701" s="33">
        <v>697</v>
      </c>
      <c r="AE701" s="20" t="str">
        <f t="shared" si="264"/>
        <v/>
      </c>
      <c r="AF701" s="22" t="str">
        <f t="shared" si="265"/>
        <v/>
      </c>
      <c r="AG701" s="9" t="str">
        <f t="shared" ca="1" si="244"/>
        <v/>
      </c>
      <c r="AH701" s="9" t="str">
        <f t="shared" ca="1" si="245"/>
        <v/>
      </c>
      <c r="AI701" s="9" t="str">
        <f t="shared" ca="1" si="246"/>
        <v/>
      </c>
      <c r="AJ701" s="9" t="str">
        <f t="shared" ca="1" si="247"/>
        <v/>
      </c>
      <c r="AK701" s="9" t="str">
        <f t="shared" ca="1" si="248"/>
        <v/>
      </c>
      <c r="AL701" s="9" t="str">
        <f t="shared" ca="1" si="249"/>
        <v/>
      </c>
      <c r="AM701" s="9" t="str">
        <f t="shared" ca="1" si="250"/>
        <v/>
      </c>
      <c r="AN701" s="9" t="str">
        <f t="shared" ca="1" si="251"/>
        <v/>
      </c>
      <c r="AO701" s="9" t="str">
        <f t="shared" ca="1" si="252"/>
        <v/>
      </c>
      <c r="AP701" s="9" t="str">
        <f t="shared" ca="1" si="253"/>
        <v/>
      </c>
      <c r="AQ701" s="9"/>
      <c r="AR701" s="9"/>
      <c r="AS701" s="9"/>
      <c r="AT701" s="9"/>
      <c r="AU701" s="9"/>
    </row>
    <row r="702" spans="1:47" x14ac:dyDescent="0.3">
      <c r="A702" s="1">
        <v>44477</v>
      </c>
      <c r="B702" s="6">
        <v>576.85998500000005</v>
      </c>
      <c r="C702" s="6">
        <v>291.66000400000001</v>
      </c>
      <c r="D702" s="6">
        <v>44.634998000000003</v>
      </c>
      <c r="E702" s="6">
        <v>156.029999</v>
      </c>
      <c r="F702" s="6">
        <v>150.80999800000001</v>
      </c>
      <c r="G702" s="6">
        <v>53.040000999999997</v>
      </c>
      <c r="H702" s="6">
        <v>157.83999600000001</v>
      </c>
      <c r="I702" s="6">
        <v>215.529999</v>
      </c>
      <c r="J702" s="6">
        <v>37.229999999999997</v>
      </c>
      <c r="K702" s="6">
        <v>25.889999</v>
      </c>
      <c r="N702" s="18">
        <v>698</v>
      </c>
      <c r="O702" s="1">
        <v>44477</v>
      </c>
      <c r="P702" s="5">
        <f t="shared" si="254"/>
        <v>-3.6338518076785148E-3</v>
      </c>
      <c r="Q702" s="5">
        <f t="shared" si="255"/>
        <v>-2.2745556324739246E-2</v>
      </c>
      <c r="R702" s="5">
        <f t="shared" si="256"/>
        <v>-8.921705412267833E-3</v>
      </c>
      <c r="S702" s="5">
        <f t="shared" si="257"/>
        <v>-2.304591009786478E-3</v>
      </c>
      <c r="T702" s="5">
        <f t="shared" si="258"/>
        <v>-8.5174856021047532E-3</v>
      </c>
      <c r="U702" s="5">
        <f t="shared" si="259"/>
        <v>-9.3826920385282966E-3</v>
      </c>
      <c r="V702" s="5">
        <f t="shared" si="260"/>
        <v>-1.2341215733399916E-2</v>
      </c>
      <c r="W702" s="5">
        <f t="shared" si="261"/>
        <v>-2.9187863647027598E-3</v>
      </c>
      <c r="X702" s="5">
        <f t="shared" si="262"/>
        <v>-1.3075596391765669E-2</v>
      </c>
      <c r="Y702" s="5">
        <f t="shared" si="263"/>
        <v>-2.1777365755420233E-2</v>
      </c>
      <c r="Z702" s="33">
        <v>698</v>
      </c>
      <c r="AE702" s="20" t="str">
        <f t="shared" si="264"/>
        <v/>
      </c>
      <c r="AF702" s="22" t="str">
        <f t="shared" si="265"/>
        <v/>
      </c>
      <c r="AG702" s="9" t="str">
        <f t="shared" ca="1" si="244"/>
        <v/>
      </c>
      <c r="AH702" s="9" t="str">
        <f t="shared" ca="1" si="245"/>
        <v/>
      </c>
      <c r="AI702" s="9" t="str">
        <f t="shared" ca="1" si="246"/>
        <v/>
      </c>
      <c r="AJ702" s="9" t="str">
        <f t="shared" ca="1" si="247"/>
        <v/>
      </c>
      <c r="AK702" s="9" t="str">
        <f t="shared" ca="1" si="248"/>
        <v/>
      </c>
      <c r="AL702" s="9" t="str">
        <f t="shared" ca="1" si="249"/>
        <v/>
      </c>
      <c r="AM702" s="9" t="str">
        <f t="shared" ca="1" si="250"/>
        <v/>
      </c>
      <c r="AN702" s="9" t="str">
        <f t="shared" ca="1" si="251"/>
        <v/>
      </c>
      <c r="AO702" s="9" t="str">
        <f t="shared" ca="1" si="252"/>
        <v/>
      </c>
      <c r="AP702" s="9" t="str">
        <f t="shared" ca="1" si="253"/>
        <v/>
      </c>
      <c r="AQ702" s="9"/>
      <c r="AR702" s="9"/>
      <c r="AS702" s="9"/>
      <c r="AT702" s="9"/>
      <c r="AU702" s="9"/>
    </row>
    <row r="703" spans="1:47" x14ac:dyDescent="0.3">
      <c r="A703" s="1">
        <v>44480</v>
      </c>
      <c r="B703" s="6">
        <v>573.07000700000003</v>
      </c>
      <c r="C703" s="6">
        <v>288.73998999999998</v>
      </c>
      <c r="D703" s="6">
        <v>44.025002000000001</v>
      </c>
      <c r="E703" s="6">
        <v>156.240005</v>
      </c>
      <c r="F703" s="6">
        <v>151.070007</v>
      </c>
      <c r="G703" s="6">
        <v>52.889999000000003</v>
      </c>
      <c r="H703" s="6">
        <v>156.66999799999999</v>
      </c>
      <c r="I703" s="6">
        <v>213.66999799999999</v>
      </c>
      <c r="J703" s="6">
        <v>37.380001</v>
      </c>
      <c r="K703" s="6">
        <v>25.17</v>
      </c>
      <c r="N703" s="19">
        <v>699</v>
      </c>
      <c r="O703" s="1">
        <v>44480</v>
      </c>
      <c r="P703" s="5">
        <f t="shared" si="254"/>
        <v>-6.5916912322659081E-3</v>
      </c>
      <c r="Q703" s="5">
        <f t="shared" si="255"/>
        <v>-1.0062159431584537E-2</v>
      </c>
      <c r="R703" s="5">
        <f t="shared" si="256"/>
        <v>-1.376056001243579E-2</v>
      </c>
      <c r="S703" s="5">
        <f t="shared" si="257"/>
        <v>1.3450285264042395E-3</v>
      </c>
      <c r="T703" s="5">
        <f t="shared" si="258"/>
        <v>1.7225987808946568E-3</v>
      </c>
      <c r="U703" s="5">
        <f t="shared" si="259"/>
        <v>-2.8320985605795115E-3</v>
      </c>
      <c r="V703" s="5">
        <f t="shared" si="260"/>
        <v>-7.4401667325313487E-3</v>
      </c>
      <c r="W703" s="5">
        <f t="shared" si="261"/>
        <v>-8.6673469573286584E-3</v>
      </c>
      <c r="X703" s="5">
        <f t="shared" si="262"/>
        <v>4.0209408950648189E-3</v>
      </c>
      <c r="Y703" s="5">
        <f t="shared" si="263"/>
        <v>-2.8203945991269175E-2</v>
      </c>
      <c r="Z703" s="33">
        <v>699</v>
      </c>
      <c r="AE703" s="20" t="str">
        <f t="shared" si="264"/>
        <v/>
      </c>
      <c r="AF703" s="22" t="str">
        <f t="shared" si="265"/>
        <v/>
      </c>
      <c r="AG703" s="9" t="str">
        <f t="shared" ca="1" si="244"/>
        <v/>
      </c>
      <c r="AH703" s="9" t="str">
        <f t="shared" ca="1" si="245"/>
        <v/>
      </c>
      <c r="AI703" s="9" t="str">
        <f t="shared" ca="1" si="246"/>
        <v/>
      </c>
      <c r="AJ703" s="9" t="str">
        <f t="shared" ca="1" si="247"/>
        <v/>
      </c>
      <c r="AK703" s="9" t="str">
        <f t="shared" ca="1" si="248"/>
        <v/>
      </c>
      <c r="AL703" s="9" t="str">
        <f t="shared" ca="1" si="249"/>
        <v/>
      </c>
      <c r="AM703" s="9" t="str">
        <f t="shared" ca="1" si="250"/>
        <v/>
      </c>
      <c r="AN703" s="9" t="str">
        <f t="shared" ca="1" si="251"/>
        <v/>
      </c>
      <c r="AO703" s="9" t="str">
        <f t="shared" ca="1" si="252"/>
        <v/>
      </c>
      <c r="AP703" s="9" t="str">
        <f t="shared" ca="1" si="253"/>
        <v/>
      </c>
      <c r="AQ703" s="9"/>
      <c r="AR703" s="9"/>
      <c r="AS703" s="9"/>
      <c r="AT703" s="9"/>
      <c r="AU703" s="9"/>
    </row>
    <row r="704" spans="1:47" x14ac:dyDescent="0.3">
      <c r="A704" s="1">
        <v>44481</v>
      </c>
      <c r="B704" s="6">
        <v>580.69000200000005</v>
      </c>
      <c r="C704" s="6">
        <v>292.040009</v>
      </c>
      <c r="D704" s="6">
        <v>43.970001000000003</v>
      </c>
      <c r="E704" s="6">
        <v>156.929993</v>
      </c>
      <c r="F704" s="6">
        <v>154.19000199999999</v>
      </c>
      <c r="G704" s="6">
        <v>53.599997999999999</v>
      </c>
      <c r="H704" s="6">
        <v>157.08999600000001</v>
      </c>
      <c r="I704" s="6">
        <v>214.60000600000001</v>
      </c>
      <c r="J704" s="6">
        <v>36.880001</v>
      </c>
      <c r="K704" s="6">
        <v>24.58</v>
      </c>
      <c r="N704" s="18">
        <v>700</v>
      </c>
      <c r="O704" s="1">
        <v>44481</v>
      </c>
      <c r="P704" s="5">
        <f t="shared" si="254"/>
        <v>1.3209169560975852E-2</v>
      </c>
      <c r="Q704" s="5">
        <f t="shared" si="255"/>
        <v>1.1364215437146918E-2</v>
      </c>
      <c r="R704" s="5">
        <f t="shared" si="256"/>
        <v>-1.2500938755047135E-3</v>
      </c>
      <c r="S704" s="5">
        <f t="shared" si="257"/>
        <v>4.4064828742819894E-3</v>
      </c>
      <c r="T704" s="5">
        <f t="shared" si="258"/>
        <v>2.0442269262502824E-2</v>
      </c>
      <c r="U704" s="5">
        <f t="shared" si="259"/>
        <v>1.3334764592600209E-2</v>
      </c>
      <c r="V704" s="5">
        <f t="shared" si="260"/>
        <v>2.6771944090281047E-3</v>
      </c>
      <c r="W704" s="5">
        <f t="shared" si="261"/>
        <v>4.3430987609229038E-3</v>
      </c>
      <c r="X704" s="5">
        <f t="shared" si="262"/>
        <v>-1.3466402976330219E-2</v>
      </c>
      <c r="Y704" s="5">
        <f t="shared" si="263"/>
        <v>-2.3719705009335908E-2</v>
      </c>
      <c r="Z704" s="33">
        <v>700</v>
      </c>
      <c r="AE704" s="20" t="str">
        <f t="shared" si="264"/>
        <v/>
      </c>
      <c r="AF704" s="22" t="str">
        <f t="shared" si="265"/>
        <v/>
      </c>
      <c r="AG704" s="9" t="str">
        <f t="shared" ca="1" si="244"/>
        <v/>
      </c>
      <c r="AH704" s="9" t="str">
        <f t="shared" ca="1" si="245"/>
        <v/>
      </c>
      <c r="AI704" s="9" t="str">
        <f t="shared" ca="1" si="246"/>
        <v/>
      </c>
      <c r="AJ704" s="9" t="str">
        <f t="shared" ca="1" si="247"/>
        <v/>
      </c>
      <c r="AK704" s="9" t="str">
        <f t="shared" ca="1" si="248"/>
        <v/>
      </c>
      <c r="AL704" s="9" t="str">
        <f t="shared" ca="1" si="249"/>
        <v/>
      </c>
      <c r="AM704" s="9" t="str">
        <f t="shared" ca="1" si="250"/>
        <v/>
      </c>
      <c r="AN704" s="9" t="str">
        <f t="shared" ca="1" si="251"/>
        <v/>
      </c>
      <c r="AO704" s="9" t="str">
        <f t="shared" ca="1" si="252"/>
        <v/>
      </c>
      <c r="AP704" s="9" t="str">
        <f t="shared" ca="1" si="253"/>
        <v/>
      </c>
      <c r="AQ704" s="9"/>
      <c r="AR704" s="9"/>
      <c r="AS704" s="9"/>
      <c r="AT704" s="9"/>
      <c r="AU704" s="9"/>
    </row>
    <row r="705" spans="1:47" x14ac:dyDescent="0.3">
      <c r="A705" s="1">
        <v>44482</v>
      </c>
      <c r="B705" s="6">
        <v>591.11999500000002</v>
      </c>
      <c r="C705" s="6">
        <v>296.29998799999998</v>
      </c>
      <c r="D705" s="6">
        <v>42.665000999999997</v>
      </c>
      <c r="E705" s="6">
        <v>157.990005</v>
      </c>
      <c r="F705" s="6">
        <v>156.75</v>
      </c>
      <c r="G705" s="6">
        <v>54.349997999999999</v>
      </c>
      <c r="H705" s="6">
        <v>157.38000500000001</v>
      </c>
      <c r="I705" s="6">
        <v>213.13000500000001</v>
      </c>
      <c r="J705" s="6">
        <v>36.830002</v>
      </c>
      <c r="K705" s="6">
        <v>25.5</v>
      </c>
      <c r="N705" s="19">
        <v>701</v>
      </c>
      <c r="O705" s="1">
        <v>44482</v>
      </c>
      <c r="P705" s="5">
        <f t="shared" si="254"/>
        <v>1.7801978943798685E-2</v>
      </c>
      <c r="Q705" s="5">
        <f t="shared" si="255"/>
        <v>1.4481604074444286E-2</v>
      </c>
      <c r="R705" s="5">
        <f t="shared" si="256"/>
        <v>-3.0128670508534412E-2</v>
      </c>
      <c r="S705" s="5">
        <f t="shared" si="257"/>
        <v>6.7319700875765939E-3</v>
      </c>
      <c r="T705" s="5">
        <f t="shared" si="258"/>
        <v>1.6466558358759081E-2</v>
      </c>
      <c r="U705" s="5">
        <f t="shared" si="259"/>
        <v>1.3895546005367035E-2</v>
      </c>
      <c r="V705" s="5">
        <f t="shared" si="260"/>
        <v>1.8444308283367458E-3</v>
      </c>
      <c r="W705" s="5">
        <f t="shared" si="261"/>
        <v>-6.8735265225840008E-3</v>
      </c>
      <c r="X705" s="5">
        <f t="shared" si="262"/>
        <v>-1.3566410428308519E-3</v>
      </c>
      <c r="Y705" s="5">
        <f t="shared" si="263"/>
        <v>3.6745348026491695E-2</v>
      </c>
      <c r="Z705" s="33">
        <v>701</v>
      </c>
      <c r="AE705" s="20" t="str">
        <f t="shared" si="264"/>
        <v/>
      </c>
      <c r="AF705" s="22" t="str">
        <f t="shared" si="265"/>
        <v/>
      </c>
      <c r="AG705" s="9" t="str">
        <f t="shared" ca="1" si="244"/>
        <v/>
      </c>
      <c r="AH705" s="9" t="str">
        <f t="shared" ca="1" si="245"/>
        <v/>
      </c>
      <c r="AI705" s="9" t="str">
        <f t="shared" ca="1" si="246"/>
        <v/>
      </c>
      <c r="AJ705" s="9" t="str">
        <f t="shared" ca="1" si="247"/>
        <v/>
      </c>
      <c r="AK705" s="9" t="str">
        <f t="shared" ca="1" si="248"/>
        <v/>
      </c>
      <c r="AL705" s="9" t="str">
        <f t="shared" ca="1" si="249"/>
        <v/>
      </c>
      <c r="AM705" s="9" t="str">
        <f t="shared" ca="1" si="250"/>
        <v/>
      </c>
      <c r="AN705" s="9" t="str">
        <f t="shared" ca="1" si="251"/>
        <v/>
      </c>
      <c r="AO705" s="9" t="str">
        <f t="shared" ca="1" si="252"/>
        <v/>
      </c>
      <c r="AP705" s="9" t="str">
        <f t="shared" ca="1" si="253"/>
        <v/>
      </c>
      <c r="AQ705" s="9"/>
      <c r="AR705" s="9"/>
      <c r="AS705" s="9"/>
      <c r="AT705" s="9"/>
      <c r="AU705" s="9"/>
    </row>
    <row r="706" spans="1:47" x14ac:dyDescent="0.3">
      <c r="A706" s="1">
        <v>44483</v>
      </c>
      <c r="B706" s="6">
        <v>607.51000999999997</v>
      </c>
      <c r="C706" s="6">
        <v>304.82998700000002</v>
      </c>
      <c r="D706" s="6">
        <v>42.799999</v>
      </c>
      <c r="E706" s="6">
        <v>159.259995</v>
      </c>
      <c r="F706" s="6">
        <v>158.479996</v>
      </c>
      <c r="G706" s="6">
        <v>55.07</v>
      </c>
      <c r="H706" s="6">
        <v>162.509995</v>
      </c>
      <c r="I706" s="6">
        <v>218.949997</v>
      </c>
      <c r="J706" s="6">
        <v>38.099997999999999</v>
      </c>
      <c r="K706" s="6">
        <v>25.26</v>
      </c>
      <c r="N706" s="18">
        <v>702</v>
      </c>
      <c r="O706" s="1">
        <v>44483</v>
      </c>
      <c r="P706" s="5">
        <f t="shared" si="254"/>
        <v>2.734961842333546E-2</v>
      </c>
      <c r="Q706" s="5">
        <f t="shared" si="255"/>
        <v>2.8381787439152824E-2</v>
      </c>
      <c r="R706" s="5">
        <f t="shared" si="256"/>
        <v>3.1591437963014888E-3</v>
      </c>
      <c r="S706" s="5">
        <f t="shared" si="257"/>
        <v>8.0062839017656894E-3</v>
      </c>
      <c r="T706" s="5">
        <f t="shared" si="258"/>
        <v>1.0976197637487157E-2</v>
      </c>
      <c r="U706" s="5">
        <f t="shared" si="259"/>
        <v>1.3160526505700328E-2</v>
      </c>
      <c r="V706" s="5">
        <f t="shared" si="260"/>
        <v>3.2076212693504941E-2</v>
      </c>
      <c r="W706" s="5">
        <f t="shared" si="261"/>
        <v>2.6941047912641698E-2</v>
      </c>
      <c r="X706" s="5">
        <f t="shared" si="262"/>
        <v>3.3901444878686203E-2</v>
      </c>
      <c r="Y706" s="5">
        <f t="shared" si="263"/>
        <v>-9.4563352420354001E-3</v>
      </c>
      <c r="Z706" s="33">
        <v>702</v>
      </c>
      <c r="AE706" s="20" t="str">
        <f t="shared" si="264"/>
        <v/>
      </c>
      <c r="AF706" s="22" t="str">
        <f t="shared" si="265"/>
        <v/>
      </c>
      <c r="AG706" s="9" t="str">
        <f t="shared" ca="1" si="244"/>
        <v/>
      </c>
      <c r="AH706" s="9" t="str">
        <f t="shared" ca="1" si="245"/>
        <v/>
      </c>
      <c r="AI706" s="9" t="str">
        <f t="shared" ca="1" si="246"/>
        <v/>
      </c>
      <c r="AJ706" s="9" t="str">
        <f t="shared" ca="1" si="247"/>
        <v/>
      </c>
      <c r="AK706" s="9" t="str">
        <f t="shared" ca="1" si="248"/>
        <v/>
      </c>
      <c r="AL706" s="9" t="str">
        <f t="shared" ca="1" si="249"/>
        <v/>
      </c>
      <c r="AM706" s="9" t="str">
        <f t="shared" ca="1" si="250"/>
        <v/>
      </c>
      <c r="AN706" s="9" t="str">
        <f t="shared" ca="1" si="251"/>
        <v/>
      </c>
      <c r="AO706" s="9" t="str">
        <f t="shared" ca="1" si="252"/>
        <v/>
      </c>
      <c r="AP706" s="9" t="str">
        <f t="shared" ca="1" si="253"/>
        <v/>
      </c>
      <c r="AQ706" s="9"/>
      <c r="AR706" s="9"/>
      <c r="AS706" s="9"/>
      <c r="AT706" s="9"/>
      <c r="AU706" s="9"/>
    </row>
    <row r="707" spans="1:47" x14ac:dyDescent="0.3">
      <c r="A707" s="1">
        <v>44484</v>
      </c>
      <c r="B707" s="6">
        <v>610.09002699999996</v>
      </c>
      <c r="C707" s="6">
        <v>306.26001000000002</v>
      </c>
      <c r="D707" s="6">
        <v>42.790000999999997</v>
      </c>
      <c r="E707" s="6">
        <v>158.80999800000001</v>
      </c>
      <c r="F707" s="6">
        <v>156.91000399999999</v>
      </c>
      <c r="G707" s="6">
        <v>53.939999</v>
      </c>
      <c r="H707" s="6">
        <v>165.11000100000001</v>
      </c>
      <c r="I707" s="6">
        <v>219.16999799999999</v>
      </c>
      <c r="J707" s="6">
        <v>38.220001000000003</v>
      </c>
      <c r="K707" s="6">
        <v>24.83</v>
      </c>
      <c r="N707" s="19">
        <v>703</v>
      </c>
      <c r="O707" s="1">
        <v>44484</v>
      </c>
      <c r="P707" s="5">
        <f t="shared" si="254"/>
        <v>4.2378790784191591E-3</v>
      </c>
      <c r="Q707" s="5">
        <f t="shared" si="255"/>
        <v>4.6802455198785104E-3</v>
      </c>
      <c r="R707" s="5">
        <f t="shared" si="256"/>
        <v>-2.3362542459347174E-4</v>
      </c>
      <c r="S707" s="5">
        <f t="shared" si="257"/>
        <v>-2.8295489052056811E-3</v>
      </c>
      <c r="T707" s="5">
        <f t="shared" si="258"/>
        <v>-9.9559590872204187E-3</v>
      </c>
      <c r="U707" s="5">
        <f t="shared" si="259"/>
        <v>-2.0732804101923942E-2</v>
      </c>
      <c r="V707" s="5">
        <f t="shared" si="260"/>
        <v>1.5872416929730168E-2</v>
      </c>
      <c r="W707" s="5">
        <f t="shared" si="261"/>
        <v>1.0042957226421227E-3</v>
      </c>
      <c r="X707" s="5">
        <f t="shared" si="262"/>
        <v>3.1447353372229783E-3</v>
      </c>
      <c r="Y707" s="5">
        <f t="shared" si="263"/>
        <v>-1.7169517402269942E-2</v>
      </c>
      <c r="Z707" s="33">
        <v>703</v>
      </c>
      <c r="AE707" s="20" t="str">
        <f t="shared" si="264"/>
        <v/>
      </c>
      <c r="AF707" s="22" t="str">
        <f t="shared" si="265"/>
        <v/>
      </c>
      <c r="AG707" s="9" t="str">
        <f t="shared" ca="1" si="244"/>
        <v/>
      </c>
      <c r="AH707" s="9" t="str">
        <f t="shared" ca="1" si="245"/>
        <v/>
      </c>
      <c r="AI707" s="9" t="str">
        <f t="shared" ca="1" si="246"/>
        <v/>
      </c>
      <c r="AJ707" s="9" t="str">
        <f t="shared" ca="1" si="247"/>
        <v/>
      </c>
      <c r="AK707" s="9" t="str">
        <f t="shared" ca="1" si="248"/>
        <v/>
      </c>
      <c r="AL707" s="9" t="str">
        <f t="shared" ca="1" si="249"/>
        <v/>
      </c>
      <c r="AM707" s="9" t="str">
        <f t="shared" ca="1" si="250"/>
        <v/>
      </c>
      <c r="AN707" s="9" t="str">
        <f t="shared" ca="1" si="251"/>
        <v/>
      </c>
      <c r="AO707" s="9" t="str">
        <f t="shared" ca="1" si="252"/>
        <v/>
      </c>
      <c r="AP707" s="9" t="str">
        <f t="shared" ca="1" si="253"/>
        <v/>
      </c>
      <c r="AQ707" s="9"/>
      <c r="AR707" s="9"/>
      <c r="AS707" s="9"/>
      <c r="AT707" s="9"/>
      <c r="AU707" s="9"/>
    </row>
    <row r="708" spans="1:47" x14ac:dyDescent="0.3">
      <c r="A708" s="1">
        <v>44487</v>
      </c>
      <c r="B708" s="6">
        <v>622.830017</v>
      </c>
      <c r="C708" s="6">
        <v>307.22000100000002</v>
      </c>
      <c r="D708" s="6">
        <v>42.715000000000003</v>
      </c>
      <c r="E708" s="6">
        <v>158.08999600000001</v>
      </c>
      <c r="F708" s="6">
        <v>158.929993</v>
      </c>
      <c r="G708" s="6">
        <v>54.389999000000003</v>
      </c>
      <c r="H708" s="6">
        <v>166.78999300000001</v>
      </c>
      <c r="I708" s="6">
        <v>222.60000600000001</v>
      </c>
      <c r="J708" s="6">
        <v>38.159999999999997</v>
      </c>
      <c r="K708" s="6">
        <v>24.67</v>
      </c>
      <c r="N708" s="18">
        <v>704</v>
      </c>
      <c r="O708" s="1">
        <v>44487</v>
      </c>
      <c r="P708" s="5">
        <f t="shared" si="254"/>
        <v>2.0667104127706993E-2</v>
      </c>
      <c r="Q708" s="5">
        <f t="shared" si="255"/>
        <v>3.1296595369396858E-3</v>
      </c>
      <c r="R708" s="5">
        <f t="shared" si="256"/>
        <v>-1.7543071950892873E-3</v>
      </c>
      <c r="S708" s="5">
        <f t="shared" si="257"/>
        <v>-4.544040722836885E-3</v>
      </c>
      <c r="T708" s="5">
        <f t="shared" si="258"/>
        <v>1.2791391600882478E-2</v>
      </c>
      <c r="U708" s="5">
        <f t="shared" si="259"/>
        <v>8.3079958766703235E-3</v>
      </c>
      <c r="V708" s="5">
        <f t="shared" si="260"/>
        <v>1.0123569619828568E-2</v>
      </c>
      <c r="W708" s="5">
        <f t="shared" si="261"/>
        <v>1.5528790527330865E-2</v>
      </c>
      <c r="X708" s="5">
        <f t="shared" si="262"/>
        <v>-1.5711183963529557E-3</v>
      </c>
      <c r="Y708" s="5">
        <f t="shared" si="263"/>
        <v>-6.4646689788097796E-3</v>
      </c>
      <c r="Z708" s="33">
        <v>704</v>
      </c>
      <c r="AE708" s="20" t="str">
        <f t="shared" si="264"/>
        <v/>
      </c>
      <c r="AF708" s="22" t="str">
        <f t="shared" si="265"/>
        <v/>
      </c>
      <c r="AG708" s="9" t="str">
        <f t="shared" ca="1" si="244"/>
        <v/>
      </c>
      <c r="AH708" s="9" t="str">
        <f t="shared" ca="1" si="245"/>
        <v/>
      </c>
      <c r="AI708" s="9" t="str">
        <f t="shared" ca="1" si="246"/>
        <v/>
      </c>
      <c r="AJ708" s="9" t="str">
        <f t="shared" ca="1" si="247"/>
        <v/>
      </c>
      <c r="AK708" s="9" t="str">
        <f t="shared" ca="1" si="248"/>
        <v/>
      </c>
      <c r="AL708" s="9" t="str">
        <f t="shared" ca="1" si="249"/>
        <v/>
      </c>
      <c r="AM708" s="9" t="str">
        <f t="shared" ca="1" si="250"/>
        <v/>
      </c>
      <c r="AN708" s="9" t="str">
        <f t="shared" ca="1" si="251"/>
        <v/>
      </c>
      <c r="AO708" s="9" t="str">
        <f t="shared" ca="1" si="252"/>
        <v/>
      </c>
      <c r="AP708" s="9" t="str">
        <f t="shared" ca="1" si="253"/>
        <v/>
      </c>
      <c r="AQ708" s="9"/>
      <c r="AR708" s="9"/>
      <c r="AS708" s="9"/>
      <c r="AT708" s="9"/>
      <c r="AU708" s="9"/>
    </row>
    <row r="709" spans="1:47" x14ac:dyDescent="0.3">
      <c r="A709" s="1">
        <v>44488</v>
      </c>
      <c r="B709" s="6">
        <v>636.07000700000003</v>
      </c>
      <c r="C709" s="6">
        <v>311</v>
      </c>
      <c r="D709" s="6">
        <v>42.5</v>
      </c>
      <c r="E709" s="6">
        <v>160.10000600000001</v>
      </c>
      <c r="F709" s="6">
        <v>156</v>
      </c>
      <c r="G709" s="6">
        <v>53.939999</v>
      </c>
      <c r="H709" s="6">
        <v>167.91000399999999</v>
      </c>
      <c r="I709" s="6">
        <v>225.28999300000001</v>
      </c>
      <c r="J709" s="6">
        <v>38.259998000000003</v>
      </c>
      <c r="K709" s="6">
        <v>24.9</v>
      </c>
      <c r="N709" s="19">
        <v>705</v>
      </c>
      <c r="O709" s="1">
        <v>44488</v>
      </c>
      <c r="P709" s="5">
        <f t="shared" si="254"/>
        <v>2.1034995530471612E-2</v>
      </c>
      <c r="Q709" s="5">
        <f t="shared" si="255"/>
        <v>1.2228805603238071E-2</v>
      </c>
      <c r="R709" s="5">
        <f t="shared" si="256"/>
        <v>-5.0460706732109112E-3</v>
      </c>
      <c r="S709" s="5">
        <f t="shared" si="257"/>
        <v>1.2634191673192529E-2</v>
      </c>
      <c r="T709" s="5">
        <f t="shared" si="258"/>
        <v>-1.8607802414642303E-2</v>
      </c>
      <c r="U709" s="5">
        <f t="shared" si="259"/>
        <v>-8.307995876670405E-3</v>
      </c>
      <c r="V709" s="5">
        <f t="shared" si="260"/>
        <v>6.6926512735252588E-3</v>
      </c>
      <c r="W709" s="5">
        <f t="shared" si="261"/>
        <v>1.2011964322364984E-2</v>
      </c>
      <c r="X709" s="5">
        <f t="shared" si="262"/>
        <v>2.6170651581045564E-3</v>
      </c>
      <c r="Y709" s="5">
        <f t="shared" si="263"/>
        <v>9.2798729293965213E-3</v>
      </c>
      <c r="Z709" s="33">
        <v>705</v>
      </c>
      <c r="AE709" s="20" t="str">
        <f t="shared" si="264"/>
        <v/>
      </c>
      <c r="AF709" s="22" t="str">
        <f t="shared" si="265"/>
        <v/>
      </c>
      <c r="AG709" s="9" t="str">
        <f t="shared" ref="AG709:AG772" ca="1" si="266">IF($AE709="","",OFFSET(P$4,$AE709,0))</f>
        <v/>
      </c>
      <c r="AH709" s="9" t="str">
        <f t="shared" ref="AH709:AH772" ca="1" si="267">IF($AE709="","",OFFSET(Q$4,$AE709,0))</f>
        <v/>
      </c>
      <c r="AI709" s="9" t="str">
        <f t="shared" ref="AI709:AI772" ca="1" si="268">IF($AE709="","",OFFSET(R$4,$AE709,0))</f>
        <v/>
      </c>
      <c r="AJ709" s="9" t="str">
        <f t="shared" ref="AJ709:AJ772" ca="1" si="269">IF($AE709="","",OFFSET(S$4,$AE709,0))</f>
        <v/>
      </c>
      <c r="AK709" s="9" t="str">
        <f t="shared" ref="AK709:AK772" ca="1" si="270">IF($AE709="","",OFFSET(T$4,$AE709,0))</f>
        <v/>
      </c>
      <c r="AL709" s="9" t="str">
        <f t="shared" ref="AL709:AL772" ca="1" si="271">IF($AE709="","",OFFSET(U$4,$AE709,0))</f>
        <v/>
      </c>
      <c r="AM709" s="9" t="str">
        <f t="shared" ref="AM709:AM772" ca="1" si="272">IF($AE709="","",OFFSET(V$4,$AE709,0))</f>
        <v/>
      </c>
      <c r="AN709" s="9" t="str">
        <f t="shared" ref="AN709:AN772" ca="1" si="273">IF($AE709="","",OFFSET(W$4,$AE709,0))</f>
        <v/>
      </c>
      <c r="AO709" s="9" t="str">
        <f t="shared" ref="AO709:AO772" ca="1" si="274">IF($AE709="","",OFFSET(X$4,$AE709,0))</f>
        <v/>
      </c>
      <c r="AP709" s="9" t="str">
        <f t="shared" ref="AP709:AP772" ca="1" si="275">IF($AE709="","",OFFSET(Y$4,$AE709,0))</f>
        <v/>
      </c>
      <c r="AQ709" s="9"/>
      <c r="AR709" s="9"/>
      <c r="AS709" s="9"/>
      <c r="AT709" s="9"/>
      <c r="AU709" s="9"/>
    </row>
    <row r="710" spans="1:47" x14ac:dyDescent="0.3">
      <c r="A710" s="1">
        <v>44489</v>
      </c>
      <c r="B710" s="6">
        <v>632.36999500000002</v>
      </c>
      <c r="C710" s="6">
        <v>315.5</v>
      </c>
      <c r="D710" s="6">
        <v>42.465000000000003</v>
      </c>
      <c r="E710" s="6">
        <v>161.30999800000001</v>
      </c>
      <c r="F710" s="6">
        <v>157.970001</v>
      </c>
      <c r="G710" s="6">
        <v>54.720001000000003</v>
      </c>
      <c r="H710" s="6">
        <v>168.85000600000001</v>
      </c>
      <c r="I710" s="6">
        <v>228.020004</v>
      </c>
      <c r="J710" s="6">
        <v>38.009998000000003</v>
      </c>
      <c r="K710" s="6">
        <v>25.33</v>
      </c>
      <c r="N710" s="18">
        <v>706</v>
      </c>
      <c r="O710" s="1">
        <v>44489</v>
      </c>
      <c r="P710" s="5">
        <f t="shared" ref="P710:P773" si="276">LN(B710/B709)</f>
        <v>-5.8339732086565461E-3</v>
      </c>
      <c r="Q710" s="5">
        <f t="shared" ref="Q710:Q773" si="277">LN(C710/C709)</f>
        <v>1.4365769802033681E-2</v>
      </c>
      <c r="R710" s="5">
        <f t="shared" ref="R710:R773" si="278">LN(D710/D709)</f>
        <v>-8.2386869839849199E-4</v>
      </c>
      <c r="S710" s="5">
        <f t="shared" ref="S710:S773" si="279">LN(E710/E709)</f>
        <v>7.5293096119634084E-3</v>
      </c>
      <c r="T710" s="5">
        <f t="shared" ref="T710:T773" si="280">LN(F710/F709)</f>
        <v>1.2549140661784591E-2</v>
      </c>
      <c r="U710" s="5">
        <f t="shared" ref="U710:U773" si="281">LN(G710/G709)</f>
        <v>1.4356992416682568E-2</v>
      </c>
      <c r="V710" s="5">
        <f t="shared" ref="V710:V773" si="282">LN(H710/H709)</f>
        <v>5.5826369724109532E-3</v>
      </c>
      <c r="W710" s="5">
        <f t="shared" ref="W710:W773" si="283">LN(I710/I709)</f>
        <v>1.2044931829907474E-2</v>
      </c>
      <c r="X710" s="5">
        <f t="shared" ref="X710:X773" si="284">LN(J710/J709)</f>
        <v>-6.5556813547663307E-3</v>
      </c>
      <c r="Y710" s="5">
        <f t="shared" ref="Y710:Y773" si="285">LN(K710/K709)</f>
        <v>1.7121660542921829E-2</v>
      </c>
      <c r="Z710" s="33">
        <v>706</v>
      </c>
      <c r="AE710" s="20" t="str">
        <f t="shared" ref="AE710:AE773" si="286">IF(AE709="","",IF(AE709+1&lt;=$AC$5,AE709+1,""))</f>
        <v/>
      </c>
      <c r="AF710" s="22" t="str">
        <f t="shared" ref="AF710:AF773" si="287">IF(AE710="","",VLOOKUP(AE710,N709:O1966,2))</f>
        <v/>
      </c>
      <c r="AG710" s="9" t="str">
        <f t="shared" ca="1" si="266"/>
        <v/>
      </c>
      <c r="AH710" s="9" t="str">
        <f t="shared" ca="1" si="267"/>
        <v/>
      </c>
      <c r="AI710" s="9" t="str">
        <f t="shared" ca="1" si="268"/>
        <v/>
      </c>
      <c r="AJ710" s="9" t="str">
        <f t="shared" ca="1" si="269"/>
        <v/>
      </c>
      <c r="AK710" s="9" t="str">
        <f t="shared" ca="1" si="270"/>
        <v/>
      </c>
      <c r="AL710" s="9" t="str">
        <f t="shared" ca="1" si="271"/>
        <v/>
      </c>
      <c r="AM710" s="9" t="str">
        <f t="shared" ca="1" si="272"/>
        <v/>
      </c>
      <c r="AN710" s="9" t="str">
        <f t="shared" ca="1" si="273"/>
        <v/>
      </c>
      <c r="AO710" s="9" t="str">
        <f t="shared" ca="1" si="274"/>
        <v/>
      </c>
      <c r="AP710" s="9" t="str">
        <f t="shared" ca="1" si="275"/>
        <v/>
      </c>
      <c r="AQ710" s="9"/>
      <c r="AR710" s="9"/>
      <c r="AS710" s="9"/>
      <c r="AT710" s="9"/>
      <c r="AU710" s="9"/>
    </row>
    <row r="711" spans="1:47" x14ac:dyDescent="0.3">
      <c r="A711" s="1">
        <v>44490</v>
      </c>
      <c r="B711" s="6">
        <v>638.65997300000004</v>
      </c>
      <c r="C711" s="6">
        <v>321.01001000000002</v>
      </c>
      <c r="D711" s="6">
        <v>42.625</v>
      </c>
      <c r="E711" s="6">
        <v>159.179993</v>
      </c>
      <c r="F711" s="6">
        <v>158.33000200000001</v>
      </c>
      <c r="G711" s="6">
        <v>54.790000999999997</v>
      </c>
      <c r="H711" s="6">
        <v>169.58999600000001</v>
      </c>
      <c r="I711" s="6">
        <v>212.509995</v>
      </c>
      <c r="J711" s="6">
        <v>37.080002</v>
      </c>
      <c r="K711" s="6">
        <v>25</v>
      </c>
      <c r="N711" s="19">
        <v>707</v>
      </c>
      <c r="O711" s="1">
        <v>44490</v>
      </c>
      <c r="P711" s="5">
        <f t="shared" si="276"/>
        <v>9.8975311456885734E-3</v>
      </c>
      <c r="Q711" s="5">
        <f t="shared" si="277"/>
        <v>1.7313624463166592E-2</v>
      </c>
      <c r="R711" s="5">
        <f t="shared" si="278"/>
        <v>3.7607283717081053E-3</v>
      </c>
      <c r="S711" s="5">
        <f t="shared" si="279"/>
        <v>-1.3292373688880544E-2</v>
      </c>
      <c r="T711" s="5">
        <f t="shared" si="280"/>
        <v>2.2763272338659477E-3</v>
      </c>
      <c r="U711" s="5">
        <f t="shared" si="281"/>
        <v>1.2784222126810527E-3</v>
      </c>
      <c r="V711" s="5">
        <f t="shared" si="282"/>
        <v>4.3729534029384367E-3</v>
      </c>
      <c r="W711" s="5">
        <f t="shared" si="283"/>
        <v>-7.0444339395430045E-2</v>
      </c>
      <c r="X711" s="5">
        <f t="shared" si="284"/>
        <v>-2.4771435748338348E-2</v>
      </c>
      <c r="Y711" s="5">
        <f t="shared" si="285"/>
        <v>-1.3113639145383025E-2</v>
      </c>
      <c r="Z711" s="33">
        <v>707</v>
      </c>
      <c r="AE711" s="20" t="str">
        <f t="shared" si="286"/>
        <v/>
      </c>
      <c r="AF711" s="22" t="str">
        <f t="shared" si="287"/>
        <v/>
      </c>
      <c r="AG711" s="9" t="str">
        <f t="shared" ca="1" si="266"/>
        <v/>
      </c>
      <c r="AH711" s="9" t="str">
        <f t="shared" ca="1" si="267"/>
        <v/>
      </c>
      <c r="AI711" s="9" t="str">
        <f t="shared" ca="1" si="268"/>
        <v/>
      </c>
      <c r="AJ711" s="9" t="str">
        <f t="shared" ca="1" si="269"/>
        <v/>
      </c>
      <c r="AK711" s="9" t="str">
        <f t="shared" ca="1" si="270"/>
        <v/>
      </c>
      <c r="AL711" s="9" t="str">
        <f t="shared" ca="1" si="271"/>
        <v/>
      </c>
      <c r="AM711" s="9" t="str">
        <f t="shared" ca="1" si="272"/>
        <v/>
      </c>
      <c r="AN711" s="9" t="str">
        <f t="shared" ca="1" si="273"/>
        <v/>
      </c>
      <c r="AO711" s="9" t="str">
        <f t="shared" ca="1" si="274"/>
        <v/>
      </c>
      <c r="AP711" s="9" t="str">
        <f t="shared" ca="1" si="275"/>
        <v/>
      </c>
      <c r="AQ711" s="9"/>
      <c r="AR711" s="9"/>
      <c r="AS711" s="9"/>
      <c r="AT711" s="9"/>
      <c r="AU711" s="9"/>
    </row>
    <row r="712" spans="1:47" x14ac:dyDescent="0.3">
      <c r="A712" s="1">
        <v>44491</v>
      </c>
      <c r="B712" s="6">
        <v>643.580017</v>
      </c>
      <c r="C712" s="6">
        <v>321.11999500000002</v>
      </c>
      <c r="D712" s="6">
        <v>42.365001999999997</v>
      </c>
      <c r="E712" s="6">
        <v>159.970001</v>
      </c>
      <c r="F712" s="6">
        <v>159.050003</v>
      </c>
      <c r="G712" s="6">
        <v>54.990001999999997</v>
      </c>
      <c r="H712" s="6">
        <v>169.21000699999999</v>
      </c>
      <c r="I712" s="6">
        <v>210.429993</v>
      </c>
      <c r="J712" s="6">
        <v>36.959999000000003</v>
      </c>
      <c r="K712" s="6">
        <v>25.1</v>
      </c>
      <c r="N712" s="18">
        <v>708</v>
      </c>
      <c r="O712" s="1">
        <v>44491</v>
      </c>
      <c r="P712" s="5">
        <f t="shared" si="276"/>
        <v>7.674176729299262E-3</v>
      </c>
      <c r="Q712" s="5">
        <f t="shared" si="277"/>
        <v>3.4256303309028457E-4</v>
      </c>
      <c r="R712" s="5">
        <f t="shared" si="278"/>
        <v>-6.1183387444738394E-3</v>
      </c>
      <c r="S712" s="5">
        <f t="shared" si="279"/>
        <v>4.950710502347847E-3</v>
      </c>
      <c r="T712" s="5">
        <f t="shared" si="280"/>
        <v>4.537161911958406E-3</v>
      </c>
      <c r="U712" s="5">
        <f t="shared" si="281"/>
        <v>3.6436730881418992E-3</v>
      </c>
      <c r="V712" s="5">
        <f t="shared" si="282"/>
        <v>-2.2431473197647546E-3</v>
      </c>
      <c r="W712" s="5">
        <f t="shared" si="283"/>
        <v>-9.8359995671518357E-3</v>
      </c>
      <c r="X712" s="5">
        <f t="shared" si="284"/>
        <v>-3.2415749178794219E-3</v>
      </c>
      <c r="Y712" s="5">
        <f t="shared" si="285"/>
        <v>3.9920212695374567E-3</v>
      </c>
      <c r="Z712" s="33">
        <v>708</v>
      </c>
      <c r="AE712" s="20" t="str">
        <f t="shared" si="286"/>
        <v/>
      </c>
      <c r="AF712" s="22" t="str">
        <f t="shared" si="287"/>
        <v/>
      </c>
      <c r="AG712" s="9" t="str">
        <f t="shared" ca="1" si="266"/>
        <v/>
      </c>
      <c r="AH712" s="9" t="str">
        <f t="shared" ca="1" si="267"/>
        <v/>
      </c>
      <c r="AI712" s="9" t="str">
        <f t="shared" ca="1" si="268"/>
        <v/>
      </c>
      <c r="AJ712" s="9" t="str">
        <f t="shared" ca="1" si="269"/>
        <v/>
      </c>
      <c r="AK712" s="9" t="str">
        <f t="shared" ca="1" si="270"/>
        <v/>
      </c>
      <c r="AL712" s="9" t="str">
        <f t="shared" ca="1" si="271"/>
        <v/>
      </c>
      <c r="AM712" s="9" t="str">
        <f t="shared" ca="1" si="272"/>
        <v/>
      </c>
      <c r="AN712" s="9" t="str">
        <f t="shared" ca="1" si="273"/>
        <v/>
      </c>
      <c r="AO712" s="9" t="str">
        <f t="shared" ca="1" si="274"/>
        <v/>
      </c>
      <c r="AP712" s="9" t="str">
        <f t="shared" ca="1" si="275"/>
        <v/>
      </c>
      <c r="AQ712" s="9"/>
      <c r="AR712" s="9"/>
      <c r="AS712" s="9"/>
      <c r="AT712" s="9"/>
      <c r="AU712" s="9"/>
    </row>
    <row r="713" spans="1:47" x14ac:dyDescent="0.3">
      <c r="A713" s="1">
        <v>44494</v>
      </c>
      <c r="B713" s="6">
        <v>646.96997099999999</v>
      </c>
      <c r="C713" s="6">
        <v>324</v>
      </c>
      <c r="D713" s="6">
        <v>42.189999</v>
      </c>
      <c r="E713" s="6">
        <v>159.220001</v>
      </c>
      <c r="F713" s="6">
        <v>157.89999399999999</v>
      </c>
      <c r="G713" s="6">
        <v>54.669998</v>
      </c>
      <c r="H713" s="6">
        <v>168.63999899999999</v>
      </c>
      <c r="I713" s="6">
        <v>210.16000399999999</v>
      </c>
      <c r="J713" s="6">
        <v>36.150002000000001</v>
      </c>
      <c r="K713" s="6">
        <v>25.290001</v>
      </c>
      <c r="N713" s="19">
        <v>709</v>
      </c>
      <c r="O713" s="1">
        <v>44494</v>
      </c>
      <c r="P713" s="5">
        <f t="shared" si="276"/>
        <v>5.253514901782168E-3</v>
      </c>
      <c r="Q713" s="5">
        <f t="shared" si="277"/>
        <v>8.9286463148046894E-3</v>
      </c>
      <c r="R713" s="5">
        <f t="shared" si="278"/>
        <v>-4.1393944252591536E-3</v>
      </c>
      <c r="S713" s="5">
        <f t="shared" si="279"/>
        <v>-4.6994039636263328E-3</v>
      </c>
      <c r="T713" s="5">
        <f t="shared" si="280"/>
        <v>-7.256753794283765E-3</v>
      </c>
      <c r="U713" s="5">
        <f t="shared" si="281"/>
        <v>-5.8363105661997537E-3</v>
      </c>
      <c r="V713" s="5">
        <f t="shared" si="282"/>
        <v>-3.3743290260416642E-3</v>
      </c>
      <c r="W713" s="5">
        <f t="shared" si="283"/>
        <v>-1.2838585749108216E-3</v>
      </c>
      <c r="X713" s="5">
        <f t="shared" si="284"/>
        <v>-2.2159215787399367E-2</v>
      </c>
      <c r="Y713" s="5">
        <f t="shared" si="285"/>
        <v>7.5412540854555192E-3</v>
      </c>
      <c r="Z713" s="33">
        <v>709</v>
      </c>
      <c r="AE713" s="20" t="str">
        <f t="shared" si="286"/>
        <v/>
      </c>
      <c r="AF713" s="22" t="str">
        <f t="shared" si="287"/>
        <v/>
      </c>
      <c r="AG713" s="9" t="str">
        <f t="shared" ca="1" si="266"/>
        <v/>
      </c>
      <c r="AH713" s="9" t="str">
        <f t="shared" ca="1" si="267"/>
        <v/>
      </c>
      <c r="AI713" s="9" t="str">
        <f t="shared" ca="1" si="268"/>
        <v/>
      </c>
      <c r="AJ713" s="9" t="str">
        <f t="shared" ca="1" si="269"/>
        <v/>
      </c>
      <c r="AK713" s="9" t="str">
        <f t="shared" ca="1" si="270"/>
        <v/>
      </c>
      <c r="AL713" s="9" t="str">
        <f t="shared" ca="1" si="271"/>
        <v/>
      </c>
      <c r="AM713" s="9" t="str">
        <f t="shared" ca="1" si="272"/>
        <v/>
      </c>
      <c r="AN713" s="9" t="str">
        <f t="shared" ca="1" si="273"/>
        <v/>
      </c>
      <c r="AO713" s="9" t="str">
        <f t="shared" ca="1" si="274"/>
        <v/>
      </c>
      <c r="AP713" s="9" t="str">
        <f t="shared" ca="1" si="275"/>
        <v/>
      </c>
      <c r="AQ713" s="9"/>
      <c r="AR713" s="9"/>
      <c r="AS713" s="9"/>
      <c r="AT713" s="9"/>
      <c r="AU713" s="9"/>
    </row>
    <row r="714" spans="1:47" x14ac:dyDescent="0.3">
      <c r="A714" s="1">
        <v>44495</v>
      </c>
      <c r="B714" s="6">
        <v>642.5</v>
      </c>
      <c r="C714" s="6">
        <v>328.02999899999998</v>
      </c>
      <c r="D714" s="6">
        <v>42.790000999999997</v>
      </c>
      <c r="E714" s="6">
        <v>161.16999799999999</v>
      </c>
      <c r="F714" s="6">
        <v>159.279999</v>
      </c>
      <c r="G714" s="6">
        <v>55.139999000000003</v>
      </c>
      <c r="H714" s="6">
        <v>167.39999399999999</v>
      </c>
      <c r="I714" s="6">
        <v>205.61999499999999</v>
      </c>
      <c r="J714" s="6">
        <v>36.580002</v>
      </c>
      <c r="K714" s="6">
        <v>24.639999</v>
      </c>
      <c r="N714" s="18">
        <v>710</v>
      </c>
      <c r="O714" s="1">
        <v>44495</v>
      </c>
      <c r="P714" s="5">
        <f t="shared" si="276"/>
        <v>-6.9330639805447849E-3</v>
      </c>
      <c r="Q714" s="5">
        <f t="shared" si="277"/>
        <v>1.2361548775423711E-2</v>
      </c>
      <c r="R714" s="5">
        <f t="shared" si="278"/>
        <v>1.412125136472351E-2</v>
      </c>
      <c r="S714" s="5">
        <f t="shared" si="279"/>
        <v>1.2172796184319205E-2</v>
      </c>
      <c r="T714" s="5">
        <f t="shared" si="280"/>
        <v>8.7017702148263817E-3</v>
      </c>
      <c r="U714" s="5">
        <f t="shared" si="281"/>
        <v>8.5603111362238249E-3</v>
      </c>
      <c r="V714" s="5">
        <f t="shared" si="282"/>
        <v>-7.3801372101258223E-3</v>
      </c>
      <c r="W714" s="5">
        <f t="shared" si="283"/>
        <v>-2.1839383612530371E-2</v>
      </c>
      <c r="X714" s="5">
        <f t="shared" si="284"/>
        <v>1.1824693707597029E-2</v>
      </c>
      <c r="Y714" s="5">
        <f t="shared" si="285"/>
        <v>-2.6038002142291027E-2</v>
      </c>
      <c r="Z714" s="33">
        <v>710</v>
      </c>
      <c r="AE714" s="20" t="str">
        <f t="shared" si="286"/>
        <v/>
      </c>
      <c r="AF714" s="22" t="str">
        <f t="shared" si="287"/>
        <v/>
      </c>
      <c r="AG714" s="9" t="str">
        <f t="shared" ca="1" si="266"/>
        <v/>
      </c>
      <c r="AH714" s="9" t="str">
        <f t="shared" ca="1" si="267"/>
        <v/>
      </c>
      <c r="AI714" s="9" t="str">
        <f t="shared" ca="1" si="268"/>
        <v/>
      </c>
      <c r="AJ714" s="9" t="str">
        <f t="shared" ca="1" si="269"/>
        <v/>
      </c>
      <c r="AK714" s="9" t="str">
        <f t="shared" ca="1" si="270"/>
        <v/>
      </c>
      <c r="AL714" s="9" t="str">
        <f t="shared" ca="1" si="271"/>
        <v/>
      </c>
      <c r="AM714" s="9" t="str">
        <f t="shared" ca="1" si="272"/>
        <v/>
      </c>
      <c r="AN714" s="9" t="str">
        <f t="shared" ca="1" si="273"/>
        <v/>
      </c>
      <c r="AO714" s="9" t="str">
        <f t="shared" ca="1" si="274"/>
        <v/>
      </c>
      <c r="AP714" s="9" t="str">
        <f t="shared" ca="1" si="275"/>
        <v/>
      </c>
      <c r="AQ714" s="9"/>
      <c r="AR714" s="9"/>
      <c r="AS714" s="9"/>
      <c r="AT714" s="9"/>
      <c r="AU714" s="9"/>
    </row>
    <row r="715" spans="1:47" x14ac:dyDescent="0.3">
      <c r="A715" s="1">
        <v>44496</v>
      </c>
      <c r="B715" s="6">
        <v>640.080017</v>
      </c>
      <c r="C715" s="6">
        <v>319.13000499999998</v>
      </c>
      <c r="D715" s="6">
        <v>42.439999</v>
      </c>
      <c r="E715" s="6">
        <v>160.61000100000001</v>
      </c>
      <c r="F715" s="6">
        <v>159.44000199999999</v>
      </c>
      <c r="G715" s="6">
        <v>55.450001</v>
      </c>
      <c r="H715" s="6">
        <v>165.63000500000001</v>
      </c>
      <c r="I715" s="6">
        <v>202.029999</v>
      </c>
      <c r="J715" s="6">
        <v>36.020000000000003</v>
      </c>
      <c r="K715" s="6">
        <v>23.6</v>
      </c>
      <c r="N715" s="19">
        <v>711</v>
      </c>
      <c r="O715" s="1">
        <v>44496</v>
      </c>
      <c r="P715" s="5">
        <f t="shared" si="276"/>
        <v>-3.7736216683265564E-3</v>
      </c>
      <c r="Q715" s="5">
        <f t="shared" si="277"/>
        <v>-2.7506505619493658E-2</v>
      </c>
      <c r="R715" s="5">
        <f t="shared" si="278"/>
        <v>-8.2131636155659705E-3</v>
      </c>
      <c r="S715" s="5">
        <f t="shared" si="279"/>
        <v>-3.4806238243010046E-3</v>
      </c>
      <c r="T715" s="5">
        <f t="shared" si="280"/>
        <v>1.0040349707540024E-3</v>
      </c>
      <c r="U715" s="5">
        <f t="shared" si="281"/>
        <v>5.6063443706450234E-3</v>
      </c>
      <c r="V715" s="5">
        <f t="shared" si="282"/>
        <v>-1.0629707061249849E-2</v>
      </c>
      <c r="W715" s="5">
        <f t="shared" si="283"/>
        <v>-1.7613584522180179E-2</v>
      </c>
      <c r="X715" s="5">
        <f t="shared" si="284"/>
        <v>-1.5427357889593686E-2</v>
      </c>
      <c r="Y715" s="5">
        <f t="shared" si="285"/>
        <v>-4.3124386049338118E-2</v>
      </c>
      <c r="Z715" s="33">
        <v>711</v>
      </c>
      <c r="AE715" s="20" t="str">
        <f t="shared" si="286"/>
        <v/>
      </c>
      <c r="AF715" s="22" t="str">
        <f t="shared" si="287"/>
        <v/>
      </c>
      <c r="AG715" s="9" t="str">
        <f t="shared" ca="1" si="266"/>
        <v/>
      </c>
      <c r="AH715" s="9" t="str">
        <f t="shared" ca="1" si="267"/>
        <v/>
      </c>
      <c r="AI715" s="9" t="str">
        <f t="shared" ca="1" si="268"/>
        <v/>
      </c>
      <c r="AJ715" s="9" t="str">
        <f t="shared" ca="1" si="269"/>
        <v/>
      </c>
      <c r="AK715" s="9" t="str">
        <f t="shared" ca="1" si="270"/>
        <v/>
      </c>
      <c r="AL715" s="9" t="str">
        <f t="shared" ca="1" si="271"/>
        <v/>
      </c>
      <c r="AM715" s="9" t="str">
        <f t="shared" ca="1" si="272"/>
        <v/>
      </c>
      <c r="AN715" s="9" t="str">
        <f t="shared" ca="1" si="273"/>
        <v/>
      </c>
      <c r="AO715" s="9" t="str">
        <f t="shared" ca="1" si="274"/>
        <v/>
      </c>
      <c r="AP715" s="9" t="str">
        <f t="shared" ca="1" si="275"/>
        <v/>
      </c>
      <c r="AQ715" s="9"/>
      <c r="AR715" s="9"/>
      <c r="AS715" s="9"/>
      <c r="AT715" s="9"/>
      <c r="AU715" s="9"/>
    </row>
    <row r="716" spans="1:47" x14ac:dyDescent="0.3">
      <c r="A716" s="1">
        <v>44497</v>
      </c>
      <c r="B716" s="6">
        <v>639.28002900000001</v>
      </c>
      <c r="C716" s="6">
        <v>326.77999899999998</v>
      </c>
      <c r="D716" s="6">
        <v>42.450001</v>
      </c>
      <c r="E716" s="6">
        <v>161.61999499999999</v>
      </c>
      <c r="F716" s="6">
        <v>162.85000600000001</v>
      </c>
      <c r="G716" s="6">
        <v>56.259998000000003</v>
      </c>
      <c r="H716" s="6">
        <v>169.070007</v>
      </c>
      <c r="I716" s="6">
        <v>205.80999800000001</v>
      </c>
      <c r="J716" s="6">
        <v>36.659999999999997</v>
      </c>
      <c r="K716" s="6">
        <v>24.309999000000001</v>
      </c>
      <c r="N716" s="18">
        <v>712</v>
      </c>
      <c r="O716" s="1">
        <v>44497</v>
      </c>
      <c r="P716" s="5">
        <f t="shared" si="276"/>
        <v>-1.2506066713079043E-3</v>
      </c>
      <c r="Q716" s="5">
        <f t="shared" si="277"/>
        <v>2.3688599594255184E-2</v>
      </c>
      <c r="R716" s="5">
        <f t="shared" si="278"/>
        <v>2.3564613137668809E-4</v>
      </c>
      <c r="S716" s="5">
        <f t="shared" si="279"/>
        <v>6.268797567467497E-3</v>
      </c>
      <c r="T716" s="5">
        <f t="shared" si="280"/>
        <v>2.1161880117520279E-2</v>
      </c>
      <c r="U716" s="5">
        <f t="shared" si="281"/>
        <v>1.4502035681833614E-2</v>
      </c>
      <c r="V716" s="5">
        <f t="shared" si="282"/>
        <v>2.0556456600012884E-2</v>
      </c>
      <c r="W716" s="5">
        <f t="shared" si="283"/>
        <v>1.8537207090976681E-2</v>
      </c>
      <c r="X716" s="5">
        <f t="shared" si="284"/>
        <v>1.7611902663748701E-2</v>
      </c>
      <c r="Y716" s="5">
        <f t="shared" si="285"/>
        <v>2.9641035161131601E-2</v>
      </c>
      <c r="Z716" s="33">
        <v>712</v>
      </c>
      <c r="AE716" s="20" t="str">
        <f t="shared" si="286"/>
        <v/>
      </c>
      <c r="AF716" s="22" t="str">
        <f t="shared" si="287"/>
        <v/>
      </c>
      <c r="AG716" s="9" t="str">
        <f t="shared" ca="1" si="266"/>
        <v/>
      </c>
      <c r="AH716" s="9" t="str">
        <f t="shared" ca="1" si="267"/>
        <v/>
      </c>
      <c r="AI716" s="9" t="str">
        <f t="shared" ca="1" si="268"/>
        <v/>
      </c>
      <c r="AJ716" s="9" t="str">
        <f t="shared" ca="1" si="269"/>
        <v/>
      </c>
      <c r="AK716" s="9" t="str">
        <f t="shared" ca="1" si="270"/>
        <v/>
      </c>
      <c r="AL716" s="9" t="str">
        <f t="shared" ca="1" si="271"/>
        <v/>
      </c>
      <c r="AM716" s="9" t="str">
        <f t="shared" ca="1" si="272"/>
        <v/>
      </c>
      <c r="AN716" s="9" t="str">
        <f t="shared" ca="1" si="273"/>
        <v/>
      </c>
      <c r="AO716" s="9" t="str">
        <f t="shared" ca="1" si="274"/>
        <v/>
      </c>
      <c r="AP716" s="9" t="str">
        <f t="shared" ca="1" si="275"/>
        <v/>
      </c>
      <c r="AQ716" s="9"/>
      <c r="AR716" s="9"/>
      <c r="AS716" s="9"/>
      <c r="AT716" s="9"/>
      <c r="AU716" s="9"/>
    </row>
    <row r="717" spans="1:47" x14ac:dyDescent="0.3">
      <c r="A717" s="1">
        <v>44498</v>
      </c>
      <c r="B717" s="6">
        <v>650.35998500000005</v>
      </c>
      <c r="C717" s="6">
        <v>333.17999300000002</v>
      </c>
      <c r="D717" s="6">
        <v>42.5</v>
      </c>
      <c r="E717" s="6">
        <v>161.60000600000001</v>
      </c>
      <c r="F717" s="6">
        <v>163.10000600000001</v>
      </c>
      <c r="G717" s="6">
        <v>55.529998999999997</v>
      </c>
      <c r="H717" s="6">
        <v>169.08000200000001</v>
      </c>
      <c r="I717" s="6">
        <v>203.229996</v>
      </c>
      <c r="J717" s="6">
        <v>36.57</v>
      </c>
      <c r="K717" s="6">
        <v>23.440000999999999</v>
      </c>
      <c r="N717" s="19">
        <v>713</v>
      </c>
      <c r="O717" s="1">
        <v>44498</v>
      </c>
      <c r="P717" s="5">
        <f t="shared" si="276"/>
        <v>1.7183444233464771E-2</v>
      </c>
      <c r="Q717" s="5">
        <f t="shared" si="277"/>
        <v>1.939570492939173E-2</v>
      </c>
      <c r="R717" s="5">
        <f t="shared" si="278"/>
        <v>1.1771396158889631E-3</v>
      </c>
      <c r="S717" s="5">
        <f t="shared" si="279"/>
        <v>-1.2368665282851409E-4</v>
      </c>
      <c r="T717" s="5">
        <f t="shared" si="280"/>
        <v>1.5339778482516657E-3</v>
      </c>
      <c r="U717" s="5">
        <f t="shared" si="281"/>
        <v>-1.306037026724273E-2</v>
      </c>
      <c r="V717" s="5">
        <f t="shared" si="282"/>
        <v>5.9115775465828276E-5</v>
      </c>
      <c r="W717" s="5">
        <f t="shared" si="283"/>
        <v>-1.2615080446586048E-2</v>
      </c>
      <c r="X717" s="5">
        <f t="shared" si="284"/>
        <v>-2.4580102502690039E-3</v>
      </c>
      <c r="Y717" s="5">
        <f t="shared" si="285"/>
        <v>-3.6443739821768968E-2</v>
      </c>
      <c r="Z717" s="33">
        <v>713</v>
      </c>
      <c r="AE717" s="20" t="str">
        <f t="shared" si="286"/>
        <v/>
      </c>
      <c r="AF717" s="22" t="str">
        <f t="shared" si="287"/>
        <v/>
      </c>
      <c r="AG717" s="9" t="str">
        <f t="shared" ca="1" si="266"/>
        <v/>
      </c>
      <c r="AH717" s="9" t="str">
        <f t="shared" ca="1" si="267"/>
        <v/>
      </c>
      <c r="AI717" s="9" t="str">
        <f t="shared" ca="1" si="268"/>
        <v/>
      </c>
      <c r="AJ717" s="9" t="str">
        <f t="shared" ca="1" si="269"/>
        <v/>
      </c>
      <c r="AK717" s="9" t="str">
        <f t="shared" ca="1" si="270"/>
        <v/>
      </c>
      <c r="AL717" s="9" t="str">
        <f t="shared" ca="1" si="271"/>
        <v/>
      </c>
      <c r="AM717" s="9" t="str">
        <f t="shared" ca="1" si="272"/>
        <v/>
      </c>
      <c r="AN717" s="9" t="str">
        <f t="shared" ca="1" si="273"/>
        <v/>
      </c>
      <c r="AO717" s="9" t="str">
        <f t="shared" ca="1" si="274"/>
        <v/>
      </c>
      <c r="AP717" s="9" t="str">
        <f t="shared" ca="1" si="275"/>
        <v/>
      </c>
      <c r="AQ717" s="9"/>
      <c r="AR717" s="9"/>
      <c r="AS717" s="9"/>
      <c r="AT717" s="9"/>
      <c r="AU717" s="9"/>
    </row>
    <row r="718" spans="1:47" x14ac:dyDescent="0.3">
      <c r="A718" s="1">
        <v>44501</v>
      </c>
      <c r="B718" s="6">
        <v>640.20001200000002</v>
      </c>
      <c r="C718" s="6">
        <v>329.83999599999999</v>
      </c>
      <c r="D718" s="6">
        <v>42.73</v>
      </c>
      <c r="E718" s="6">
        <v>161.259995</v>
      </c>
      <c r="F718" s="6">
        <v>161.53999300000001</v>
      </c>
      <c r="G718" s="6">
        <v>55.029998999999997</v>
      </c>
      <c r="H718" s="6">
        <v>169.759995</v>
      </c>
      <c r="I718" s="6">
        <v>204.779999</v>
      </c>
      <c r="J718" s="6">
        <v>36.799999</v>
      </c>
      <c r="K718" s="6">
        <v>24.42</v>
      </c>
      <c r="N718" s="18">
        <v>714</v>
      </c>
      <c r="O718" s="1">
        <v>44501</v>
      </c>
      <c r="P718" s="5">
        <f t="shared" si="276"/>
        <v>-1.5745386383300093E-2</v>
      </c>
      <c r="Q718" s="5">
        <f t="shared" si="277"/>
        <v>-1.0075187200353653E-2</v>
      </c>
      <c r="R718" s="5">
        <f t="shared" si="278"/>
        <v>5.3971737255623115E-3</v>
      </c>
      <c r="S718" s="5">
        <f t="shared" si="279"/>
        <v>-2.106244964660792E-3</v>
      </c>
      <c r="T718" s="5">
        <f t="shared" si="280"/>
        <v>-9.6107997329858853E-3</v>
      </c>
      <c r="U718" s="5">
        <f t="shared" si="281"/>
        <v>-9.044924345470863E-3</v>
      </c>
      <c r="V718" s="5">
        <f t="shared" si="282"/>
        <v>4.0136578850174911E-3</v>
      </c>
      <c r="W718" s="5">
        <f t="shared" si="283"/>
        <v>7.5979043432994348E-3</v>
      </c>
      <c r="X718" s="5">
        <f t="shared" si="284"/>
        <v>6.2695858396819518E-3</v>
      </c>
      <c r="Y718" s="5">
        <f t="shared" si="285"/>
        <v>4.0958461311631736E-2</v>
      </c>
      <c r="Z718" s="33">
        <v>714</v>
      </c>
      <c r="AE718" s="20" t="str">
        <f t="shared" si="286"/>
        <v/>
      </c>
      <c r="AF718" s="22" t="str">
        <f t="shared" si="287"/>
        <v/>
      </c>
      <c r="AG718" s="9" t="str">
        <f t="shared" ca="1" si="266"/>
        <v/>
      </c>
      <c r="AH718" s="9" t="str">
        <f t="shared" ca="1" si="267"/>
        <v/>
      </c>
      <c r="AI718" s="9" t="str">
        <f t="shared" ca="1" si="268"/>
        <v/>
      </c>
      <c r="AJ718" s="9" t="str">
        <f t="shared" ca="1" si="269"/>
        <v/>
      </c>
      <c r="AK718" s="9" t="str">
        <f t="shared" ca="1" si="270"/>
        <v/>
      </c>
      <c r="AL718" s="9" t="str">
        <f t="shared" ca="1" si="271"/>
        <v/>
      </c>
      <c r="AM718" s="9" t="str">
        <f t="shared" ca="1" si="272"/>
        <v/>
      </c>
      <c r="AN718" s="9" t="str">
        <f t="shared" ca="1" si="273"/>
        <v/>
      </c>
      <c r="AO718" s="9" t="str">
        <f t="shared" ca="1" si="274"/>
        <v/>
      </c>
      <c r="AP718" s="9" t="str">
        <f t="shared" ca="1" si="275"/>
        <v/>
      </c>
      <c r="AQ718" s="9"/>
      <c r="AR718" s="9"/>
      <c r="AS718" s="9"/>
      <c r="AT718" s="9"/>
      <c r="AU718" s="9"/>
    </row>
    <row r="719" spans="1:47" x14ac:dyDescent="0.3">
      <c r="A719" s="1">
        <v>44502</v>
      </c>
      <c r="B719" s="6">
        <v>640.40002400000003</v>
      </c>
      <c r="C719" s="6">
        <v>333.19000199999999</v>
      </c>
      <c r="D719" s="6">
        <v>42.945</v>
      </c>
      <c r="E719" s="6">
        <v>162.740005</v>
      </c>
      <c r="F719" s="6">
        <v>161.570007</v>
      </c>
      <c r="G719" s="6">
        <v>55.200001</v>
      </c>
      <c r="H719" s="6">
        <v>171.44000199999999</v>
      </c>
      <c r="I719" s="6">
        <v>205.08000200000001</v>
      </c>
      <c r="J719" s="6">
        <v>35.659999999999997</v>
      </c>
      <c r="K719" s="6">
        <v>24.549999</v>
      </c>
      <c r="N719" s="19">
        <v>715</v>
      </c>
      <c r="O719" s="1">
        <v>44502</v>
      </c>
      <c r="P719" s="5">
        <f t="shared" si="276"/>
        <v>3.1237231923114211E-4</v>
      </c>
      <c r="Q719" s="5">
        <f t="shared" si="277"/>
        <v>1.0105227568545112E-2</v>
      </c>
      <c r="R719" s="5">
        <f t="shared" si="278"/>
        <v>5.0189775622546283E-3</v>
      </c>
      <c r="S719" s="5">
        <f t="shared" si="279"/>
        <v>9.1359277413182588E-3</v>
      </c>
      <c r="T719" s="5">
        <f t="shared" si="280"/>
        <v>1.8578193238425565E-4</v>
      </c>
      <c r="U719" s="5">
        <f t="shared" si="281"/>
        <v>3.0844984992304324E-3</v>
      </c>
      <c r="V719" s="5">
        <f t="shared" si="282"/>
        <v>9.8477174188836385E-3</v>
      </c>
      <c r="W719" s="5">
        <f t="shared" si="283"/>
        <v>1.4639294044103566E-3</v>
      </c>
      <c r="X719" s="5">
        <f t="shared" si="284"/>
        <v>-3.1468205565977535E-2</v>
      </c>
      <c r="Y719" s="5">
        <f t="shared" si="285"/>
        <v>5.3093448247725199E-3</v>
      </c>
      <c r="Z719" s="33">
        <v>715</v>
      </c>
      <c r="AE719" s="20" t="str">
        <f t="shared" si="286"/>
        <v/>
      </c>
      <c r="AF719" s="22" t="str">
        <f t="shared" si="287"/>
        <v/>
      </c>
      <c r="AG719" s="9" t="str">
        <f t="shared" ca="1" si="266"/>
        <v/>
      </c>
      <c r="AH719" s="9" t="str">
        <f t="shared" ca="1" si="267"/>
        <v/>
      </c>
      <c r="AI719" s="9" t="str">
        <f t="shared" ca="1" si="268"/>
        <v/>
      </c>
      <c r="AJ719" s="9" t="str">
        <f t="shared" ca="1" si="269"/>
        <v/>
      </c>
      <c r="AK719" s="9" t="str">
        <f t="shared" ca="1" si="270"/>
        <v/>
      </c>
      <c r="AL719" s="9" t="str">
        <f t="shared" ca="1" si="271"/>
        <v/>
      </c>
      <c r="AM719" s="9" t="str">
        <f t="shared" ca="1" si="272"/>
        <v/>
      </c>
      <c r="AN719" s="9" t="str">
        <f t="shared" ca="1" si="273"/>
        <v/>
      </c>
      <c r="AO719" s="9" t="str">
        <f t="shared" ca="1" si="274"/>
        <v/>
      </c>
      <c r="AP719" s="9" t="str">
        <f t="shared" ca="1" si="275"/>
        <v/>
      </c>
      <c r="AQ719" s="9"/>
      <c r="AR719" s="9"/>
      <c r="AS719" s="9"/>
      <c r="AT719" s="9"/>
      <c r="AU719" s="9"/>
    </row>
    <row r="720" spans="1:47" x14ac:dyDescent="0.3">
      <c r="A720" s="1">
        <v>44503</v>
      </c>
      <c r="B720" s="6">
        <v>655.17999299999997</v>
      </c>
      <c r="C720" s="6">
        <v>333.41000400000001</v>
      </c>
      <c r="D720" s="6">
        <v>43.66</v>
      </c>
      <c r="E720" s="6">
        <v>164.300003</v>
      </c>
      <c r="F720" s="6">
        <v>163.320007</v>
      </c>
      <c r="G720" s="6">
        <v>55.169998</v>
      </c>
      <c r="H720" s="6">
        <v>170</v>
      </c>
      <c r="I720" s="6">
        <v>211.029999</v>
      </c>
      <c r="J720" s="6">
        <v>35.830002</v>
      </c>
      <c r="K720" s="6">
        <v>25.6</v>
      </c>
      <c r="N720" s="18">
        <v>716</v>
      </c>
      <c r="O720" s="1">
        <v>44503</v>
      </c>
      <c r="P720" s="5">
        <f t="shared" si="276"/>
        <v>2.2816977759213351E-2</v>
      </c>
      <c r="Q720" s="5">
        <f t="shared" si="277"/>
        <v>6.600720252253737E-4</v>
      </c>
      <c r="R720" s="5">
        <f t="shared" si="278"/>
        <v>1.6512123903609791E-2</v>
      </c>
      <c r="S720" s="5">
        <f t="shared" si="279"/>
        <v>9.5401773101393018E-3</v>
      </c>
      <c r="T720" s="5">
        <f t="shared" si="280"/>
        <v>1.0772980698402866E-2</v>
      </c>
      <c r="U720" s="5">
        <f t="shared" si="281"/>
        <v>-5.436803662387887E-4</v>
      </c>
      <c r="V720" s="5">
        <f t="shared" si="282"/>
        <v>-8.4349257809486697E-3</v>
      </c>
      <c r="W720" s="5">
        <f t="shared" si="283"/>
        <v>2.8600142057767265E-2</v>
      </c>
      <c r="X720" s="5">
        <f t="shared" si="284"/>
        <v>4.7559747010126711E-3</v>
      </c>
      <c r="Y720" s="5">
        <f t="shared" si="285"/>
        <v>4.1880537978185715E-2</v>
      </c>
      <c r="Z720" s="33">
        <v>716</v>
      </c>
      <c r="AE720" s="20" t="str">
        <f t="shared" si="286"/>
        <v/>
      </c>
      <c r="AF720" s="22" t="str">
        <f t="shared" si="287"/>
        <v/>
      </c>
      <c r="AG720" s="9" t="str">
        <f t="shared" ca="1" si="266"/>
        <v/>
      </c>
      <c r="AH720" s="9" t="str">
        <f t="shared" ca="1" si="267"/>
        <v/>
      </c>
      <c r="AI720" s="9" t="str">
        <f t="shared" ca="1" si="268"/>
        <v/>
      </c>
      <c r="AJ720" s="9" t="str">
        <f t="shared" ca="1" si="269"/>
        <v/>
      </c>
      <c r="AK720" s="9" t="str">
        <f t="shared" ca="1" si="270"/>
        <v/>
      </c>
      <c r="AL720" s="9" t="str">
        <f t="shared" ca="1" si="271"/>
        <v/>
      </c>
      <c r="AM720" s="9" t="str">
        <f t="shared" ca="1" si="272"/>
        <v/>
      </c>
      <c r="AN720" s="9" t="str">
        <f t="shared" ca="1" si="273"/>
        <v/>
      </c>
      <c r="AO720" s="9" t="str">
        <f t="shared" ca="1" si="274"/>
        <v/>
      </c>
      <c r="AP720" s="9" t="str">
        <f t="shared" ca="1" si="275"/>
        <v/>
      </c>
      <c r="AQ720" s="9"/>
      <c r="AR720" s="9"/>
      <c r="AS720" s="9"/>
      <c r="AT720" s="9"/>
      <c r="AU720" s="9"/>
    </row>
    <row r="721" spans="1:47" x14ac:dyDescent="0.3">
      <c r="A721" s="1">
        <v>44504</v>
      </c>
      <c r="B721" s="6">
        <v>674.080017</v>
      </c>
      <c r="C721" s="6">
        <v>341.72000100000002</v>
      </c>
      <c r="D721" s="6">
        <v>43.889999000000003</v>
      </c>
      <c r="E721" s="6">
        <v>164.30999800000001</v>
      </c>
      <c r="F721" s="6">
        <v>160.520004</v>
      </c>
      <c r="G721" s="6">
        <v>54.150002000000001</v>
      </c>
      <c r="H721" s="6">
        <v>172.13999899999999</v>
      </c>
      <c r="I721" s="6">
        <v>209.60000600000001</v>
      </c>
      <c r="J721" s="6">
        <v>35.779998999999997</v>
      </c>
      <c r="K721" s="6">
        <v>25.459999</v>
      </c>
      <c r="N721" s="19">
        <v>717</v>
      </c>
      <c r="O721" s="1">
        <v>44504</v>
      </c>
      <c r="P721" s="5">
        <f t="shared" si="276"/>
        <v>2.8438827091915045E-2</v>
      </c>
      <c r="Q721" s="5">
        <f t="shared" si="277"/>
        <v>2.4618715344467502E-2</v>
      </c>
      <c r="R721" s="5">
        <f t="shared" si="278"/>
        <v>5.2541297941113242E-3</v>
      </c>
      <c r="S721" s="5">
        <f t="shared" si="279"/>
        <v>6.0831989121820542E-5</v>
      </c>
      <c r="T721" s="5">
        <f t="shared" si="280"/>
        <v>-1.7292938994286969E-2</v>
      </c>
      <c r="U721" s="5">
        <f t="shared" si="281"/>
        <v>-1.8661280651312444E-2</v>
      </c>
      <c r="V721" s="5">
        <f t="shared" si="282"/>
        <v>1.2509656361841625E-2</v>
      </c>
      <c r="W721" s="5">
        <f t="shared" si="283"/>
        <v>-6.799317652717878E-3</v>
      </c>
      <c r="X721" s="5">
        <f t="shared" si="284"/>
        <v>-1.3965370040088425E-3</v>
      </c>
      <c r="Y721" s="5">
        <f t="shared" si="285"/>
        <v>-5.4837976335548582E-3</v>
      </c>
      <c r="Z721" s="33">
        <v>717</v>
      </c>
      <c r="AE721" s="20" t="str">
        <f t="shared" si="286"/>
        <v/>
      </c>
      <c r="AF721" s="22" t="str">
        <f t="shared" si="287"/>
        <v/>
      </c>
      <c r="AG721" s="9" t="str">
        <f t="shared" ca="1" si="266"/>
        <v/>
      </c>
      <c r="AH721" s="9" t="str">
        <f t="shared" ca="1" si="267"/>
        <v/>
      </c>
      <c r="AI721" s="9" t="str">
        <f t="shared" ca="1" si="268"/>
        <v/>
      </c>
      <c r="AJ721" s="9" t="str">
        <f t="shared" ca="1" si="269"/>
        <v/>
      </c>
      <c r="AK721" s="9" t="str">
        <f t="shared" ca="1" si="270"/>
        <v/>
      </c>
      <c r="AL721" s="9" t="str">
        <f t="shared" ca="1" si="271"/>
        <v/>
      </c>
      <c r="AM721" s="9" t="str">
        <f t="shared" ca="1" si="272"/>
        <v/>
      </c>
      <c r="AN721" s="9" t="str">
        <f t="shared" ca="1" si="273"/>
        <v/>
      </c>
      <c r="AO721" s="9" t="str">
        <f t="shared" ca="1" si="274"/>
        <v/>
      </c>
      <c r="AP721" s="9" t="str">
        <f t="shared" ca="1" si="275"/>
        <v/>
      </c>
      <c r="AQ721" s="9"/>
      <c r="AR721" s="9"/>
      <c r="AS721" s="9"/>
      <c r="AT721" s="9"/>
      <c r="AU721" s="9"/>
    </row>
    <row r="722" spans="1:47" x14ac:dyDescent="0.3">
      <c r="A722" s="1">
        <v>44505</v>
      </c>
      <c r="B722" s="6">
        <v>662.71997099999999</v>
      </c>
      <c r="C722" s="6">
        <v>340.75</v>
      </c>
      <c r="D722" s="6">
        <v>45.814999</v>
      </c>
      <c r="E722" s="6">
        <v>166</v>
      </c>
      <c r="F722" s="6">
        <v>161.38000500000001</v>
      </c>
      <c r="G722" s="6">
        <v>54.810001</v>
      </c>
      <c r="H722" s="6">
        <v>171.28999300000001</v>
      </c>
      <c r="I722" s="6">
        <v>212.009995</v>
      </c>
      <c r="J722" s="6">
        <v>36.419998</v>
      </c>
      <c r="K722" s="6">
        <v>26.52</v>
      </c>
      <c r="N722" s="18">
        <v>718</v>
      </c>
      <c r="O722" s="1">
        <v>44505</v>
      </c>
      <c r="P722" s="5">
        <f t="shared" si="276"/>
        <v>-1.6996289002099825E-2</v>
      </c>
      <c r="Q722" s="5">
        <f t="shared" si="277"/>
        <v>-2.8426206331484821E-3</v>
      </c>
      <c r="R722" s="5">
        <f t="shared" si="278"/>
        <v>4.2925045674354505E-2</v>
      </c>
      <c r="S722" s="5">
        <f t="shared" si="279"/>
        <v>1.0232913064917314E-2</v>
      </c>
      <c r="T722" s="5">
        <f t="shared" si="280"/>
        <v>5.3432930854048948E-3</v>
      </c>
      <c r="U722" s="5">
        <f t="shared" si="281"/>
        <v>1.211466692143038E-2</v>
      </c>
      <c r="V722" s="5">
        <f t="shared" si="282"/>
        <v>-4.9501077685774391E-3</v>
      </c>
      <c r="W722" s="5">
        <f t="shared" si="283"/>
        <v>1.1432438714238232E-2</v>
      </c>
      <c r="X722" s="5">
        <f t="shared" si="284"/>
        <v>1.7728969252580364E-2</v>
      </c>
      <c r="Y722" s="5">
        <f t="shared" si="285"/>
        <v>4.0790611465699782E-2</v>
      </c>
      <c r="Z722" s="33">
        <v>718</v>
      </c>
      <c r="AE722" s="20" t="str">
        <f t="shared" si="286"/>
        <v/>
      </c>
      <c r="AF722" s="22" t="str">
        <f t="shared" si="287"/>
        <v/>
      </c>
      <c r="AG722" s="9" t="str">
        <f t="shared" ca="1" si="266"/>
        <v/>
      </c>
      <c r="AH722" s="9" t="str">
        <f t="shared" ca="1" si="267"/>
        <v/>
      </c>
      <c r="AI722" s="9" t="str">
        <f t="shared" ca="1" si="268"/>
        <v/>
      </c>
      <c r="AJ722" s="9" t="str">
        <f t="shared" ca="1" si="269"/>
        <v/>
      </c>
      <c r="AK722" s="9" t="str">
        <f t="shared" ca="1" si="270"/>
        <v/>
      </c>
      <c r="AL722" s="9" t="str">
        <f t="shared" ca="1" si="271"/>
        <v/>
      </c>
      <c r="AM722" s="9" t="str">
        <f t="shared" ca="1" si="272"/>
        <v/>
      </c>
      <c r="AN722" s="9" t="str">
        <f t="shared" ca="1" si="273"/>
        <v/>
      </c>
      <c r="AO722" s="9" t="str">
        <f t="shared" ca="1" si="274"/>
        <v/>
      </c>
      <c r="AP722" s="9" t="str">
        <f t="shared" ca="1" si="275"/>
        <v/>
      </c>
      <c r="AQ722" s="9"/>
      <c r="AR722" s="9"/>
      <c r="AS722" s="9"/>
      <c r="AT722" s="9"/>
      <c r="AU722" s="9"/>
    </row>
    <row r="723" spans="1:47" x14ac:dyDescent="0.3">
      <c r="A723" s="1">
        <v>44508</v>
      </c>
      <c r="B723" s="6">
        <v>666.02002000000005</v>
      </c>
      <c r="C723" s="6">
        <v>342.91000400000001</v>
      </c>
      <c r="D723" s="6">
        <v>45.415000999999997</v>
      </c>
      <c r="E723" s="6">
        <v>162.429993</v>
      </c>
      <c r="F723" s="6">
        <v>161.86000100000001</v>
      </c>
      <c r="G723" s="6">
        <v>54.880001</v>
      </c>
      <c r="H723" s="6">
        <v>173.61999499999999</v>
      </c>
      <c r="I723" s="6">
        <v>214.11000100000001</v>
      </c>
      <c r="J723" s="6">
        <v>36.270000000000003</v>
      </c>
      <c r="K723" s="6">
        <v>26.280000999999999</v>
      </c>
      <c r="N723" s="19">
        <v>719</v>
      </c>
      <c r="O723" s="1">
        <v>44508</v>
      </c>
      <c r="P723" s="5">
        <f t="shared" si="276"/>
        <v>4.9671957004898968E-3</v>
      </c>
      <c r="Q723" s="5">
        <f t="shared" si="277"/>
        <v>6.3189631531573517E-3</v>
      </c>
      <c r="R723" s="5">
        <f t="shared" si="278"/>
        <v>-8.7690576169305E-3</v>
      </c>
      <c r="S723" s="5">
        <f t="shared" si="279"/>
        <v>-2.1740691720727023E-2</v>
      </c>
      <c r="T723" s="5">
        <f t="shared" si="280"/>
        <v>2.969906842600852E-3</v>
      </c>
      <c r="U723" s="5">
        <f t="shared" si="281"/>
        <v>1.2763243363332654E-3</v>
      </c>
      <c r="V723" s="5">
        <f t="shared" si="282"/>
        <v>1.351098852161018E-2</v>
      </c>
      <c r="W723" s="5">
        <f t="shared" si="283"/>
        <v>9.8564865345029604E-3</v>
      </c>
      <c r="X723" s="5">
        <f t="shared" si="284"/>
        <v>-4.1270660897673329E-3</v>
      </c>
      <c r="Y723" s="5">
        <f t="shared" si="285"/>
        <v>-9.0909336495024126E-3</v>
      </c>
      <c r="Z723" s="33">
        <v>719</v>
      </c>
      <c r="AE723" s="20" t="str">
        <f t="shared" si="286"/>
        <v/>
      </c>
      <c r="AF723" s="22" t="str">
        <f t="shared" si="287"/>
        <v/>
      </c>
      <c r="AG723" s="9" t="str">
        <f t="shared" ca="1" si="266"/>
        <v/>
      </c>
      <c r="AH723" s="9" t="str">
        <f t="shared" ca="1" si="267"/>
        <v/>
      </c>
      <c r="AI723" s="9" t="str">
        <f t="shared" ca="1" si="268"/>
        <v/>
      </c>
      <c r="AJ723" s="9" t="str">
        <f t="shared" ca="1" si="269"/>
        <v/>
      </c>
      <c r="AK723" s="9" t="str">
        <f t="shared" ca="1" si="270"/>
        <v/>
      </c>
      <c r="AL723" s="9" t="str">
        <f t="shared" ca="1" si="271"/>
        <v/>
      </c>
      <c r="AM723" s="9" t="str">
        <f t="shared" ca="1" si="272"/>
        <v/>
      </c>
      <c r="AN723" s="9" t="str">
        <f t="shared" ca="1" si="273"/>
        <v/>
      </c>
      <c r="AO723" s="9" t="str">
        <f t="shared" ca="1" si="274"/>
        <v/>
      </c>
      <c r="AP723" s="9" t="str">
        <f t="shared" ca="1" si="275"/>
        <v/>
      </c>
      <c r="AQ723" s="9"/>
      <c r="AR723" s="9"/>
      <c r="AS723" s="9"/>
      <c r="AT723" s="9"/>
      <c r="AU723" s="9"/>
    </row>
    <row r="724" spans="1:47" x14ac:dyDescent="0.3">
      <c r="A724" s="1">
        <v>44509</v>
      </c>
      <c r="B724" s="6">
        <v>667.919983</v>
      </c>
      <c r="C724" s="6">
        <v>348.26001000000002</v>
      </c>
      <c r="D724" s="6">
        <v>45.880001</v>
      </c>
      <c r="E724" s="6">
        <v>163.509995</v>
      </c>
      <c r="F724" s="6">
        <v>162.949997</v>
      </c>
      <c r="G724" s="6">
        <v>55.220001000000003</v>
      </c>
      <c r="H724" s="6">
        <v>175.38999899999999</v>
      </c>
      <c r="I724" s="6">
        <v>214.85000600000001</v>
      </c>
      <c r="J724" s="6">
        <v>36.029998999999997</v>
      </c>
      <c r="K724" s="6">
        <v>26.65</v>
      </c>
      <c r="N724" s="18">
        <v>720</v>
      </c>
      <c r="O724" s="1">
        <v>44509</v>
      </c>
      <c r="P724" s="5">
        <f t="shared" si="276"/>
        <v>2.8486502849400311E-3</v>
      </c>
      <c r="Q724" s="5">
        <f t="shared" si="277"/>
        <v>1.5481322235616045E-2</v>
      </c>
      <c r="R724" s="5">
        <f t="shared" si="278"/>
        <v>1.0186845083826104E-2</v>
      </c>
      <c r="S724" s="5">
        <f t="shared" si="279"/>
        <v>6.6270233315089636E-3</v>
      </c>
      <c r="T724" s="5">
        <f t="shared" si="280"/>
        <v>6.7116166272804239E-3</v>
      </c>
      <c r="U724" s="5">
        <f t="shared" si="281"/>
        <v>6.1762229721850628E-3</v>
      </c>
      <c r="V724" s="5">
        <f t="shared" si="282"/>
        <v>1.0143085903331139E-2</v>
      </c>
      <c r="W724" s="5">
        <f t="shared" si="283"/>
        <v>3.4502318258819572E-3</v>
      </c>
      <c r="X724" s="5">
        <f t="shared" si="284"/>
        <v>-6.6390562894585474E-3</v>
      </c>
      <c r="Y724" s="5">
        <f t="shared" si="285"/>
        <v>1.3980918943694113E-2</v>
      </c>
      <c r="Z724" s="33">
        <v>720</v>
      </c>
      <c r="AE724" s="20" t="str">
        <f t="shared" si="286"/>
        <v/>
      </c>
      <c r="AF724" s="22" t="str">
        <f t="shared" si="287"/>
        <v/>
      </c>
      <c r="AG724" s="9" t="str">
        <f t="shared" ca="1" si="266"/>
        <v/>
      </c>
      <c r="AH724" s="9" t="str">
        <f t="shared" ca="1" si="267"/>
        <v/>
      </c>
      <c r="AI724" s="9" t="str">
        <f t="shared" ca="1" si="268"/>
        <v/>
      </c>
      <c r="AJ724" s="9" t="str">
        <f t="shared" ca="1" si="269"/>
        <v/>
      </c>
      <c r="AK724" s="9" t="str">
        <f t="shared" ca="1" si="270"/>
        <v/>
      </c>
      <c r="AL724" s="9" t="str">
        <f t="shared" ca="1" si="271"/>
        <v/>
      </c>
      <c r="AM724" s="9" t="str">
        <f t="shared" ca="1" si="272"/>
        <v/>
      </c>
      <c r="AN724" s="9" t="str">
        <f t="shared" ca="1" si="273"/>
        <v/>
      </c>
      <c r="AO724" s="9" t="str">
        <f t="shared" ca="1" si="274"/>
        <v/>
      </c>
      <c r="AP724" s="9" t="str">
        <f t="shared" ca="1" si="275"/>
        <v/>
      </c>
      <c r="AQ724" s="9"/>
      <c r="AR724" s="9"/>
      <c r="AS724" s="9"/>
      <c r="AT724" s="9"/>
      <c r="AU724" s="9"/>
    </row>
    <row r="725" spans="1:47" x14ac:dyDescent="0.3">
      <c r="A725" s="1">
        <v>44510</v>
      </c>
      <c r="B725" s="6">
        <v>647.5</v>
      </c>
      <c r="C725" s="6">
        <v>337.66000400000001</v>
      </c>
      <c r="D725" s="6">
        <v>45.990001999999997</v>
      </c>
      <c r="E725" s="6">
        <v>164.03999300000001</v>
      </c>
      <c r="F725" s="6">
        <v>164.60000600000001</v>
      </c>
      <c r="G725" s="6">
        <v>55.450001</v>
      </c>
      <c r="H725" s="6">
        <v>174.75</v>
      </c>
      <c r="I725" s="6">
        <v>218.08999600000001</v>
      </c>
      <c r="J725" s="6">
        <v>36.090000000000003</v>
      </c>
      <c r="K725" s="6">
        <v>27.360001</v>
      </c>
      <c r="N725" s="19">
        <v>721</v>
      </c>
      <c r="O725" s="1">
        <v>44510</v>
      </c>
      <c r="P725" s="5">
        <f t="shared" si="276"/>
        <v>-3.1049586859901942E-2</v>
      </c>
      <c r="Q725" s="5">
        <f t="shared" si="277"/>
        <v>-3.0909872070131968E-2</v>
      </c>
      <c r="R725" s="5">
        <f t="shared" si="278"/>
        <v>2.3947109823868485E-3</v>
      </c>
      <c r="S725" s="5">
        <f t="shared" si="279"/>
        <v>3.2361378840135633E-3</v>
      </c>
      <c r="T725" s="5">
        <f t="shared" si="280"/>
        <v>1.0074937821958757E-2</v>
      </c>
      <c r="U725" s="5">
        <f t="shared" si="281"/>
        <v>4.1565072192519823E-3</v>
      </c>
      <c r="V725" s="5">
        <f t="shared" si="282"/>
        <v>-3.6556789545473737E-3</v>
      </c>
      <c r="W725" s="5">
        <f t="shared" si="283"/>
        <v>1.4967665140618661E-2</v>
      </c>
      <c r="X725" s="5">
        <f t="shared" si="284"/>
        <v>1.6639216493449232E-3</v>
      </c>
      <c r="Y725" s="5">
        <f t="shared" si="285"/>
        <v>2.6292978692203105E-2</v>
      </c>
      <c r="Z725" s="33">
        <v>721</v>
      </c>
      <c r="AE725" s="20" t="str">
        <f t="shared" si="286"/>
        <v/>
      </c>
      <c r="AF725" s="22" t="str">
        <f t="shared" si="287"/>
        <v/>
      </c>
      <c r="AG725" s="9" t="str">
        <f t="shared" ca="1" si="266"/>
        <v/>
      </c>
      <c r="AH725" s="9" t="str">
        <f t="shared" ca="1" si="267"/>
        <v/>
      </c>
      <c r="AI725" s="9" t="str">
        <f t="shared" ca="1" si="268"/>
        <v/>
      </c>
      <c r="AJ725" s="9" t="str">
        <f t="shared" ca="1" si="269"/>
        <v/>
      </c>
      <c r="AK725" s="9" t="str">
        <f t="shared" ca="1" si="270"/>
        <v/>
      </c>
      <c r="AL725" s="9" t="str">
        <f t="shared" ca="1" si="271"/>
        <v/>
      </c>
      <c r="AM725" s="9" t="str">
        <f t="shared" ca="1" si="272"/>
        <v/>
      </c>
      <c r="AN725" s="9" t="str">
        <f t="shared" ca="1" si="273"/>
        <v/>
      </c>
      <c r="AO725" s="9" t="str">
        <f t="shared" ca="1" si="274"/>
        <v/>
      </c>
      <c r="AP725" s="9" t="str">
        <f t="shared" ca="1" si="275"/>
        <v/>
      </c>
      <c r="AQ725" s="9"/>
      <c r="AR725" s="9"/>
      <c r="AS725" s="9"/>
      <c r="AT725" s="9"/>
      <c r="AU725" s="9"/>
    </row>
    <row r="726" spans="1:47" x14ac:dyDescent="0.3">
      <c r="A726" s="1">
        <v>44511</v>
      </c>
      <c r="B726" s="6">
        <v>643.169983</v>
      </c>
      <c r="C726" s="6">
        <v>340.35998499999999</v>
      </c>
      <c r="D726" s="6">
        <v>46.134998000000003</v>
      </c>
      <c r="E726" s="6">
        <v>162.69000199999999</v>
      </c>
      <c r="F726" s="6">
        <v>166.36999499999999</v>
      </c>
      <c r="G726" s="6">
        <v>55.869999</v>
      </c>
      <c r="H726" s="6">
        <v>171.14999399999999</v>
      </c>
      <c r="I726" s="6">
        <v>220.10000600000001</v>
      </c>
      <c r="J726" s="6">
        <v>36.990001999999997</v>
      </c>
      <c r="K726" s="6">
        <v>28.23</v>
      </c>
      <c r="N726" s="18">
        <v>722</v>
      </c>
      <c r="O726" s="1">
        <v>44511</v>
      </c>
      <c r="P726" s="5">
        <f t="shared" si="276"/>
        <v>-6.7097450193245442E-3</v>
      </c>
      <c r="Q726" s="5">
        <f t="shared" si="277"/>
        <v>7.9643530150886009E-3</v>
      </c>
      <c r="R726" s="5">
        <f t="shared" si="278"/>
        <v>3.147812639937071E-3</v>
      </c>
      <c r="S726" s="5">
        <f t="shared" si="279"/>
        <v>-8.2636960369413173E-3</v>
      </c>
      <c r="T726" s="5">
        <f t="shared" si="280"/>
        <v>1.0695868923181933E-2</v>
      </c>
      <c r="U726" s="5">
        <f t="shared" si="281"/>
        <v>7.5458137417228899E-3</v>
      </c>
      <c r="V726" s="5">
        <f t="shared" si="282"/>
        <v>-2.08160511946935E-2</v>
      </c>
      <c r="W726" s="5">
        <f t="shared" si="283"/>
        <v>9.1742125046690836E-3</v>
      </c>
      <c r="X726" s="5">
        <f t="shared" si="284"/>
        <v>2.4631841258330907E-2</v>
      </c>
      <c r="Y726" s="5">
        <f t="shared" si="285"/>
        <v>3.1303112961341216E-2</v>
      </c>
      <c r="Z726" s="33">
        <v>722</v>
      </c>
      <c r="AE726" s="20" t="str">
        <f t="shared" si="286"/>
        <v/>
      </c>
      <c r="AF726" s="22" t="str">
        <f t="shared" si="287"/>
        <v/>
      </c>
      <c r="AG726" s="9" t="str">
        <f t="shared" ca="1" si="266"/>
        <v/>
      </c>
      <c r="AH726" s="9" t="str">
        <f t="shared" ca="1" si="267"/>
        <v/>
      </c>
      <c r="AI726" s="9" t="str">
        <f t="shared" ca="1" si="268"/>
        <v/>
      </c>
      <c r="AJ726" s="9" t="str">
        <f t="shared" ca="1" si="269"/>
        <v/>
      </c>
      <c r="AK726" s="9" t="str">
        <f t="shared" ca="1" si="270"/>
        <v/>
      </c>
      <c r="AL726" s="9" t="str">
        <f t="shared" ca="1" si="271"/>
        <v/>
      </c>
      <c r="AM726" s="9" t="str">
        <f t="shared" ca="1" si="272"/>
        <v/>
      </c>
      <c r="AN726" s="9" t="str">
        <f t="shared" ca="1" si="273"/>
        <v/>
      </c>
      <c r="AO726" s="9" t="str">
        <f t="shared" ca="1" si="274"/>
        <v/>
      </c>
      <c r="AP726" s="9" t="str">
        <f t="shared" ca="1" si="275"/>
        <v/>
      </c>
      <c r="AQ726" s="9"/>
      <c r="AR726" s="9"/>
      <c r="AS726" s="9"/>
      <c r="AT726" s="9"/>
      <c r="AU726" s="9"/>
    </row>
    <row r="727" spans="1:47" x14ac:dyDescent="0.3">
      <c r="A727" s="1">
        <v>44512</v>
      </c>
      <c r="B727" s="6">
        <v>657.59997599999997</v>
      </c>
      <c r="C727" s="6">
        <v>347.01001000000002</v>
      </c>
      <c r="D727" s="6">
        <v>46.029998999999997</v>
      </c>
      <c r="E727" s="6">
        <v>162.64999399999999</v>
      </c>
      <c r="F727" s="6">
        <v>165.64999399999999</v>
      </c>
      <c r="G727" s="6">
        <v>55.900002000000001</v>
      </c>
      <c r="H727" s="6">
        <v>172.86000100000001</v>
      </c>
      <c r="I727" s="6">
        <v>221.25</v>
      </c>
      <c r="J727" s="6">
        <v>36.340000000000003</v>
      </c>
      <c r="K727" s="6">
        <v>27.91</v>
      </c>
      <c r="N727" s="19">
        <v>723</v>
      </c>
      <c r="O727" s="1">
        <v>44512</v>
      </c>
      <c r="P727" s="5">
        <f t="shared" si="276"/>
        <v>2.2187758691250867E-2</v>
      </c>
      <c r="Q727" s="5">
        <f t="shared" si="277"/>
        <v>1.9349789882660909E-2</v>
      </c>
      <c r="R727" s="5">
        <f t="shared" si="278"/>
        <v>-2.2785015752955031E-3</v>
      </c>
      <c r="S727" s="5">
        <f t="shared" si="279"/>
        <v>-2.4594578406323574E-4</v>
      </c>
      <c r="T727" s="5">
        <f t="shared" si="280"/>
        <v>-4.3371010931993678E-3</v>
      </c>
      <c r="U727" s="5">
        <f t="shared" si="281"/>
        <v>5.3687036686440317E-4</v>
      </c>
      <c r="V727" s="5">
        <f t="shared" si="282"/>
        <v>9.9416941902944825E-3</v>
      </c>
      <c r="W727" s="5">
        <f t="shared" si="283"/>
        <v>5.2112680952869908E-3</v>
      </c>
      <c r="X727" s="5">
        <f t="shared" si="284"/>
        <v>-1.7728596945003065E-2</v>
      </c>
      <c r="Y727" s="5">
        <f t="shared" si="285"/>
        <v>-1.1400194717167206E-2</v>
      </c>
      <c r="Z727" s="33">
        <v>723</v>
      </c>
      <c r="AE727" s="20" t="str">
        <f t="shared" si="286"/>
        <v/>
      </c>
      <c r="AF727" s="22" t="str">
        <f t="shared" si="287"/>
        <v/>
      </c>
      <c r="AG727" s="9" t="str">
        <f t="shared" ca="1" si="266"/>
        <v/>
      </c>
      <c r="AH727" s="9" t="str">
        <f t="shared" ca="1" si="267"/>
        <v/>
      </c>
      <c r="AI727" s="9" t="str">
        <f t="shared" ca="1" si="268"/>
        <v/>
      </c>
      <c r="AJ727" s="9" t="str">
        <f t="shared" ca="1" si="269"/>
        <v/>
      </c>
      <c r="AK727" s="9" t="str">
        <f t="shared" ca="1" si="270"/>
        <v/>
      </c>
      <c r="AL727" s="9" t="str">
        <f t="shared" ca="1" si="271"/>
        <v/>
      </c>
      <c r="AM727" s="9" t="str">
        <f t="shared" ca="1" si="272"/>
        <v/>
      </c>
      <c r="AN727" s="9" t="str">
        <f t="shared" ca="1" si="273"/>
        <v/>
      </c>
      <c r="AO727" s="9" t="str">
        <f t="shared" ca="1" si="274"/>
        <v/>
      </c>
      <c r="AP727" s="9" t="str">
        <f t="shared" ca="1" si="275"/>
        <v/>
      </c>
      <c r="AQ727" s="9"/>
      <c r="AR727" s="9"/>
      <c r="AS727" s="9"/>
      <c r="AT727" s="9"/>
      <c r="AU727" s="9"/>
    </row>
    <row r="728" spans="1:47" x14ac:dyDescent="0.3">
      <c r="A728" s="1">
        <v>44515</v>
      </c>
      <c r="B728" s="6">
        <v>659.72997999999995</v>
      </c>
      <c r="C728" s="6">
        <v>345.75</v>
      </c>
      <c r="D728" s="6">
        <v>46.5</v>
      </c>
      <c r="E728" s="6">
        <v>163.800003</v>
      </c>
      <c r="F728" s="6">
        <v>167.929993</v>
      </c>
      <c r="G728" s="6">
        <v>56.939999</v>
      </c>
      <c r="H728" s="6">
        <v>173.5</v>
      </c>
      <c r="I728" s="6">
        <v>221.679993</v>
      </c>
      <c r="J728" s="6">
        <v>36.130001</v>
      </c>
      <c r="K728" s="6">
        <v>28.02</v>
      </c>
      <c r="N728" s="18">
        <v>724</v>
      </c>
      <c r="O728" s="1">
        <v>44515</v>
      </c>
      <c r="P728" s="5">
        <f t="shared" si="276"/>
        <v>3.2338228498145828E-3</v>
      </c>
      <c r="Q728" s="5">
        <f t="shared" si="277"/>
        <v>-3.6376562481652388E-3</v>
      </c>
      <c r="R728" s="5">
        <f t="shared" si="278"/>
        <v>1.0158976489122758E-2</v>
      </c>
      <c r="S728" s="5">
        <f t="shared" si="279"/>
        <v>7.0455737036529695E-3</v>
      </c>
      <c r="T728" s="5">
        <f t="shared" si="280"/>
        <v>1.3670091697924203E-2</v>
      </c>
      <c r="U728" s="5">
        <f t="shared" si="281"/>
        <v>1.8433648348316796E-2</v>
      </c>
      <c r="V728" s="5">
        <f t="shared" si="282"/>
        <v>3.6955752773933661E-3</v>
      </c>
      <c r="W728" s="5">
        <f t="shared" si="283"/>
        <v>1.9415850896354629E-3</v>
      </c>
      <c r="X728" s="5">
        <f t="shared" si="284"/>
        <v>-5.7954901306466649E-3</v>
      </c>
      <c r="Y728" s="5">
        <f t="shared" si="285"/>
        <v>3.9334933606301322E-3</v>
      </c>
      <c r="Z728" s="33">
        <v>724</v>
      </c>
      <c r="AE728" s="20" t="str">
        <f t="shared" si="286"/>
        <v/>
      </c>
      <c r="AF728" s="22" t="str">
        <f t="shared" si="287"/>
        <v/>
      </c>
      <c r="AG728" s="9" t="str">
        <f t="shared" ca="1" si="266"/>
        <v/>
      </c>
      <c r="AH728" s="9" t="str">
        <f t="shared" ca="1" si="267"/>
        <v/>
      </c>
      <c r="AI728" s="9" t="str">
        <f t="shared" ca="1" si="268"/>
        <v/>
      </c>
      <c r="AJ728" s="9" t="str">
        <f t="shared" ca="1" si="269"/>
        <v/>
      </c>
      <c r="AK728" s="9" t="str">
        <f t="shared" ca="1" si="270"/>
        <v/>
      </c>
      <c r="AL728" s="9" t="str">
        <f t="shared" ca="1" si="271"/>
        <v/>
      </c>
      <c r="AM728" s="9" t="str">
        <f t="shared" ca="1" si="272"/>
        <v/>
      </c>
      <c r="AN728" s="9" t="str">
        <f t="shared" ca="1" si="273"/>
        <v/>
      </c>
      <c r="AO728" s="9" t="str">
        <f t="shared" ca="1" si="274"/>
        <v/>
      </c>
      <c r="AP728" s="9" t="str">
        <f t="shared" ca="1" si="275"/>
        <v/>
      </c>
      <c r="AQ728" s="9"/>
      <c r="AR728" s="9"/>
      <c r="AS728" s="9"/>
      <c r="AT728" s="9"/>
      <c r="AU728" s="9"/>
    </row>
    <row r="729" spans="1:47" x14ac:dyDescent="0.3">
      <c r="A729" s="1">
        <v>44516</v>
      </c>
      <c r="B729" s="6">
        <v>671.03002900000001</v>
      </c>
      <c r="C729" s="6">
        <v>353.459991</v>
      </c>
      <c r="D729" s="6">
        <v>46.165000999999997</v>
      </c>
      <c r="E729" s="6">
        <v>163.30999800000001</v>
      </c>
      <c r="F729" s="6">
        <v>165.05999800000001</v>
      </c>
      <c r="G729" s="6">
        <v>56.130001</v>
      </c>
      <c r="H729" s="6">
        <v>176.63000500000001</v>
      </c>
      <c r="I729" s="6">
        <v>223.66000399999999</v>
      </c>
      <c r="J729" s="6">
        <v>35.849997999999999</v>
      </c>
      <c r="K729" s="6">
        <v>27.73</v>
      </c>
      <c r="N729" s="19">
        <v>725</v>
      </c>
      <c r="O729" s="1">
        <v>44516</v>
      </c>
      <c r="P729" s="5">
        <f t="shared" si="276"/>
        <v>1.6983258482927747E-2</v>
      </c>
      <c r="Q729" s="5">
        <f t="shared" si="277"/>
        <v>2.2054328754212947E-2</v>
      </c>
      <c r="R729" s="5">
        <f t="shared" si="278"/>
        <v>-7.2303557072879009E-3</v>
      </c>
      <c r="S729" s="5">
        <f t="shared" si="279"/>
        <v>-2.9959668919828258E-3</v>
      </c>
      <c r="T729" s="5">
        <f t="shared" si="280"/>
        <v>-1.7238152175148506E-2</v>
      </c>
      <c r="U729" s="5">
        <f t="shared" si="281"/>
        <v>-1.4327617517652491E-2</v>
      </c>
      <c r="V729" s="5">
        <f t="shared" si="282"/>
        <v>1.7879578088199843E-2</v>
      </c>
      <c r="W729" s="5">
        <f t="shared" si="283"/>
        <v>8.8921905066561349E-3</v>
      </c>
      <c r="X729" s="5">
        <f t="shared" si="284"/>
        <v>-7.7800615797563397E-3</v>
      </c>
      <c r="Y729" s="5">
        <f t="shared" si="285"/>
        <v>-1.040368128117428E-2</v>
      </c>
      <c r="Z729" s="33">
        <v>725</v>
      </c>
      <c r="AE729" s="20" t="str">
        <f t="shared" si="286"/>
        <v/>
      </c>
      <c r="AF729" s="22" t="str">
        <f t="shared" si="287"/>
        <v/>
      </c>
      <c r="AG729" s="9" t="str">
        <f t="shared" ca="1" si="266"/>
        <v/>
      </c>
      <c r="AH729" s="9" t="str">
        <f t="shared" ca="1" si="267"/>
        <v/>
      </c>
      <c r="AI729" s="9" t="str">
        <f t="shared" ca="1" si="268"/>
        <v/>
      </c>
      <c r="AJ729" s="9" t="str">
        <f t="shared" ca="1" si="269"/>
        <v/>
      </c>
      <c r="AK729" s="9" t="str">
        <f t="shared" ca="1" si="270"/>
        <v/>
      </c>
      <c r="AL729" s="9" t="str">
        <f t="shared" ca="1" si="271"/>
        <v/>
      </c>
      <c r="AM729" s="9" t="str">
        <f t="shared" ca="1" si="272"/>
        <v/>
      </c>
      <c r="AN729" s="9" t="str">
        <f t="shared" ca="1" si="273"/>
        <v/>
      </c>
      <c r="AO729" s="9" t="str">
        <f t="shared" ca="1" si="274"/>
        <v/>
      </c>
      <c r="AP729" s="9" t="str">
        <f t="shared" ca="1" si="275"/>
        <v/>
      </c>
      <c r="AQ729" s="9"/>
      <c r="AR729" s="9"/>
      <c r="AS729" s="9"/>
      <c r="AT729" s="9"/>
      <c r="AU729" s="9"/>
    </row>
    <row r="730" spans="1:47" x14ac:dyDescent="0.3">
      <c r="A730" s="1">
        <v>44517</v>
      </c>
      <c r="B730" s="6">
        <v>670.669983</v>
      </c>
      <c r="C730" s="6">
        <v>353.92001299999998</v>
      </c>
      <c r="D730" s="6">
        <v>45.700001</v>
      </c>
      <c r="E730" s="6">
        <v>163.36999499999999</v>
      </c>
      <c r="F730" s="6">
        <v>166.5</v>
      </c>
      <c r="G730" s="6">
        <v>56.32</v>
      </c>
      <c r="H730" s="6">
        <v>175.41000399999999</v>
      </c>
      <c r="I730" s="6">
        <v>217.58000200000001</v>
      </c>
      <c r="J730" s="6">
        <v>35.889999000000003</v>
      </c>
      <c r="K730" s="6">
        <v>27.59</v>
      </c>
      <c r="N730" s="18">
        <v>726</v>
      </c>
      <c r="O730" s="1">
        <v>44517</v>
      </c>
      <c r="P730" s="5">
        <f t="shared" si="276"/>
        <v>-5.3670120805297285E-4</v>
      </c>
      <c r="Q730" s="5">
        <f t="shared" si="277"/>
        <v>1.300636326298753E-3</v>
      </c>
      <c r="R730" s="5">
        <f t="shared" si="278"/>
        <v>-1.012363710402585E-2</v>
      </c>
      <c r="S730" s="5">
        <f t="shared" si="279"/>
        <v>3.6731359103807007E-4</v>
      </c>
      <c r="T730" s="5">
        <f t="shared" si="280"/>
        <v>8.6862773727664818E-3</v>
      </c>
      <c r="U730" s="5">
        <f t="shared" si="281"/>
        <v>3.3792650798944381E-3</v>
      </c>
      <c r="V730" s="5">
        <f t="shared" si="282"/>
        <v>-6.931063815708253E-3</v>
      </c>
      <c r="W730" s="5">
        <f t="shared" si="283"/>
        <v>-2.7560451299372742E-2</v>
      </c>
      <c r="X730" s="5">
        <f t="shared" si="284"/>
        <v>1.1151660389789565E-3</v>
      </c>
      <c r="Y730" s="5">
        <f t="shared" si="285"/>
        <v>-5.0614713984919492E-3</v>
      </c>
      <c r="Z730" s="33">
        <v>726</v>
      </c>
      <c r="AE730" s="20" t="str">
        <f t="shared" si="286"/>
        <v/>
      </c>
      <c r="AF730" s="22" t="str">
        <f t="shared" si="287"/>
        <v/>
      </c>
      <c r="AG730" s="9" t="str">
        <f t="shared" ca="1" si="266"/>
        <v/>
      </c>
      <c r="AH730" s="9" t="str">
        <f t="shared" ca="1" si="267"/>
        <v/>
      </c>
      <c r="AI730" s="9" t="str">
        <f t="shared" ca="1" si="268"/>
        <v/>
      </c>
      <c r="AJ730" s="9" t="str">
        <f t="shared" ca="1" si="269"/>
        <v/>
      </c>
      <c r="AK730" s="9" t="str">
        <f t="shared" ca="1" si="270"/>
        <v/>
      </c>
      <c r="AL730" s="9" t="str">
        <f t="shared" ca="1" si="271"/>
        <v/>
      </c>
      <c r="AM730" s="9" t="str">
        <f t="shared" ca="1" si="272"/>
        <v/>
      </c>
      <c r="AN730" s="9" t="str">
        <f t="shared" ca="1" si="273"/>
        <v/>
      </c>
      <c r="AO730" s="9" t="str">
        <f t="shared" ca="1" si="274"/>
        <v/>
      </c>
      <c r="AP730" s="9" t="str">
        <f t="shared" ca="1" si="275"/>
        <v/>
      </c>
      <c r="AQ730" s="9"/>
      <c r="AR730" s="9"/>
      <c r="AS730" s="9"/>
      <c r="AT730" s="9"/>
      <c r="AU730" s="9"/>
    </row>
    <row r="731" spans="1:47" x14ac:dyDescent="0.3">
      <c r="A731" s="1">
        <v>44518</v>
      </c>
      <c r="B731" s="6">
        <v>670.96002199999998</v>
      </c>
      <c r="C731" s="6">
        <v>352.08999599999999</v>
      </c>
      <c r="D731" s="6">
        <v>44.695</v>
      </c>
      <c r="E731" s="6">
        <v>163.41999799999999</v>
      </c>
      <c r="F731" s="6">
        <v>165.759995</v>
      </c>
      <c r="G731" s="6">
        <v>56.689999</v>
      </c>
      <c r="H731" s="6">
        <v>176.58000200000001</v>
      </c>
      <c r="I731" s="6">
        <v>215.759995</v>
      </c>
      <c r="J731" s="6">
        <v>34.700001</v>
      </c>
      <c r="K731" s="6">
        <v>26.85</v>
      </c>
      <c r="N731" s="19">
        <v>727</v>
      </c>
      <c r="O731" s="1">
        <v>44518</v>
      </c>
      <c r="P731" s="5">
        <f t="shared" si="276"/>
        <v>4.3236809468695698E-4</v>
      </c>
      <c r="Q731" s="5">
        <f t="shared" si="277"/>
        <v>-5.1841222508576595E-3</v>
      </c>
      <c r="R731" s="5">
        <f t="shared" si="278"/>
        <v>-2.2236681242180905E-2</v>
      </c>
      <c r="S731" s="5">
        <f t="shared" si="279"/>
        <v>3.0602528511483536E-4</v>
      </c>
      <c r="T731" s="5">
        <f t="shared" si="280"/>
        <v>-4.4543805134734157E-3</v>
      </c>
      <c r="U731" s="5">
        <f t="shared" si="281"/>
        <v>6.5480988466298587E-3</v>
      </c>
      <c r="V731" s="5">
        <f t="shared" si="282"/>
        <v>6.6479291403419459E-3</v>
      </c>
      <c r="W731" s="5">
        <f t="shared" si="283"/>
        <v>-8.3999525273805754E-3</v>
      </c>
      <c r="X731" s="5">
        <f t="shared" si="284"/>
        <v>-3.371896152534419E-2</v>
      </c>
      <c r="Y731" s="5">
        <f t="shared" si="285"/>
        <v>-2.7187567274320965E-2</v>
      </c>
      <c r="Z731" s="33">
        <v>727</v>
      </c>
      <c r="AE731" s="20" t="str">
        <f t="shared" si="286"/>
        <v/>
      </c>
      <c r="AF731" s="22" t="str">
        <f t="shared" si="287"/>
        <v/>
      </c>
      <c r="AG731" s="9" t="str">
        <f t="shared" ca="1" si="266"/>
        <v/>
      </c>
      <c r="AH731" s="9" t="str">
        <f t="shared" ca="1" si="267"/>
        <v/>
      </c>
      <c r="AI731" s="9" t="str">
        <f t="shared" ca="1" si="268"/>
        <v/>
      </c>
      <c r="AJ731" s="9" t="str">
        <f t="shared" ca="1" si="269"/>
        <v/>
      </c>
      <c r="AK731" s="9" t="str">
        <f t="shared" ca="1" si="270"/>
        <v/>
      </c>
      <c r="AL731" s="9" t="str">
        <f t="shared" ca="1" si="271"/>
        <v/>
      </c>
      <c r="AM731" s="9" t="str">
        <f t="shared" ca="1" si="272"/>
        <v/>
      </c>
      <c r="AN731" s="9" t="str">
        <f t="shared" ca="1" si="273"/>
        <v/>
      </c>
      <c r="AO731" s="9" t="str">
        <f t="shared" ca="1" si="274"/>
        <v/>
      </c>
      <c r="AP731" s="9" t="str">
        <f t="shared" ca="1" si="275"/>
        <v/>
      </c>
      <c r="AQ731" s="9"/>
      <c r="AR731" s="9"/>
      <c r="AS731" s="9"/>
      <c r="AT731" s="9"/>
      <c r="AU731" s="9"/>
    </row>
    <row r="732" spans="1:47" x14ac:dyDescent="0.3">
      <c r="A732" s="1">
        <v>44519</v>
      </c>
      <c r="B732" s="6">
        <v>688.36999500000002</v>
      </c>
      <c r="C732" s="6">
        <v>357.95001200000002</v>
      </c>
      <c r="D732" s="6">
        <v>44.650002000000001</v>
      </c>
      <c r="E732" s="6">
        <v>163.80999800000001</v>
      </c>
      <c r="F732" s="6">
        <v>166.25</v>
      </c>
      <c r="G732" s="6">
        <v>56.150002000000001</v>
      </c>
      <c r="H732" s="6">
        <v>176.050003</v>
      </c>
      <c r="I732" s="6">
        <v>215.64999399999999</v>
      </c>
      <c r="J732" s="6">
        <v>34.349997999999999</v>
      </c>
      <c r="K732" s="6">
        <v>25.26</v>
      </c>
      <c r="N732" s="18">
        <v>728</v>
      </c>
      <c r="O732" s="1">
        <v>44519</v>
      </c>
      <c r="P732" s="5">
        <f t="shared" si="276"/>
        <v>2.5616921344895398E-2</v>
      </c>
      <c r="Q732" s="5">
        <f t="shared" si="277"/>
        <v>1.6506531991907044E-2</v>
      </c>
      <c r="R732" s="5">
        <f t="shared" si="278"/>
        <v>-1.0072864244756825E-3</v>
      </c>
      <c r="S732" s="5">
        <f t="shared" si="279"/>
        <v>2.3836456891160023E-3</v>
      </c>
      <c r="T732" s="5">
        <f t="shared" si="280"/>
        <v>2.9517506289383892E-3</v>
      </c>
      <c r="U732" s="5">
        <f t="shared" si="281"/>
        <v>-9.5710938930872232E-3</v>
      </c>
      <c r="V732" s="5">
        <f t="shared" si="282"/>
        <v>-3.0059801580725291E-3</v>
      </c>
      <c r="W732" s="5">
        <f t="shared" si="283"/>
        <v>-5.0996038658671051E-4</v>
      </c>
      <c r="X732" s="5">
        <f t="shared" si="284"/>
        <v>-1.0137755327063324E-2</v>
      </c>
      <c r="Y732" s="5">
        <f t="shared" si="285"/>
        <v>-6.1043704032528637E-2</v>
      </c>
      <c r="Z732" s="33">
        <v>728</v>
      </c>
      <c r="AE732" s="20" t="str">
        <f t="shared" si="286"/>
        <v/>
      </c>
      <c r="AF732" s="22" t="str">
        <f t="shared" si="287"/>
        <v/>
      </c>
      <c r="AG732" s="9" t="str">
        <f t="shared" ca="1" si="266"/>
        <v/>
      </c>
      <c r="AH732" s="9" t="str">
        <f t="shared" ca="1" si="267"/>
        <v/>
      </c>
      <c r="AI732" s="9" t="str">
        <f t="shared" ca="1" si="268"/>
        <v/>
      </c>
      <c r="AJ732" s="9" t="str">
        <f t="shared" ca="1" si="269"/>
        <v/>
      </c>
      <c r="AK732" s="9" t="str">
        <f t="shared" ca="1" si="270"/>
        <v/>
      </c>
      <c r="AL732" s="9" t="str">
        <f t="shared" ca="1" si="271"/>
        <v/>
      </c>
      <c r="AM732" s="9" t="str">
        <f t="shared" ca="1" si="272"/>
        <v/>
      </c>
      <c r="AN732" s="9" t="str">
        <f t="shared" ca="1" si="273"/>
        <v/>
      </c>
      <c r="AO732" s="9" t="str">
        <f t="shared" ca="1" si="274"/>
        <v/>
      </c>
      <c r="AP732" s="9" t="str">
        <f t="shared" ca="1" si="275"/>
        <v/>
      </c>
      <c r="AQ732" s="9"/>
      <c r="AR732" s="9"/>
      <c r="AS732" s="9"/>
      <c r="AT732" s="9"/>
      <c r="AU732" s="9"/>
    </row>
    <row r="733" spans="1:47" x14ac:dyDescent="0.3">
      <c r="A733" s="1">
        <v>44522</v>
      </c>
      <c r="B733" s="6">
        <v>673.57000700000003</v>
      </c>
      <c r="C733" s="6">
        <v>347.97000100000002</v>
      </c>
      <c r="D733" s="6">
        <v>45.044998</v>
      </c>
      <c r="E733" s="6">
        <v>164.14999399999999</v>
      </c>
      <c r="F733" s="6">
        <v>166.470001</v>
      </c>
      <c r="G733" s="6">
        <v>55.630001</v>
      </c>
      <c r="H733" s="6">
        <v>175.89999399999999</v>
      </c>
      <c r="I733" s="6">
        <v>216.83999600000001</v>
      </c>
      <c r="J733" s="6">
        <v>34.32</v>
      </c>
      <c r="K733" s="6">
        <v>25.709999</v>
      </c>
      <c r="N733" s="19">
        <v>729</v>
      </c>
      <c r="O733" s="1">
        <v>44522</v>
      </c>
      <c r="P733" s="5">
        <f t="shared" si="276"/>
        <v>-2.1734541298282579E-2</v>
      </c>
      <c r="Q733" s="5">
        <f t="shared" si="277"/>
        <v>-2.8277073330723115E-2</v>
      </c>
      <c r="R733" s="5">
        <f t="shared" si="278"/>
        <v>8.8075935880177723E-3</v>
      </c>
      <c r="S733" s="5">
        <f t="shared" si="279"/>
        <v>2.0733999883935606E-3</v>
      </c>
      <c r="T733" s="5">
        <f t="shared" si="280"/>
        <v>1.3224394770444106E-3</v>
      </c>
      <c r="U733" s="5">
        <f t="shared" si="281"/>
        <v>-9.3040747402156222E-3</v>
      </c>
      <c r="V733" s="5">
        <f t="shared" si="282"/>
        <v>-8.5244500845297634E-4</v>
      </c>
      <c r="W733" s="5">
        <f t="shared" si="283"/>
        <v>5.5030406743657246E-3</v>
      </c>
      <c r="X733" s="5">
        <f t="shared" si="284"/>
        <v>-8.736858244320578E-4</v>
      </c>
      <c r="Y733" s="5">
        <f t="shared" si="285"/>
        <v>1.7657865460080691E-2</v>
      </c>
      <c r="Z733" s="33">
        <v>729</v>
      </c>
      <c r="AE733" s="20" t="str">
        <f t="shared" si="286"/>
        <v/>
      </c>
      <c r="AF733" s="22" t="str">
        <f t="shared" si="287"/>
        <v/>
      </c>
      <c r="AG733" s="9" t="str">
        <f t="shared" ca="1" si="266"/>
        <v/>
      </c>
      <c r="AH733" s="9" t="str">
        <f t="shared" ca="1" si="267"/>
        <v/>
      </c>
      <c r="AI733" s="9" t="str">
        <f t="shared" ca="1" si="268"/>
        <v/>
      </c>
      <c r="AJ733" s="9" t="str">
        <f t="shared" ca="1" si="269"/>
        <v/>
      </c>
      <c r="AK733" s="9" t="str">
        <f t="shared" ca="1" si="270"/>
        <v/>
      </c>
      <c r="AL733" s="9" t="str">
        <f t="shared" ca="1" si="271"/>
        <v/>
      </c>
      <c r="AM733" s="9" t="str">
        <f t="shared" ca="1" si="272"/>
        <v/>
      </c>
      <c r="AN733" s="9" t="str">
        <f t="shared" ca="1" si="273"/>
        <v/>
      </c>
      <c r="AO733" s="9" t="str">
        <f t="shared" ca="1" si="274"/>
        <v/>
      </c>
      <c r="AP733" s="9" t="str">
        <f t="shared" ca="1" si="275"/>
        <v/>
      </c>
      <c r="AQ733" s="9"/>
      <c r="AR733" s="9"/>
      <c r="AS733" s="9"/>
      <c r="AT733" s="9"/>
      <c r="AU733" s="9"/>
    </row>
    <row r="734" spans="1:47" x14ac:dyDescent="0.3">
      <c r="A734" s="1">
        <v>44523</v>
      </c>
      <c r="B734" s="6">
        <v>665.15997300000004</v>
      </c>
      <c r="C734" s="6">
        <v>344.66000400000001</v>
      </c>
      <c r="D734" s="6">
        <v>44.310001</v>
      </c>
      <c r="E734" s="6">
        <v>165.25</v>
      </c>
      <c r="F734" s="6">
        <v>167.58000200000001</v>
      </c>
      <c r="G734" s="6">
        <v>56.709999000000003</v>
      </c>
      <c r="H734" s="6">
        <v>175.979996</v>
      </c>
      <c r="I734" s="6">
        <v>217.11000100000001</v>
      </c>
      <c r="J734" s="6">
        <v>34.509998000000003</v>
      </c>
      <c r="K734" s="6">
        <v>25.6</v>
      </c>
      <c r="N734" s="18">
        <v>730</v>
      </c>
      <c r="O734" s="1">
        <v>44523</v>
      </c>
      <c r="P734" s="5">
        <f t="shared" si="276"/>
        <v>-1.2564362883632675E-2</v>
      </c>
      <c r="Q734" s="5">
        <f t="shared" si="277"/>
        <v>-9.5578365766342092E-3</v>
      </c>
      <c r="R734" s="5">
        <f t="shared" si="278"/>
        <v>-1.6451537923690987E-2</v>
      </c>
      <c r="S734" s="5">
        <f t="shared" si="279"/>
        <v>6.6788713361288854E-3</v>
      </c>
      <c r="T734" s="5">
        <f t="shared" si="280"/>
        <v>6.6457421067309145E-3</v>
      </c>
      <c r="U734" s="5">
        <f t="shared" si="281"/>
        <v>1.9227902329248255E-2</v>
      </c>
      <c r="V734" s="5">
        <f t="shared" si="282"/>
        <v>4.5471185433681224E-4</v>
      </c>
      <c r="W734" s="5">
        <f t="shared" si="283"/>
        <v>1.2444062067499229E-3</v>
      </c>
      <c r="X734" s="5">
        <f t="shared" si="284"/>
        <v>5.5208045359328465E-3</v>
      </c>
      <c r="Y734" s="5">
        <f t="shared" si="285"/>
        <v>-4.2876308969090338E-3</v>
      </c>
      <c r="Z734" s="33">
        <v>730</v>
      </c>
      <c r="AE734" s="20" t="str">
        <f t="shared" si="286"/>
        <v/>
      </c>
      <c r="AF734" s="22" t="str">
        <f t="shared" si="287"/>
        <v/>
      </c>
      <c r="AG734" s="9" t="str">
        <f t="shared" ca="1" si="266"/>
        <v/>
      </c>
      <c r="AH734" s="9" t="str">
        <f t="shared" ca="1" si="267"/>
        <v/>
      </c>
      <c r="AI734" s="9" t="str">
        <f t="shared" ca="1" si="268"/>
        <v/>
      </c>
      <c r="AJ734" s="9" t="str">
        <f t="shared" ca="1" si="269"/>
        <v/>
      </c>
      <c r="AK734" s="9" t="str">
        <f t="shared" ca="1" si="270"/>
        <v/>
      </c>
      <c r="AL734" s="9" t="str">
        <f t="shared" ca="1" si="271"/>
        <v/>
      </c>
      <c r="AM734" s="9" t="str">
        <f t="shared" ca="1" si="272"/>
        <v/>
      </c>
      <c r="AN734" s="9" t="str">
        <f t="shared" ca="1" si="273"/>
        <v/>
      </c>
      <c r="AO734" s="9" t="str">
        <f t="shared" ca="1" si="274"/>
        <v/>
      </c>
      <c r="AP734" s="9" t="str">
        <f t="shared" ca="1" si="275"/>
        <v/>
      </c>
      <c r="AQ734" s="9"/>
      <c r="AR734" s="9"/>
      <c r="AS734" s="9"/>
      <c r="AT734" s="9"/>
      <c r="AU734" s="9"/>
    </row>
    <row r="735" spans="1:47" x14ac:dyDescent="0.3">
      <c r="A735" s="1">
        <v>44524</v>
      </c>
      <c r="B735" s="6">
        <v>668.32000700000003</v>
      </c>
      <c r="C735" s="6">
        <v>349.209991</v>
      </c>
      <c r="D735" s="6">
        <v>44.544998</v>
      </c>
      <c r="E735" s="6">
        <v>163.740005</v>
      </c>
      <c r="F735" s="6">
        <v>170.69000199999999</v>
      </c>
      <c r="G735" s="6">
        <v>57.689999</v>
      </c>
      <c r="H735" s="6">
        <v>176.240005</v>
      </c>
      <c r="I735" s="6">
        <v>215.429993</v>
      </c>
      <c r="J735" s="6">
        <v>34.470001000000003</v>
      </c>
      <c r="K735" s="6">
        <v>25.17</v>
      </c>
      <c r="N735" s="19">
        <v>731</v>
      </c>
      <c r="O735" s="1">
        <v>44524</v>
      </c>
      <c r="P735" s="5">
        <f t="shared" si="276"/>
        <v>4.7395385949141645E-3</v>
      </c>
      <c r="Q735" s="5">
        <f t="shared" si="277"/>
        <v>1.3114999208196924E-2</v>
      </c>
      <c r="R735" s="5">
        <f t="shared" si="278"/>
        <v>5.289461494521786E-3</v>
      </c>
      <c r="S735" s="5">
        <f t="shared" si="279"/>
        <v>-9.1796442472781362E-3</v>
      </c>
      <c r="T735" s="5">
        <f t="shared" si="280"/>
        <v>1.8388196373650741E-2</v>
      </c>
      <c r="U735" s="5">
        <f t="shared" si="281"/>
        <v>1.7133286542409039E-2</v>
      </c>
      <c r="V735" s="5">
        <f t="shared" si="282"/>
        <v>1.476401376932611E-3</v>
      </c>
      <c r="W735" s="5">
        <f t="shared" si="283"/>
        <v>-7.7681438549241089E-3</v>
      </c>
      <c r="X735" s="5">
        <f t="shared" si="284"/>
        <v>-1.159669616186673E-3</v>
      </c>
      <c r="Y735" s="5">
        <f t="shared" si="285"/>
        <v>-1.6939542338292223E-2</v>
      </c>
      <c r="Z735" s="33">
        <v>731</v>
      </c>
      <c r="AE735" s="20" t="str">
        <f t="shared" si="286"/>
        <v/>
      </c>
      <c r="AF735" s="22" t="str">
        <f t="shared" si="287"/>
        <v/>
      </c>
      <c r="AG735" s="9" t="str">
        <f t="shared" ca="1" si="266"/>
        <v/>
      </c>
      <c r="AH735" s="9" t="str">
        <f t="shared" ca="1" si="267"/>
        <v/>
      </c>
      <c r="AI735" s="9" t="str">
        <f t="shared" ca="1" si="268"/>
        <v/>
      </c>
      <c r="AJ735" s="9" t="str">
        <f t="shared" ca="1" si="269"/>
        <v/>
      </c>
      <c r="AK735" s="9" t="str">
        <f t="shared" ca="1" si="270"/>
        <v/>
      </c>
      <c r="AL735" s="9" t="str">
        <f t="shared" ca="1" si="271"/>
        <v/>
      </c>
      <c r="AM735" s="9" t="str">
        <f t="shared" ca="1" si="272"/>
        <v/>
      </c>
      <c r="AN735" s="9" t="str">
        <f t="shared" ca="1" si="273"/>
        <v/>
      </c>
      <c r="AO735" s="9" t="str">
        <f t="shared" ca="1" si="274"/>
        <v/>
      </c>
      <c r="AP735" s="9" t="str">
        <f t="shared" ca="1" si="275"/>
        <v/>
      </c>
      <c r="AQ735" s="9"/>
      <c r="AR735" s="9"/>
      <c r="AS735" s="9"/>
      <c r="AT735" s="9"/>
      <c r="AU735" s="9"/>
    </row>
    <row r="736" spans="1:47" x14ac:dyDescent="0.3">
      <c r="A736" s="1">
        <v>44526</v>
      </c>
      <c r="B736" s="6">
        <v>662.09997599999997</v>
      </c>
      <c r="C736" s="6">
        <v>342.16000400000001</v>
      </c>
      <c r="D736" s="6">
        <v>43.525002000000001</v>
      </c>
      <c r="E736" s="6">
        <v>161.13999899999999</v>
      </c>
      <c r="F736" s="6">
        <v>166.979996</v>
      </c>
      <c r="G736" s="6">
        <v>55.689999</v>
      </c>
      <c r="H736" s="6">
        <v>171.240005</v>
      </c>
      <c r="I736" s="6">
        <v>211.300003</v>
      </c>
      <c r="J736" s="6">
        <v>33.790000999999997</v>
      </c>
      <c r="K736" s="6">
        <v>24.719999000000001</v>
      </c>
      <c r="N736" s="18">
        <v>732</v>
      </c>
      <c r="O736" s="1">
        <v>44526</v>
      </c>
      <c r="P736" s="5">
        <f t="shared" si="276"/>
        <v>-9.3505455403907495E-3</v>
      </c>
      <c r="Q736" s="5">
        <f t="shared" si="277"/>
        <v>-2.0394959058177804E-2</v>
      </c>
      <c r="R736" s="5">
        <f t="shared" si="278"/>
        <v>-2.3164337669333977E-2</v>
      </c>
      <c r="S736" s="5">
        <f t="shared" si="279"/>
        <v>-1.6006288341251517E-2</v>
      </c>
      <c r="T736" s="5">
        <f t="shared" si="280"/>
        <v>-2.1975036682500063E-2</v>
      </c>
      <c r="U736" s="5">
        <f t="shared" si="281"/>
        <v>-3.5283251289739255E-2</v>
      </c>
      <c r="V736" s="5">
        <f t="shared" si="282"/>
        <v>-2.878062038896103E-2</v>
      </c>
      <c r="W736" s="5">
        <f t="shared" si="283"/>
        <v>-1.9357059477348157E-2</v>
      </c>
      <c r="X736" s="5">
        <f t="shared" si="284"/>
        <v>-1.9924479218755061E-2</v>
      </c>
      <c r="Y736" s="5">
        <f t="shared" si="285"/>
        <v>-1.8040217010809694E-2</v>
      </c>
      <c r="Z736" s="33">
        <v>732</v>
      </c>
      <c r="AE736" s="20" t="str">
        <f t="shared" si="286"/>
        <v/>
      </c>
      <c r="AF736" s="22" t="str">
        <f t="shared" si="287"/>
        <v/>
      </c>
      <c r="AG736" s="9" t="str">
        <f t="shared" ca="1" si="266"/>
        <v/>
      </c>
      <c r="AH736" s="9" t="str">
        <f t="shared" ca="1" si="267"/>
        <v/>
      </c>
      <c r="AI736" s="9" t="str">
        <f t="shared" ca="1" si="268"/>
        <v/>
      </c>
      <c r="AJ736" s="9" t="str">
        <f t="shared" ca="1" si="269"/>
        <v/>
      </c>
      <c r="AK736" s="9" t="str">
        <f t="shared" ca="1" si="270"/>
        <v/>
      </c>
      <c r="AL736" s="9" t="str">
        <f t="shared" ca="1" si="271"/>
        <v/>
      </c>
      <c r="AM736" s="9" t="str">
        <f t="shared" ca="1" si="272"/>
        <v/>
      </c>
      <c r="AN736" s="9" t="str">
        <f t="shared" ca="1" si="273"/>
        <v/>
      </c>
      <c r="AO736" s="9" t="str">
        <f t="shared" ca="1" si="274"/>
        <v/>
      </c>
      <c r="AP736" s="9" t="str">
        <f t="shared" ca="1" si="275"/>
        <v/>
      </c>
      <c r="AQ736" s="9"/>
      <c r="AR736" s="9"/>
      <c r="AS736" s="9"/>
      <c r="AT736" s="9"/>
      <c r="AU736" s="9"/>
    </row>
    <row r="737" spans="1:47" x14ac:dyDescent="0.3">
      <c r="A737" s="1">
        <v>44529</v>
      </c>
      <c r="B737" s="6">
        <v>687.48999000000003</v>
      </c>
      <c r="C737" s="6">
        <v>355.86999500000002</v>
      </c>
      <c r="D737" s="6">
        <v>43.424999</v>
      </c>
      <c r="E737" s="6">
        <v>164.13999899999999</v>
      </c>
      <c r="F737" s="6">
        <v>168.85000600000001</v>
      </c>
      <c r="G737" s="6">
        <v>57.470001000000003</v>
      </c>
      <c r="H737" s="6">
        <v>171.800003</v>
      </c>
      <c r="I737" s="6">
        <v>212.820007</v>
      </c>
      <c r="J737" s="6">
        <v>34.020000000000003</v>
      </c>
      <c r="K737" s="6">
        <v>24.59</v>
      </c>
      <c r="N737" s="19">
        <v>733</v>
      </c>
      <c r="O737" s="1">
        <v>44529</v>
      </c>
      <c r="P737" s="5">
        <f t="shared" si="276"/>
        <v>3.7630703752229731E-2</v>
      </c>
      <c r="Q737" s="5">
        <f t="shared" si="277"/>
        <v>3.9287005963272753E-2</v>
      </c>
      <c r="R737" s="5">
        <f t="shared" si="278"/>
        <v>-2.3002425058960257E-3</v>
      </c>
      <c r="S737" s="5">
        <f t="shared" si="279"/>
        <v>1.8446169965939219E-2</v>
      </c>
      <c r="T737" s="5">
        <f t="shared" si="280"/>
        <v>1.1136761555184782E-2</v>
      </c>
      <c r="U737" s="5">
        <f t="shared" si="281"/>
        <v>3.1462510275000979E-2</v>
      </c>
      <c r="V737" s="5">
        <f t="shared" si="282"/>
        <v>3.264916536789844E-3</v>
      </c>
      <c r="W737" s="5">
        <f t="shared" si="283"/>
        <v>7.1678320853964745E-3</v>
      </c>
      <c r="X737" s="5">
        <f t="shared" si="284"/>
        <v>6.7836566469632147E-3</v>
      </c>
      <c r="Y737" s="5">
        <f t="shared" si="285"/>
        <v>-5.2727359083136697E-3</v>
      </c>
      <c r="Z737" s="33">
        <v>733</v>
      </c>
      <c r="AE737" s="20" t="str">
        <f t="shared" si="286"/>
        <v/>
      </c>
      <c r="AF737" s="22" t="str">
        <f t="shared" si="287"/>
        <v/>
      </c>
      <c r="AG737" s="9" t="str">
        <f t="shared" ca="1" si="266"/>
        <v/>
      </c>
      <c r="AH737" s="9" t="str">
        <f t="shared" ca="1" si="267"/>
        <v/>
      </c>
      <c r="AI737" s="9" t="str">
        <f t="shared" ca="1" si="268"/>
        <v/>
      </c>
      <c r="AJ737" s="9" t="str">
        <f t="shared" ca="1" si="269"/>
        <v/>
      </c>
      <c r="AK737" s="9" t="str">
        <f t="shared" ca="1" si="270"/>
        <v/>
      </c>
      <c r="AL737" s="9" t="str">
        <f t="shared" ca="1" si="271"/>
        <v/>
      </c>
      <c r="AM737" s="9" t="str">
        <f t="shared" ca="1" si="272"/>
        <v/>
      </c>
      <c r="AN737" s="9" t="str">
        <f t="shared" ca="1" si="273"/>
        <v/>
      </c>
      <c r="AO737" s="9" t="str">
        <f t="shared" ca="1" si="274"/>
        <v/>
      </c>
      <c r="AP737" s="9" t="str">
        <f t="shared" ca="1" si="275"/>
        <v/>
      </c>
      <c r="AQ737" s="9"/>
      <c r="AR737" s="9"/>
      <c r="AS737" s="9"/>
      <c r="AT737" s="9"/>
      <c r="AU737" s="9"/>
    </row>
    <row r="738" spans="1:47" x14ac:dyDescent="0.3">
      <c r="A738" s="1">
        <v>44530</v>
      </c>
      <c r="B738" s="6">
        <v>669.84997599999997</v>
      </c>
      <c r="C738" s="6">
        <v>341</v>
      </c>
      <c r="D738" s="6">
        <v>41.889999000000003</v>
      </c>
      <c r="E738" s="6">
        <v>159.779999</v>
      </c>
      <c r="F738" s="6">
        <v>165.21000699999999</v>
      </c>
      <c r="G738" s="6">
        <v>56.73</v>
      </c>
      <c r="H738" s="6">
        <v>163.85000600000001</v>
      </c>
      <c r="I738" s="6">
        <v>205.91000399999999</v>
      </c>
      <c r="J738" s="6">
        <v>33.189999</v>
      </c>
      <c r="K738" s="6">
        <v>23.27</v>
      </c>
      <c r="N738" s="18">
        <v>734</v>
      </c>
      <c r="O738" s="1">
        <v>44530</v>
      </c>
      <c r="P738" s="5">
        <f t="shared" si="276"/>
        <v>-2.5993498540651385E-2</v>
      </c>
      <c r="Q738" s="5">
        <f t="shared" si="277"/>
        <v>-4.2683004288846249E-2</v>
      </c>
      <c r="R738" s="5">
        <f t="shared" si="278"/>
        <v>-3.5988178012061361E-2</v>
      </c>
      <c r="S738" s="5">
        <f t="shared" si="279"/>
        <v>-2.6921853313915039E-2</v>
      </c>
      <c r="T738" s="5">
        <f t="shared" si="280"/>
        <v>-2.1793348053258822E-2</v>
      </c>
      <c r="U738" s="5">
        <f t="shared" si="281"/>
        <v>-1.2959918581557076E-2</v>
      </c>
      <c r="V738" s="5">
        <f t="shared" si="282"/>
        <v>-4.7379615248638499E-2</v>
      </c>
      <c r="W738" s="5">
        <f t="shared" si="283"/>
        <v>-3.300757135921268E-2</v>
      </c>
      <c r="X738" s="5">
        <f t="shared" si="284"/>
        <v>-2.4699991365390146E-2</v>
      </c>
      <c r="Y738" s="5">
        <f t="shared" si="285"/>
        <v>-5.5174878913900827E-2</v>
      </c>
      <c r="Z738" s="33">
        <v>734</v>
      </c>
      <c r="AE738" s="20" t="str">
        <f t="shared" si="286"/>
        <v/>
      </c>
      <c r="AF738" s="22" t="str">
        <f t="shared" si="287"/>
        <v/>
      </c>
      <c r="AG738" s="9" t="str">
        <f t="shared" ca="1" si="266"/>
        <v/>
      </c>
      <c r="AH738" s="9" t="str">
        <f t="shared" ca="1" si="267"/>
        <v/>
      </c>
      <c r="AI738" s="9" t="str">
        <f t="shared" ca="1" si="268"/>
        <v/>
      </c>
      <c r="AJ738" s="9" t="str">
        <f t="shared" ca="1" si="269"/>
        <v/>
      </c>
      <c r="AK738" s="9" t="str">
        <f t="shared" ca="1" si="270"/>
        <v/>
      </c>
      <c r="AL738" s="9" t="str">
        <f t="shared" ca="1" si="271"/>
        <v/>
      </c>
      <c r="AM738" s="9" t="str">
        <f t="shared" ca="1" si="272"/>
        <v/>
      </c>
      <c r="AN738" s="9" t="str">
        <f t="shared" ca="1" si="273"/>
        <v/>
      </c>
      <c r="AO738" s="9" t="str">
        <f t="shared" ca="1" si="274"/>
        <v/>
      </c>
      <c r="AP738" s="9" t="str">
        <f t="shared" ca="1" si="275"/>
        <v/>
      </c>
      <c r="AQ738" s="9"/>
      <c r="AR738" s="9"/>
      <c r="AS738" s="9"/>
      <c r="AT738" s="9"/>
      <c r="AU738" s="9"/>
    </row>
    <row r="739" spans="1:47" x14ac:dyDescent="0.3">
      <c r="A739" s="1">
        <v>44531</v>
      </c>
      <c r="B739" s="6">
        <v>657.40997300000004</v>
      </c>
      <c r="C739" s="6">
        <v>334.75</v>
      </c>
      <c r="D739" s="6">
        <v>40.529998999999997</v>
      </c>
      <c r="E739" s="6">
        <v>160.16000399999999</v>
      </c>
      <c r="F739" s="6">
        <v>162.550003</v>
      </c>
      <c r="G739" s="6">
        <v>54.580002</v>
      </c>
      <c r="H739" s="6">
        <v>162.83000200000001</v>
      </c>
      <c r="I739" s="6">
        <v>202.770004</v>
      </c>
      <c r="J739" s="6">
        <v>33.060001</v>
      </c>
      <c r="K739" s="6">
        <v>22.26</v>
      </c>
      <c r="N739" s="19">
        <v>735</v>
      </c>
      <c r="O739" s="1">
        <v>44531</v>
      </c>
      <c r="P739" s="5">
        <f t="shared" si="276"/>
        <v>-1.874593941091024E-2</v>
      </c>
      <c r="Q739" s="5">
        <f t="shared" si="277"/>
        <v>-1.8498492712234884E-2</v>
      </c>
      <c r="R739" s="5">
        <f t="shared" si="278"/>
        <v>-3.3004695119762374E-2</v>
      </c>
      <c r="S739" s="5">
        <f t="shared" si="279"/>
        <v>2.3754777466448544E-3</v>
      </c>
      <c r="T739" s="5">
        <f t="shared" si="280"/>
        <v>-1.6231769107041508E-2</v>
      </c>
      <c r="U739" s="5">
        <f t="shared" si="281"/>
        <v>-3.8635619414824879E-2</v>
      </c>
      <c r="V739" s="5">
        <f t="shared" si="282"/>
        <v>-6.2446877048039267E-3</v>
      </c>
      <c r="W739" s="5">
        <f t="shared" si="283"/>
        <v>-1.5366848038861521E-2</v>
      </c>
      <c r="X739" s="5">
        <f t="shared" si="284"/>
        <v>-3.9244729614141306E-3</v>
      </c>
      <c r="Y739" s="5">
        <f t="shared" si="285"/>
        <v>-4.4373631466801462E-2</v>
      </c>
      <c r="Z739" s="33">
        <v>735</v>
      </c>
      <c r="AE739" s="20" t="str">
        <f t="shared" si="286"/>
        <v/>
      </c>
      <c r="AF739" s="22" t="str">
        <f t="shared" si="287"/>
        <v/>
      </c>
      <c r="AG739" s="9" t="str">
        <f t="shared" ca="1" si="266"/>
        <v/>
      </c>
      <c r="AH739" s="9" t="str">
        <f t="shared" ca="1" si="267"/>
        <v/>
      </c>
      <c r="AI739" s="9" t="str">
        <f t="shared" ca="1" si="268"/>
        <v/>
      </c>
      <c r="AJ739" s="9" t="str">
        <f t="shared" ca="1" si="269"/>
        <v/>
      </c>
      <c r="AK739" s="9" t="str">
        <f t="shared" ca="1" si="270"/>
        <v/>
      </c>
      <c r="AL739" s="9" t="str">
        <f t="shared" ca="1" si="271"/>
        <v/>
      </c>
      <c r="AM739" s="9" t="str">
        <f t="shared" ca="1" si="272"/>
        <v/>
      </c>
      <c r="AN739" s="9" t="str">
        <f t="shared" ca="1" si="273"/>
        <v/>
      </c>
      <c r="AO739" s="9" t="str">
        <f t="shared" ca="1" si="274"/>
        <v/>
      </c>
      <c r="AP739" s="9" t="str">
        <f t="shared" ca="1" si="275"/>
        <v/>
      </c>
      <c r="AQ739" s="9"/>
      <c r="AR739" s="9"/>
      <c r="AS739" s="9"/>
      <c r="AT739" s="9"/>
      <c r="AU739" s="9"/>
    </row>
    <row r="740" spans="1:47" x14ac:dyDescent="0.3">
      <c r="A740" s="1">
        <v>44532</v>
      </c>
      <c r="B740" s="6">
        <v>671.88000499999998</v>
      </c>
      <c r="C740" s="6">
        <v>349.67001299999998</v>
      </c>
      <c r="D740" s="6">
        <v>41.48</v>
      </c>
      <c r="E740" s="6">
        <v>160.61999499999999</v>
      </c>
      <c r="F740" s="6">
        <v>168.270004</v>
      </c>
      <c r="G740" s="6">
        <v>56.650002000000001</v>
      </c>
      <c r="H740" s="6">
        <v>166.429993</v>
      </c>
      <c r="I740" s="6">
        <v>210.070007</v>
      </c>
      <c r="J740" s="6">
        <v>34.490001999999997</v>
      </c>
      <c r="K740" s="6">
        <v>23.25</v>
      </c>
      <c r="N740" s="18">
        <v>736</v>
      </c>
      <c r="O740" s="1">
        <v>44532</v>
      </c>
      <c r="P740" s="5">
        <f t="shared" si="276"/>
        <v>2.1771929107440219E-2</v>
      </c>
      <c r="Q740" s="5">
        <f t="shared" si="277"/>
        <v>4.3605905177843012E-2</v>
      </c>
      <c r="R740" s="5">
        <f t="shared" si="278"/>
        <v>2.31689673941914E-2</v>
      </c>
      <c r="S740" s="5">
        <f t="shared" si="279"/>
        <v>2.8679550890067743E-3</v>
      </c>
      <c r="T740" s="5">
        <f t="shared" si="280"/>
        <v>3.4584190753900977E-2</v>
      </c>
      <c r="U740" s="5">
        <f t="shared" si="281"/>
        <v>3.722447085486516E-2</v>
      </c>
      <c r="V740" s="5">
        <f t="shared" si="282"/>
        <v>2.1868034480031717E-2</v>
      </c>
      <c r="W740" s="5">
        <f t="shared" si="283"/>
        <v>3.5368490322658236E-2</v>
      </c>
      <c r="X740" s="5">
        <f t="shared" si="284"/>
        <v>4.2345362295658807E-2</v>
      </c>
      <c r="Y740" s="5">
        <f t="shared" si="285"/>
        <v>4.3513786185966491E-2</v>
      </c>
      <c r="Z740" s="33">
        <v>736</v>
      </c>
      <c r="AE740" s="20" t="str">
        <f t="shared" si="286"/>
        <v/>
      </c>
      <c r="AF740" s="22" t="str">
        <f t="shared" si="287"/>
        <v/>
      </c>
      <c r="AG740" s="9" t="str">
        <f t="shared" ca="1" si="266"/>
        <v/>
      </c>
      <c r="AH740" s="9" t="str">
        <f t="shared" ca="1" si="267"/>
        <v/>
      </c>
      <c r="AI740" s="9" t="str">
        <f t="shared" ca="1" si="268"/>
        <v/>
      </c>
      <c r="AJ740" s="9" t="str">
        <f t="shared" ca="1" si="269"/>
        <v/>
      </c>
      <c r="AK740" s="9" t="str">
        <f t="shared" ca="1" si="270"/>
        <v/>
      </c>
      <c r="AL740" s="9" t="str">
        <f t="shared" ca="1" si="271"/>
        <v/>
      </c>
      <c r="AM740" s="9" t="str">
        <f t="shared" ca="1" si="272"/>
        <v/>
      </c>
      <c r="AN740" s="9" t="str">
        <f t="shared" ca="1" si="273"/>
        <v/>
      </c>
      <c r="AO740" s="9" t="str">
        <f t="shared" ca="1" si="274"/>
        <v/>
      </c>
      <c r="AP740" s="9" t="str">
        <f t="shared" ca="1" si="275"/>
        <v/>
      </c>
      <c r="AQ740" s="9"/>
      <c r="AR740" s="9"/>
      <c r="AS740" s="9"/>
      <c r="AT740" s="9"/>
      <c r="AU740" s="9"/>
    </row>
    <row r="741" spans="1:47" x14ac:dyDescent="0.3">
      <c r="A741" s="1">
        <v>44533</v>
      </c>
      <c r="B741" s="6">
        <v>616.53002900000001</v>
      </c>
      <c r="C741" s="6">
        <v>344.55999800000001</v>
      </c>
      <c r="D741" s="6">
        <v>41.849997999999999</v>
      </c>
      <c r="E741" s="6">
        <v>164.71000699999999</v>
      </c>
      <c r="F741" s="6">
        <v>167.279999</v>
      </c>
      <c r="G741" s="6">
        <v>56.48</v>
      </c>
      <c r="H741" s="6">
        <v>167.009995</v>
      </c>
      <c r="I741" s="6">
        <v>211.11999499999999</v>
      </c>
      <c r="J741" s="6">
        <v>34.419998</v>
      </c>
      <c r="K741" s="6">
        <v>23.99</v>
      </c>
      <c r="N741" s="19">
        <v>737</v>
      </c>
      <c r="O741" s="1">
        <v>44533</v>
      </c>
      <c r="P741" s="5">
        <f t="shared" si="276"/>
        <v>-8.5972730332218264E-2</v>
      </c>
      <c r="Q741" s="5">
        <f t="shared" si="277"/>
        <v>-1.4721654807774001E-2</v>
      </c>
      <c r="R741" s="5">
        <f t="shared" si="278"/>
        <v>8.8803657844314082E-3</v>
      </c>
      <c r="S741" s="5">
        <f t="shared" si="279"/>
        <v>2.5145098662579145E-2</v>
      </c>
      <c r="T741" s="5">
        <f t="shared" si="280"/>
        <v>-5.9008068172976824E-3</v>
      </c>
      <c r="U741" s="5">
        <f t="shared" si="281"/>
        <v>-3.0054295935294474E-3</v>
      </c>
      <c r="V741" s="5">
        <f t="shared" si="282"/>
        <v>3.4789023862893307E-3</v>
      </c>
      <c r="W741" s="5">
        <f t="shared" si="283"/>
        <v>4.9858266820404697E-3</v>
      </c>
      <c r="X741" s="5">
        <f t="shared" si="284"/>
        <v>-2.031752258931159E-3</v>
      </c>
      <c r="Y741" s="5">
        <f t="shared" si="285"/>
        <v>3.1331944818237811E-2</v>
      </c>
      <c r="Z741" s="33">
        <v>737</v>
      </c>
      <c r="AE741" s="20" t="str">
        <f t="shared" si="286"/>
        <v/>
      </c>
      <c r="AF741" s="22" t="str">
        <f t="shared" si="287"/>
        <v/>
      </c>
      <c r="AG741" s="9" t="str">
        <f t="shared" ca="1" si="266"/>
        <v/>
      </c>
      <c r="AH741" s="9" t="str">
        <f t="shared" ca="1" si="267"/>
        <v/>
      </c>
      <c r="AI741" s="9" t="str">
        <f t="shared" ca="1" si="268"/>
        <v/>
      </c>
      <c r="AJ741" s="9" t="str">
        <f t="shared" ca="1" si="269"/>
        <v/>
      </c>
      <c r="AK741" s="9" t="str">
        <f t="shared" ca="1" si="270"/>
        <v/>
      </c>
      <c r="AL741" s="9" t="str">
        <f t="shared" ca="1" si="271"/>
        <v/>
      </c>
      <c r="AM741" s="9" t="str">
        <f t="shared" ca="1" si="272"/>
        <v/>
      </c>
      <c r="AN741" s="9" t="str">
        <f t="shared" ca="1" si="273"/>
        <v/>
      </c>
      <c r="AO741" s="9" t="str">
        <f t="shared" ca="1" si="274"/>
        <v/>
      </c>
      <c r="AP741" s="9" t="str">
        <f t="shared" ca="1" si="275"/>
        <v/>
      </c>
      <c r="AQ741" s="9"/>
      <c r="AR741" s="9"/>
      <c r="AS741" s="9"/>
      <c r="AT741" s="9"/>
      <c r="AU741" s="9"/>
    </row>
    <row r="742" spans="1:47" x14ac:dyDescent="0.3">
      <c r="A742" s="1">
        <v>44536</v>
      </c>
      <c r="B742" s="6">
        <v>622.03997800000002</v>
      </c>
      <c r="C742" s="6">
        <v>345.45001200000002</v>
      </c>
      <c r="D742" s="6">
        <v>42.854999999999997</v>
      </c>
      <c r="E742" s="6">
        <v>166.41999799999999</v>
      </c>
      <c r="F742" s="6">
        <v>169.83999600000001</v>
      </c>
      <c r="G742" s="6">
        <v>57.470001000000003</v>
      </c>
      <c r="H742" s="6">
        <v>169.990005</v>
      </c>
      <c r="I742" s="6">
        <v>210.240005</v>
      </c>
      <c r="J742" s="6">
        <v>34.729999999999997</v>
      </c>
      <c r="K742" s="6">
        <v>24.4</v>
      </c>
      <c r="N742" s="18">
        <v>738</v>
      </c>
      <c r="O742" s="1">
        <v>44536</v>
      </c>
      <c r="P742" s="5">
        <f t="shared" si="276"/>
        <v>8.897333727246784E-3</v>
      </c>
      <c r="Q742" s="5">
        <f t="shared" si="277"/>
        <v>2.5797147307517199E-3</v>
      </c>
      <c r="R742" s="5">
        <f t="shared" si="278"/>
        <v>2.3730575205088152E-2</v>
      </c>
      <c r="S742" s="5">
        <f t="shared" si="279"/>
        <v>1.0328307160976513E-2</v>
      </c>
      <c r="T742" s="5">
        <f t="shared" si="280"/>
        <v>1.5187744701045414E-2</v>
      </c>
      <c r="U742" s="5">
        <f t="shared" si="281"/>
        <v>1.7376496735046341E-2</v>
      </c>
      <c r="V742" s="5">
        <f t="shared" si="282"/>
        <v>1.7685980278974205E-2</v>
      </c>
      <c r="W742" s="5">
        <f t="shared" si="283"/>
        <v>-4.1769094332655609E-3</v>
      </c>
      <c r="X742" s="5">
        <f t="shared" si="284"/>
        <v>8.9661340783433081E-3</v>
      </c>
      <c r="Y742" s="5">
        <f t="shared" si="285"/>
        <v>1.6946055447553093E-2</v>
      </c>
      <c r="Z742" s="33">
        <v>738</v>
      </c>
      <c r="AE742" s="20" t="str">
        <f t="shared" si="286"/>
        <v/>
      </c>
      <c r="AF742" s="22" t="str">
        <f t="shared" si="287"/>
        <v/>
      </c>
      <c r="AG742" s="9" t="str">
        <f t="shared" ca="1" si="266"/>
        <v/>
      </c>
      <c r="AH742" s="9" t="str">
        <f t="shared" ca="1" si="267"/>
        <v/>
      </c>
      <c r="AI742" s="9" t="str">
        <f t="shared" ca="1" si="268"/>
        <v/>
      </c>
      <c r="AJ742" s="9" t="str">
        <f t="shared" ca="1" si="269"/>
        <v/>
      </c>
      <c r="AK742" s="9" t="str">
        <f t="shared" ca="1" si="270"/>
        <v/>
      </c>
      <c r="AL742" s="9" t="str">
        <f t="shared" ca="1" si="271"/>
        <v/>
      </c>
      <c r="AM742" s="9" t="str">
        <f t="shared" ca="1" si="272"/>
        <v/>
      </c>
      <c r="AN742" s="9" t="str">
        <f t="shared" ca="1" si="273"/>
        <v/>
      </c>
      <c r="AO742" s="9" t="str">
        <f t="shared" ca="1" si="274"/>
        <v/>
      </c>
      <c r="AP742" s="9" t="str">
        <f t="shared" ca="1" si="275"/>
        <v/>
      </c>
      <c r="AQ742" s="9"/>
      <c r="AR742" s="9"/>
      <c r="AS742" s="9"/>
      <c r="AT742" s="9"/>
      <c r="AU742" s="9"/>
    </row>
    <row r="743" spans="1:47" x14ac:dyDescent="0.3">
      <c r="A743" s="1">
        <v>44537</v>
      </c>
      <c r="B743" s="6">
        <v>649.96002199999998</v>
      </c>
      <c r="C743" s="6">
        <v>356.20001200000002</v>
      </c>
      <c r="D743" s="6">
        <v>44.185001</v>
      </c>
      <c r="E743" s="6">
        <v>166.229996</v>
      </c>
      <c r="F743" s="6">
        <v>171.33999600000001</v>
      </c>
      <c r="G743" s="6">
        <v>58.98</v>
      </c>
      <c r="H743" s="6">
        <v>172.25</v>
      </c>
      <c r="I743" s="6">
        <v>214.270004</v>
      </c>
      <c r="J743" s="6">
        <v>35.43</v>
      </c>
      <c r="K743" s="6">
        <v>24.219999000000001</v>
      </c>
      <c r="N743" s="19">
        <v>739</v>
      </c>
      <c r="O743" s="1">
        <v>44537</v>
      </c>
      <c r="P743" s="5">
        <f t="shared" si="276"/>
        <v>4.3906492397175978E-2</v>
      </c>
      <c r="Q743" s="5">
        <f t="shared" si="277"/>
        <v>3.0644454872396951E-2</v>
      </c>
      <c r="R743" s="5">
        <f t="shared" si="278"/>
        <v>3.0563063251236439E-2</v>
      </c>
      <c r="S743" s="5">
        <f t="shared" si="279"/>
        <v>-1.1423539701748901E-3</v>
      </c>
      <c r="T743" s="5">
        <f t="shared" si="280"/>
        <v>8.7930693470800927E-3</v>
      </c>
      <c r="U743" s="5">
        <f t="shared" si="281"/>
        <v>2.5935313467097355E-2</v>
      </c>
      <c r="V743" s="5">
        <f t="shared" si="282"/>
        <v>1.3207268689595208E-2</v>
      </c>
      <c r="W743" s="5">
        <f t="shared" si="283"/>
        <v>1.8987161602080544E-2</v>
      </c>
      <c r="X743" s="5">
        <f t="shared" si="284"/>
        <v>1.9955052121398059E-2</v>
      </c>
      <c r="Y743" s="5">
        <f t="shared" si="285"/>
        <v>-7.4044354624022779E-3</v>
      </c>
      <c r="Z743" s="33">
        <v>739</v>
      </c>
      <c r="AE743" s="20" t="str">
        <f t="shared" si="286"/>
        <v/>
      </c>
      <c r="AF743" s="22" t="str">
        <f t="shared" si="287"/>
        <v/>
      </c>
      <c r="AG743" s="9" t="str">
        <f t="shared" ca="1" si="266"/>
        <v/>
      </c>
      <c r="AH743" s="9" t="str">
        <f t="shared" ca="1" si="267"/>
        <v/>
      </c>
      <c r="AI743" s="9" t="str">
        <f t="shared" ca="1" si="268"/>
        <v/>
      </c>
      <c r="AJ743" s="9" t="str">
        <f t="shared" ca="1" si="269"/>
        <v/>
      </c>
      <c r="AK743" s="9" t="str">
        <f t="shared" ca="1" si="270"/>
        <v/>
      </c>
      <c r="AL743" s="9" t="str">
        <f t="shared" ca="1" si="271"/>
        <v/>
      </c>
      <c r="AM743" s="9" t="str">
        <f t="shared" ca="1" si="272"/>
        <v/>
      </c>
      <c r="AN743" s="9" t="str">
        <f t="shared" ca="1" si="273"/>
        <v/>
      </c>
      <c r="AO743" s="9" t="str">
        <f t="shared" ca="1" si="274"/>
        <v/>
      </c>
      <c r="AP743" s="9" t="str">
        <f t="shared" ca="1" si="275"/>
        <v/>
      </c>
      <c r="AQ743" s="9"/>
      <c r="AR743" s="9"/>
      <c r="AS743" s="9"/>
      <c r="AT743" s="9"/>
      <c r="AU743" s="9"/>
    </row>
    <row r="744" spans="1:47" x14ac:dyDescent="0.3">
      <c r="A744" s="1">
        <v>44538</v>
      </c>
      <c r="B744" s="6">
        <v>653.09997599999997</v>
      </c>
      <c r="C744" s="6">
        <v>364.35998499999999</v>
      </c>
      <c r="D744" s="6">
        <v>44.465000000000003</v>
      </c>
      <c r="E744" s="6">
        <v>166.520004</v>
      </c>
      <c r="F744" s="6">
        <v>173.61999499999999</v>
      </c>
      <c r="G744" s="6">
        <v>59.09</v>
      </c>
      <c r="H744" s="6">
        <v>171.85000600000001</v>
      </c>
      <c r="I744" s="6">
        <v>214.699997</v>
      </c>
      <c r="J744" s="6">
        <v>36.240001999999997</v>
      </c>
      <c r="K744" s="6">
        <v>24.030000999999999</v>
      </c>
      <c r="N744" s="18">
        <v>740</v>
      </c>
      <c r="O744" s="1">
        <v>44538</v>
      </c>
      <c r="P744" s="5">
        <f t="shared" si="276"/>
        <v>4.8193637779808127E-3</v>
      </c>
      <c r="Q744" s="5">
        <f t="shared" si="277"/>
        <v>2.2649944164033115E-2</v>
      </c>
      <c r="R744" s="5">
        <f t="shared" si="278"/>
        <v>6.3169752495209732E-3</v>
      </c>
      <c r="S744" s="5">
        <f t="shared" si="279"/>
        <v>1.743098863590524E-3</v>
      </c>
      <c r="T744" s="5">
        <f t="shared" si="280"/>
        <v>1.3219110974633247E-2</v>
      </c>
      <c r="U744" s="5">
        <f t="shared" si="281"/>
        <v>1.8633019704531156E-3</v>
      </c>
      <c r="V744" s="5">
        <f t="shared" si="282"/>
        <v>-2.3248716837562847E-3</v>
      </c>
      <c r="W744" s="5">
        <f t="shared" si="283"/>
        <v>2.0047702310798427E-3</v>
      </c>
      <c r="X744" s="5">
        <f t="shared" si="284"/>
        <v>2.2604617485034357E-2</v>
      </c>
      <c r="Y744" s="5">
        <f t="shared" si="285"/>
        <v>-7.8756054737288226E-3</v>
      </c>
      <c r="Z744" s="33">
        <v>740</v>
      </c>
      <c r="AE744" s="20" t="str">
        <f t="shared" si="286"/>
        <v/>
      </c>
      <c r="AF744" s="22" t="str">
        <f t="shared" si="287"/>
        <v/>
      </c>
      <c r="AG744" s="9" t="str">
        <f t="shared" ca="1" si="266"/>
        <v/>
      </c>
      <c r="AH744" s="9" t="str">
        <f t="shared" ca="1" si="267"/>
        <v/>
      </c>
      <c r="AI744" s="9" t="str">
        <f t="shared" ca="1" si="268"/>
        <v/>
      </c>
      <c r="AJ744" s="9" t="str">
        <f t="shared" ca="1" si="269"/>
        <v/>
      </c>
      <c r="AK744" s="9" t="str">
        <f t="shared" ca="1" si="270"/>
        <v/>
      </c>
      <c r="AL744" s="9" t="str">
        <f t="shared" ca="1" si="271"/>
        <v/>
      </c>
      <c r="AM744" s="9" t="str">
        <f t="shared" ca="1" si="272"/>
        <v/>
      </c>
      <c r="AN744" s="9" t="str">
        <f t="shared" ca="1" si="273"/>
        <v/>
      </c>
      <c r="AO744" s="9" t="str">
        <f t="shared" ca="1" si="274"/>
        <v/>
      </c>
      <c r="AP744" s="9" t="str">
        <f t="shared" ca="1" si="275"/>
        <v/>
      </c>
      <c r="AQ744" s="9"/>
      <c r="AR744" s="9"/>
      <c r="AS744" s="9"/>
      <c r="AT744" s="9"/>
      <c r="AU744" s="9"/>
    </row>
    <row r="745" spans="1:47" x14ac:dyDescent="0.3">
      <c r="A745" s="1">
        <v>44539</v>
      </c>
      <c r="B745" s="6">
        <v>632.57000700000003</v>
      </c>
      <c r="C745" s="6">
        <v>354.48001099999999</v>
      </c>
      <c r="D745" s="6">
        <v>44.150002000000001</v>
      </c>
      <c r="E745" s="6">
        <v>166.30999800000001</v>
      </c>
      <c r="F745" s="6">
        <v>171.63999899999999</v>
      </c>
      <c r="G745" s="6">
        <v>58.310001</v>
      </c>
      <c r="H745" s="6">
        <v>171.61999499999999</v>
      </c>
      <c r="I745" s="6">
        <v>214.33000200000001</v>
      </c>
      <c r="J745" s="6">
        <v>36.479999999999997</v>
      </c>
      <c r="K745" s="6">
        <v>23.58</v>
      </c>
      <c r="N745" s="19">
        <v>741</v>
      </c>
      <c r="O745" s="1">
        <v>44539</v>
      </c>
      <c r="P745" s="5">
        <f t="shared" si="276"/>
        <v>-3.1939322680076432E-2</v>
      </c>
      <c r="Q745" s="5">
        <f t="shared" si="277"/>
        <v>-2.7490390785929228E-2</v>
      </c>
      <c r="R745" s="5">
        <f t="shared" si="278"/>
        <v>-7.1093905015221807E-3</v>
      </c>
      <c r="S745" s="5">
        <f t="shared" si="279"/>
        <v>-1.2619416915995081E-3</v>
      </c>
      <c r="T745" s="5">
        <f t="shared" si="280"/>
        <v>-1.1469719867959784E-2</v>
      </c>
      <c r="U745" s="5">
        <f t="shared" si="281"/>
        <v>-1.3288082973801761E-2</v>
      </c>
      <c r="V745" s="5">
        <f t="shared" si="282"/>
        <v>-1.3393369651708341E-3</v>
      </c>
      <c r="W745" s="5">
        <f t="shared" si="283"/>
        <v>-1.7247982313036872E-3</v>
      </c>
      <c r="X745" s="5">
        <f t="shared" si="284"/>
        <v>6.6006288437157109E-3</v>
      </c>
      <c r="Y745" s="5">
        <f t="shared" si="285"/>
        <v>-1.8904196253800191E-2</v>
      </c>
      <c r="Z745" s="33">
        <v>741</v>
      </c>
      <c r="AE745" s="20" t="str">
        <f t="shared" si="286"/>
        <v/>
      </c>
      <c r="AF745" s="22" t="str">
        <f t="shared" si="287"/>
        <v/>
      </c>
      <c r="AG745" s="9" t="str">
        <f t="shared" ca="1" si="266"/>
        <v/>
      </c>
      <c r="AH745" s="9" t="str">
        <f t="shared" ca="1" si="267"/>
        <v/>
      </c>
      <c r="AI745" s="9" t="str">
        <f t="shared" ca="1" si="268"/>
        <v/>
      </c>
      <c r="AJ745" s="9" t="str">
        <f t="shared" ca="1" si="269"/>
        <v/>
      </c>
      <c r="AK745" s="9" t="str">
        <f t="shared" ca="1" si="270"/>
        <v/>
      </c>
      <c r="AL745" s="9" t="str">
        <f t="shared" ca="1" si="271"/>
        <v/>
      </c>
      <c r="AM745" s="9" t="str">
        <f t="shared" ca="1" si="272"/>
        <v/>
      </c>
      <c r="AN745" s="9" t="str">
        <f t="shared" ca="1" si="273"/>
        <v/>
      </c>
      <c r="AO745" s="9" t="str">
        <f t="shared" ca="1" si="274"/>
        <v/>
      </c>
      <c r="AP745" s="9" t="str">
        <f t="shared" ca="1" si="275"/>
        <v/>
      </c>
      <c r="AQ745" s="9"/>
      <c r="AR745" s="9"/>
      <c r="AS745" s="9"/>
      <c r="AT745" s="9"/>
      <c r="AU745" s="9"/>
    </row>
    <row r="746" spans="1:47" x14ac:dyDescent="0.3">
      <c r="A746" s="1">
        <v>44540</v>
      </c>
      <c r="B746" s="6">
        <v>654.45001200000002</v>
      </c>
      <c r="C746" s="6">
        <v>362.33999599999999</v>
      </c>
      <c r="D746" s="6">
        <v>44.775002000000001</v>
      </c>
      <c r="E746" s="6">
        <v>168.970001</v>
      </c>
      <c r="F746" s="6">
        <v>173.69000199999999</v>
      </c>
      <c r="G746" s="6">
        <v>58.380001</v>
      </c>
      <c r="H746" s="6">
        <v>171.36000100000001</v>
      </c>
      <c r="I746" s="6">
        <v>217.449997</v>
      </c>
      <c r="J746" s="6">
        <v>37.040000999999997</v>
      </c>
      <c r="K746" s="6">
        <v>23.290001</v>
      </c>
      <c r="N746" s="18">
        <v>742</v>
      </c>
      <c r="O746" s="1">
        <v>44540</v>
      </c>
      <c r="P746" s="5">
        <f t="shared" si="276"/>
        <v>3.4004309093019339E-2</v>
      </c>
      <c r="Q746" s="5">
        <f t="shared" si="277"/>
        <v>2.1931028585905944E-2</v>
      </c>
      <c r="R746" s="5">
        <f t="shared" si="278"/>
        <v>1.4057020264476512E-2</v>
      </c>
      <c r="S746" s="5">
        <f t="shared" si="279"/>
        <v>1.5867685634455134E-2</v>
      </c>
      <c r="T746" s="5">
        <f t="shared" si="280"/>
        <v>1.187285828351271E-2</v>
      </c>
      <c r="U746" s="5">
        <f t="shared" si="281"/>
        <v>1.1997601713408051E-3</v>
      </c>
      <c r="V746" s="5">
        <f t="shared" si="282"/>
        <v>-1.5160887097345978E-3</v>
      </c>
      <c r="W746" s="5">
        <f t="shared" si="283"/>
        <v>1.4452032566926449E-2</v>
      </c>
      <c r="X746" s="5">
        <f t="shared" si="284"/>
        <v>1.5234271569687761E-2</v>
      </c>
      <c r="Y746" s="5">
        <f t="shared" si="285"/>
        <v>-1.237476827609332E-2</v>
      </c>
      <c r="Z746" s="33">
        <v>742</v>
      </c>
      <c r="AE746" s="20" t="str">
        <f t="shared" si="286"/>
        <v/>
      </c>
      <c r="AF746" s="22" t="str">
        <f t="shared" si="287"/>
        <v/>
      </c>
      <c r="AG746" s="9" t="str">
        <f t="shared" ca="1" si="266"/>
        <v/>
      </c>
      <c r="AH746" s="9" t="str">
        <f t="shared" ca="1" si="267"/>
        <v/>
      </c>
      <c r="AI746" s="9" t="str">
        <f t="shared" ca="1" si="268"/>
        <v/>
      </c>
      <c r="AJ746" s="9" t="str">
        <f t="shared" ca="1" si="269"/>
        <v/>
      </c>
      <c r="AK746" s="9" t="str">
        <f t="shared" ca="1" si="270"/>
        <v/>
      </c>
      <c r="AL746" s="9" t="str">
        <f t="shared" ca="1" si="271"/>
        <v/>
      </c>
      <c r="AM746" s="9" t="str">
        <f t="shared" ca="1" si="272"/>
        <v/>
      </c>
      <c r="AN746" s="9" t="str">
        <f t="shared" ca="1" si="273"/>
        <v/>
      </c>
      <c r="AO746" s="9" t="str">
        <f t="shared" ca="1" si="274"/>
        <v/>
      </c>
      <c r="AP746" s="9" t="str">
        <f t="shared" ca="1" si="275"/>
        <v/>
      </c>
      <c r="AQ746" s="9"/>
      <c r="AR746" s="9"/>
      <c r="AS746" s="9"/>
      <c r="AT746" s="9"/>
      <c r="AU746" s="9"/>
    </row>
    <row r="747" spans="1:47" x14ac:dyDescent="0.3">
      <c r="A747" s="1">
        <v>44543</v>
      </c>
      <c r="B747" s="6">
        <v>658.29998799999998</v>
      </c>
      <c r="C747" s="6">
        <v>362.23001099999999</v>
      </c>
      <c r="D747" s="6">
        <v>44.889999000000003</v>
      </c>
      <c r="E747" s="6">
        <v>169.80999800000001</v>
      </c>
      <c r="F747" s="6">
        <v>175.75</v>
      </c>
      <c r="G747" s="6">
        <v>59.349997999999999</v>
      </c>
      <c r="H747" s="6">
        <v>171.75</v>
      </c>
      <c r="I747" s="6">
        <v>213.19000199999999</v>
      </c>
      <c r="J747" s="6">
        <v>36.849997999999999</v>
      </c>
      <c r="K747" s="6">
        <v>22.75</v>
      </c>
      <c r="N747" s="19">
        <v>743</v>
      </c>
      <c r="O747" s="1">
        <v>44543</v>
      </c>
      <c r="P747" s="5">
        <f t="shared" si="276"/>
        <v>5.8655296713243221E-3</v>
      </c>
      <c r="Q747" s="5">
        <f t="shared" si="277"/>
        <v>-3.0358695442037406E-4</v>
      </c>
      <c r="R747" s="5">
        <f t="shared" si="278"/>
        <v>2.5650379026064185E-3</v>
      </c>
      <c r="S747" s="5">
        <f t="shared" si="279"/>
        <v>4.9589628895717166E-3</v>
      </c>
      <c r="T747" s="5">
        <f t="shared" si="280"/>
        <v>1.1790418110085361E-2</v>
      </c>
      <c r="U747" s="5">
        <f t="shared" si="281"/>
        <v>1.6478704802154808E-2</v>
      </c>
      <c r="V747" s="5">
        <f t="shared" si="282"/>
        <v>2.2733185673524119E-3</v>
      </c>
      <c r="W747" s="5">
        <f t="shared" si="283"/>
        <v>-1.978512898961864E-2</v>
      </c>
      <c r="X747" s="5">
        <f t="shared" si="284"/>
        <v>-5.1428724145584003E-3</v>
      </c>
      <c r="Y747" s="5">
        <f t="shared" si="285"/>
        <v>-2.3458981436172022E-2</v>
      </c>
      <c r="Z747" s="33">
        <v>743</v>
      </c>
      <c r="AE747" s="20" t="str">
        <f t="shared" si="286"/>
        <v/>
      </c>
      <c r="AF747" s="22" t="str">
        <f t="shared" si="287"/>
        <v/>
      </c>
      <c r="AG747" s="9" t="str">
        <f t="shared" ca="1" si="266"/>
        <v/>
      </c>
      <c r="AH747" s="9" t="str">
        <f t="shared" ca="1" si="267"/>
        <v/>
      </c>
      <c r="AI747" s="9" t="str">
        <f t="shared" ca="1" si="268"/>
        <v/>
      </c>
      <c r="AJ747" s="9" t="str">
        <f t="shared" ca="1" si="269"/>
        <v/>
      </c>
      <c r="AK747" s="9" t="str">
        <f t="shared" ca="1" si="270"/>
        <v/>
      </c>
      <c r="AL747" s="9" t="str">
        <f t="shared" ca="1" si="271"/>
        <v/>
      </c>
      <c r="AM747" s="9" t="str">
        <f t="shared" ca="1" si="272"/>
        <v/>
      </c>
      <c r="AN747" s="9" t="str">
        <f t="shared" ca="1" si="273"/>
        <v/>
      </c>
      <c r="AO747" s="9" t="str">
        <f t="shared" ca="1" si="274"/>
        <v/>
      </c>
      <c r="AP747" s="9" t="str">
        <f t="shared" ca="1" si="275"/>
        <v/>
      </c>
      <c r="AQ747" s="9"/>
      <c r="AR747" s="9"/>
      <c r="AS747" s="9"/>
      <c r="AT747" s="9"/>
      <c r="AU747" s="9"/>
    </row>
    <row r="748" spans="1:47" x14ac:dyDescent="0.3">
      <c r="A748" s="1">
        <v>44544</v>
      </c>
      <c r="B748" s="6">
        <v>614.85998500000005</v>
      </c>
      <c r="C748" s="6">
        <v>345.92999300000002</v>
      </c>
      <c r="D748" s="6">
        <v>45.185001</v>
      </c>
      <c r="E748" s="6">
        <v>169.38999899999999</v>
      </c>
      <c r="F748" s="6">
        <v>173.470001</v>
      </c>
      <c r="G748" s="6">
        <v>58.59</v>
      </c>
      <c r="H748" s="6">
        <v>168.070007</v>
      </c>
      <c r="I748" s="6">
        <v>212.88999899999999</v>
      </c>
      <c r="J748" s="6">
        <v>36.650002000000001</v>
      </c>
      <c r="K748" s="6">
        <v>22.51</v>
      </c>
      <c r="N748" s="18">
        <v>744</v>
      </c>
      <c r="O748" s="1">
        <v>44544</v>
      </c>
      <c r="P748" s="5">
        <f t="shared" si="276"/>
        <v>-6.8266161025198169E-2</v>
      </c>
      <c r="Q748" s="5">
        <f t="shared" si="277"/>
        <v>-4.6042977338262348E-2</v>
      </c>
      <c r="R748" s="5">
        <f t="shared" si="278"/>
        <v>6.5501649679928237E-3</v>
      </c>
      <c r="S748" s="5">
        <f t="shared" si="279"/>
        <v>-2.4764104855861898E-3</v>
      </c>
      <c r="T748" s="5">
        <f t="shared" si="280"/>
        <v>-1.3057851152771171E-2</v>
      </c>
      <c r="U748" s="5">
        <f t="shared" si="281"/>
        <v>-1.2888053800579776E-2</v>
      </c>
      <c r="V748" s="5">
        <f t="shared" si="282"/>
        <v>-2.1659330164671566E-2</v>
      </c>
      <c r="W748" s="5">
        <f t="shared" si="283"/>
        <v>-1.4082005673682176E-3</v>
      </c>
      <c r="X748" s="5">
        <f t="shared" si="284"/>
        <v>-5.4420814583417496E-3</v>
      </c>
      <c r="Y748" s="5">
        <f t="shared" si="285"/>
        <v>-1.0605490478318443E-2</v>
      </c>
      <c r="Z748" s="33">
        <v>744</v>
      </c>
      <c r="AE748" s="20" t="str">
        <f t="shared" si="286"/>
        <v/>
      </c>
      <c r="AF748" s="22" t="str">
        <f t="shared" si="287"/>
        <v/>
      </c>
      <c r="AG748" s="9" t="str">
        <f t="shared" ca="1" si="266"/>
        <v/>
      </c>
      <c r="AH748" s="9" t="str">
        <f t="shared" ca="1" si="267"/>
        <v/>
      </c>
      <c r="AI748" s="9" t="str">
        <f t="shared" ca="1" si="268"/>
        <v/>
      </c>
      <c r="AJ748" s="9" t="str">
        <f t="shared" ca="1" si="269"/>
        <v/>
      </c>
      <c r="AK748" s="9" t="str">
        <f t="shared" ca="1" si="270"/>
        <v/>
      </c>
      <c r="AL748" s="9" t="str">
        <f t="shared" ca="1" si="271"/>
        <v/>
      </c>
      <c r="AM748" s="9" t="str">
        <f t="shared" ca="1" si="272"/>
        <v/>
      </c>
      <c r="AN748" s="9" t="str">
        <f t="shared" ca="1" si="273"/>
        <v/>
      </c>
      <c r="AO748" s="9" t="str">
        <f t="shared" ca="1" si="274"/>
        <v/>
      </c>
      <c r="AP748" s="9" t="str">
        <f t="shared" ca="1" si="275"/>
        <v/>
      </c>
      <c r="AQ748" s="9"/>
      <c r="AR748" s="9"/>
      <c r="AS748" s="9"/>
      <c r="AT748" s="9"/>
      <c r="AU748" s="9"/>
    </row>
    <row r="749" spans="1:47" x14ac:dyDescent="0.3">
      <c r="A749" s="1">
        <v>44545</v>
      </c>
      <c r="B749" s="6">
        <v>630.330017</v>
      </c>
      <c r="C749" s="6">
        <v>361.29998799999998</v>
      </c>
      <c r="D749" s="6">
        <v>45.604999999999997</v>
      </c>
      <c r="E749" s="6">
        <v>171.570007</v>
      </c>
      <c r="F749" s="6">
        <v>176.88999899999999</v>
      </c>
      <c r="G749" s="6">
        <v>59.619999</v>
      </c>
      <c r="H749" s="6">
        <v>171.66999799999999</v>
      </c>
      <c r="I749" s="6">
        <v>216.679993</v>
      </c>
      <c r="J749" s="6">
        <v>36.380001</v>
      </c>
      <c r="K749" s="6">
        <v>22.57</v>
      </c>
      <c r="N749" s="19">
        <v>745</v>
      </c>
      <c r="O749" s="1">
        <v>44545</v>
      </c>
      <c r="P749" s="5">
        <f t="shared" si="276"/>
        <v>2.4848943519205351E-2</v>
      </c>
      <c r="Q749" s="5">
        <f t="shared" si="277"/>
        <v>4.3472182724371117E-2</v>
      </c>
      <c r="R749" s="5">
        <f t="shared" si="278"/>
        <v>9.2521641469646611E-3</v>
      </c>
      <c r="S749" s="5">
        <f t="shared" si="279"/>
        <v>1.2787644700253134E-2</v>
      </c>
      <c r="T749" s="5">
        <f t="shared" si="280"/>
        <v>1.9523385264182274E-2</v>
      </c>
      <c r="U749" s="5">
        <f t="shared" si="281"/>
        <v>1.7427037920332861E-2</v>
      </c>
      <c r="V749" s="5">
        <f t="shared" si="282"/>
        <v>2.1193416694791391E-2</v>
      </c>
      <c r="W749" s="5">
        <f t="shared" si="283"/>
        <v>1.7645982793607889E-2</v>
      </c>
      <c r="X749" s="5">
        <f t="shared" si="284"/>
        <v>-7.3942823253118932E-3</v>
      </c>
      <c r="Y749" s="5">
        <f t="shared" si="285"/>
        <v>2.661935910803328E-3</v>
      </c>
      <c r="Z749" s="33">
        <v>745</v>
      </c>
      <c r="AE749" s="20" t="str">
        <f t="shared" si="286"/>
        <v/>
      </c>
      <c r="AF749" s="22" t="str">
        <f t="shared" si="287"/>
        <v/>
      </c>
      <c r="AG749" s="9" t="str">
        <f t="shared" ca="1" si="266"/>
        <v/>
      </c>
      <c r="AH749" s="9" t="str">
        <f t="shared" ca="1" si="267"/>
        <v/>
      </c>
      <c r="AI749" s="9" t="str">
        <f t="shared" ca="1" si="268"/>
        <v/>
      </c>
      <c r="AJ749" s="9" t="str">
        <f t="shared" ca="1" si="269"/>
        <v/>
      </c>
      <c r="AK749" s="9" t="str">
        <f t="shared" ca="1" si="270"/>
        <v/>
      </c>
      <c r="AL749" s="9" t="str">
        <f t="shared" ca="1" si="271"/>
        <v/>
      </c>
      <c r="AM749" s="9" t="str">
        <f t="shared" ca="1" si="272"/>
        <v/>
      </c>
      <c r="AN749" s="9" t="str">
        <f t="shared" ca="1" si="273"/>
        <v/>
      </c>
      <c r="AO749" s="9" t="str">
        <f t="shared" ca="1" si="274"/>
        <v/>
      </c>
      <c r="AP749" s="9" t="str">
        <f t="shared" ca="1" si="275"/>
        <v/>
      </c>
      <c r="AQ749" s="9"/>
      <c r="AR749" s="9"/>
      <c r="AS749" s="9"/>
      <c r="AT749" s="9"/>
      <c r="AU749" s="9"/>
    </row>
    <row r="750" spans="1:47" x14ac:dyDescent="0.3">
      <c r="A750" s="1">
        <v>44546</v>
      </c>
      <c r="B750" s="6">
        <v>566.09002699999996</v>
      </c>
      <c r="C750" s="6">
        <v>352.92001299999998</v>
      </c>
      <c r="D750" s="6">
        <v>45.810001</v>
      </c>
      <c r="E750" s="6">
        <v>171.820007</v>
      </c>
      <c r="F750" s="6">
        <v>174.490005</v>
      </c>
      <c r="G750" s="6">
        <v>58.689999</v>
      </c>
      <c r="H750" s="6">
        <v>172.320007</v>
      </c>
      <c r="I750" s="6">
        <v>216.88000500000001</v>
      </c>
      <c r="J750" s="6">
        <v>36.619999</v>
      </c>
      <c r="K750" s="6">
        <v>23.41</v>
      </c>
      <c r="N750" s="18">
        <v>746</v>
      </c>
      <c r="O750" s="1">
        <v>44546</v>
      </c>
      <c r="P750" s="5">
        <f t="shared" si="276"/>
        <v>-0.10749039488042796</v>
      </c>
      <c r="Q750" s="5">
        <f t="shared" si="277"/>
        <v>-2.3467165750751161E-2</v>
      </c>
      <c r="R750" s="5">
        <f t="shared" si="278"/>
        <v>4.4850700958237021E-3</v>
      </c>
      <c r="S750" s="5">
        <f t="shared" si="279"/>
        <v>1.4560705552120147E-3</v>
      </c>
      <c r="T750" s="5">
        <f t="shared" si="280"/>
        <v>-1.3660602737109818E-2</v>
      </c>
      <c r="U750" s="5">
        <f t="shared" si="281"/>
        <v>-1.5721733945465007E-2</v>
      </c>
      <c r="V750" s="5">
        <f t="shared" si="282"/>
        <v>3.7792363975976129E-3</v>
      </c>
      <c r="W750" s="5">
        <f t="shared" si="283"/>
        <v>9.2264976064008498E-4</v>
      </c>
      <c r="X750" s="5">
        <f t="shared" si="284"/>
        <v>6.5753113612757267E-3</v>
      </c>
      <c r="Y750" s="5">
        <f t="shared" si="285"/>
        <v>3.6541690673375045E-2</v>
      </c>
      <c r="Z750" s="33">
        <v>746</v>
      </c>
      <c r="AE750" s="20" t="str">
        <f t="shared" si="286"/>
        <v/>
      </c>
      <c r="AF750" s="22" t="str">
        <f t="shared" si="287"/>
        <v/>
      </c>
      <c r="AG750" s="9" t="str">
        <f t="shared" ca="1" si="266"/>
        <v/>
      </c>
      <c r="AH750" s="9" t="str">
        <f t="shared" ca="1" si="267"/>
        <v/>
      </c>
      <c r="AI750" s="9" t="str">
        <f t="shared" ca="1" si="268"/>
        <v/>
      </c>
      <c r="AJ750" s="9" t="str">
        <f t="shared" ca="1" si="269"/>
        <v/>
      </c>
      <c r="AK750" s="9" t="str">
        <f t="shared" ca="1" si="270"/>
        <v/>
      </c>
      <c r="AL750" s="9" t="str">
        <f t="shared" ca="1" si="271"/>
        <v/>
      </c>
      <c r="AM750" s="9" t="str">
        <f t="shared" ca="1" si="272"/>
        <v/>
      </c>
      <c r="AN750" s="9" t="str">
        <f t="shared" ca="1" si="273"/>
        <v/>
      </c>
      <c r="AO750" s="9" t="str">
        <f t="shared" ca="1" si="274"/>
        <v/>
      </c>
      <c r="AP750" s="9" t="str">
        <f t="shared" ca="1" si="275"/>
        <v/>
      </c>
      <c r="AQ750" s="9"/>
      <c r="AR750" s="9"/>
      <c r="AS750" s="9"/>
      <c r="AT750" s="9"/>
      <c r="AU750" s="9"/>
    </row>
    <row r="751" spans="1:47" x14ac:dyDescent="0.3">
      <c r="A751" s="1">
        <v>44547</v>
      </c>
      <c r="B751" s="6">
        <v>556.64001499999995</v>
      </c>
      <c r="C751" s="6">
        <v>348.040009</v>
      </c>
      <c r="D751" s="6">
        <v>45.810001</v>
      </c>
      <c r="E751" s="6">
        <v>168.300003</v>
      </c>
      <c r="F751" s="6">
        <v>171.61000100000001</v>
      </c>
      <c r="G751" s="6">
        <v>57.959999000000003</v>
      </c>
      <c r="H751" s="6">
        <v>170.28999300000001</v>
      </c>
      <c r="I751" s="6">
        <v>209.35000600000001</v>
      </c>
      <c r="J751" s="6">
        <v>36.709999000000003</v>
      </c>
      <c r="K751" s="6">
        <v>23.280000999999999</v>
      </c>
      <c r="N751" s="19">
        <v>747</v>
      </c>
      <c r="O751" s="1">
        <v>44547</v>
      </c>
      <c r="P751" s="5">
        <f t="shared" si="276"/>
        <v>-1.6834385507608809E-2</v>
      </c>
      <c r="Q751" s="5">
        <f t="shared" si="277"/>
        <v>-1.3923997632526726E-2</v>
      </c>
      <c r="R751" s="5">
        <f t="shared" si="278"/>
        <v>0</v>
      </c>
      <c r="S751" s="5">
        <f t="shared" si="279"/>
        <v>-2.0699338928147182E-2</v>
      </c>
      <c r="T751" s="5">
        <f t="shared" si="280"/>
        <v>-1.6642995823697417E-2</v>
      </c>
      <c r="U751" s="5">
        <f t="shared" si="281"/>
        <v>-1.2516237332361723E-2</v>
      </c>
      <c r="V751" s="5">
        <f t="shared" si="282"/>
        <v>-1.1850429098011516E-2</v>
      </c>
      <c r="W751" s="5">
        <f t="shared" si="283"/>
        <v>-3.5336707119342926E-2</v>
      </c>
      <c r="X751" s="5">
        <f t="shared" si="284"/>
        <v>2.4546583293267783E-3</v>
      </c>
      <c r="Y751" s="5">
        <f t="shared" si="285"/>
        <v>-5.568615684256829E-3</v>
      </c>
      <c r="Z751" s="33">
        <v>747</v>
      </c>
      <c r="AE751" s="20" t="str">
        <f t="shared" si="286"/>
        <v/>
      </c>
      <c r="AF751" s="22" t="str">
        <f t="shared" si="287"/>
        <v/>
      </c>
      <c r="AG751" s="9" t="str">
        <f t="shared" ca="1" si="266"/>
        <v/>
      </c>
      <c r="AH751" s="9" t="str">
        <f t="shared" ca="1" si="267"/>
        <v/>
      </c>
      <c r="AI751" s="9" t="str">
        <f t="shared" ca="1" si="268"/>
        <v/>
      </c>
      <c r="AJ751" s="9" t="str">
        <f t="shared" ca="1" si="269"/>
        <v/>
      </c>
      <c r="AK751" s="9" t="str">
        <f t="shared" ca="1" si="270"/>
        <v/>
      </c>
      <c r="AL751" s="9" t="str">
        <f t="shared" ca="1" si="271"/>
        <v/>
      </c>
      <c r="AM751" s="9" t="str">
        <f t="shared" ca="1" si="272"/>
        <v/>
      </c>
      <c r="AN751" s="9" t="str">
        <f t="shared" ca="1" si="273"/>
        <v/>
      </c>
      <c r="AO751" s="9" t="str">
        <f t="shared" ca="1" si="274"/>
        <v/>
      </c>
      <c r="AP751" s="9" t="str">
        <f t="shared" ca="1" si="275"/>
        <v/>
      </c>
      <c r="AQ751" s="9"/>
      <c r="AR751" s="9"/>
      <c r="AS751" s="9"/>
      <c r="AT751" s="9"/>
      <c r="AU751" s="9"/>
    </row>
    <row r="752" spans="1:47" x14ac:dyDescent="0.3">
      <c r="A752" s="1">
        <v>44550</v>
      </c>
      <c r="B752" s="6">
        <v>549.77002000000005</v>
      </c>
      <c r="C752" s="6">
        <v>346.10998499999999</v>
      </c>
      <c r="D752" s="6">
        <v>45.82</v>
      </c>
      <c r="E752" s="6">
        <v>169.41999799999999</v>
      </c>
      <c r="F752" s="6">
        <v>171.949997</v>
      </c>
      <c r="G752" s="6">
        <v>57.689999</v>
      </c>
      <c r="H752" s="6">
        <v>168.44000199999999</v>
      </c>
      <c r="I752" s="6">
        <v>204.509995</v>
      </c>
      <c r="J752" s="6">
        <v>35.520000000000003</v>
      </c>
      <c r="K752" s="6">
        <v>22.889999</v>
      </c>
      <c r="N752" s="18">
        <v>748</v>
      </c>
      <c r="O752" s="1">
        <v>44550</v>
      </c>
      <c r="P752" s="5">
        <f t="shared" si="276"/>
        <v>-1.2418693026247447E-2</v>
      </c>
      <c r="Q752" s="5">
        <f t="shared" si="277"/>
        <v>-5.5608412884358511E-3</v>
      </c>
      <c r="R752" s="5">
        <f t="shared" si="278"/>
        <v>2.1824729740412192E-4</v>
      </c>
      <c r="S752" s="5">
        <f t="shared" si="279"/>
        <v>6.6327081763510338E-3</v>
      </c>
      <c r="T752" s="5">
        <f t="shared" si="280"/>
        <v>1.9792531899647582E-3</v>
      </c>
      <c r="U752" s="5">
        <f t="shared" si="281"/>
        <v>-4.6692692644322567E-3</v>
      </c>
      <c r="V752" s="5">
        <f t="shared" si="282"/>
        <v>-1.0923209764773378E-2</v>
      </c>
      <c r="W752" s="5">
        <f t="shared" si="283"/>
        <v>-2.3390671531169346E-2</v>
      </c>
      <c r="X752" s="5">
        <f t="shared" si="284"/>
        <v>-3.2953252144239338E-2</v>
      </c>
      <c r="Y752" s="5">
        <f t="shared" si="285"/>
        <v>-1.6894575541287885E-2</v>
      </c>
      <c r="Z752" s="33">
        <v>748</v>
      </c>
      <c r="AE752" s="20" t="str">
        <f t="shared" si="286"/>
        <v/>
      </c>
      <c r="AF752" s="22" t="str">
        <f t="shared" si="287"/>
        <v/>
      </c>
      <c r="AG752" s="9" t="str">
        <f t="shared" ca="1" si="266"/>
        <v/>
      </c>
      <c r="AH752" s="9" t="str">
        <f t="shared" ca="1" si="267"/>
        <v/>
      </c>
      <c r="AI752" s="9" t="str">
        <f t="shared" ca="1" si="268"/>
        <v/>
      </c>
      <c r="AJ752" s="9" t="str">
        <f t="shared" ca="1" si="269"/>
        <v/>
      </c>
      <c r="AK752" s="9" t="str">
        <f t="shared" ca="1" si="270"/>
        <v/>
      </c>
      <c r="AL752" s="9" t="str">
        <f t="shared" ca="1" si="271"/>
        <v/>
      </c>
      <c r="AM752" s="9" t="str">
        <f t="shared" ca="1" si="272"/>
        <v/>
      </c>
      <c r="AN752" s="9" t="str">
        <f t="shared" ca="1" si="273"/>
        <v/>
      </c>
      <c r="AO752" s="9" t="str">
        <f t="shared" ca="1" si="274"/>
        <v/>
      </c>
      <c r="AP752" s="9" t="str">
        <f t="shared" ca="1" si="275"/>
        <v/>
      </c>
      <c r="AQ752" s="9"/>
      <c r="AR752" s="9"/>
      <c r="AS752" s="9"/>
      <c r="AT752" s="9"/>
      <c r="AU752" s="9"/>
    </row>
    <row r="753" spans="1:47" x14ac:dyDescent="0.3">
      <c r="A753" s="1">
        <v>44551</v>
      </c>
      <c r="B753" s="6">
        <v>557.52002000000005</v>
      </c>
      <c r="C753" s="6">
        <v>359.07000699999998</v>
      </c>
      <c r="D753" s="6">
        <v>46.395000000000003</v>
      </c>
      <c r="E753" s="6">
        <v>168.91999799999999</v>
      </c>
      <c r="F753" s="6">
        <v>172.5</v>
      </c>
      <c r="G753" s="6">
        <v>58.220001000000003</v>
      </c>
      <c r="H753" s="6">
        <v>171.33000200000001</v>
      </c>
      <c r="I753" s="6">
        <v>208.509995</v>
      </c>
      <c r="J753" s="6">
        <v>36.950001</v>
      </c>
      <c r="K753" s="6">
        <v>23.530000999999999</v>
      </c>
      <c r="N753" s="19">
        <v>749</v>
      </c>
      <c r="O753" s="1">
        <v>44551</v>
      </c>
      <c r="P753" s="5">
        <f t="shared" si="276"/>
        <v>1.399836767863263E-2</v>
      </c>
      <c r="Q753" s="5">
        <f t="shared" si="277"/>
        <v>3.6760774779710494E-2</v>
      </c>
      <c r="R753" s="5">
        <f t="shared" si="278"/>
        <v>1.2471017779793196E-2</v>
      </c>
      <c r="S753" s="5">
        <f t="shared" si="279"/>
        <v>-2.9556089726046155E-3</v>
      </c>
      <c r="T753" s="5">
        <f t="shared" si="280"/>
        <v>3.1935170400716169E-3</v>
      </c>
      <c r="U753" s="5">
        <f t="shared" si="281"/>
        <v>9.1451245589338672E-3</v>
      </c>
      <c r="V753" s="5">
        <f t="shared" si="282"/>
        <v>1.701191785086888E-2</v>
      </c>
      <c r="W753" s="5">
        <f t="shared" si="283"/>
        <v>1.9370128145642724E-2</v>
      </c>
      <c r="X753" s="5">
        <f t="shared" si="284"/>
        <v>3.9469756333840457E-2</v>
      </c>
      <c r="Y753" s="5">
        <f t="shared" si="285"/>
        <v>2.7576154960932905E-2</v>
      </c>
      <c r="Z753" s="33">
        <v>749</v>
      </c>
      <c r="AE753" s="20" t="str">
        <f t="shared" si="286"/>
        <v/>
      </c>
      <c r="AF753" s="22" t="str">
        <f t="shared" si="287"/>
        <v/>
      </c>
      <c r="AG753" s="9" t="str">
        <f t="shared" ca="1" si="266"/>
        <v/>
      </c>
      <c r="AH753" s="9" t="str">
        <f t="shared" ca="1" si="267"/>
        <v/>
      </c>
      <c r="AI753" s="9" t="str">
        <f t="shared" ca="1" si="268"/>
        <v/>
      </c>
      <c r="AJ753" s="9" t="str">
        <f t="shared" ca="1" si="269"/>
        <v/>
      </c>
      <c r="AK753" s="9" t="str">
        <f t="shared" ca="1" si="270"/>
        <v/>
      </c>
      <c r="AL753" s="9" t="str">
        <f t="shared" ca="1" si="271"/>
        <v/>
      </c>
      <c r="AM753" s="9" t="str">
        <f t="shared" ca="1" si="272"/>
        <v/>
      </c>
      <c r="AN753" s="9" t="str">
        <f t="shared" ca="1" si="273"/>
        <v/>
      </c>
      <c r="AO753" s="9" t="str">
        <f t="shared" ca="1" si="274"/>
        <v/>
      </c>
      <c r="AP753" s="9" t="str">
        <f t="shared" ca="1" si="275"/>
        <v/>
      </c>
      <c r="AQ753" s="9"/>
      <c r="AR753" s="9"/>
      <c r="AS753" s="9"/>
      <c r="AT753" s="9"/>
      <c r="AU753" s="9"/>
    </row>
    <row r="754" spans="1:47" x14ac:dyDescent="0.3">
      <c r="A754" s="1">
        <v>44552</v>
      </c>
      <c r="B754" s="6">
        <v>563.97997999999995</v>
      </c>
      <c r="C754" s="6">
        <v>364.82998700000002</v>
      </c>
      <c r="D754" s="6">
        <v>46.740001999999997</v>
      </c>
      <c r="E754" s="6">
        <v>169.970001</v>
      </c>
      <c r="F754" s="6">
        <v>174.46000699999999</v>
      </c>
      <c r="G754" s="6">
        <v>58.810001</v>
      </c>
      <c r="H754" s="6">
        <v>172.490005</v>
      </c>
      <c r="I754" s="6">
        <v>208.179993</v>
      </c>
      <c r="J754" s="6">
        <v>36.689999</v>
      </c>
      <c r="K754" s="6">
        <v>23.629999000000002</v>
      </c>
      <c r="N754" s="18">
        <v>750</v>
      </c>
      <c r="O754" s="1">
        <v>44552</v>
      </c>
      <c r="P754" s="5">
        <f t="shared" si="276"/>
        <v>1.1520341410728796E-2</v>
      </c>
      <c r="Q754" s="5">
        <f t="shared" si="277"/>
        <v>1.5914080979788098E-2</v>
      </c>
      <c r="R754" s="5">
        <f t="shared" si="278"/>
        <v>7.408677095469763E-3</v>
      </c>
      <c r="S754" s="5">
        <f t="shared" si="279"/>
        <v>6.1967385468328614E-3</v>
      </c>
      <c r="T754" s="5">
        <f t="shared" si="280"/>
        <v>1.1298292657467826E-2</v>
      </c>
      <c r="U754" s="5">
        <f t="shared" si="281"/>
        <v>1.008296998207027E-2</v>
      </c>
      <c r="V754" s="5">
        <f t="shared" si="282"/>
        <v>6.747759745464597E-3</v>
      </c>
      <c r="W754" s="5">
        <f t="shared" si="283"/>
        <v>-1.583921277189939E-3</v>
      </c>
      <c r="X754" s="5">
        <f t="shared" si="284"/>
        <v>-7.0614633460024737E-3</v>
      </c>
      <c r="Y754" s="5">
        <f t="shared" si="285"/>
        <v>4.2408036415220469E-3</v>
      </c>
      <c r="Z754" s="33">
        <v>750</v>
      </c>
      <c r="AE754" s="20" t="str">
        <f t="shared" si="286"/>
        <v/>
      </c>
      <c r="AF754" s="22" t="str">
        <f t="shared" si="287"/>
        <v/>
      </c>
      <c r="AG754" s="9" t="str">
        <f t="shared" ca="1" si="266"/>
        <v/>
      </c>
      <c r="AH754" s="9" t="str">
        <f t="shared" ca="1" si="267"/>
        <v/>
      </c>
      <c r="AI754" s="9" t="str">
        <f t="shared" ca="1" si="268"/>
        <v/>
      </c>
      <c r="AJ754" s="9" t="str">
        <f t="shared" ca="1" si="269"/>
        <v/>
      </c>
      <c r="AK754" s="9" t="str">
        <f t="shared" ca="1" si="270"/>
        <v/>
      </c>
      <c r="AL754" s="9" t="str">
        <f t="shared" ca="1" si="271"/>
        <v/>
      </c>
      <c r="AM754" s="9" t="str">
        <f t="shared" ca="1" si="272"/>
        <v/>
      </c>
      <c r="AN754" s="9" t="str">
        <f t="shared" ca="1" si="273"/>
        <v/>
      </c>
      <c r="AO754" s="9" t="str">
        <f t="shared" ca="1" si="274"/>
        <v/>
      </c>
      <c r="AP754" s="9" t="str">
        <f t="shared" ca="1" si="275"/>
        <v/>
      </c>
      <c r="AQ754" s="9"/>
      <c r="AR754" s="9"/>
      <c r="AS754" s="9"/>
      <c r="AT754" s="9"/>
      <c r="AU754" s="9"/>
    </row>
    <row r="755" spans="1:47" x14ac:dyDescent="0.3">
      <c r="A755" s="1">
        <v>44553</v>
      </c>
      <c r="B755" s="6">
        <v>569.61999500000002</v>
      </c>
      <c r="C755" s="6">
        <v>366.14999399999999</v>
      </c>
      <c r="D755" s="6">
        <v>46.919998</v>
      </c>
      <c r="E755" s="6">
        <v>169.779999</v>
      </c>
      <c r="F755" s="6">
        <v>173.490005</v>
      </c>
      <c r="G755" s="6">
        <v>58.68</v>
      </c>
      <c r="H755" s="6">
        <v>173.740005</v>
      </c>
      <c r="I755" s="6">
        <v>209.94000199999999</v>
      </c>
      <c r="J755" s="6">
        <v>36.849997999999999</v>
      </c>
      <c r="K755" s="6">
        <v>24.42</v>
      </c>
      <c r="N755" s="19">
        <v>751</v>
      </c>
      <c r="O755" s="1">
        <v>44553</v>
      </c>
      <c r="P755" s="5">
        <f t="shared" si="276"/>
        <v>9.9507086489663433E-3</v>
      </c>
      <c r="Q755" s="5">
        <f t="shared" si="277"/>
        <v>3.6116130923691454E-3</v>
      </c>
      <c r="R755" s="5">
        <f t="shared" si="278"/>
        <v>3.8436092589152881E-3</v>
      </c>
      <c r="S755" s="5">
        <f t="shared" si="279"/>
        <v>-1.1184813528047355E-3</v>
      </c>
      <c r="T755" s="5">
        <f t="shared" si="280"/>
        <v>-5.5755394705412032E-3</v>
      </c>
      <c r="U755" s="5">
        <f t="shared" si="281"/>
        <v>-2.2129722009943398E-3</v>
      </c>
      <c r="V755" s="5">
        <f t="shared" si="282"/>
        <v>7.2206648466841272E-3</v>
      </c>
      <c r="W755" s="5">
        <f t="shared" si="283"/>
        <v>8.418728671609154E-3</v>
      </c>
      <c r="X755" s="5">
        <f t="shared" si="284"/>
        <v>4.3513532494526639E-3</v>
      </c>
      <c r="Y755" s="5">
        <f t="shared" si="285"/>
        <v>3.2885419802828865E-2</v>
      </c>
      <c r="Z755" s="33">
        <v>751</v>
      </c>
      <c r="AE755" s="20" t="str">
        <f t="shared" si="286"/>
        <v/>
      </c>
      <c r="AF755" s="22" t="str">
        <f t="shared" si="287"/>
        <v/>
      </c>
      <c r="AG755" s="9" t="str">
        <f t="shared" ca="1" si="266"/>
        <v/>
      </c>
      <c r="AH755" s="9" t="str">
        <f t="shared" ca="1" si="267"/>
        <v/>
      </c>
      <c r="AI755" s="9" t="str">
        <f t="shared" ca="1" si="268"/>
        <v/>
      </c>
      <c r="AJ755" s="9" t="str">
        <f t="shared" ca="1" si="269"/>
        <v/>
      </c>
      <c r="AK755" s="9" t="str">
        <f t="shared" ca="1" si="270"/>
        <v/>
      </c>
      <c r="AL755" s="9" t="str">
        <f t="shared" ca="1" si="271"/>
        <v/>
      </c>
      <c r="AM755" s="9" t="str">
        <f t="shared" ca="1" si="272"/>
        <v/>
      </c>
      <c r="AN755" s="9" t="str">
        <f t="shared" ca="1" si="273"/>
        <v/>
      </c>
      <c r="AO755" s="9" t="str">
        <f t="shared" ca="1" si="274"/>
        <v/>
      </c>
      <c r="AP755" s="9" t="str">
        <f t="shared" ca="1" si="275"/>
        <v/>
      </c>
      <c r="AQ755" s="9"/>
      <c r="AR755" s="9"/>
      <c r="AS755" s="9"/>
      <c r="AT755" s="9"/>
      <c r="AU755" s="9"/>
    </row>
    <row r="756" spans="1:47" x14ac:dyDescent="0.3">
      <c r="A756" s="1">
        <v>44557</v>
      </c>
      <c r="B756" s="6">
        <v>577.67999299999997</v>
      </c>
      <c r="C756" s="6">
        <v>375.58999599999999</v>
      </c>
      <c r="D756" s="6">
        <v>47.400002000000001</v>
      </c>
      <c r="E756" s="6">
        <v>171.470001</v>
      </c>
      <c r="F756" s="6">
        <v>176.55999800000001</v>
      </c>
      <c r="G756" s="6">
        <v>59.43</v>
      </c>
      <c r="H756" s="6">
        <v>178.63000500000001</v>
      </c>
      <c r="I756" s="6">
        <v>213.970001</v>
      </c>
      <c r="J756" s="6">
        <v>37.889999000000003</v>
      </c>
      <c r="K756" s="6">
        <v>24.360001</v>
      </c>
      <c r="N756" s="18">
        <v>752</v>
      </c>
      <c r="O756" s="1">
        <v>44557</v>
      </c>
      <c r="P756" s="5">
        <f t="shared" si="276"/>
        <v>1.4050606962380325E-2</v>
      </c>
      <c r="Q756" s="5">
        <f t="shared" si="277"/>
        <v>2.5455043141260715E-2</v>
      </c>
      <c r="R756" s="5">
        <f t="shared" si="278"/>
        <v>1.0178289735594882E-2</v>
      </c>
      <c r="S756" s="5">
        <f t="shared" si="279"/>
        <v>9.9048546028373593E-3</v>
      </c>
      <c r="T756" s="5">
        <f t="shared" si="280"/>
        <v>1.7540760962545855E-2</v>
      </c>
      <c r="U756" s="5">
        <f t="shared" si="281"/>
        <v>1.2700196103788176E-2</v>
      </c>
      <c r="V756" s="5">
        <f t="shared" si="282"/>
        <v>2.7756697841203003E-2</v>
      </c>
      <c r="W756" s="5">
        <f t="shared" si="283"/>
        <v>1.9014037818228781E-2</v>
      </c>
      <c r="X756" s="5">
        <f t="shared" si="284"/>
        <v>2.7831634277061295E-2</v>
      </c>
      <c r="Y756" s="5">
        <f t="shared" si="285"/>
        <v>-2.4599847899600706E-3</v>
      </c>
      <c r="Z756" s="33">
        <v>752</v>
      </c>
      <c r="AE756" s="20" t="str">
        <f t="shared" si="286"/>
        <v/>
      </c>
      <c r="AF756" s="22" t="str">
        <f t="shared" si="287"/>
        <v/>
      </c>
      <c r="AG756" s="9" t="str">
        <f t="shared" ca="1" si="266"/>
        <v/>
      </c>
      <c r="AH756" s="9" t="str">
        <f t="shared" ca="1" si="267"/>
        <v/>
      </c>
      <c r="AI756" s="9" t="str">
        <f t="shared" ca="1" si="268"/>
        <v/>
      </c>
      <c r="AJ756" s="9" t="str">
        <f t="shared" ca="1" si="269"/>
        <v/>
      </c>
      <c r="AK756" s="9" t="str">
        <f t="shared" ca="1" si="270"/>
        <v/>
      </c>
      <c r="AL756" s="9" t="str">
        <f t="shared" ca="1" si="271"/>
        <v/>
      </c>
      <c r="AM756" s="9" t="str">
        <f t="shared" ca="1" si="272"/>
        <v/>
      </c>
      <c r="AN756" s="9" t="str">
        <f t="shared" ca="1" si="273"/>
        <v/>
      </c>
      <c r="AO756" s="9" t="str">
        <f t="shared" ca="1" si="274"/>
        <v/>
      </c>
      <c r="AP756" s="9" t="str">
        <f t="shared" ca="1" si="275"/>
        <v/>
      </c>
      <c r="AQ756" s="9"/>
      <c r="AR756" s="9"/>
      <c r="AS756" s="9"/>
      <c r="AT756" s="9"/>
      <c r="AU756" s="9"/>
    </row>
    <row r="757" spans="1:47" x14ac:dyDescent="0.3">
      <c r="A757" s="1">
        <v>44558</v>
      </c>
      <c r="B757" s="6">
        <v>569.35998500000005</v>
      </c>
      <c r="C757" s="6">
        <v>372.14999399999999</v>
      </c>
      <c r="D757" s="6">
        <v>47.349997999999999</v>
      </c>
      <c r="E757" s="6">
        <v>172.36000100000001</v>
      </c>
      <c r="F757" s="6">
        <v>176.78999300000001</v>
      </c>
      <c r="G757" s="6">
        <v>59.439999</v>
      </c>
      <c r="H757" s="6">
        <v>179.80999800000001</v>
      </c>
      <c r="I757" s="6">
        <v>216.89999399999999</v>
      </c>
      <c r="J757" s="6">
        <v>37.840000000000003</v>
      </c>
      <c r="K757" s="6">
        <v>24.33</v>
      </c>
      <c r="N757" s="19">
        <v>753</v>
      </c>
      <c r="O757" s="1">
        <v>44558</v>
      </c>
      <c r="P757" s="5">
        <f t="shared" si="276"/>
        <v>-1.4507173379845587E-2</v>
      </c>
      <c r="Q757" s="5">
        <f t="shared" si="277"/>
        <v>-9.2011295782242243E-3</v>
      </c>
      <c r="R757" s="5">
        <f t="shared" si="278"/>
        <v>-1.0554935016847265E-3</v>
      </c>
      <c r="S757" s="5">
        <f t="shared" si="279"/>
        <v>5.1769885267636357E-3</v>
      </c>
      <c r="T757" s="5">
        <f t="shared" si="280"/>
        <v>1.301797302044193E-3</v>
      </c>
      <c r="U757" s="5">
        <f t="shared" si="281"/>
        <v>1.6823420724667657E-4</v>
      </c>
      <c r="V757" s="5">
        <f t="shared" si="282"/>
        <v>6.5840712690826081E-3</v>
      </c>
      <c r="W757" s="5">
        <f t="shared" si="283"/>
        <v>1.3600567217899151E-2</v>
      </c>
      <c r="X757" s="5">
        <f t="shared" si="284"/>
        <v>-1.3204544546436083E-3</v>
      </c>
      <c r="Y757" s="5">
        <f t="shared" si="285"/>
        <v>-1.2323270971674254E-3</v>
      </c>
      <c r="Z757" s="33">
        <v>753</v>
      </c>
      <c r="AE757" s="20" t="str">
        <f t="shared" si="286"/>
        <v/>
      </c>
      <c r="AF757" s="22" t="str">
        <f t="shared" si="287"/>
        <v/>
      </c>
      <c r="AG757" s="9" t="str">
        <f t="shared" ca="1" si="266"/>
        <v/>
      </c>
      <c r="AH757" s="9" t="str">
        <f t="shared" ca="1" si="267"/>
        <v/>
      </c>
      <c r="AI757" s="9" t="str">
        <f t="shared" ca="1" si="268"/>
        <v/>
      </c>
      <c r="AJ757" s="9" t="str">
        <f t="shared" ca="1" si="269"/>
        <v/>
      </c>
      <c r="AK757" s="9" t="str">
        <f t="shared" ca="1" si="270"/>
        <v/>
      </c>
      <c r="AL757" s="9" t="str">
        <f t="shared" ca="1" si="271"/>
        <v/>
      </c>
      <c r="AM757" s="9" t="str">
        <f t="shared" ca="1" si="272"/>
        <v/>
      </c>
      <c r="AN757" s="9" t="str">
        <f t="shared" ca="1" si="273"/>
        <v/>
      </c>
      <c r="AO757" s="9" t="str">
        <f t="shared" ca="1" si="274"/>
        <v/>
      </c>
      <c r="AP757" s="9" t="str">
        <f t="shared" ca="1" si="275"/>
        <v/>
      </c>
      <c r="AQ757" s="9"/>
      <c r="AR757" s="9"/>
      <c r="AS757" s="9"/>
      <c r="AT757" s="9"/>
      <c r="AU757" s="9"/>
    </row>
    <row r="758" spans="1:47" x14ac:dyDescent="0.3">
      <c r="A758" s="1">
        <v>44559</v>
      </c>
      <c r="B758" s="6">
        <v>569.28997800000002</v>
      </c>
      <c r="C758" s="6">
        <v>373.44000199999999</v>
      </c>
      <c r="D758" s="6">
        <v>47.895000000000003</v>
      </c>
      <c r="E758" s="6">
        <v>172.970001</v>
      </c>
      <c r="F758" s="6">
        <v>177.66000399999999</v>
      </c>
      <c r="G758" s="6">
        <v>59.82</v>
      </c>
      <c r="H758" s="6">
        <v>181.470001</v>
      </c>
      <c r="I758" s="6">
        <v>217.38999899999999</v>
      </c>
      <c r="J758" s="6">
        <v>37.779998999999997</v>
      </c>
      <c r="K758" s="6">
        <v>23.870000999999998</v>
      </c>
      <c r="N758" s="18">
        <v>754</v>
      </c>
      <c r="O758" s="1">
        <v>44559</v>
      </c>
      <c r="P758" s="5">
        <f t="shared" si="276"/>
        <v>-1.2296491874255527E-4</v>
      </c>
      <c r="Q758" s="5">
        <f t="shared" si="277"/>
        <v>3.4603717704155719E-3</v>
      </c>
      <c r="R758" s="5">
        <f t="shared" si="278"/>
        <v>1.1444337441417216E-2</v>
      </c>
      <c r="S758" s="5">
        <f t="shared" si="279"/>
        <v>3.5328562877338801E-3</v>
      </c>
      <c r="T758" s="5">
        <f t="shared" si="280"/>
        <v>4.9090859335394268E-3</v>
      </c>
      <c r="U758" s="5">
        <f t="shared" si="281"/>
        <v>6.3726696159862239E-3</v>
      </c>
      <c r="V758" s="5">
        <f t="shared" si="282"/>
        <v>9.1896295767908368E-3</v>
      </c>
      <c r="W758" s="5">
        <f t="shared" si="283"/>
        <v>2.2565806987490033E-3</v>
      </c>
      <c r="X758" s="5">
        <f t="shared" si="284"/>
        <v>-1.5869085793458089E-3</v>
      </c>
      <c r="Y758" s="5">
        <f t="shared" si="285"/>
        <v>-1.9087674551103124E-2</v>
      </c>
      <c r="Z758" s="33">
        <v>754</v>
      </c>
      <c r="AE758" s="20" t="str">
        <f t="shared" si="286"/>
        <v/>
      </c>
      <c r="AF758" s="22" t="str">
        <f t="shared" si="287"/>
        <v/>
      </c>
      <c r="AG758" s="9" t="str">
        <f t="shared" ca="1" si="266"/>
        <v/>
      </c>
      <c r="AH758" s="9" t="str">
        <f t="shared" ca="1" si="267"/>
        <v/>
      </c>
      <c r="AI758" s="9" t="str">
        <f t="shared" ca="1" si="268"/>
        <v/>
      </c>
      <c r="AJ758" s="9" t="str">
        <f t="shared" ca="1" si="269"/>
        <v/>
      </c>
      <c r="AK758" s="9" t="str">
        <f t="shared" ca="1" si="270"/>
        <v/>
      </c>
      <c r="AL758" s="9" t="str">
        <f t="shared" ca="1" si="271"/>
        <v/>
      </c>
      <c r="AM758" s="9" t="str">
        <f t="shared" ca="1" si="272"/>
        <v/>
      </c>
      <c r="AN758" s="9" t="str">
        <f t="shared" ca="1" si="273"/>
        <v/>
      </c>
      <c r="AO758" s="9" t="str">
        <f t="shared" ca="1" si="274"/>
        <v/>
      </c>
      <c r="AP758" s="9" t="str">
        <f t="shared" ca="1" si="275"/>
        <v/>
      </c>
      <c r="AQ758" s="9"/>
      <c r="AR758" s="9"/>
      <c r="AS758" s="9"/>
      <c r="AT758" s="9"/>
      <c r="AU758" s="9"/>
    </row>
    <row r="759" spans="1:47" x14ac:dyDescent="0.3">
      <c r="A759" s="1">
        <v>44560</v>
      </c>
      <c r="B759" s="6">
        <v>570.53002900000001</v>
      </c>
      <c r="C759" s="6">
        <v>370.80999800000001</v>
      </c>
      <c r="D759" s="6">
        <v>47.695</v>
      </c>
      <c r="E759" s="6">
        <v>172.66999799999999</v>
      </c>
      <c r="F759" s="6">
        <v>178.179993</v>
      </c>
      <c r="G759" s="6">
        <v>59.880001</v>
      </c>
      <c r="H759" s="6">
        <v>180.66999799999999</v>
      </c>
      <c r="I759" s="6">
        <v>214.25</v>
      </c>
      <c r="J759" s="6">
        <v>37.770000000000003</v>
      </c>
      <c r="K759" s="6">
        <v>24.450001</v>
      </c>
      <c r="N759" s="19">
        <v>755</v>
      </c>
      <c r="O759" s="1">
        <v>44560</v>
      </c>
      <c r="P759" s="5">
        <f t="shared" si="276"/>
        <v>2.1758724739485151E-3</v>
      </c>
      <c r="Q759" s="5">
        <f t="shared" si="277"/>
        <v>-7.0675578030616627E-3</v>
      </c>
      <c r="R759" s="5">
        <f t="shared" si="278"/>
        <v>-4.1845442376837278E-3</v>
      </c>
      <c r="S759" s="5">
        <f t="shared" si="279"/>
        <v>-1.7359279956304949E-3</v>
      </c>
      <c r="T759" s="5">
        <f t="shared" si="280"/>
        <v>2.9226021499110964E-3</v>
      </c>
      <c r="U759" s="5">
        <f t="shared" si="281"/>
        <v>1.0025230496923771E-3</v>
      </c>
      <c r="V759" s="5">
        <f t="shared" si="282"/>
        <v>-4.418204581556005E-3</v>
      </c>
      <c r="W759" s="5">
        <f t="shared" si="283"/>
        <v>-1.4549413391170827E-2</v>
      </c>
      <c r="X759" s="5">
        <f t="shared" si="284"/>
        <v>-2.6469887996623324E-4</v>
      </c>
      <c r="Y759" s="5">
        <f t="shared" si="285"/>
        <v>2.4007774576347549E-2</v>
      </c>
      <c r="Z759" s="33">
        <v>755</v>
      </c>
      <c r="AE759" s="20" t="str">
        <f t="shared" si="286"/>
        <v/>
      </c>
      <c r="AF759" s="22" t="str">
        <f t="shared" si="287"/>
        <v/>
      </c>
      <c r="AG759" s="9" t="str">
        <f t="shared" ca="1" si="266"/>
        <v/>
      </c>
      <c r="AH759" s="9" t="str">
        <f t="shared" ca="1" si="267"/>
        <v/>
      </c>
      <c r="AI759" s="9" t="str">
        <f t="shared" ca="1" si="268"/>
        <v/>
      </c>
      <c r="AJ759" s="9" t="str">
        <f t="shared" ca="1" si="269"/>
        <v/>
      </c>
      <c r="AK759" s="9" t="str">
        <f t="shared" ca="1" si="270"/>
        <v/>
      </c>
      <c r="AL759" s="9" t="str">
        <f t="shared" ca="1" si="271"/>
        <v/>
      </c>
      <c r="AM759" s="9" t="str">
        <f t="shared" ca="1" si="272"/>
        <v/>
      </c>
      <c r="AN759" s="9" t="str">
        <f t="shared" ca="1" si="273"/>
        <v/>
      </c>
      <c r="AO759" s="9" t="str">
        <f t="shared" ca="1" si="274"/>
        <v/>
      </c>
      <c r="AP759" s="9" t="str">
        <f t="shared" ca="1" si="275"/>
        <v/>
      </c>
      <c r="AQ759" s="9"/>
      <c r="AR759" s="9"/>
      <c r="AS759" s="9"/>
      <c r="AT759" s="9"/>
      <c r="AU759" s="9"/>
    </row>
    <row r="760" spans="1:47" x14ac:dyDescent="0.3">
      <c r="A760" s="1">
        <v>44561</v>
      </c>
      <c r="B760" s="6">
        <v>567.05999799999995</v>
      </c>
      <c r="C760" s="6">
        <v>368.5</v>
      </c>
      <c r="D760" s="6">
        <v>48.02</v>
      </c>
      <c r="E760" s="6">
        <v>173.71000699999999</v>
      </c>
      <c r="F760" s="6">
        <v>178.679993</v>
      </c>
      <c r="G760" s="6">
        <v>59.990001999999997</v>
      </c>
      <c r="H760" s="6">
        <v>181.60000600000001</v>
      </c>
      <c r="I760" s="6">
        <v>215.38000500000001</v>
      </c>
      <c r="J760" s="6">
        <v>37.450001</v>
      </c>
      <c r="K760" s="6">
        <v>23.540001</v>
      </c>
      <c r="N760" s="18">
        <v>756</v>
      </c>
      <c r="O760" s="1">
        <v>44561</v>
      </c>
      <c r="P760" s="5">
        <f t="shared" si="276"/>
        <v>-6.1006894927952372E-3</v>
      </c>
      <c r="Q760" s="5">
        <f t="shared" si="277"/>
        <v>-6.2490850213508479E-3</v>
      </c>
      <c r="R760" s="5">
        <f t="shared" si="278"/>
        <v>6.7910201959359281E-3</v>
      </c>
      <c r="S760" s="5">
        <f t="shared" si="279"/>
        <v>6.0050355693270401E-3</v>
      </c>
      <c r="T760" s="5">
        <f t="shared" si="280"/>
        <v>2.8022213013546011E-3</v>
      </c>
      <c r="U760" s="5">
        <f t="shared" si="281"/>
        <v>1.8353387523966477E-3</v>
      </c>
      <c r="V760" s="5">
        <f t="shared" si="282"/>
        <v>5.1343474909106958E-3</v>
      </c>
      <c r="W760" s="5">
        <f t="shared" si="283"/>
        <v>5.26037563762859E-3</v>
      </c>
      <c r="X760" s="5">
        <f t="shared" si="284"/>
        <v>-8.5084000588677763E-3</v>
      </c>
      <c r="Y760" s="5">
        <f t="shared" si="285"/>
        <v>-3.7929112507662309E-2</v>
      </c>
      <c r="Z760" s="33">
        <v>756</v>
      </c>
      <c r="AE760" s="20" t="str">
        <f t="shared" si="286"/>
        <v/>
      </c>
      <c r="AF760" s="22" t="str">
        <f t="shared" si="287"/>
        <v/>
      </c>
      <c r="AG760" s="9" t="str">
        <f t="shared" ca="1" si="266"/>
        <v/>
      </c>
      <c r="AH760" s="9" t="str">
        <f t="shared" ca="1" si="267"/>
        <v/>
      </c>
      <c r="AI760" s="9" t="str">
        <f t="shared" ca="1" si="268"/>
        <v/>
      </c>
      <c r="AJ760" s="9" t="str">
        <f t="shared" ca="1" si="269"/>
        <v/>
      </c>
      <c r="AK760" s="9" t="str">
        <f t="shared" ca="1" si="270"/>
        <v/>
      </c>
      <c r="AL760" s="9" t="str">
        <f t="shared" ca="1" si="271"/>
        <v/>
      </c>
      <c r="AM760" s="9" t="str">
        <f t="shared" ca="1" si="272"/>
        <v/>
      </c>
      <c r="AN760" s="9" t="str">
        <f t="shared" ca="1" si="273"/>
        <v/>
      </c>
      <c r="AO760" s="9" t="str">
        <f t="shared" ca="1" si="274"/>
        <v/>
      </c>
      <c r="AP760" s="9" t="str">
        <f t="shared" ca="1" si="275"/>
        <v/>
      </c>
      <c r="AQ760" s="9"/>
      <c r="AR760" s="9"/>
      <c r="AS760" s="9"/>
      <c r="AT760" s="9"/>
      <c r="AU760" s="9"/>
    </row>
    <row r="761" spans="1:47" x14ac:dyDescent="0.3">
      <c r="A761" s="1">
        <v>44564</v>
      </c>
      <c r="B761" s="6">
        <v>564.36999500000002</v>
      </c>
      <c r="C761" s="6">
        <v>361.10000600000001</v>
      </c>
      <c r="D761" s="6">
        <v>48.27</v>
      </c>
      <c r="E761" s="6">
        <v>172.979996</v>
      </c>
      <c r="F761" s="6">
        <v>176.449997</v>
      </c>
      <c r="G761" s="6">
        <v>59.900002000000001</v>
      </c>
      <c r="H761" s="6">
        <v>178.33000200000001</v>
      </c>
      <c r="I761" s="6">
        <v>213.320007</v>
      </c>
      <c r="J761" s="6">
        <v>37.650002000000001</v>
      </c>
      <c r="K761" s="6">
        <v>25.33</v>
      </c>
      <c r="N761" s="19">
        <v>757</v>
      </c>
      <c r="O761" s="1">
        <v>44564</v>
      </c>
      <c r="P761" s="5">
        <f t="shared" si="276"/>
        <v>-4.7550587931831922E-3</v>
      </c>
      <c r="Q761" s="5">
        <f t="shared" si="277"/>
        <v>-2.0285766730083473E-2</v>
      </c>
      <c r="R761" s="5">
        <f t="shared" si="278"/>
        <v>5.192658879294325E-3</v>
      </c>
      <c r="S761" s="5">
        <f t="shared" si="279"/>
        <v>-4.2113246565730232E-3</v>
      </c>
      <c r="T761" s="5">
        <f t="shared" si="280"/>
        <v>-1.2558924188440864E-2</v>
      </c>
      <c r="U761" s="5">
        <f t="shared" si="281"/>
        <v>-1.5013764935061758E-3</v>
      </c>
      <c r="V761" s="5">
        <f t="shared" si="282"/>
        <v>-1.8170721527255271E-2</v>
      </c>
      <c r="W761" s="5">
        <f t="shared" si="283"/>
        <v>-9.6105145685659379E-3</v>
      </c>
      <c r="X761" s="5">
        <f t="shared" si="284"/>
        <v>5.3262707012532952E-3</v>
      </c>
      <c r="Y761" s="5">
        <f t="shared" si="285"/>
        <v>7.3288319700570398E-2</v>
      </c>
      <c r="Z761" s="33">
        <v>757</v>
      </c>
      <c r="AE761" s="20" t="str">
        <f t="shared" si="286"/>
        <v/>
      </c>
      <c r="AF761" s="22" t="str">
        <f t="shared" si="287"/>
        <v/>
      </c>
      <c r="AG761" s="9" t="str">
        <f t="shared" ca="1" si="266"/>
        <v/>
      </c>
      <c r="AH761" s="9" t="str">
        <f t="shared" ca="1" si="267"/>
        <v/>
      </c>
      <c r="AI761" s="9" t="str">
        <f t="shared" ca="1" si="268"/>
        <v/>
      </c>
      <c r="AJ761" s="9" t="str">
        <f t="shared" ca="1" si="269"/>
        <v/>
      </c>
      <c r="AK761" s="9" t="str">
        <f t="shared" ca="1" si="270"/>
        <v/>
      </c>
      <c r="AL761" s="9" t="str">
        <f t="shared" ca="1" si="271"/>
        <v/>
      </c>
      <c r="AM761" s="9" t="str">
        <f t="shared" ca="1" si="272"/>
        <v/>
      </c>
      <c r="AN761" s="9" t="str">
        <f t="shared" ca="1" si="273"/>
        <v/>
      </c>
      <c r="AO761" s="9" t="str">
        <f t="shared" ca="1" si="274"/>
        <v/>
      </c>
      <c r="AP761" s="9" t="str">
        <f t="shared" ca="1" si="275"/>
        <v/>
      </c>
      <c r="AQ761" s="9"/>
      <c r="AR761" s="9"/>
      <c r="AS761" s="9"/>
      <c r="AT761" s="9"/>
      <c r="AU761" s="9"/>
    </row>
    <row r="762" spans="1:47" x14ac:dyDescent="0.3">
      <c r="A762" s="1">
        <v>44565</v>
      </c>
      <c r="B762" s="6">
        <v>554</v>
      </c>
      <c r="C762" s="6">
        <v>352.98998999999998</v>
      </c>
      <c r="D762" s="6">
        <v>48.869999</v>
      </c>
      <c r="E762" s="6">
        <v>173.229996</v>
      </c>
      <c r="F762" s="6">
        <v>176.320007</v>
      </c>
      <c r="G762" s="6">
        <v>60.790000999999997</v>
      </c>
      <c r="H762" s="6">
        <v>181.470001</v>
      </c>
      <c r="I762" s="6">
        <v>220.88999899999999</v>
      </c>
      <c r="J762" s="6">
        <v>38.400002000000001</v>
      </c>
      <c r="K762" s="6">
        <v>26.75</v>
      </c>
      <c r="N762" s="18">
        <v>758</v>
      </c>
      <c r="O762" s="1">
        <v>44565</v>
      </c>
      <c r="P762" s="5">
        <f t="shared" si="276"/>
        <v>-1.8545369167588997E-2</v>
      </c>
      <c r="Q762" s="5">
        <f t="shared" si="277"/>
        <v>-2.271524530858662E-2</v>
      </c>
      <c r="R762" s="5">
        <f t="shared" si="278"/>
        <v>1.2353441147210181E-2</v>
      </c>
      <c r="S762" s="5">
        <f t="shared" si="279"/>
        <v>1.4442104458555066E-3</v>
      </c>
      <c r="T762" s="5">
        <f t="shared" si="280"/>
        <v>-7.3696745420198109E-4</v>
      </c>
      <c r="U762" s="5">
        <f t="shared" si="281"/>
        <v>1.4748779700320267E-2</v>
      </c>
      <c r="V762" s="5">
        <f t="shared" si="282"/>
        <v>1.7454578617900385E-2</v>
      </c>
      <c r="W762" s="5">
        <f t="shared" si="283"/>
        <v>3.4871416974642959E-2</v>
      </c>
      <c r="X762" s="5">
        <f t="shared" si="284"/>
        <v>1.9724504310262025E-2</v>
      </c>
      <c r="Y762" s="5">
        <f t="shared" si="285"/>
        <v>5.4545009328431746E-2</v>
      </c>
      <c r="Z762" s="33">
        <v>758</v>
      </c>
      <c r="AE762" s="20" t="str">
        <f t="shared" si="286"/>
        <v/>
      </c>
      <c r="AF762" s="22" t="str">
        <f t="shared" si="287"/>
        <v/>
      </c>
      <c r="AG762" s="9" t="str">
        <f t="shared" ca="1" si="266"/>
        <v/>
      </c>
      <c r="AH762" s="9" t="str">
        <f t="shared" ca="1" si="267"/>
        <v/>
      </c>
      <c r="AI762" s="9" t="str">
        <f t="shared" ca="1" si="268"/>
        <v/>
      </c>
      <c r="AJ762" s="9" t="str">
        <f t="shared" ca="1" si="269"/>
        <v/>
      </c>
      <c r="AK762" s="9" t="str">
        <f t="shared" ca="1" si="270"/>
        <v/>
      </c>
      <c r="AL762" s="9" t="str">
        <f t="shared" ca="1" si="271"/>
        <v/>
      </c>
      <c r="AM762" s="9" t="str">
        <f t="shared" ca="1" si="272"/>
        <v/>
      </c>
      <c r="AN762" s="9" t="str">
        <f t="shared" ca="1" si="273"/>
        <v/>
      </c>
      <c r="AO762" s="9" t="str">
        <f t="shared" ca="1" si="274"/>
        <v/>
      </c>
      <c r="AP762" s="9" t="str">
        <f t="shared" ca="1" si="275"/>
        <v/>
      </c>
      <c r="AQ762" s="9"/>
      <c r="AR762" s="9"/>
      <c r="AS762" s="9"/>
      <c r="AT762" s="9"/>
      <c r="AU762" s="9"/>
    </row>
    <row r="763" spans="1:47" x14ac:dyDescent="0.3">
      <c r="A763" s="1">
        <v>44566</v>
      </c>
      <c r="B763" s="6">
        <v>514.42999299999997</v>
      </c>
      <c r="C763" s="6">
        <v>339.76998900000001</v>
      </c>
      <c r="D763" s="6">
        <v>48.025002000000001</v>
      </c>
      <c r="E763" s="6">
        <v>173.820007</v>
      </c>
      <c r="F763" s="6">
        <v>172.86999499999999</v>
      </c>
      <c r="G763" s="6">
        <v>59.209999000000003</v>
      </c>
      <c r="H763" s="6">
        <v>179.33999600000001</v>
      </c>
      <c r="I763" s="6">
        <v>219.13000500000001</v>
      </c>
      <c r="J763" s="6">
        <v>37.240001999999997</v>
      </c>
      <c r="K763" s="6">
        <v>26.450001</v>
      </c>
      <c r="N763" s="19">
        <v>759</v>
      </c>
      <c r="O763" s="1">
        <v>44566</v>
      </c>
      <c r="P763" s="5">
        <f t="shared" si="276"/>
        <v>-7.4105208758484323E-2</v>
      </c>
      <c r="Q763" s="5">
        <f t="shared" si="277"/>
        <v>-3.8170813853059489E-2</v>
      </c>
      <c r="R763" s="5">
        <f t="shared" si="278"/>
        <v>-1.7441940520015759E-2</v>
      </c>
      <c r="S763" s="5">
        <f t="shared" si="279"/>
        <v>3.4001530806979565E-3</v>
      </c>
      <c r="T763" s="5">
        <f t="shared" si="280"/>
        <v>-1.9760727653867001E-2</v>
      </c>
      <c r="U763" s="5">
        <f t="shared" si="281"/>
        <v>-2.633488855605931E-2</v>
      </c>
      <c r="V763" s="5">
        <f t="shared" si="282"/>
        <v>-1.1806933077587475E-2</v>
      </c>
      <c r="W763" s="5">
        <f t="shared" si="283"/>
        <v>-7.9996516967773962E-3</v>
      </c>
      <c r="X763" s="5">
        <f t="shared" si="284"/>
        <v>-3.0674005562455583E-2</v>
      </c>
      <c r="Y763" s="5">
        <f t="shared" si="285"/>
        <v>-1.1278277230524556E-2</v>
      </c>
      <c r="Z763" s="33">
        <v>759</v>
      </c>
      <c r="AE763" s="20" t="str">
        <f t="shared" si="286"/>
        <v/>
      </c>
      <c r="AF763" s="22" t="str">
        <f t="shared" si="287"/>
        <v/>
      </c>
      <c r="AG763" s="9" t="str">
        <f t="shared" ca="1" si="266"/>
        <v/>
      </c>
      <c r="AH763" s="9" t="str">
        <f t="shared" ca="1" si="267"/>
        <v/>
      </c>
      <c r="AI763" s="9" t="str">
        <f t="shared" ca="1" si="268"/>
        <v/>
      </c>
      <c r="AJ763" s="9" t="str">
        <f t="shared" ca="1" si="269"/>
        <v/>
      </c>
      <c r="AK763" s="9" t="str">
        <f t="shared" ca="1" si="270"/>
        <v/>
      </c>
      <c r="AL763" s="9" t="str">
        <f t="shared" ca="1" si="271"/>
        <v/>
      </c>
      <c r="AM763" s="9" t="str">
        <f t="shared" ca="1" si="272"/>
        <v/>
      </c>
      <c r="AN763" s="9" t="str">
        <f t="shared" ca="1" si="273"/>
        <v/>
      </c>
      <c r="AO763" s="9" t="str">
        <f t="shared" ca="1" si="274"/>
        <v/>
      </c>
      <c r="AP763" s="9" t="str">
        <f t="shared" ca="1" si="275"/>
        <v/>
      </c>
      <c r="AQ763" s="9"/>
      <c r="AR763" s="9"/>
      <c r="AS763" s="9"/>
      <c r="AT763" s="9"/>
      <c r="AU763" s="9"/>
    </row>
    <row r="764" spans="1:47" x14ac:dyDescent="0.3">
      <c r="A764" s="1">
        <v>44567</v>
      </c>
      <c r="B764" s="6">
        <v>514.11999500000002</v>
      </c>
      <c r="C764" s="6">
        <v>344.97000100000002</v>
      </c>
      <c r="D764" s="6">
        <v>47.759998000000003</v>
      </c>
      <c r="E764" s="6">
        <v>173.86000100000001</v>
      </c>
      <c r="F764" s="6">
        <v>170.96000699999999</v>
      </c>
      <c r="G764" s="6">
        <v>59.23</v>
      </c>
      <c r="H764" s="6">
        <v>181.470001</v>
      </c>
      <c r="I764" s="6">
        <v>219.740005</v>
      </c>
      <c r="J764" s="6">
        <v>37.799999</v>
      </c>
      <c r="K764" s="6">
        <v>25.719999000000001</v>
      </c>
      <c r="N764" s="18">
        <v>760</v>
      </c>
      <c r="O764" s="1">
        <v>44567</v>
      </c>
      <c r="P764" s="5">
        <f t="shared" si="276"/>
        <v>-6.0278647222441605E-4</v>
      </c>
      <c r="Q764" s="5">
        <f t="shared" si="277"/>
        <v>1.518857388982434E-2</v>
      </c>
      <c r="R764" s="5">
        <f t="shared" si="278"/>
        <v>-5.5333230912971076E-3</v>
      </c>
      <c r="S764" s="5">
        <f t="shared" si="279"/>
        <v>2.3006212181412962E-4</v>
      </c>
      <c r="T764" s="5">
        <f t="shared" si="280"/>
        <v>-1.1110186055084728E-2</v>
      </c>
      <c r="U764" s="5">
        <f t="shared" si="281"/>
        <v>3.3774063422813811E-4</v>
      </c>
      <c r="V764" s="5">
        <f t="shared" si="282"/>
        <v>1.1806933077587454E-2</v>
      </c>
      <c r="W764" s="5">
        <f t="shared" si="283"/>
        <v>2.7798682020810867E-3</v>
      </c>
      <c r="X764" s="5">
        <f t="shared" si="284"/>
        <v>1.4925570055957484E-2</v>
      </c>
      <c r="Y764" s="5">
        <f t="shared" si="285"/>
        <v>-2.7987335622321995E-2</v>
      </c>
      <c r="Z764" s="33">
        <v>760</v>
      </c>
      <c r="AE764" s="20" t="str">
        <f t="shared" si="286"/>
        <v/>
      </c>
      <c r="AF764" s="22" t="str">
        <f t="shared" si="287"/>
        <v/>
      </c>
      <c r="AG764" s="9" t="str">
        <f t="shared" ca="1" si="266"/>
        <v/>
      </c>
      <c r="AH764" s="9" t="str">
        <f t="shared" ca="1" si="267"/>
        <v/>
      </c>
      <c r="AI764" s="9" t="str">
        <f t="shared" ca="1" si="268"/>
        <v/>
      </c>
      <c r="AJ764" s="9" t="str">
        <f t="shared" ca="1" si="269"/>
        <v/>
      </c>
      <c r="AK764" s="9" t="str">
        <f t="shared" ca="1" si="270"/>
        <v/>
      </c>
      <c r="AL764" s="9" t="str">
        <f t="shared" ca="1" si="271"/>
        <v/>
      </c>
      <c r="AM764" s="9" t="str">
        <f t="shared" ca="1" si="272"/>
        <v/>
      </c>
      <c r="AN764" s="9" t="str">
        <f t="shared" ca="1" si="273"/>
        <v/>
      </c>
      <c r="AO764" s="9" t="str">
        <f t="shared" ca="1" si="274"/>
        <v/>
      </c>
      <c r="AP764" s="9" t="str">
        <f t="shared" ca="1" si="275"/>
        <v/>
      </c>
      <c r="AQ764" s="9"/>
      <c r="AR764" s="9"/>
      <c r="AS764" s="9"/>
      <c r="AT764" s="9"/>
      <c r="AU764" s="9"/>
    </row>
    <row r="765" spans="1:47" x14ac:dyDescent="0.3">
      <c r="A765" s="1">
        <v>44568</v>
      </c>
      <c r="B765" s="6">
        <v>510.70001200000002</v>
      </c>
      <c r="C765" s="6">
        <v>330.35998499999999</v>
      </c>
      <c r="D765" s="6">
        <v>47.029998999999997</v>
      </c>
      <c r="E765" s="6">
        <v>174.08000200000001</v>
      </c>
      <c r="F765" s="6">
        <v>166.88999899999999</v>
      </c>
      <c r="G765" s="6">
        <v>58.209999000000003</v>
      </c>
      <c r="H765" s="6">
        <v>182.91999799999999</v>
      </c>
      <c r="I765" s="6">
        <v>219.03999300000001</v>
      </c>
      <c r="J765" s="6">
        <v>37.540000999999997</v>
      </c>
      <c r="K765" s="6">
        <v>30.059999000000001</v>
      </c>
      <c r="N765" s="19">
        <v>761</v>
      </c>
      <c r="O765" s="1">
        <v>44568</v>
      </c>
      <c r="P765" s="5">
        <f t="shared" si="276"/>
        <v>-6.6743343658163369E-3</v>
      </c>
      <c r="Q765" s="5">
        <f t="shared" si="277"/>
        <v>-4.3274536089983461E-2</v>
      </c>
      <c r="R765" s="5">
        <f t="shared" si="278"/>
        <v>-1.5402752514366189E-2</v>
      </c>
      <c r="S765" s="5">
        <f t="shared" si="279"/>
        <v>1.2645917538757284E-3</v>
      </c>
      <c r="T765" s="5">
        <f t="shared" si="280"/>
        <v>-2.4094745192800904E-2</v>
      </c>
      <c r="U765" s="5">
        <f t="shared" si="281"/>
        <v>-1.7371026184408556E-2</v>
      </c>
      <c r="V765" s="5">
        <f t="shared" si="282"/>
        <v>7.958531558627524E-3</v>
      </c>
      <c r="W765" s="5">
        <f t="shared" si="283"/>
        <v>-3.1907224443935974E-3</v>
      </c>
      <c r="X765" s="5">
        <f t="shared" si="284"/>
        <v>-6.9020183739003779E-3</v>
      </c>
      <c r="Y765" s="5">
        <f t="shared" si="285"/>
        <v>0.15592649056885913</v>
      </c>
      <c r="Z765" s="33">
        <v>761</v>
      </c>
      <c r="AE765" s="20" t="str">
        <f t="shared" si="286"/>
        <v/>
      </c>
      <c r="AF765" s="22" t="str">
        <f t="shared" si="287"/>
        <v/>
      </c>
      <c r="AG765" s="9" t="str">
        <f t="shared" ca="1" si="266"/>
        <v/>
      </c>
      <c r="AH765" s="9" t="str">
        <f t="shared" ca="1" si="267"/>
        <v/>
      </c>
      <c r="AI765" s="9" t="str">
        <f t="shared" ca="1" si="268"/>
        <v/>
      </c>
      <c r="AJ765" s="9" t="str">
        <f t="shared" ca="1" si="269"/>
        <v/>
      </c>
      <c r="AK765" s="9" t="str">
        <f t="shared" ca="1" si="270"/>
        <v/>
      </c>
      <c r="AL765" s="9" t="str">
        <f t="shared" ca="1" si="271"/>
        <v/>
      </c>
      <c r="AM765" s="9" t="str">
        <f t="shared" ca="1" si="272"/>
        <v/>
      </c>
      <c r="AN765" s="9" t="str">
        <f t="shared" ca="1" si="273"/>
        <v/>
      </c>
      <c r="AO765" s="9" t="str">
        <f t="shared" ca="1" si="274"/>
        <v/>
      </c>
      <c r="AP765" s="9" t="str">
        <f t="shared" ca="1" si="275"/>
        <v/>
      </c>
      <c r="AQ765" s="9"/>
      <c r="AR765" s="9"/>
      <c r="AS765" s="9"/>
      <c r="AT765" s="9"/>
      <c r="AU765" s="9"/>
    </row>
    <row r="766" spans="1:47" x14ac:dyDescent="0.3">
      <c r="A766" s="1">
        <v>44571</v>
      </c>
      <c r="B766" s="6">
        <v>525.830017</v>
      </c>
      <c r="C766" s="6">
        <v>329.63000499999998</v>
      </c>
      <c r="D766" s="6">
        <v>46.365001999999997</v>
      </c>
      <c r="E766" s="6">
        <v>174.16999799999999</v>
      </c>
      <c r="F766" s="6">
        <v>165.490005</v>
      </c>
      <c r="G766" s="6">
        <v>58.009998000000003</v>
      </c>
      <c r="H766" s="6">
        <v>179.35000600000001</v>
      </c>
      <c r="I766" s="6">
        <v>217.69000199999999</v>
      </c>
      <c r="J766" s="6">
        <v>37.330002</v>
      </c>
      <c r="K766" s="6">
        <v>28.59</v>
      </c>
      <c r="N766" s="18">
        <v>762</v>
      </c>
      <c r="O766" s="1">
        <v>44571</v>
      </c>
      <c r="P766" s="5">
        <f t="shared" si="276"/>
        <v>2.9195641762031668E-2</v>
      </c>
      <c r="Q766" s="5">
        <f t="shared" si="277"/>
        <v>-2.2120950582039081E-3</v>
      </c>
      <c r="R766" s="5">
        <f t="shared" si="278"/>
        <v>-1.4240767305758215E-2</v>
      </c>
      <c r="S766" s="5">
        <f t="shared" si="279"/>
        <v>5.1684710411130125E-4</v>
      </c>
      <c r="T766" s="5">
        <f t="shared" si="280"/>
        <v>-8.424106519183315E-3</v>
      </c>
      <c r="U766" s="5">
        <f t="shared" si="281"/>
        <v>-3.441769103307121E-3</v>
      </c>
      <c r="V766" s="5">
        <f t="shared" si="282"/>
        <v>-1.9709650423681838E-2</v>
      </c>
      <c r="W766" s="5">
        <f t="shared" si="283"/>
        <v>-6.1822879822836354E-3</v>
      </c>
      <c r="X766" s="5">
        <f t="shared" si="284"/>
        <v>-5.6097112939116293E-3</v>
      </c>
      <c r="Y766" s="5">
        <f t="shared" si="285"/>
        <v>-5.0138344723807717E-2</v>
      </c>
      <c r="Z766" s="33">
        <v>762</v>
      </c>
      <c r="AE766" s="20" t="str">
        <f t="shared" si="286"/>
        <v/>
      </c>
      <c r="AF766" s="22" t="str">
        <f t="shared" si="287"/>
        <v/>
      </c>
      <c r="AG766" s="9" t="str">
        <f t="shared" ca="1" si="266"/>
        <v/>
      </c>
      <c r="AH766" s="9" t="str">
        <f t="shared" ca="1" si="267"/>
        <v/>
      </c>
      <c r="AI766" s="9" t="str">
        <f t="shared" ca="1" si="268"/>
        <v/>
      </c>
      <c r="AJ766" s="9" t="str">
        <f t="shared" ca="1" si="269"/>
        <v/>
      </c>
      <c r="AK766" s="9" t="str">
        <f t="shared" ca="1" si="270"/>
        <v/>
      </c>
      <c r="AL766" s="9" t="str">
        <f t="shared" ca="1" si="271"/>
        <v/>
      </c>
      <c r="AM766" s="9" t="str">
        <f t="shared" ca="1" si="272"/>
        <v/>
      </c>
      <c r="AN766" s="9" t="str">
        <f t="shared" ca="1" si="273"/>
        <v/>
      </c>
      <c r="AO766" s="9" t="str">
        <f t="shared" ca="1" si="274"/>
        <v/>
      </c>
      <c r="AP766" s="9" t="str">
        <f t="shared" ca="1" si="275"/>
        <v/>
      </c>
      <c r="AQ766" s="9"/>
      <c r="AR766" s="9"/>
      <c r="AS766" s="9"/>
      <c r="AT766" s="9"/>
      <c r="AU766" s="9"/>
    </row>
    <row r="767" spans="1:47" x14ac:dyDescent="0.3">
      <c r="A767" s="1">
        <v>44572</v>
      </c>
      <c r="B767" s="6">
        <v>529.89001499999995</v>
      </c>
      <c r="C767" s="6">
        <v>340.38000499999998</v>
      </c>
      <c r="D767" s="6">
        <v>47.290000999999997</v>
      </c>
      <c r="E767" s="6">
        <v>174.08999600000001</v>
      </c>
      <c r="F767" s="6">
        <v>165.66000399999999</v>
      </c>
      <c r="G767" s="6">
        <v>58.240001999999997</v>
      </c>
      <c r="H767" s="6">
        <v>180.729996</v>
      </c>
      <c r="I767" s="6">
        <v>216.449997</v>
      </c>
      <c r="J767" s="6">
        <v>37.349997999999999</v>
      </c>
      <c r="K767" s="6">
        <v>28.68</v>
      </c>
      <c r="N767" s="19">
        <v>763</v>
      </c>
      <c r="O767" s="1">
        <v>44572</v>
      </c>
      <c r="P767" s="5">
        <f t="shared" si="276"/>
        <v>7.6914672304327575E-3</v>
      </c>
      <c r="Q767" s="5">
        <f t="shared" si="277"/>
        <v>3.2091826776696766E-2</v>
      </c>
      <c r="R767" s="5">
        <f t="shared" si="278"/>
        <v>1.9753970413729199E-2</v>
      </c>
      <c r="S767" s="5">
        <f t="shared" si="279"/>
        <v>-4.5943836665454483E-4</v>
      </c>
      <c r="T767" s="5">
        <f t="shared" si="280"/>
        <v>1.0267190718012756E-3</v>
      </c>
      <c r="U767" s="5">
        <f t="shared" si="281"/>
        <v>3.9570632279311907E-3</v>
      </c>
      <c r="V767" s="5">
        <f t="shared" si="282"/>
        <v>7.6649452826531598E-3</v>
      </c>
      <c r="W767" s="5">
        <f t="shared" si="283"/>
        <v>-5.7124815722457535E-3</v>
      </c>
      <c r="X767" s="5">
        <f t="shared" si="284"/>
        <v>5.355115285982817E-4</v>
      </c>
      <c r="Y767" s="5">
        <f t="shared" si="285"/>
        <v>3.1430093971992214E-3</v>
      </c>
      <c r="Z767" s="33">
        <v>763</v>
      </c>
      <c r="AE767" s="20" t="str">
        <f t="shared" si="286"/>
        <v/>
      </c>
      <c r="AF767" s="22" t="str">
        <f t="shared" si="287"/>
        <v/>
      </c>
      <c r="AG767" s="9" t="str">
        <f t="shared" ca="1" si="266"/>
        <v/>
      </c>
      <c r="AH767" s="9" t="str">
        <f t="shared" ca="1" si="267"/>
        <v/>
      </c>
      <c r="AI767" s="9" t="str">
        <f t="shared" ca="1" si="268"/>
        <v/>
      </c>
      <c r="AJ767" s="9" t="str">
        <f t="shared" ca="1" si="269"/>
        <v/>
      </c>
      <c r="AK767" s="9" t="str">
        <f t="shared" ca="1" si="270"/>
        <v/>
      </c>
      <c r="AL767" s="9" t="str">
        <f t="shared" ca="1" si="271"/>
        <v/>
      </c>
      <c r="AM767" s="9" t="str">
        <f t="shared" ca="1" si="272"/>
        <v/>
      </c>
      <c r="AN767" s="9" t="str">
        <f t="shared" ca="1" si="273"/>
        <v/>
      </c>
      <c r="AO767" s="9" t="str">
        <f t="shared" ca="1" si="274"/>
        <v/>
      </c>
      <c r="AP767" s="9" t="str">
        <f t="shared" ca="1" si="275"/>
        <v/>
      </c>
      <c r="AQ767" s="9"/>
      <c r="AR767" s="9"/>
      <c r="AS767" s="9"/>
      <c r="AT767" s="9"/>
      <c r="AU767" s="9"/>
    </row>
    <row r="768" spans="1:47" x14ac:dyDescent="0.3">
      <c r="A768" s="1">
        <v>44573</v>
      </c>
      <c r="B768" s="6">
        <v>532.36999500000002</v>
      </c>
      <c r="C768" s="6">
        <v>338.58999599999999</v>
      </c>
      <c r="D768" s="6">
        <v>46.990001999999997</v>
      </c>
      <c r="E768" s="6">
        <v>173.89999399999999</v>
      </c>
      <c r="F768" s="6">
        <v>168.740005</v>
      </c>
      <c r="G768" s="6">
        <v>58.91</v>
      </c>
      <c r="H768" s="6">
        <v>181.28999300000001</v>
      </c>
      <c r="I768" s="6">
        <v>218.86000100000001</v>
      </c>
      <c r="J768" s="6">
        <v>37.75</v>
      </c>
      <c r="K768" s="6">
        <v>28.790001</v>
      </c>
      <c r="N768" s="18">
        <v>764</v>
      </c>
      <c r="O768" s="1">
        <v>44573</v>
      </c>
      <c r="P768" s="5">
        <f t="shared" si="276"/>
        <v>4.6692607880588774E-3</v>
      </c>
      <c r="Q768" s="5">
        <f t="shared" si="277"/>
        <v>-5.2727311794883401E-3</v>
      </c>
      <c r="R768" s="5">
        <f t="shared" si="278"/>
        <v>-6.3640221249331016E-3</v>
      </c>
      <c r="S768" s="5">
        <f t="shared" si="279"/>
        <v>-1.0919970363561056E-3</v>
      </c>
      <c r="T768" s="5">
        <f t="shared" si="280"/>
        <v>1.8421579052907245E-2</v>
      </c>
      <c r="U768" s="5">
        <f t="shared" si="281"/>
        <v>1.1438417304506756E-2</v>
      </c>
      <c r="V768" s="5">
        <f t="shared" si="282"/>
        <v>3.0937377143236029E-3</v>
      </c>
      <c r="W768" s="5">
        <f t="shared" si="283"/>
        <v>1.1072700531452253E-2</v>
      </c>
      <c r="X768" s="5">
        <f t="shared" si="284"/>
        <v>1.06526176637323E-2</v>
      </c>
      <c r="Y768" s="5">
        <f t="shared" si="285"/>
        <v>3.8281236269469784E-3</v>
      </c>
      <c r="Z768" s="33">
        <v>764</v>
      </c>
      <c r="AE768" s="20" t="str">
        <f t="shared" si="286"/>
        <v/>
      </c>
      <c r="AF768" s="22" t="str">
        <f t="shared" si="287"/>
        <v/>
      </c>
      <c r="AG768" s="9" t="str">
        <f t="shared" ca="1" si="266"/>
        <v/>
      </c>
      <c r="AH768" s="9" t="str">
        <f t="shared" ca="1" si="267"/>
        <v/>
      </c>
      <c r="AI768" s="9" t="str">
        <f t="shared" ca="1" si="268"/>
        <v/>
      </c>
      <c r="AJ768" s="9" t="str">
        <f t="shared" ca="1" si="269"/>
        <v/>
      </c>
      <c r="AK768" s="9" t="str">
        <f t="shared" ca="1" si="270"/>
        <v/>
      </c>
      <c r="AL768" s="9" t="str">
        <f t="shared" ca="1" si="271"/>
        <v/>
      </c>
      <c r="AM768" s="9" t="str">
        <f t="shared" ca="1" si="272"/>
        <v/>
      </c>
      <c r="AN768" s="9" t="str">
        <f t="shared" ca="1" si="273"/>
        <v/>
      </c>
      <c r="AO768" s="9" t="str">
        <f t="shared" ca="1" si="274"/>
        <v/>
      </c>
      <c r="AP768" s="9" t="str">
        <f t="shared" ca="1" si="275"/>
        <v/>
      </c>
      <c r="AQ768" s="9"/>
      <c r="AR768" s="9"/>
      <c r="AS768" s="9"/>
      <c r="AT768" s="9"/>
      <c r="AU768" s="9"/>
    </row>
    <row r="769" spans="1:47" x14ac:dyDescent="0.3">
      <c r="A769" s="1">
        <v>44574</v>
      </c>
      <c r="B769" s="6">
        <v>516.90002400000003</v>
      </c>
      <c r="C769" s="6">
        <v>327.51001000000002</v>
      </c>
      <c r="D769" s="6">
        <v>47.185001</v>
      </c>
      <c r="E769" s="6">
        <v>174.179993</v>
      </c>
      <c r="F769" s="6">
        <v>168.679993</v>
      </c>
      <c r="G769" s="6">
        <v>58.98</v>
      </c>
      <c r="H769" s="6">
        <v>180.38000500000001</v>
      </c>
      <c r="I769" s="6">
        <v>220.46000699999999</v>
      </c>
      <c r="J769" s="6">
        <v>38.049999</v>
      </c>
      <c r="K769" s="6">
        <v>29.34</v>
      </c>
      <c r="N769" s="19">
        <v>765</v>
      </c>
      <c r="O769" s="1">
        <v>44574</v>
      </c>
      <c r="P769" s="5">
        <f t="shared" si="276"/>
        <v>-2.9489248298645319E-2</v>
      </c>
      <c r="Q769" s="5">
        <f t="shared" si="277"/>
        <v>-3.3271304582800823E-2</v>
      </c>
      <c r="R769" s="5">
        <f t="shared" si="278"/>
        <v>4.1412109895012511E-3</v>
      </c>
      <c r="S769" s="5">
        <f t="shared" si="279"/>
        <v>1.6088202186326746E-3</v>
      </c>
      <c r="T769" s="5">
        <f t="shared" si="280"/>
        <v>-3.5571098920327411E-4</v>
      </c>
      <c r="U769" s="5">
        <f t="shared" si="281"/>
        <v>1.1875478535342875E-3</v>
      </c>
      <c r="V769" s="5">
        <f t="shared" si="282"/>
        <v>-5.0321559725867359E-3</v>
      </c>
      <c r="W769" s="5">
        <f t="shared" si="283"/>
        <v>7.2840437275325954E-3</v>
      </c>
      <c r="X769" s="5">
        <f t="shared" si="284"/>
        <v>7.9155823314517992E-3</v>
      </c>
      <c r="Y769" s="5">
        <f t="shared" si="285"/>
        <v>1.8923633356468957E-2</v>
      </c>
      <c r="Z769" s="33">
        <v>765</v>
      </c>
      <c r="AE769" s="20" t="str">
        <f t="shared" si="286"/>
        <v/>
      </c>
      <c r="AF769" s="22" t="str">
        <f t="shared" si="287"/>
        <v/>
      </c>
      <c r="AG769" s="9" t="str">
        <f t="shared" ca="1" si="266"/>
        <v/>
      </c>
      <c r="AH769" s="9" t="str">
        <f t="shared" ca="1" si="267"/>
        <v/>
      </c>
      <c r="AI769" s="9" t="str">
        <f t="shared" ca="1" si="268"/>
        <v/>
      </c>
      <c r="AJ769" s="9" t="str">
        <f t="shared" ca="1" si="269"/>
        <v/>
      </c>
      <c r="AK769" s="9" t="str">
        <f t="shared" ca="1" si="270"/>
        <v/>
      </c>
      <c r="AL769" s="9" t="str">
        <f t="shared" ca="1" si="271"/>
        <v/>
      </c>
      <c r="AM769" s="9" t="str">
        <f t="shared" ca="1" si="272"/>
        <v/>
      </c>
      <c r="AN769" s="9" t="str">
        <f t="shared" ca="1" si="273"/>
        <v/>
      </c>
      <c r="AO769" s="9" t="str">
        <f t="shared" ca="1" si="274"/>
        <v/>
      </c>
      <c r="AP769" s="9" t="str">
        <f t="shared" ca="1" si="275"/>
        <v/>
      </c>
      <c r="AQ769" s="9"/>
      <c r="AR769" s="9"/>
      <c r="AS769" s="9"/>
      <c r="AT769" s="9"/>
      <c r="AU769" s="9"/>
    </row>
    <row r="770" spans="1:47" x14ac:dyDescent="0.3">
      <c r="A770" s="1">
        <v>44575</v>
      </c>
      <c r="B770" s="6">
        <v>520.59997599999997</v>
      </c>
      <c r="C770" s="6">
        <v>326.16000400000001</v>
      </c>
      <c r="D770" s="6">
        <v>44.955002</v>
      </c>
      <c r="E770" s="6">
        <v>175.63999899999999</v>
      </c>
      <c r="F770" s="6">
        <v>165.58999600000001</v>
      </c>
      <c r="G770" s="6">
        <v>58.580002</v>
      </c>
      <c r="H770" s="6">
        <v>178.479996</v>
      </c>
      <c r="I770" s="6">
        <v>220.13000500000001</v>
      </c>
      <c r="J770" s="6">
        <v>38.060001</v>
      </c>
      <c r="K770" s="6">
        <v>31.18</v>
      </c>
      <c r="N770" s="18">
        <v>766</v>
      </c>
      <c r="O770" s="1">
        <v>44575</v>
      </c>
      <c r="P770" s="5">
        <f t="shared" si="276"/>
        <v>7.1324678271739222E-3</v>
      </c>
      <c r="Q770" s="5">
        <f t="shared" si="277"/>
        <v>-4.1305487187887928E-3</v>
      </c>
      <c r="R770" s="5">
        <f t="shared" si="278"/>
        <v>-4.8414032740803269E-2</v>
      </c>
      <c r="S770" s="5">
        <f t="shared" si="279"/>
        <v>8.3472329237709655E-3</v>
      </c>
      <c r="T770" s="5">
        <f t="shared" si="280"/>
        <v>-1.8488557881317931E-2</v>
      </c>
      <c r="U770" s="5">
        <f t="shared" si="281"/>
        <v>-6.8050278461981107E-3</v>
      </c>
      <c r="V770" s="5">
        <f t="shared" si="282"/>
        <v>-1.0589236744018921E-2</v>
      </c>
      <c r="W770" s="5">
        <f t="shared" si="283"/>
        <v>-1.4980006478699937E-3</v>
      </c>
      <c r="X770" s="5">
        <f t="shared" si="284"/>
        <v>2.6283011582128928E-4</v>
      </c>
      <c r="Y770" s="5">
        <f t="shared" si="285"/>
        <v>6.0825090914794717E-2</v>
      </c>
      <c r="Z770" s="33">
        <v>766</v>
      </c>
      <c r="AE770" s="20" t="str">
        <f t="shared" si="286"/>
        <v/>
      </c>
      <c r="AF770" s="22" t="str">
        <f t="shared" si="287"/>
        <v/>
      </c>
      <c r="AG770" s="9" t="str">
        <f t="shared" ca="1" si="266"/>
        <v/>
      </c>
      <c r="AH770" s="9" t="str">
        <f t="shared" ca="1" si="267"/>
        <v/>
      </c>
      <c r="AI770" s="9" t="str">
        <f t="shared" ca="1" si="268"/>
        <v/>
      </c>
      <c r="AJ770" s="9" t="str">
        <f t="shared" ca="1" si="269"/>
        <v/>
      </c>
      <c r="AK770" s="9" t="str">
        <f t="shared" ca="1" si="270"/>
        <v/>
      </c>
      <c r="AL770" s="9" t="str">
        <f t="shared" ca="1" si="271"/>
        <v/>
      </c>
      <c r="AM770" s="9" t="str">
        <f t="shared" ca="1" si="272"/>
        <v/>
      </c>
      <c r="AN770" s="9" t="str">
        <f t="shared" ca="1" si="273"/>
        <v/>
      </c>
      <c r="AO770" s="9" t="str">
        <f t="shared" ca="1" si="274"/>
        <v/>
      </c>
      <c r="AP770" s="9" t="str">
        <f t="shared" ca="1" si="275"/>
        <v/>
      </c>
      <c r="AQ770" s="9"/>
      <c r="AR770" s="9"/>
      <c r="AS770" s="9"/>
      <c r="AT770" s="9"/>
      <c r="AU770" s="9"/>
    </row>
    <row r="771" spans="1:47" x14ac:dyDescent="0.3">
      <c r="A771" s="1">
        <v>44579</v>
      </c>
      <c r="B771" s="6">
        <v>513.34002699999996</v>
      </c>
      <c r="C771" s="6">
        <v>313.48001099999999</v>
      </c>
      <c r="D771" s="6">
        <v>43.349997999999999</v>
      </c>
      <c r="E771" s="6">
        <v>173.96000699999999</v>
      </c>
      <c r="F771" s="6">
        <v>164.66999799999999</v>
      </c>
      <c r="G771" s="6">
        <v>58.419998</v>
      </c>
      <c r="H771" s="6">
        <v>178.44000199999999</v>
      </c>
      <c r="I771" s="6">
        <v>214.550003</v>
      </c>
      <c r="J771" s="6">
        <v>36.82</v>
      </c>
      <c r="K771" s="6">
        <v>29.639999</v>
      </c>
      <c r="N771" s="19">
        <v>767</v>
      </c>
      <c r="O771" s="1">
        <v>44579</v>
      </c>
      <c r="P771" s="5">
        <f t="shared" si="276"/>
        <v>-1.4043500194871073E-2</v>
      </c>
      <c r="Q771" s="5">
        <f t="shared" si="277"/>
        <v>-3.965247350029636E-2</v>
      </c>
      <c r="R771" s="5">
        <f t="shared" si="278"/>
        <v>-3.6355376835220374E-2</v>
      </c>
      <c r="S771" s="5">
        <f t="shared" si="279"/>
        <v>-9.6110120314804402E-3</v>
      </c>
      <c r="T771" s="5">
        <f t="shared" si="280"/>
        <v>-5.571370413940336E-3</v>
      </c>
      <c r="U771" s="5">
        <f t="shared" si="281"/>
        <v>-2.7351128161887568E-3</v>
      </c>
      <c r="V771" s="5">
        <f t="shared" si="282"/>
        <v>-2.2410624448901599E-4</v>
      </c>
      <c r="W771" s="5">
        <f t="shared" si="283"/>
        <v>-2.5675478218802391E-2</v>
      </c>
      <c r="X771" s="5">
        <f t="shared" si="284"/>
        <v>-3.3122712337375036E-2</v>
      </c>
      <c r="Y771" s="5">
        <f t="shared" si="285"/>
        <v>-5.0652096939936497E-2</v>
      </c>
      <c r="Z771" s="33">
        <v>767</v>
      </c>
      <c r="AE771" s="20" t="str">
        <f t="shared" si="286"/>
        <v/>
      </c>
      <c r="AF771" s="22" t="str">
        <f t="shared" si="287"/>
        <v/>
      </c>
      <c r="AG771" s="9" t="str">
        <f t="shared" ca="1" si="266"/>
        <v/>
      </c>
      <c r="AH771" s="9" t="str">
        <f t="shared" ca="1" si="267"/>
        <v/>
      </c>
      <c r="AI771" s="9" t="str">
        <f t="shared" ca="1" si="268"/>
        <v/>
      </c>
      <c r="AJ771" s="9" t="str">
        <f t="shared" ca="1" si="269"/>
        <v/>
      </c>
      <c r="AK771" s="9" t="str">
        <f t="shared" ca="1" si="270"/>
        <v/>
      </c>
      <c r="AL771" s="9" t="str">
        <f t="shared" ca="1" si="271"/>
        <v/>
      </c>
      <c r="AM771" s="9" t="str">
        <f t="shared" ca="1" si="272"/>
        <v/>
      </c>
      <c r="AN771" s="9" t="str">
        <f t="shared" ca="1" si="273"/>
        <v/>
      </c>
      <c r="AO771" s="9" t="str">
        <f t="shared" ca="1" si="274"/>
        <v/>
      </c>
      <c r="AP771" s="9" t="str">
        <f t="shared" ca="1" si="275"/>
        <v/>
      </c>
      <c r="AQ771" s="9"/>
      <c r="AR771" s="9"/>
      <c r="AS771" s="9"/>
      <c r="AT771" s="9"/>
      <c r="AU771" s="9"/>
    </row>
    <row r="772" spans="1:47" x14ac:dyDescent="0.3">
      <c r="A772" s="1">
        <v>44580</v>
      </c>
      <c r="B772" s="6">
        <v>516.580017</v>
      </c>
      <c r="C772" s="6">
        <v>312.14001500000001</v>
      </c>
      <c r="D772" s="6">
        <v>43.365001999999997</v>
      </c>
      <c r="E772" s="6">
        <v>175.21000699999999</v>
      </c>
      <c r="F772" s="6">
        <v>162.5</v>
      </c>
      <c r="G772" s="6">
        <v>57.459999000000003</v>
      </c>
      <c r="H772" s="6">
        <v>177.60000600000001</v>
      </c>
      <c r="I772" s="6">
        <v>212.61000100000001</v>
      </c>
      <c r="J772" s="6">
        <v>36.479999999999997</v>
      </c>
      <c r="K772" s="6">
        <v>28.58</v>
      </c>
      <c r="N772" s="18">
        <v>768</v>
      </c>
      <c r="O772" s="1">
        <v>44580</v>
      </c>
      <c r="P772" s="5">
        <f t="shared" si="276"/>
        <v>6.2917518832525882E-3</v>
      </c>
      <c r="Q772" s="5">
        <f t="shared" si="277"/>
        <v>-4.2837441048549571E-3</v>
      </c>
      <c r="R772" s="5">
        <f t="shared" si="278"/>
        <v>3.4605316611260482E-4</v>
      </c>
      <c r="S772" s="5">
        <f t="shared" si="279"/>
        <v>7.1598664824805858E-3</v>
      </c>
      <c r="T772" s="5">
        <f t="shared" si="280"/>
        <v>-1.3265457314612083E-2</v>
      </c>
      <c r="U772" s="5">
        <f t="shared" si="281"/>
        <v>-1.6569226577010959E-2</v>
      </c>
      <c r="V772" s="5">
        <f t="shared" si="282"/>
        <v>-4.718557126460199E-3</v>
      </c>
      <c r="W772" s="5">
        <f t="shared" si="283"/>
        <v>-9.0833192265662634E-3</v>
      </c>
      <c r="X772" s="5">
        <f t="shared" si="284"/>
        <v>-9.2770105988013007E-3</v>
      </c>
      <c r="Y772" s="5">
        <f t="shared" si="285"/>
        <v>-3.6417594187972593E-2</v>
      </c>
      <c r="Z772" s="33">
        <v>768</v>
      </c>
      <c r="AE772" s="20" t="str">
        <f t="shared" si="286"/>
        <v/>
      </c>
      <c r="AF772" s="22" t="str">
        <f t="shared" si="287"/>
        <v/>
      </c>
      <c r="AG772" s="9" t="str">
        <f t="shared" ca="1" si="266"/>
        <v/>
      </c>
      <c r="AH772" s="9" t="str">
        <f t="shared" ca="1" si="267"/>
        <v/>
      </c>
      <c r="AI772" s="9" t="str">
        <f t="shared" ca="1" si="268"/>
        <v/>
      </c>
      <c r="AJ772" s="9" t="str">
        <f t="shared" ca="1" si="269"/>
        <v/>
      </c>
      <c r="AK772" s="9" t="str">
        <f t="shared" ca="1" si="270"/>
        <v/>
      </c>
      <c r="AL772" s="9" t="str">
        <f t="shared" ca="1" si="271"/>
        <v/>
      </c>
      <c r="AM772" s="9" t="str">
        <f t="shared" ca="1" si="272"/>
        <v/>
      </c>
      <c r="AN772" s="9" t="str">
        <f t="shared" ca="1" si="273"/>
        <v/>
      </c>
      <c r="AO772" s="9" t="str">
        <f t="shared" ca="1" si="274"/>
        <v/>
      </c>
      <c r="AP772" s="9" t="str">
        <f t="shared" ca="1" si="275"/>
        <v/>
      </c>
      <c r="AQ772" s="9"/>
      <c r="AR772" s="9"/>
      <c r="AS772" s="9"/>
      <c r="AT772" s="9"/>
      <c r="AU772" s="9"/>
    </row>
    <row r="773" spans="1:47" x14ac:dyDescent="0.3">
      <c r="A773" s="1">
        <v>44581</v>
      </c>
      <c r="B773" s="6">
        <v>510.85000600000001</v>
      </c>
      <c r="C773" s="6">
        <v>309.959991</v>
      </c>
      <c r="D773" s="6">
        <v>43.185001</v>
      </c>
      <c r="E773" s="6">
        <v>173.94000199999999</v>
      </c>
      <c r="F773" s="6">
        <v>158.5</v>
      </c>
      <c r="G773" s="6">
        <v>56.689999</v>
      </c>
      <c r="H773" s="6">
        <v>174.679993</v>
      </c>
      <c r="I773" s="6">
        <v>209.720001</v>
      </c>
      <c r="J773" s="6">
        <v>36.020000000000003</v>
      </c>
      <c r="K773" s="6">
        <v>27.49</v>
      </c>
      <c r="N773" s="19">
        <v>769</v>
      </c>
      <c r="O773" s="1">
        <v>44581</v>
      </c>
      <c r="P773" s="5">
        <f t="shared" si="276"/>
        <v>-1.1154181365629005E-2</v>
      </c>
      <c r="Q773" s="5">
        <f t="shared" si="277"/>
        <v>-7.0086253100217523E-3</v>
      </c>
      <c r="R773" s="5">
        <f t="shared" si="278"/>
        <v>-4.1594743681237934E-3</v>
      </c>
      <c r="S773" s="5">
        <f t="shared" si="279"/>
        <v>-7.2748707912160503E-3</v>
      </c>
      <c r="T773" s="5">
        <f t="shared" si="280"/>
        <v>-2.4923408452456851E-2</v>
      </c>
      <c r="U773" s="5">
        <f t="shared" si="281"/>
        <v>-1.3491225451315562E-2</v>
      </c>
      <c r="V773" s="5">
        <f t="shared" si="282"/>
        <v>-1.6578175797770416E-2</v>
      </c>
      <c r="W773" s="5">
        <f t="shared" si="283"/>
        <v>-1.368619372112753E-2</v>
      </c>
      <c r="X773" s="5">
        <f t="shared" si="284"/>
        <v>-1.2689825458320422E-2</v>
      </c>
      <c r="Y773" s="5">
        <f t="shared" si="285"/>
        <v>-3.8884870324567014E-2</v>
      </c>
      <c r="Z773" s="33">
        <v>769</v>
      </c>
      <c r="AE773" s="20" t="str">
        <f t="shared" si="286"/>
        <v/>
      </c>
      <c r="AF773" s="22" t="str">
        <f t="shared" si="287"/>
        <v/>
      </c>
      <c r="AG773" s="9" t="str">
        <f t="shared" ref="AG773:AG836" ca="1" si="288">IF($AE773="","",OFFSET(P$4,$AE773,0))</f>
        <v/>
      </c>
      <c r="AH773" s="9" t="str">
        <f t="shared" ref="AH773:AH836" ca="1" si="289">IF($AE773="","",OFFSET(Q$4,$AE773,0))</f>
        <v/>
      </c>
      <c r="AI773" s="9" t="str">
        <f t="shared" ref="AI773:AI836" ca="1" si="290">IF($AE773="","",OFFSET(R$4,$AE773,0))</f>
        <v/>
      </c>
      <c r="AJ773" s="9" t="str">
        <f t="shared" ref="AJ773:AJ836" ca="1" si="291">IF($AE773="","",OFFSET(S$4,$AE773,0))</f>
        <v/>
      </c>
      <c r="AK773" s="9" t="str">
        <f t="shared" ref="AK773:AK836" ca="1" si="292">IF($AE773="","",OFFSET(T$4,$AE773,0))</f>
        <v/>
      </c>
      <c r="AL773" s="9" t="str">
        <f t="shared" ref="AL773:AL836" ca="1" si="293">IF($AE773="","",OFFSET(U$4,$AE773,0))</f>
        <v/>
      </c>
      <c r="AM773" s="9" t="str">
        <f t="shared" ref="AM773:AM836" ca="1" si="294">IF($AE773="","",OFFSET(V$4,$AE773,0))</f>
        <v/>
      </c>
      <c r="AN773" s="9" t="str">
        <f t="shared" ref="AN773:AN836" ca="1" si="295">IF($AE773="","",OFFSET(W$4,$AE773,0))</f>
        <v/>
      </c>
      <c r="AO773" s="9" t="str">
        <f t="shared" ref="AO773:AO836" ca="1" si="296">IF($AE773="","",OFFSET(X$4,$AE773,0))</f>
        <v/>
      </c>
      <c r="AP773" s="9" t="str">
        <f t="shared" ref="AP773:AP836" ca="1" si="297">IF($AE773="","",OFFSET(Y$4,$AE773,0))</f>
        <v/>
      </c>
      <c r="AQ773" s="9"/>
      <c r="AR773" s="9"/>
      <c r="AS773" s="9"/>
      <c r="AT773" s="9"/>
      <c r="AU773" s="9"/>
    </row>
    <row r="774" spans="1:47" x14ac:dyDescent="0.3">
      <c r="A774" s="1">
        <v>44582</v>
      </c>
      <c r="B774" s="6">
        <v>499.91000400000001</v>
      </c>
      <c r="C774" s="6">
        <v>303.30999800000001</v>
      </c>
      <c r="D774" s="6">
        <v>42.810001</v>
      </c>
      <c r="E774" s="6">
        <v>174.220001</v>
      </c>
      <c r="F774" s="6">
        <v>157.679993</v>
      </c>
      <c r="G774" s="6">
        <v>56.330002</v>
      </c>
      <c r="H774" s="6">
        <v>173.529999</v>
      </c>
      <c r="I774" s="6">
        <v>205.86000100000001</v>
      </c>
      <c r="J774" s="6">
        <v>35.349997999999999</v>
      </c>
      <c r="K774" s="6">
        <v>26.190000999999999</v>
      </c>
      <c r="N774" s="18">
        <v>770</v>
      </c>
      <c r="O774" s="1">
        <v>44582</v>
      </c>
      <c r="P774" s="5">
        <f t="shared" ref="P774:P837" si="298">LN(B774/B773)</f>
        <v>-2.1647926560875597E-2</v>
      </c>
      <c r="Q774" s="5">
        <f t="shared" ref="Q774:Q837" si="299">LN(C774/C773)</f>
        <v>-2.1687849646526879E-2</v>
      </c>
      <c r="R774" s="5">
        <f t="shared" ref="R774:R837" si="300">LN(D774/D773)</f>
        <v>-8.7214923725544222E-3</v>
      </c>
      <c r="S774" s="5">
        <f t="shared" ref="S774:S837" si="301">LN(E774/E773)</f>
        <v>1.6084504707781851E-3</v>
      </c>
      <c r="T774" s="5">
        <f t="shared" ref="T774:T837" si="302">LN(F774/F773)</f>
        <v>-5.186974866580275E-3</v>
      </c>
      <c r="U774" s="5">
        <f t="shared" ref="U774:U837" si="303">LN(G774/G773)</f>
        <v>-6.3705222847353369E-3</v>
      </c>
      <c r="V774" s="5">
        <f t="shared" ref="V774:V837" si="304">LN(H774/H773)</f>
        <v>-6.6051992043624557E-3</v>
      </c>
      <c r="W774" s="5">
        <f t="shared" ref="W774:W837" si="305">LN(I774/I773)</f>
        <v>-1.8576981516510847E-2</v>
      </c>
      <c r="X774" s="5">
        <f t="shared" ref="X774:X837" si="306">LN(J774/J773)</f>
        <v>-1.8776003982316238E-2</v>
      </c>
      <c r="Y774" s="5">
        <f t="shared" ref="Y774:Y837" si="307">LN(K774/K773)</f>
        <v>-4.8444605475022072E-2</v>
      </c>
      <c r="Z774" s="33">
        <v>770</v>
      </c>
      <c r="AE774" s="20" t="str">
        <f t="shared" ref="AE774:AE837" si="308">IF(AE773="","",IF(AE773+1&lt;=$AC$5,AE773+1,""))</f>
        <v/>
      </c>
      <c r="AF774" s="22" t="str">
        <f t="shared" ref="AF774:AF837" si="309">IF(AE774="","",VLOOKUP(AE774,N773:O2030,2))</f>
        <v/>
      </c>
      <c r="AG774" s="9" t="str">
        <f t="shared" ca="1" si="288"/>
        <v/>
      </c>
      <c r="AH774" s="9" t="str">
        <f t="shared" ca="1" si="289"/>
        <v/>
      </c>
      <c r="AI774" s="9" t="str">
        <f t="shared" ca="1" si="290"/>
        <v/>
      </c>
      <c r="AJ774" s="9" t="str">
        <f t="shared" ca="1" si="291"/>
        <v/>
      </c>
      <c r="AK774" s="9" t="str">
        <f t="shared" ca="1" si="292"/>
        <v/>
      </c>
      <c r="AL774" s="9" t="str">
        <f t="shared" ca="1" si="293"/>
        <v/>
      </c>
      <c r="AM774" s="9" t="str">
        <f t="shared" ca="1" si="294"/>
        <v/>
      </c>
      <c r="AN774" s="9" t="str">
        <f t="shared" ca="1" si="295"/>
        <v/>
      </c>
      <c r="AO774" s="9" t="str">
        <f t="shared" ca="1" si="296"/>
        <v/>
      </c>
      <c r="AP774" s="9" t="str">
        <f t="shared" ca="1" si="297"/>
        <v/>
      </c>
      <c r="AQ774" s="9"/>
      <c r="AR774" s="9"/>
      <c r="AS774" s="9"/>
      <c r="AT774" s="9"/>
      <c r="AU774" s="9"/>
    </row>
    <row r="775" spans="1:47" x14ac:dyDescent="0.3">
      <c r="A775" s="1">
        <v>44585</v>
      </c>
      <c r="B775" s="6">
        <v>519.65997300000004</v>
      </c>
      <c r="C775" s="6">
        <v>308.33999599999999</v>
      </c>
      <c r="D775" s="6">
        <v>44.07</v>
      </c>
      <c r="E775" s="6">
        <v>173.33000200000001</v>
      </c>
      <c r="F775" s="6">
        <v>157.990005</v>
      </c>
      <c r="G775" s="6">
        <v>56.189999</v>
      </c>
      <c r="H775" s="6">
        <v>173.69000199999999</v>
      </c>
      <c r="I775" s="6">
        <v>210.779999</v>
      </c>
      <c r="J775" s="6">
        <v>35.610000999999997</v>
      </c>
      <c r="K775" s="6">
        <v>26.879999000000002</v>
      </c>
      <c r="N775" s="19">
        <v>771</v>
      </c>
      <c r="O775" s="1">
        <v>44585</v>
      </c>
      <c r="P775" s="5">
        <f t="shared" si="298"/>
        <v>3.8746609392270558E-2</v>
      </c>
      <c r="Q775" s="5">
        <f t="shared" si="299"/>
        <v>1.6447679046283113E-2</v>
      </c>
      <c r="R775" s="5">
        <f t="shared" si="300"/>
        <v>2.9007535338012841E-2</v>
      </c>
      <c r="S775" s="5">
        <f t="shared" si="301"/>
        <v>-5.1215706387126962E-3</v>
      </c>
      <c r="T775" s="5">
        <f t="shared" si="302"/>
        <v>1.9641530815746543E-3</v>
      </c>
      <c r="U775" s="5">
        <f t="shared" si="303"/>
        <v>-2.4885010843358072E-3</v>
      </c>
      <c r="V775" s="5">
        <f t="shared" si="304"/>
        <v>9.2162324096864304E-4</v>
      </c>
      <c r="W775" s="5">
        <f t="shared" si="305"/>
        <v>2.3618599805423777E-2</v>
      </c>
      <c r="X775" s="5">
        <f t="shared" si="306"/>
        <v>7.3281896061914275E-3</v>
      </c>
      <c r="Y775" s="5">
        <f t="shared" si="307"/>
        <v>2.6004781750435017E-2</v>
      </c>
      <c r="Z775" s="33">
        <v>771</v>
      </c>
      <c r="AE775" s="20" t="str">
        <f t="shared" si="308"/>
        <v/>
      </c>
      <c r="AF775" s="22" t="str">
        <f t="shared" si="309"/>
        <v/>
      </c>
      <c r="AG775" s="9" t="str">
        <f t="shared" ca="1" si="288"/>
        <v/>
      </c>
      <c r="AH775" s="9" t="str">
        <f t="shared" ca="1" si="289"/>
        <v/>
      </c>
      <c r="AI775" s="9" t="str">
        <f t="shared" ca="1" si="290"/>
        <v/>
      </c>
      <c r="AJ775" s="9" t="str">
        <f t="shared" ca="1" si="291"/>
        <v/>
      </c>
      <c r="AK775" s="9" t="str">
        <f t="shared" ca="1" si="292"/>
        <v/>
      </c>
      <c r="AL775" s="9" t="str">
        <f t="shared" ca="1" si="293"/>
        <v/>
      </c>
      <c r="AM775" s="9" t="str">
        <f t="shared" ca="1" si="294"/>
        <v/>
      </c>
      <c r="AN775" s="9" t="str">
        <f t="shared" ca="1" si="295"/>
        <v/>
      </c>
      <c r="AO775" s="9" t="str">
        <f t="shared" ca="1" si="296"/>
        <v/>
      </c>
      <c r="AP775" s="9" t="str">
        <f t="shared" ca="1" si="297"/>
        <v/>
      </c>
      <c r="AQ775" s="9"/>
      <c r="AR775" s="9"/>
      <c r="AS775" s="9"/>
      <c r="AT775" s="9"/>
      <c r="AU775" s="9"/>
    </row>
    <row r="776" spans="1:47" x14ac:dyDescent="0.3">
      <c r="A776" s="1">
        <v>44586</v>
      </c>
      <c r="B776" s="6">
        <v>502.72000100000002</v>
      </c>
      <c r="C776" s="6">
        <v>291.66000400000001</v>
      </c>
      <c r="D776" s="6">
        <v>43.165000999999997</v>
      </c>
      <c r="E776" s="6">
        <v>171.33999600000001</v>
      </c>
      <c r="F776" s="6">
        <v>155.759995</v>
      </c>
      <c r="G776" s="6">
        <v>56</v>
      </c>
      <c r="H776" s="6">
        <v>170.66999799999999</v>
      </c>
      <c r="I776" s="6">
        <v>208.94000199999999</v>
      </c>
      <c r="J776" s="6">
        <v>35.220001000000003</v>
      </c>
      <c r="K776" s="6">
        <v>26.860001</v>
      </c>
      <c r="N776" s="18">
        <v>772</v>
      </c>
      <c r="O776" s="1">
        <v>44586</v>
      </c>
      <c r="P776" s="5">
        <f t="shared" si="298"/>
        <v>-3.314134255752306E-2</v>
      </c>
      <c r="Q776" s="5">
        <f t="shared" si="299"/>
        <v>-5.5614303259482308E-2</v>
      </c>
      <c r="R776" s="5">
        <f t="shared" si="300"/>
        <v>-2.0749273999492324E-2</v>
      </c>
      <c r="S776" s="5">
        <f t="shared" si="301"/>
        <v>-1.1547440301399838E-2</v>
      </c>
      <c r="T776" s="5">
        <f t="shared" si="302"/>
        <v>-1.4215442569053641E-2</v>
      </c>
      <c r="U776" s="5">
        <f t="shared" si="303"/>
        <v>-3.3870965921965145E-3</v>
      </c>
      <c r="V776" s="5">
        <f t="shared" si="304"/>
        <v>-1.7540256868544362E-2</v>
      </c>
      <c r="W776" s="5">
        <f t="shared" si="305"/>
        <v>-8.7677917800197593E-3</v>
      </c>
      <c r="X776" s="5">
        <f t="shared" si="306"/>
        <v>-1.1012393910667015E-2</v>
      </c>
      <c r="Y776" s="5">
        <f t="shared" si="307"/>
        <v>-7.4425012739442239E-4</v>
      </c>
      <c r="Z776" s="33">
        <v>772</v>
      </c>
      <c r="AE776" s="20" t="str">
        <f t="shared" si="308"/>
        <v/>
      </c>
      <c r="AF776" s="22" t="str">
        <f t="shared" si="309"/>
        <v/>
      </c>
      <c r="AG776" s="9" t="str">
        <f t="shared" ca="1" si="288"/>
        <v/>
      </c>
      <c r="AH776" s="9" t="str">
        <f t="shared" ca="1" si="289"/>
        <v/>
      </c>
      <c r="AI776" s="9" t="str">
        <f t="shared" ca="1" si="290"/>
        <v/>
      </c>
      <c r="AJ776" s="9" t="str">
        <f t="shared" ca="1" si="291"/>
        <v/>
      </c>
      <c r="AK776" s="9" t="str">
        <f t="shared" ca="1" si="292"/>
        <v/>
      </c>
      <c r="AL776" s="9" t="str">
        <f t="shared" ca="1" si="293"/>
        <v/>
      </c>
      <c r="AM776" s="9" t="str">
        <f t="shared" ca="1" si="294"/>
        <v/>
      </c>
      <c r="AN776" s="9" t="str">
        <f t="shared" ca="1" si="295"/>
        <v/>
      </c>
      <c r="AO776" s="9" t="str">
        <f t="shared" ca="1" si="296"/>
        <v/>
      </c>
      <c r="AP776" s="9" t="str">
        <f t="shared" ca="1" si="297"/>
        <v/>
      </c>
      <c r="AQ776" s="9"/>
      <c r="AR776" s="9"/>
      <c r="AS776" s="9"/>
      <c r="AT776" s="9"/>
      <c r="AU776" s="9"/>
    </row>
    <row r="777" spans="1:47" x14ac:dyDescent="0.3">
      <c r="A777" s="1">
        <v>44587</v>
      </c>
      <c r="B777" s="6">
        <v>500.80999800000001</v>
      </c>
      <c r="C777" s="6">
        <v>288.55999800000001</v>
      </c>
      <c r="D777" s="6">
        <v>42.294998</v>
      </c>
      <c r="E777" s="6">
        <v>169.529999</v>
      </c>
      <c r="F777" s="6">
        <v>154.46000699999999</v>
      </c>
      <c r="G777" s="6">
        <v>55.689999</v>
      </c>
      <c r="H777" s="6">
        <v>169.91999799999999</v>
      </c>
      <c r="I777" s="6">
        <v>208.71000699999999</v>
      </c>
      <c r="J777" s="6">
        <v>35.450001</v>
      </c>
      <c r="K777" s="6">
        <v>24.4</v>
      </c>
      <c r="N777" s="19">
        <v>773</v>
      </c>
      <c r="O777" s="1">
        <v>44587</v>
      </c>
      <c r="P777" s="5">
        <f t="shared" si="298"/>
        <v>-3.8065734123176524E-3</v>
      </c>
      <c r="Q777" s="5">
        <f t="shared" si="299"/>
        <v>-1.0685724335702267E-2</v>
      </c>
      <c r="R777" s="5">
        <f t="shared" si="300"/>
        <v>-2.0361176385339939E-2</v>
      </c>
      <c r="S777" s="5">
        <f t="shared" si="301"/>
        <v>-1.0619966779301968E-2</v>
      </c>
      <c r="T777" s="5">
        <f t="shared" si="302"/>
        <v>-8.3811205029828886E-3</v>
      </c>
      <c r="U777" s="5">
        <f t="shared" si="303"/>
        <v>-5.5511110901173607E-3</v>
      </c>
      <c r="V777" s="5">
        <f t="shared" si="304"/>
        <v>-4.40412942881537E-3</v>
      </c>
      <c r="W777" s="5">
        <f t="shared" si="305"/>
        <v>-1.1013768384679583E-3</v>
      </c>
      <c r="X777" s="5">
        <f t="shared" si="306"/>
        <v>6.5091497258625676E-3</v>
      </c>
      <c r="Y777" s="5">
        <f t="shared" si="307"/>
        <v>-9.6055096026016654E-2</v>
      </c>
      <c r="Z777" s="33">
        <v>773</v>
      </c>
      <c r="AE777" s="20" t="str">
        <f t="shared" si="308"/>
        <v/>
      </c>
      <c r="AF777" s="22" t="str">
        <f t="shared" si="309"/>
        <v/>
      </c>
      <c r="AG777" s="9" t="str">
        <f t="shared" ca="1" si="288"/>
        <v/>
      </c>
      <c r="AH777" s="9" t="str">
        <f t="shared" ca="1" si="289"/>
        <v/>
      </c>
      <c r="AI777" s="9" t="str">
        <f t="shared" ca="1" si="290"/>
        <v/>
      </c>
      <c r="AJ777" s="9" t="str">
        <f t="shared" ca="1" si="291"/>
        <v/>
      </c>
      <c r="AK777" s="9" t="str">
        <f t="shared" ca="1" si="292"/>
        <v/>
      </c>
      <c r="AL777" s="9" t="str">
        <f t="shared" ca="1" si="293"/>
        <v/>
      </c>
      <c r="AM777" s="9" t="str">
        <f t="shared" ca="1" si="294"/>
        <v/>
      </c>
      <c r="AN777" s="9" t="str">
        <f t="shared" ca="1" si="295"/>
        <v/>
      </c>
      <c r="AO777" s="9" t="str">
        <f t="shared" ca="1" si="296"/>
        <v/>
      </c>
      <c r="AP777" s="9" t="str">
        <f t="shared" ca="1" si="297"/>
        <v/>
      </c>
      <c r="AQ777" s="9"/>
      <c r="AR777" s="9"/>
      <c r="AS777" s="9"/>
      <c r="AT777" s="9"/>
      <c r="AU777" s="9"/>
    </row>
    <row r="778" spans="1:47" x14ac:dyDescent="0.3">
      <c r="A778" s="1">
        <v>44588</v>
      </c>
      <c r="B778" s="6">
        <v>493.04998799999998</v>
      </c>
      <c r="C778" s="6">
        <v>285.35998499999999</v>
      </c>
      <c r="D778" s="6">
        <v>41.584999000000003</v>
      </c>
      <c r="E778" s="6">
        <v>169.36999499999999</v>
      </c>
      <c r="F778" s="6">
        <v>150.509995</v>
      </c>
      <c r="G778" s="6">
        <v>54.610000999999997</v>
      </c>
      <c r="H778" s="6">
        <v>168.71000699999999</v>
      </c>
      <c r="I778" s="6">
        <v>205.08000200000001</v>
      </c>
      <c r="J778" s="6">
        <v>33.669998</v>
      </c>
      <c r="K778" s="6">
        <v>25.24</v>
      </c>
      <c r="N778" s="18">
        <v>774</v>
      </c>
      <c r="O778" s="1">
        <v>44588</v>
      </c>
      <c r="P778" s="5">
        <f t="shared" si="298"/>
        <v>-1.5616219204082279E-2</v>
      </c>
      <c r="Q778" s="5">
        <f t="shared" si="299"/>
        <v>-1.1151541178862094E-2</v>
      </c>
      <c r="R778" s="5">
        <f t="shared" si="300"/>
        <v>-1.6929327195545126E-2</v>
      </c>
      <c r="S778" s="5">
        <f t="shared" si="301"/>
        <v>-9.4425502933797797E-4</v>
      </c>
      <c r="T778" s="5">
        <f t="shared" si="302"/>
        <v>-2.590571451640648E-2</v>
      </c>
      <c r="U778" s="5">
        <f t="shared" si="303"/>
        <v>-1.9583545169305258E-2</v>
      </c>
      <c r="V778" s="5">
        <f t="shared" si="304"/>
        <v>-7.1464201741300113E-3</v>
      </c>
      <c r="W778" s="5">
        <f t="shared" si="305"/>
        <v>-1.7545605475228321E-2</v>
      </c>
      <c r="X778" s="5">
        <f t="shared" si="306"/>
        <v>-5.1516107413958914E-2</v>
      </c>
      <c r="Y778" s="5">
        <f t="shared" si="307"/>
        <v>3.3846905373856241E-2</v>
      </c>
      <c r="Z778" s="33">
        <v>774</v>
      </c>
      <c r="AE778" s="20" t="str">
        <f t="shared" si="308"/>
        <v/>
      </c>
      <c r="AF778" s="22" t="str">
        <f t="shared" si="309"/>
        <v/>
      </c>
      <c r="AG778" s="9" t="str">
        <f t="shared" ca="1" si="288"/>
        <v/>
      </c>
      <c r="AH778" s="9" t="str">
        <f t="shared" ca="1" si="289"/>
        <v/>
      </c>
      <c r="AI778" s="9" t="str">
        <f t="shared" ca="1" si="290"/>
        <v/>
      </c>
      <c r="AJ778" s="9" t="str">
        <f t="shared" ca="1" si="291"/>
        <v/>
      </c>
      <c r="AK778" s="9" t="str">
        <f t="shared" ca="1" si="292"/>
        <v/>
      </c>
      <c r="AL778" s="9" t="str">
        <f t="shared" ca="1" si="293"/>
        <v/>
      </c>
      <c r="AM778" s="9" t="str">
        <f t="shared" ca="1" si="294"/>
        <v/>
      </c>
      <c r="AN778" s="9" t="str">
        <f t="shared" ca="1" si="295"/>
        <v/>
      </c>
      <c r="AO778" s="9" t="str">
        <f t="shared" ca="1" si="296"/>
        <v/>
      </c>
      <c r="AP778" s="9" t="str">
        <f t="shared" ca="1" si="297"/>
        <v/>
      </c>
      <c r="AQ778" s="9"/>
      <c r="AR778" s="9"/>
      <c r="AS778" s="9"/>
      <c r="AT778" s="9"/>
      <c r="AU778" s="9"/>
    </row>
    <row r="779" spans="1:47" x14ac:dyDescent="0.3">
      <c r="A779" s="1">
        <v>44589</v>
      </c>
      <c r="B779" s="6">
        <v>518.15997300000004</v>
      </c>
      <c r="C779" s="6">
        <v>296.35000600000001</v>
      </c>
      <c r="D779" s="6">
        <v>42.654998999999997</v>
      </c>
      <c r="E779" s="6">
        <v>172.66999799999999</v>
      </c>
      <c r="F779" s="6">
        <v>158.33000200000001</v>
      </c>
      <c r="G779" s="6">
        <v>56.400002000000001</v>
      </c>
      <c r="H779" s="6">
        <v>167.029999</v>
      </c>
      <c r="I779" s="6">
        <v>206.53999300000001</v>
      </c>
      <c r="J779" s="6">
        <v>35.189999</v>
      </c>
      <c r="K779" s="6">
        <v>27.15</v>
      </c>
      <c r="N779" s="19">
        <v>775</v>
      </c>
      <c r="O779" s="1">
        <v>44589</v>
      </c>
      <c r="P779" s="5">
        <f t="shared" si="298"/>
        <v>4.9673458327167845E-2</v>
      </c>
      <c r="Q779" s="5">
        <f t="shared" si="299"/>
        <v>3.77897199947234E-2</v>
      </c>
      <c r="R779" s="5">
        <f t="shared" si="300"/>
        <v>2.5404975643228998E-2</v>
      </c>
      <c r="S779" s="5">
        <f t="shared" si="301"/>
        <v>1.9296605459688025E-2</v>
      </c>
      <c r="T779" s="5">
        <f t="shared" si="302"/>
        <v>5.0651981201300912E-2</v>
      </c>
      <c r="U779" s="5">
        <f t="shared" si="303"/>
        <v>3.2252159489278974E-2</v>
      </c>
      <c r="V779" s="5">
        <f t="shared" si="304"/>
        <v>-1.0007875094291309E-2</v>
      </c>
      <c r="W779" s="5">
        <f t="shared" si="305"/>
        <v>7.0939076837256082E-3</v>
      </c>
      <c r="X779" s="5">
        <f t="shared" si="306"/>
        <v>4.4154749143407494E-2</v>
      </c>
      <c r="Y779" s="5">
        <f t="shared" si="307"/>
        <v>7.2947008706932104E-2</v>
      </c>
      <c r="Z779" s="33">
        <v>775</v>
      </c>
      <c r="AE779" s="20" t="str">
        <f t="shared" si="308"/>
        <v/>
      </c>
      <c r="AF779" s="22" t="str">
        <f t="shared" si="309"/>
        <v/>
      </c>
      <c r="AG779" s="9" t="str">
        <f t="shared" ca="1" si="288"/>
        <v/>
      </c>
      <c r="AH779" s="9" t="str">
        <f t="shared" ca="1" si="289"/>
        <v/>
      </c>
      <c r="AI779" s="9" t="str">
        <f t="shared" ca="1" si="290"/>
        <v/>
      </c>
      <c r="AJ779" s="9" t="str">
        <f t="shared" ca="1" si="291"/>
        <v/>
      </c>
      <c r="AK779" s="9" t="str">
        <f t="shared" ca="1" si="292"/>
        <v/>
      </c>
      <c r="AL779" s="9" t="str">
        <f t="shared" ca="1" si="293"/>
        <v/>
      </c>
      <c r="AM779" s="9" t="str">
        <f t="shared" ca="1" si="294"/>
        <v/>
      </c>
      <c r="AN779" s="9" t="str">
        <f t="shared" ca="1" si="295"/>
        <v/>
      </c>
      <c r="AO779" s="9" t="str">
        <f t="shared" ca="1" si="296"/>
        <v/>
      </c>
      <c r="AP779" s="9" t="str">
        <f t="shared" ca="1" si="297"/>
        <v/>
      </c>
      <c r="AQ779" s="9"/>
      <c r="AR779" s="9"/>
      <c r="AS779" s="9"/>
      <c r="AT779" s="9"/>
      <c r="AU779" s="9"/>
    </row>
    <row r="780" spans="1:47" x14ac:dyDescent="0.3">
      <c r="A780" s="1">
        <v>44592</v>
      </c>
      <c r="B780" s="6">
        <v>534.29998799999998</v>
      </c>
      <c r="C780" s="6">
        <v>310.5</v>
      </c>
      <c r="D780" s="6">
        <v>43.360000999999997</v>
      </c>
      <c r="E780" s="6">
        <v>173.520004</v>
      </c>
      <c r="F780" s="6">
        <v>160.08999600000001</v>
      </c>
      <c r="G780" s="6">
        <v>56.84</v>
      </c>
      <c r="H780" s="6">
        <v>169.91000399999999</v>
      </c>
      <c r="I780" s="6">
        <v>208.25</v>
      </c>
      <c r="J780" s="6">
        <v>35.540000999999997</v>
      </c>
      <c r="K780" s="6">
        <v>27.91</v>
      </c>
      <c r="N780" s="18">
        <v>776</v>
      </c>
      <c r="O780" s="1">
        <v>44592</v>
      </c>
      <c r="P780" s="5">
        <f t="shared" si="298"/>
        <v>3.067343373722959E-2</v>
      </c>
      <c r="Q780" s="5">
        <f t="shared" si="299"/>
        <v>4.6642692893356187E-2</v>
      </c>
      <c r="R780" s="5">
        <f t="shared" si="300"/>
        <v>1.6392903277373801E-2</v>
      </c>
      <c r="S780" s="5">
        <f t="shared" si="301"/>
        <v>4.9106427291655706E-3</v>
      </c>
      <c r="T780" s="5">
        <f t="shared" si="302"/>
        <v>1.1054656958869809E-2</v>
      </c>
      <c r="U780" s="5">
        <f t="shared" si="303"/>
        <v>7.7711092638944089E-3</v>
      </c>
      <c r="V780" s="5">
        <f t="shared" si="304"/>
        <v>1.7095477624634255E-2</v>
      </c>
      <c r="W780" s="5">
        <f t="shared" si="305"/>
        <v>8.2452166954347927E-3</v>
      </c>
      <c r="X780" s="5">
        <f t="shared" si="306"/>
        <v>9.8969279474854788E-3</v>
      </c>
      <c r="Y780" s="5">
        <f t="shared" si="307"/>
        <v>2.7608001168286329E-2</v>
      </c>
      <c r="Z780" s="33">
        <v>776</v>
      </c>
      <c r="AE780" s="20" t="str">
        <f t="shared" si="308"/>
        <v/>
      </c>
      <c r="AF780" s="22" t="str">
        <f t="shared" si="309"/>
        <v/>
      </c>
      <c r="AG780" s="9" t="str">
        <f t="shared" ca="1" si="288"/>
        <v/>
      </c>
      <c r="AH780" s="9" t="str">
        <f t="shared" ca="1" si="289"/>
        <v/>
      </c>
      <c r="AI780" s="9" t="str">
        <f t="shared" ca="1" si="290"/>
        <v/>
      </c>
      <c r="AJ780" s="9" t="str">
        <f t="shared" ca="1" si="291"/>
        <v/>
      </c>
      <c r="AK780" s="9" t="str">
        <f t="shared" ca="1" si="292"/>
        <v/>
      </c>
      <c r="AL780" s="9" t="str">
        <f t="shared" ca="1" si="293"/>
        <v/>
      </c>
      <c r="AM780" s="9" t="str">
        <f t="shared" ca="1" si="294"/>
        <v/>
      </c>
      <c r="AN780" s="9" t="str">
        <f t="shared" ca="1" si="295"/>
        <v/>
      </c>
      <c r="AO780" s="9" t="str">
        <f t="shared" ca="1" si="296"/>
        <v/>
      </c>
      <c r="AP780" s="9" t="str">
        <f t="shared" ca="1" si="297"/>
        <v/>
      </c>
      <c r="AQ780" s="9"/>
      <c r="AR780" s="9"/>
      <c r="AS780" s="9"/>
      <c r="AT780" s="9"/>
      <c r="AU780" s="9"/>
    </row>
    <row r="781" spans="1:47" x14ac:dyDescent="0.3">
      <c r="A781" s="1">
        <v>44593</v>
      </c>
      <c r="B781" s="6">
        <v>535.97997999999995</v>
      </c>
      <c r="C781" s="6">
        <v>311.82000699999998</v>
      </c>
      <c r="D781" s="6">
        <v>43.235000999999997</v>
      </c>
      <c r="E781" s="6">
        <v>172.33999600000001</v>
      </c>
      <c r="F781" s="6">
        <v>159.5</v>
      </c>
      <c r="G781" s="6">
        <v>56.349997999999999</v>
      </c>
      <c r="H781" s="6">
        <v>169.69000199999999</v>
      </c>
      <c r="I781" s="6">
        <v>210.199997</v>
      </c>
      <c r="J781" s="6">
        <v>36.200001</v>
      </c>
      <c r="K781" s="6">
        <v>27.17</v>
      </c>
      <c r="N781" s="19">
        <v>777</v>
      </c>
      <c r="O781" s="1">
        <v>44593</v>
      </c>
      <c r="P781" s="5">
        <f t="shared" si="298"/>
        <v>3.1393531225438476E-3</v>
      </c>
      <c r="Q781" s="5">
        <f t="shared" si="299"/>
        <v>4.2422193237203138E-3</v>
      </c>
      <c r="R781" s="5">
        <f t="shared" si="300"/>
        <v>-2.887004652318774E-3</v>
      </c>
      <c r="S781" s="5">
        <f t="shared" si="301"/>
        <v>-6.8236429690297353E-3</v>
      </c>
      <c r="T781" s="5">
        <f t="shared" si="302"/>
        <v>-3.6922098791581305E-3</v>
      </c>
      <c r="U781" s="5">
        <f t="shared" si="303"/>
        <v>-8.6580982355731369E-3</v>
      </c>
      <c r="V781" s="5">
        <f t="shared" si="304"/>
        <v>-1.2956538686090581E-3</v>
      </c>
      <c r="W781" s="5">
        <f t="shared" si="305"/>
        <v>9.3201631237768579E-3</v>
      </c>
      <c r="X781" s="5">
        <f t="shared" si="306"/>
        <v>1.8400295592219597E-2</v>
      </c>
      <c r="Y781" s="5">
        <f t="shared" si="307"/>
        <v>-2.6871624109974332E-2</v>
      </c>
      <c r="Z781" s="33">
        <v>777</v>
      </c>
      <c r="AE781" s="20" t="str">
        <f t="shared" si="308"/>
        <v/>
      </c>
      <c r="AF781" s="22" t="str">
        <f t="shared" si="309"/>
        <v/>
      </c>
      <c r="AG781" s="9" t="str">
        <f t="shared" ca="1" si="288"/>
        <v/>
      </c>
      <c r="AH781" s="9" t="str">
        <f t="shared" ca="1" si="289"/>
        <v/>
      </c>
      <c r="AI781" s="9" t="str">
        <f t="shared" ca="1" si="290"/>
        <v/>
      </c>
      <c r="AJ781" s="9" t="str">
        <f t="shared" ca="1" si="291"/>
        <v/>
      </c>
      <c r="AK781" s="9" t="str">
        <f t="shared" ca="1" si="292"/>
        <v/>
      </c>
      <c r="AL781" s="9" t="str">
        <f t="shared" ca="1" si="293"/>
        <v/>
      </c>
      <c r="AM781" s="9" t="str">
        <f t="shared" ca="1" si="294"/>
        <v/>
      </c>
      <c r="AN781" s="9" t="str">
        <f t="shared" ca="1" si="295"/>
        <v/>
      </c>
      <c r="AO781" s="9" t="str">
        <f t="shared" ca="1" si="296"/>
        <v/>
      </c>
      <c r="AP781" s="9" t="str">
        <f t="shared" ca="1" si="297"/>
        <v/>
      </c>
      <c r="AQ781" s="9"/>
      <c r="AR781" s="9"/>
      <c r="AS781" s="9"/>
      <c r="AT781" s="9"/>
      <c r="AU781" s="9"/>
    </row>
    <row r="782" spans="1:47" x14ac:dyDescent="0.3">
      <c r="A782" s="1">
        <v>44594</v>
      </c>
      <c r="B782" s="6">
        <v>533.09002699999996</v>
      </c>
      <c r="C782" s="6">
        <v>315.63000499999998</v>
      </c>
      <c r="D782" s="6">
        <v>43.604999999999997</v>
      </c>
      <c r="E782" s="6">
        <v>175.470001</v>
      </c>
      <c r="F782" s="6">
        <v>163.11999499999999</v>
      </c>
      <c r="G782" s="6">
        <v>57.959999000000003</v>
      </c>
      <c r="H782" s="6">
        <v>170.259995</v>
      </c>
      <c r="I782" s="6">
        <v>211.05999800000001</v>
      </c>
      <c r="J782" s="6">
        <v>36.090000000000003</v>
      </c>
      <c r="K782" s="6">
        <v>27.690000999999999</v>
      </c>
      <c r="N782" s="18">
        <v>778</v>
      </c>
      <c r="O782" s="1">
        <v>44594</v>
      </c>
      <c r="P782" s="5">
        <f t="shared" si="298"/>
        <v>-5.4064935328073712E-3</v>
      </c>
      <c r="Q782" s="5">
        <f t="shared" si="299"/>
        <v>1.2144536632385246E-2</v>
      </c>
      <c r="R782" s="5">
        <f t="shared" si="300"/>
        <v>8.521447137146641E-3</v>
      </c>
      <c r="S782" s="5">
        <f t="shared" si="301"/>
        <v>1.7998847220337313E-2</v>
      </c>
      <c r="T782" s="5">
        <f t="shared" si="302"/>
        <v>2.2442173389019479E-2</v>
      </c>
      <c r="U782" s="5">
        <f t="shared" si="303"/>
        <v>2.8170895205876591E-2</v>
      </c>
      <c r="V782" s="5">
        <f t="shared" si="304"/>
        <v>3.353396318126923E-3</v>
      </c>
      <c r="W782" s="5">
        <f t="shared" si="305"/>
        <v>4.0829995962369256E-3</v>
      </c>
      <c r="X782" s="5">
        <f t="shared" si="306"/>
        <v>-3.0433278013371401E-3</v>
      </c>
      <c r="Y782" s="5">
        <f t="shared" si="307"/>
        <v>1.8957949858733916E-2</v>
      </c>
      <c r="Z782" s="33">
        <v>778</v>
      </c>
      <c r="AE782" s="20" t="str">
        <f t="shared" si="308"/>
        <v/>
      </c>
      <c r="AF782" s="22" t="str">
        <f t="shared" si="309"/>
        <v/>
      </c>
      <c r="AG782" s="9" t="str">
        <f t="shared" ca="1" si="288"/>
        <v/>
      </c>
      <c r="AH782" s="9" t="str">
        <f t="shared" ca="1" si="289"/>
        <v/>
      </c>
      <c r="AI782" s="9" t="str">
        <f t="shared" ca="1" si="290"/>
        <v/>
      </c>
      <c r="AJ782" s="9" t="str">
        <f t="shared" ca="1" si="291"/>
        <v/>
      </c>
      <c r="AK782" s="9" t="str">
        <f t="shared" ca="1" si="292"/>
        <v/>
      </c>
      <c r="AL782" s="9" t="str">
        <f t="shared" ca="1" si="293"/>
        <v/>
      </c>
      <c r="AM782" s="9" t="str">
        <f t="shared" ca="1" si="294"/>
        <v/>
      </c>
      <c r="AN782" s="9" t="str">
        <f t="shared" ca="1" si="295"/>
        <v/>
      </c>
      <c r="AO782" s="9" t="str">
        <f t="shared" ca="1" si="296"/>
        <v/>
      </c>
      <c r="AP782" s="9" t="str">
        <f t="shared" ca="1" si="297"/>
        <v/>
      </c>
      <c r="AQ782" s="9"/>
      <c r="AR782" s="9"/>
      <c r="AS782" s="9"/>
      <c r="AT782" s="9"/>
      <c r="AU782" s="9"/>
    </row>
    <row r="783" spans="1:47" x14ac:dyDescent="0.3">
      <c r="A783" s="1">
        <v>44595</v>
      </c>
      <c r="B783" s="6">
        <v>510.82998700000002</v>
      </c>
      <c r="C783" s="6">
        <v>303.51001000000002</v>
      </c>
      <c r="D783" s="6">
        <v>43.040000999999997</v>
      </c>
      <c r="E783" s="6">
        <v>175.36999499999999</v>
      </c>
      <c r="F783" s="6">
        <v>165.21000699999999</v>
      </c>
      <c r="G783" s="6">
        <v>57.529998999999997</v>
      </c>
      <c r="H783" s="6">
        <v>163.55999800000001</v>
      </c>
      <c r="I783" s="6">
        <v>216.729996</v>
      </c>
      <c r="J783" s="6">
        <v>36.549999</v>
      </c>
      <c r="K783" s="6">
        <v>28.93</v>
      </c>
      <c r="N783" s="19">
        <v>779</v>
      </c>
      <c r="O783" s="1">
        <v>44595</v>
      </c>
      <c r="P783" s="5">
        <f t="shared" si="298"/>
        <v>-4.2653487707463369E-2</v>
      </c>
      <c r="Q783" s="5">
        <f t="shared" si="299"/>
        <v>-3.9156065495887377E-2</v>
      </c>
      <c r="R783" s="5">
        <f t="shared" si="300"/>
        <v>-1.3041883591219442E-2</v>
      </c>
      <c r="S783" s="5">
        <f t="shared" si="301"/>
        <v>-5.7009465197107743E-4</v>
      </c>
      <c r="T783" s="5">
        <f t="shared" si="302"/>
        <v>1.2731338698896758E-2</v>
      </c>
      <c r="U783" s="5">
        <f t="shared" si="303"/>
        <v>-7.4465667062369031E-3</v>
      </c>
      <c r="V783" s="5">
        <f t="shared" si="304"/>
        <v>-4.0146767820546977E-2</v>
      </c>
      <c r="W783" s="5">
        <f t="shared" si="305"/>
        <v>2.65098769772012E-2</v>
      </c>
      <c r="X783" s="5">
        <f t="shared" si="306"/>
        <v>1.2665340181308771E-2</v>
      </c>
      <c r="Y783" s="5">
        <f t="shared" si="307"/>
        <v>4.3807745691053335E-2</v>
      </c>
      <c r="Z783" s="33">
        <v>779</v>
      </c>
      <c r="AE783" s="20" t="str">
        <f t="shared" si="308"/>
        <v/>
      </c>
      <c r="AF783" s="22" t="str">
        <f t="shared" si="309"/>
        <v/>
      </c>
      <c r="AG783" s="9" t="str">
        <f t="shared" ca="1" si="288"/>
        <v/>
      </c>
      <c r="AH783" s="9" t="str">
        <f t="shared" ca="1" si="289"/>
        <v/>
      </c>
      <c r="AI783" s="9" t="str">
        <f t="shared" ca="1" si="290"/>
        <v/>
      </c>
      <c r="AJ783" s="9" t="str">
        <f t="shared" ca="1" si="291"/>
        <v/>
      </c>
      <c r="AK783" s="9" t="str">
        <f t="shared" ca="1" si="292"/>
        <v/>
      </c>
      <c r="AL783" s="9" t="str">
        <f t="shared" ca="1" si="293"/>
        <v/>
      </c>
      <c r="AM783" s="9" t="str">
        <f t="shared" ca="1" si="294"/>
        <v/>
      </c>
      <c r="AN783" s="9" t="str">
        <f t="shared" ca="1" si="295"/>
        <v/>
      </c>
      <c r="AO783" s="9" t="str">
        <f t="shared" ca="1" si="296"/>
        <v/>
      </c>
      <c r="AP783" s="9" t="str">
        <f t="shared" ca="1" si="297"/>
        <v/>
      </c>
      <c r="AQ783" s="9"/>
      <c r="AR783" s="9"/>
      <c r="AS783" s="9"/>
      <c r="AT783" s="9"/>
      <c r="AU783" s="9"/>
    </row>
    <row r="784" spans="1:47" x14ac:dyDescent="0.3">
      <c r="A784" s="1">
        <v>44596</v>
      </c>
      <c r="B784" s="6">
        <v>513.53997800000002</v>
      </c>
      <c r="C784" s="6">
        <v>308.89001500000001</v>
      </c>
      <c r="D784" s="6">
        <v>42.145000000000003</v>
      </c>
      <c r="E784" s="6">
        <v>172.490005</v>
      </c>
      <c r="F784" s="6">
        <v>166.240005</v>
      </c>
      <c r="G784" s="6">
        <v>57</v>
      </c>
      <c r="H784" s="6">
        <v>163.14999399999999</v>
      </c>
      <c r="I784" s="6">
        <v>213.699997</v>
      </c>
      <c r="J784" s="6">
        <v>36.32</v>
      </c>
      <c r="K784" s="6">
        <v>28.9</v>
      </c>
      <c r="N784" s="18">
        <v>780</v>
      </c>
      <c r="O784" s="1">
        <v>44596</v>
      </c>
      <c r="P784" s="5">
        <f t="shared" si="298"/>
        <v>5.2910518949707093E-3</v>
      </c>
      <c r="Q784" s="5">
        <f t="shared" si="299"/>
        <v>1.7570683191519394E-2</v>
      </c>
      <c r="R784" s="5">
        <f t="shared" si="300"/>
        <v>-2.1013885638283755E-2</v>
      </c>
      <c r="S784" s="5">
        <f t="shared" si="301"/>
        <v>-1.6558706406328158E-2</v>
      </c>
      <c r="T784" s="5">
        <f t="shared" si="302"/>
        <v>6.2151231150984103E-3</v>
      </c>
      <c r="U784" s="5">
        <f t="shared" si="303"/>
        <v>-9.2552656584163531E-3</v>
      </c>
      <c r="V784" s="5">
        <f t="shared" si="304"/>
        <v>-2.509897005157078E-3</v>
      </c>
      <c r="W784" s="5">
        <f t="shared" si="305"/>
        <v>-1.4079172457436761E-2</v>
      </c>
      <c r="X784" s="5">
        <f t="shared" si="306"/>
        <v>-6.3126051029134909E-3</v>
      </c>
      <c r="Y784" s="5">
        <f t="shared" si="307"/>
        <v>-1.0375238696572796E-3</v>
      </c>
      <c r="Z784" s="33">
        <v>780</v>
      </c>
      <c r="AE784" s="20" t="str">
        <f t="shared" si="308"/>
        <v/>
      </c>
      <c r="AF784" s="22" t="str">
        <f t="shared" si="309"/>
        <v/>
      </c>
      <c r="AG784" s="9" t="str">
        <f t="shared" ca="1" si="288"/>
        <v/>
      </c>
      <c r="AH784" s="9" t="str">
        <f t="shared" ca="1" si="289"/>
        <v/>
      </c>
      <c r="AI784" s="9" t="str">
        <f t="shared" ca="1" si="290"/>
        <v/>
      </c>
      <c r="AJ784" s="9" t="str">
        <f t="shared" ca="1" si="291"/>
        <v/>
      </c>
      <c r="AK784" s="9" t="str">
        <f t="shared" ca="1" si="292"/>
        <v/>
      </c>
      <c r="AL784" s="9" t="str">
        <f t="shared" ca="1" si="293"/>
        <v/>
      </c>
      <c r="AM784" s="9" t="str">
        <f t="shared" ca="1" si="294"/>
        <v/>
      </c>
      <c r="AN784" s="9" t="str">
        <f t="shared" ca="1" si="295"/>
        <v/>
      </c>
      <c r="AO784" s="9" t="str">
        <f t="shared" ca="1" si="296"/>
        <v/>
      </c>
      <c r="AP784" s="9" t="str">
        <f t="shared" ca="1" si="297"/>
        <v/>
      </c>
      <c r="AQ784" s="9"/>
      <c r="AR784" s="9"/>
      <c r="AS784" s="9"/>
      <c r="AT784" s="9"/>
      <c r="AU784" s="9"/>
    </row>
    <row r="785" spans="1:47" x14ac:dyDescent="0.3">
      <c r="A785" s="1">
        <v>44599</v>
      </c>
      <c r="B785" s="6">
        <v>507.10000600000001</v>
      </c>
      <c r="C785" s="6">
        <v>305.14001500000001</v>
      </c>
      <c r="D785" s="6">
        <v>42.27</v>
      </c>
      <c r="E785" s="6">
        <v>171.80999800000001</v>
      </c>
      <c r="F785" s="6">
        <v>162.199997</v>
      </c>
      <c r="G785" s="6">
        <v>56.32</v>
      </c>
      <c r="H785" s="6">
        <v>162.14999399999999</v>
      </c>
      <c r="I785" s="6">
        <v>210.30999800000001</v>
      </c>
      <c r="J785" s="6">
        <v>36.549999</v>
      </c>
      <c r="K785" s="6">
        <v>28.34</v>
      </c>
      <c r="N785" s="19">
        <v>781</v>
      </c>
      <c r="O785" s="1">
        <v>44599</v>
      </c>
      <c r="P785" s="5">
        <f t="shared" si="298"/>
        <v>-1.2619645648717688E-2</v>
      </c>
      <c r="Q785" s="5">
        <f t="shared" si="299"/>
        <v>-1.2214538182452611E-2</v>
      </c>
      <c r="R785" s="5">
        <f t="shared" si="300"/>
        <v>2.9615611292530108E-3</v>
      </c>
      <c r="S785" s="5">
        <f t="shared" si="301"/>
        <v>-3.9500893306150461E-3</v>
      </c>
      <c r="T785" s="5">
        <f t="shared" si="302"/>
        <v>-2.4602434242285878E-2</v>
      </c>
      <c r="U785" s="5">
        <f t="shared" si="303"/>
        <v>-1.2001555984763138E-2</v>
      </c>
      <c r="V785" s="5">
        <f t="shared" si="304"/>
        <v>-6.1481905128047895E-3</v>
      </c>
      <c r="W785" s="5">
        <f t="shared" si="305"/>
        <v>-1.5990525100914761E-2</v>
      </c>
      <c r="X785" s="5">
        <f t="shared" si="306"/>
        <v>6.3126051029134432E-3</v>
      </c>
      <c r="Y785" s="5">
        <f t="shared" si="307"/>
        <v>-1.9567360855852062E-2</v>
      </c>
      <c r="Z785" s="33">
        <v>781</v>
      </c>
      <c r="AE785" s="20" t="str">
        <f t="shared" si="308"/>
        <v/>
      </c>
      <c r="AF785" s="22" t="str">
        <f t="shared" si="309"/>
        <v/>
      </c>
      <c r="AG785" s="9" t="str">
        <f t="shared" ca="1" si="288"/>
        <v/>
      </c>
      <c r="AH785" s="9" t="str">
        <f t="shared" ca="1" si="289"/>
        <v/>
      </c>
      <c r="AI785" s="9" t="str">
        <f t="shared" ca="1" si="290"/>
        <v/>
      </c>
      <c r="AJ785" s="9" t="str">
        <f t="shared" ca="1" si="291"/>
        <v/>
      </c>
      <c r="AK785" s="9" t="str">
        <f t="shared" ca="1" si="292"/>
        <v/>
      </c>
      <c r="AL785" s="9" t="str">
        <f t="shared" ca="1" si="293"/>
        <v/>
      </c>
      <c r="AM785" s="9" t="str">
        <f t="shared" ca="1" si="294"/>
        <v/>
      </c>
      <c r="AN785" s="9" t="str">
        <f t="shared" ca="1" si="295"/>
        <v/>
      </c>
      <c r="AO785" s="9" t="str">
        <f t="shared" ca="1" si="296"/>
        <v/>
      </c>
      <c r="AP785" s="9" t="str">
        <f t="shared" ca="1" si="297"/>
        <v/>
      </c>
      <c r="AQ785" s="9"/>
      <c r="AR785" s="9"/>
      <c r="AS785" s="9"/>
      <c r="AT785" s="9"/>
      <c r="AU785" s="9"/>
    </row>
    <row r="786" spans="1:47" x14ac:dyDescent="0.3">
      <c r="A786" s="1">
        <v>44600</v>
      </c>
      <c r="B786" s="6">
        <v>511.30999800000001</v>
      </c>
      <c r="C786" s="6">
        <v>309.10998499999999</v>
      </c>
      <c r="D786" s="6">
        <v>42.360000999999997</v>
      </c>
      <c r="E786" s="6">
        <v>172.020004</v>
      </c>
      <c r="F786" s="6">
        <v>162.21000699999999</v>
      </c>
      <c r="G786" s="6">
        <v>55.700001</v>
      </c>
      <c r="H786" s="6">
        <v>164.820007</v>
      </c>
      <c r="I786" s="6">
        <v>211.990005</v>
      </c>
      <c r="J786" s="6">
        <v>37.220001000000003</v>
      </c>
      <c r="K786" s="6">
        <v>28.209999</v>
      </c>
      <c r="N786" s="18">
        <v>782</v>
      </c>
      <c r="O786" s="1">
        <v>44600</v>
      </c>
      <c r="P786" s="5">
        <f t="shared" si="298"/>
        <v>8.267821339656688E-3</v>
      </c>
      <c r="Q786" s="5">
        <f t="shared" si="299"/>
        <v>1.2926415235169414E-2</v>
      </c>
      <c r="R786" s="5">
        <f t="shared" si="300"/>
        <v>2.1269297616833089E-3</v>
      </c>
      <c r="S786" s="5">
        <f t="shared" si="301"/>
        <v>1.2215689433336464E-3</v>
      </c>
      <c r="T786" s="5">
        <f t="shared" si="302"/>
        <v>6.1712030330380332E-5</v>
      </c>
      <c r="U786" s="5">
        <f t="shared" si="303"/>
        <v>-1.1069546963227404E-2</v>
      </c>
      <c r="V786" s="5">
        <f t="shared" si="304"/>
        <v>1.6332216055259568E-2</v>
      </c>
      <c r="W786" s="5">
        <f t="shared" si="305"/>
        <v>7.9565041483635381E-3</v>
      </c>
      <c r="X786" s="5">
        <f t="shared" si="306"/>
        <v>1.8165119245374159E-2</v>
      </c>
      <c r="Y786" s="5">
        <f t="shared" si="307"/>
        <v>-4.5977446970526612E-3</v>
      </c>
      <c r="Z786" s="33">
        <v>782</v>
      </c>
      <c r="AE786" s="20" t="str">
        <f t="shared" si="308"/>
        <v/>
      </c>
      <c r="AF786" s="22" t="str">
        <f t="shared" si="309"/>
        <v/>
      </c>
      <c r="AG786" s="9" t="str">
        <f t="shared" ca="1" si="288"/>
        <v/>
      </c>
      <c r="AH786" s="9" t="str">
        <f t="shared" ca="1" si="289"/>
        <v/>
      </c>
      <c r="AI786" s="9" t="str">
        <f t="shared" ca="1" si="290"/>
        <v/>
      </c>
      <c r="AJ786" s="9" t="str">
        <f t="shared" ca="1" si="291"/>
        <v/>
      </c>
      <c r="AK786" s="9" t="str">
        <f t="shared" ca="1" si="292"/>
        <v/>
      </c>
      <c r="AL786" s="9" t="str">
        <f t="shared" ca="1" si="293"/>
        <v/>
      </c>
      <c r="AM786" s="9" t="str">
        <f t="shared" ca="1" si="294"/>
        <v/>
      </c>
      <c r="AN786" s="9" t="str">
        <f t="shared" ca="1" si="295"/>
        <v/>
      </c>
      <c r="AO786" s="9" t="str">
        <f t="shared" ca="1" si="296"/>
        <v/>
      </c>
      <c r="AP786" s="9" t="str">
        <f t="shared" ca="1" si="297"/>
        <v/>
      </c>
      <c r="AQ786" s="9"/>
      <c r="AR786" s="9"/>
      <c r="AS786" s="9"/>
      <c r="AT786" s="9"/>
      <c r="AU786" s="9"/>
    </row>
    <row r="787" spans="1:47" x14ac:dyDescent="0.3">
      <c r="A787" s="1">
        <v>44601</v>
      </c>
      <c r="B787" s="6">
        <v>521.75</v>
      </c>
      <c r="C787" s="6">
        <v>324.17999300000002</v>
      </c>
      <c r="D787" s="6">
        <v>43.145000000000003</v>
      </c>
      <c r="E787" s="6">
        <v>171.94000199999999</v>
      </c>
      <c r="F787" s="6">
        <v>167.83999600000001</v>
      </c>
      <c r="G787" s="6">
        <v>57.009998000000003</v>
      </c>
      <c r="H787" s="6">
        <v>167.58999600000001</v>
      </c>
      <c r="I787" s="6">
        <v>214.729996</v>
      </c>
      <c r="J787" s="6">
        <v>39.439999</v>
      </c>
      <c r="K787" s="6">
        <v>29.84</v>
      </c>
      <c r="N787" s="19">
        <v>783</v>
      </c>
      <c r="O787" s="1">
        <v>44601</v>
      </c>
      <c r="P787" s="5">
        <f t="shared" si="298"/>
        <v>2.0212489984694181E-2</v>
      </c>
      <c r="Q787" s="5">
        <f t="shared" si="299"/>
        <v>4.7601743413099036E-2</v>
      </c>
      <c r="R787" s="5">
        <f t="shared" si="300"/>
        <v>1.8361991619889016E-2</v>
      </c>
      <c r="S787" s="5">
        <f t="shared" si="301"/>
        <v>-4.6518199818079166E-4</v>
      </c>
      <c r="T787" s="5">
        <f t="shared" si="302"/>
        <v>3.4119285599807155E-2</v>
      </c>
      <c r="U787" s="5">
        <f t="shared" si="303"/>
        <v>2.3246491075365798E-2</v>
      </c>
      <c r="V787" s="5">
        <f t="shared" si="304"/>
        <v>1.6666484723198802E-2</v>
      </c>
      <c r="W787" s="5">
        <f t="shared" si="305"/>
        <v>1.2842279016817091E-2</v>
      </c>
      <c r="X787" s="5">
        <f t="shared" si="306"/>
        <v>5.7934226298084708E-2</v>
      </c>
      <c r="Y787" s="5">
        <f t="shared" si="307"/>
        <v>5.6173285770078268E-2</v>
      </c>
      <c r="Z787" s="33">
        <v>783</v>
      </c>
      <c r="AE787" s="20" t="str">
        <f t="shared" si="308"/>
        <v/>
      </c>
      <c r="AF787" s="22" t="str">
        <f t="shared" si="309"/>
        <v/>
      </c>
      <c r="AG787" s="9" t="str">
        <f t="shared" ca="1" si="288"/>
        <v/>
      </c>
      <c r="AH787" s="9" t="str">
        <f t="shared" ca="1" si="289"/>
        <v/>
      </c>
      <c r="AI787" s="9" t="str">
        <f t="shared" ca="1" si="290"/>
        <v/>
      </c>
      <c r="AJ787" s="9" t="str">
        <f t="shared" ca="1" si="291"/>
        <v/>
      </c>
      <c r="AK787" s="9" t="str">
        <f t="shared" ca="1" si="292"/>
        <v/>
      </c>
      <c r="AL787" s="9" t="str">
        <f t="shared" ca="1" si="293"/>
        <v/>
      </c>
      <c r="AM787" s="9" t="str">
        <f t="shared" ca="1" si="294"/>
        <v/>
      </c>
      <c r="AN787" s="9" t="str">
        <f t="shared" ca="1" si="295"/>
        <v/>
      </c>
      <c r="AO787" s="9" t="str">
        <f t="shared" ca="1" si="296"/>
        <v/>
      </c>
      <c r="AP787" s="9" t="str">
        <f t="shared" ca="1" si="297"/>
        <v/>
      </c>
      <c r="AQ787" s="9"/>
      <c r="AR787" s="9"/>
      <c r="AS787" s="9"/>
      <c r="AT787" s="9"/>
      <c r="AU787" s="9"/>
    </row>
    <row r="788" spans="1:47" x14ac:dyDescent="0.3">
      <c r="A788" s="1">
        <v>44602</v>
      </c>
      <c r="B788" s="6">
        <v>495.01998900000001</v>
      </c>
      <c r="C788" s="6">
        <v>311.14999399999999</v>
      </c>
      <c r="D788" s="6">
        <v>41.915000999999997</v>
      </c>
      <c r="E788" s="6">
        <v>168.36999499999999</v>
      </c>
      <c r="F788" s="6">
        <v>164.16000399999999</v>
      </c>
      <c r="G788" s="6">
        <v>55.099997999999999</v>
      </c>
      <c r="H788" s="6">
        <v>163.94000199999999</v>
      </c>
      <c r="I788" s="6">
        <v>211.66999799999999</v>
      </c>
      <c r="J788" s="6">
        <v>35.979999999999997</v>
      </c>
      <c r="K788" s="6">
        <v>30.09</v>
      </c>
      <c r="N788" s="18">
        <v>784</v>
      </c>
      <c r="O788" s="1">
        <v>44602</v>
      </c>
      <c r="P788" s="5">
        <f t="shared" si="298"/>
        <v>-5.2590402385761646E-2</v>
      </c>
      <c r="Q788" s="5">
        <f t="shared" si="299"/>
        <v>-4.1023803759164194E-2</v>
      </c>
      <c r="R788" s="5">
        <f t="shared" si="300"/>
        <v>-2.8922754012643128E-2</v>
      </c>
      <c r="S788" s="5">
        <f t="shared" si="301"/>
        <v>-2.0981681405056463E-2</v>
      </c>
      <c r="T788" s="5">
        <f t="shared" si="302"/>
        <v>-2.2169534466889615E-2</v>
      </c>
      <c r="U788" s="5">
        <f t="shared" si="303"/>
        <v>-3.4076976100697792E-2</v>
      </c>
      <c r="V788" s="5">
        <f t="shared" si="304"/>
        <v>-2.2019977104539623E-2</v>
      </c>
      <c r="W788" s="5">
        <f t="shared" si="305"/>
        <v>-1.4352957667587282E-2</v>
      </c>
      <c r="X788" s="5">
        <f t="shared" si="306"/>
        <v>-9.1817275857077774E-2</v>
      </c>
      <c r="Y788" s="5">
        <f t="shared" si="307"/>
        <v>8.3431153063937852E-3</v>
      </c>
      <c r="Z788" s="33">
        <v>784</v>
      </c>
      <c r="AE788" s="20" t="str">
        <f t="shared" si="308"/>
        <v/>
      </c>
      <c r="AF788" s="22" t="str">
        <f t="shared" si="309"/>
        <v/>
      </c>
      <c r="AG788" s="9" t="str">
        <f t="shared" ca="1" si="288"/>
        <v/>
      </c>
      <c r="AH788" s="9" t="str">
        <f t="shared" ca="1" si="289"/>
        <v/>
      </c>
      <c r="AI788" s="9" t="str">
        <f t="shared" ca="1" si="290"/>
        <v/>
      </c>
      <c r="AJ788" s="9" t="str">
        <f t="shared" ca="1" si="291"/>
        <v/>
      </c>
      <c r="AK788" s="9" t="str">
        <f t="shared" ca="1" si="292"/>
        <v/>
      </c>
      <c r="AL788" s="9" t="str">
        <f t="shared" ca="1" si="293"/>
        <v/>
      </c>
      <c r="AM788" s="9" t="str">
        <f t="shared" ca="1" si="294"/>
        <v/>
      </c>
      <c r="AN788" s="9" t="str">
        <f t="shared" ca="1" si="295"/>
        <v/>
      </c>
      <c r="AO788" s="9" t="str">
        <f t="shared" ca="1" si="296"/>
        <v/>
      </c>
      <c r="AP788" s="9" t="str">
        <f t="shared" ca="1" si="297"/>
        <v/>
      </c>
      <c r="AQ788" s="9"/>
      <c r="AR788" s="9"/>
      <c r="AS788" s="9"/>
      <c r="AT788" s="9"/>
      <c r="AU788" s="9"/>
    </row>
    <row r="789" spans="1:47" x14ac:dyDescent="0.3">
      <c r="A789" s="1">
        <v>44603</v>
      </c>
      <c r="B789" s="6">
        <v>473.97000100000002</v>
      </c>
      <c r="C789" s="6">
        <v>295.290009</v>
      </c>
      <c r="D789" s="6">
        <v>41.400002000000001</v>
      </c>
      <c r="E789" s="6">
        <v>168.58000200000001</v>
      </c>
      <c r="F789" s="6">
        <v>165.94000199999999</v>
      </c>
      <c r="G789" s="6">
        <v>55.259998000000003</v>
      </c>
      <c r="H789" s="6">
        <v>160.21000699999999</v>
      </c>
      <c r="I789" s="6">
        <v>208.91999799999999</v>
      </c>
      <c r="J789" s="6">
        <v>34.939999</v>
      </c>
      <c r="K789" s="6">
        <v>29.57</v>
      </c>
      <c r="N789" s="19">
        <v>785</v>
      </c>
      <c r="O789" s="1">
        <v>44603</v>
      </c>
      <c r="P789" s="5">
        <f t="shared" si="298"/>
        <v>-4.3454112908842893E-2</v>
      </c>
      <c r="Q789" s="5">
        <f t="shared" si="299"/>
        <v>-5.2317136944180984E-2</v>
      </c>
      <c r="R789" s="5">
        <f t="shared" si="300"/>
        <v>-1.2362852807181518E-2</v>
      </c>
      <c r="S789" s="5">
        <f t="shared" si="301"/>
        <v>1.2465174599334515E-3</v>
      </c>
      <c r="T789" s="5">
        <f t="shared" si="302"/>
        <v>1.0784702939812079E-2</v>
      </c>
      <c r="U789" s="5">
        <f t="shared" si="303"/>
        <v>2.8996034414981524E-3</v>
      </c>
      <c r="V789" s="5">
        <f t="shared" si="304"/>
        <v>-2.3015021073194378E-2</v>
      </c>
      <c r="W789" s="5">
        <f t="shared" si="305"/>
        <v>-1.3077054688353356E-2</v>
      </c>
      <c r="X789" s="5">
        <f t="shared" si="306"/>
        <v>-2.9330952436969166E-2</v>
      </c>
      <c r="Y789" s="5">
        <f t="shared" si="307"/>
        <v>-1.7432556777567956E-2</v>
      </c>
      <c r="Z789" s="33">
        <v>785</v>
      </c>
      <c r="AE789" s="20" t="str">
        <f t="shared" si="308"/>
        <v/>
      </c>
      <c r="AF789" s="22" t="str">
        <f t="shared" si="309"/>
        <v/>
      </c>
      <c r="AG789" s="9" t="str">
        <f t="shared" ca="1" si="288"/>
        <v/>
      </c>
      <c r="AH789" s="9" t="str">
        <f t="shared" ca="1" si="289"/>
        <v/>
      </c>
      <c r="AI789" s="9" t="str">
        <f t="shared" ca="1" si="290"/>
        <v/>
      </c>
      <c r="AJ789" s="9" t="str">
        <f t="shared" ca="1" si="291"/>
        <v/>
      </c>
      <c r="AK789" s="9" t="str">
        <f t="shared" ca="1" si="292"/>
        <v/>
      </c>
      <c r="AL789" s="9" t="str">
        <f t="shared" ca="1" si="293"/>
        <v/>
      </c>
      <c r="AM789" s="9" t="str">
        <f t="shared" ca="1" si="294"/>
        <v/>
      </c>
      <c r="AN789" s="9" t="str">
        <f t="shared" ca="1" si="295"/>
        <v/>
      </c>
      <c r="AO789" s="9" t="str">
        <f t="shared" ca="1" si="296"/>
        <v/>
      </c>
      <c r="AP789" s="9" t="str">
        <f t="shared" ca="1" si="297"/>
        <v/>
      </c>
      <c r="AQ789" s="9"/>
      <c r="AR789" s="9"/>
      <c r="AS789" s="9"/>
      <c r="AT789" s="9"/>
      <c r="AU789" s="9"/>
    </row>
    <row r="790" spans="1:47" x14ac:dyDescent="0.3">
      <c r="A790" s="1">
        <v>44606</v>
      </c>
      <c r="B790" s="6">
        <v>474.01001000000002</v>
      </c>
      <c r="C790" s="6">
        <v>294.959991</v>
      </c>
      <c r="D790" s="6">
        <v>41.284999999999997</v>
      </c>
      <c r="E790" s="6">
        <v>166.699997</v>
      </c>
      <c r="F790" s="6">
        <v>162.029999</v>
      </c>
      <c r="G790" s="6">
        <v>54.610000999999997</v>
      </c>
      <c r="H790" s="6">
        <v>161.16000399999999</v>
      </c>
      <c r="I790" s="6">
        <v>210.71000699999999</v>
      </c>
      <c r="J790" s="6">
        <v>35.080002</v>
      </c>
      <c r="K790" s="6">
        <v>29.42</v>
      </c>
      <c r="N790" s="18">
        <v>786</v>
      </c>
      <c r="O790" s="1">
        <v>44606</v>
      </c>
      <c r="P790" s="5">
        <f t="shared" si="298"/>
        <v>8.440895284615229E-5</v>
      </c>
      <c r="Q790" s="5">
        <f t="shared" si="299"/>
        <v>-1.1182313744650494E-3</v>
      </c>
      <c r="R790" s="5">
        <f t="shared" si="300"/>
        <v>-2.7816912710544616E-3</v>
      </c>
      <c r="S790" s="5">
        <f t="shared" si="301"/>
        <v>-1.1214654672792236E-2</v>
      </c>
      <c r="T790" s="5">
        <f t="shared" si="302"/>
        <v>-2.3844792187475383E-2</v>
      </c>
      <c r="U790" s="5">
        <f t="shared" si="303"/>
        <v>-1.1832248826998912E-2</v>
      </c>
      <c r="V790" s="5">
        <f t="shared" si="304"/>
        <v>5.9121867919253853E-3</v>
      </c>
      <c r="W790" s="5">
        <f t="shared" si="305"/>
        <v>8.5314197546745973E-3</v>
      </c>
      <c r="X790" s="5">
        <f t="shared" si="306"/>
        <v>3.9989484311055085E-3</v>
      </c>
      <c r="Y790" s="5">
        <f t="shared" si="307"/>
        <v>-5.085618691094371E-3</v>
      </c>
      <c r="Z790" s="33">
        <v>786</v>
      </c>
      <c r="AE790" s="20" t="str">
        <f t="shared" si="308"/>
        <v/>
      </c>
      <c r="AF790" s="22" t="str">
        <f t="shared" si="309"/>
        <v/>
      </c>
      <c r="AG790" s="9" t="str">
        <f t="shared" ca="1" si="288"/>
        <v/>
      </c>
      <c r="AH790" s="9" t="str">
        <f t="shared" ca="1" si="289"/>
        <v/>
      </c>
      <c r="AI790" s="9" t="str">
        <f t="shared" ca="1" si="290"/>
        <v/>
      </c>
      <c r="AJ790" s="9" t="str">
        <f t="shared" ca="1" si="291"/>
        <v/>
      </c>
      <c r="AK790" s="9" t="str">
        <f t="shared" ca="1" si="292"/>
        <v/>
      </c>
      <c r="AL790" s="9" t="str">
        <f t="shared" ca="1" si="293"/>
        <v/>
      </c>
      <c r="AM790" s="9" t="str">
        <f t="shared" ca="1" si="294"/>
        <v/>
      </c>
      <c r="AN790" s="9" t="str">
        <f t="shared" ca="1" si="295"/>
        <v/>
      </c>
      <c r="AO790" s="9" t="str">
        <f t="shared" ca="1" si="296"/>
        <v/>
      </c>
      <c r="AP790" s="9" t="str">
        <f t="shared" ca="1" si="297"/>
        <v/>
      </c>
      <c r="AQ790" s="9"/>
      <c r="AR790" s="9"/>
      <c r="AS790" s="9"/>
      <c r="AT790" s="9"/>
      <c r="AU790" s="9"/>
    </row>
    <row r="791" spans="1:47" x14ac:dyDescent="0.3">
      <c r="A791" s="1">
        <v>44607</v>
      </c>
      <c r="B791" s="6">
        <v>479.5</v>
      </c>
      <c r="C791" s="6">
        <v>306.14999399999999</v>
      </c>
      <c r="D791" s="6">
        <v>41.389999000000003</v>
      </c>
      <c r="E791" s="6">
        <v>165.96000699999999</v>
      </c>
      <c r="F791" s="6">
        <v>162.63000500000001</v>
      </c>
      <c r="G791" s="6">
        <v>54.759998000000003</v>
      </c>
      <c r="H791" s="6">
        <v>161.61999499999999</v>
      </c>
      <c r="I791" s="6">
        <v>216.220001</v>
      </c>
      <c r="J791" s="6">
        <v>36.32</v>
      </c>
      <c r="K791" s="6">
        <v>30.51</v>
      </c>
      <c r="N791" s="19">
        <v>787</v>
      </c>
      <c r="O791" s="1">
        <v>44607</v>
      </c>
      <c r="P791" s="5">
        <f t="shared" si="298"/>
        <v>1.1515454707941408E-2</v>
      </c>
      <c r="Q791" s="5">
        <f t="shared" si="299"/>
        <v>3.7235434912450356E-2</v>
      </c>
      <c r="R791" s="5">
        <f t="shared" si="300"/>
        <v>2.5400437308238247E-3</v>
      </c>
      <c r="S791" s="5">
        <f t="shared" si="301"/>
        <v>-4.4489341168429215E-3</v>
      </c>
      <c r="T791" s="5">
        <f t="shared" si="302"/>
        <v>3.6962155837783109E-3</v>
      </c>
      <c r="U791" s="5">
        <f t="shared" si="303"/>
        <v>2.7429294215113708E-3</v>
      </c>
      <c r="V791" s="5">
        <f t="shared" si="304"/>
        <v>2.8501847253350112E-3</v>
      </c>
      <c r="W791" s="5">
        <f t="shared" si="305"/>
        <v>2.5813598739814203E-2</v>
      </c>
      <c r="X791" s="5">
        <f t="shared" si="306"/>
        <v>3.4737329216569093E-2</v>
      </c>
      <c r="Y791" s="5">
        <f t="shared" si="307"/>
        <v>3.6379783555286781E-2</v>
      </c>
      <c r="Z791" s="33">
        <v>787</v>
      </c>
      <c r="AE791" s="20" t="str">
        <f t="shared" si="308"/>
        <v/>
      </c>
      <c r="AF791" s="22" t="str">
        <f t="shared" si="309"/>
        <v/>
      </c>
      <c r="AG791" s="9" t="str">
        <f t="shared" ca="1" si="288"/>
        <v/>
      </c>
      <c r="AH791" s="9" t="str">
        <f t="shared" ca="1" si="289"/>
        <v/>
      </c>
      <c r="AI791" s="9" t="str">
        <f t="shared" ca="1" si="290"/>
        <v/>
      </c>
      <c r="AJ791" s="9" t="str">
        <f t="shared" ca="1" si="291"/>
        <v/>
      </c>
      <c r="AK791" s="9" t="str">
        <f t="shared" ca="1" si="292"/>
        <v/>
      </c>
      <c r="AL791" s="9" t="str">
        <f t="shared" ca="1" si="293"/>
        <v/>
      </c>
      <c r="AM791" s="9" t="str">
        <f t="shared" ca="1" si="294"/>
        <v/>
      </c>
      <c r="AN791" s="9" t="str">
        <f t="shared" ca="1" si="295"/>
        <v/>
      </c>
      <c r="AO791" s="9" t="str">
        <f t="shared" ca="1" si="296"/>
        <v/>
      </c>
      <c r="AP791" s="9" t="str">
        <f t="shared" ca="1" si="297"/>
        <v/>
      </c>
      <c r="AQ791" s="9"/>
      <c r="AR791" s="9"/>
      <c r="AS791" s="9"/>
      <c r="AT791" s="9"/>
      <c r="AU791" s="9"/>
    </row>
    <row r="792" spans="1:47" x14ac:dyDescent="0.3">
      <c r="A792" s="1">
        <v>44608</v>
      </c>
      <c r="B792" s="6">
        <v>477.70001200000002</v>
      </c>
      <c r="C792" s="6">
        <v>306.790009</v>
      </c>
      <c r="D792" s="6">
        <v>41.610000999999997</v>
      </c>
      <c r="E792" s="6">
        <v>166.300003</v>
      </c>
      <c r="F792" s="6">
        <v>163.770004</v>
      </c>
      <c r="G792" s="6">
        <v>55.07</v>
      </c>
      <c r="H792" s="6">
        <v>162.949997</v>
      </c>
      <c r="I792" s="6">
        <v>218.36000100000001</v>
      </c>
      <c r="J792" s="6">
        <v>36.599997999999999</v>
      </c>
      <c r="K792" s="6">
        <v>29.379999000000002</v>
      </c>
      <c r="N792" s="18">
        <v>788</v>
      </c>
      <c r="O792" s="1">
        <v>44608</v>
      </c>
      <c r="P792" s="5">
        <f t="shared" si="298"/>
        <v>-3.7609488072086329E-3</v>
      </c>
      <c r="Q792" s="5">
        <f t="shared" si="299"/>
        <v>2.0883454480684609E-3</v>
      </c>
      <c r="R792" s="5">
        <f t="shared" si="300"/>
        <v>5.3012654273184691E-3</v>
      </c>
      <c r="S792" s="5">
        <f t="shared" si="301"/>
        <v>2.0465665950647675E-3</v>
      </c>
      <c r="T792" s="5">
        <f t="shared" si="302"/>
        <v>6.9853162012822601E-3</v>
      </c>
      <c r="U792" s="5">
        <f t="shared" si="303"/>
        <v>5.6451393771519889E-3</v>
      </c>
      <c r="V792" s="5">
        <f t="shared" si="304"/>
        <v>8.1955170044792046E-3</v>
      </c>
      <c r="W792" s="5">
        <f t="shared" si="305"/>
        <v>9.8486690036058214E-3</v>
      </c>
      <c r="X792" s="5">
        <f t="shared" si="306"/>
        <v>7.6796320294177213E-3</v>
      </c>
      <c r="Y792" s="5">
        <f t="shared" si="307"/>
        <v>-3.7740362019607308E-2</v>
      </c>
      <c r="Z792" s="33">
        <v>788</v>
      </c>
      <c r="AE792" s="20" t="str">
        <f t="shared" si="308"/>
        <v/>
      </c>
      <c r="AF792" s="22" t="str">
        <f t="shared" si="309"/>
        <v/>
      </c>
      <c r="AG792" s="9" t="str">
        <f t="shared" ca="1" si="288"/>
        <v/>
      </c>
      <c r="AH792" s="9" t="str">
        <f t="shared" ca="1" si="289"/>
        <v/>
      </c>
      <c r="AI792" s="9" t="str">
        <f t="shared" ca="1" si="290"/>
        <v/>
      </c>
      <c r="AJ792" s="9" t="str">
        <f t="shared" ca="1" si="291"/>
        <v/>
      </c>
      <c r="AK792" s="9" t="str">
        <f t="shared" ca="1" si="292"/>
        <v/>
      </c>
      <c r="AL792" s="9" t="str">
        <f t="shared" ca="1" si="293"/>
        <v/>
      </c>
      <c r="AM792" s="9" t="str">
        <f t="shared" ca="1" si="294"/>
        <v/>
      </c>
      <c r="AN792" s="9" t="str">
        <f t="shared" ca="1" si="295"/>
        <v/>
      </c>
      <c r="AO792" s="9" t="str">
        <f t="shared" ca="1" si="296"/>
        <v/>
      </c>
      <c r="AP792" s="9" t="str">
        <f t="shared" ca="1" si="297"/>
        <v/>
      </c>
      <c r="AQ792" s="9"/>
      <c r="AR792" s="9"/>
      <c r="AS792" s="9"/>
      <c r="AT792" s="9"/>
      <c r="AU792" s="9"/>
    </row>
    <row r="793" spans="1:47" x14ac:dyDescent="0.3">
      <c r="A793" s="1">
        <v>44609</v>
      </c>
      <c r="B793" s="6">
        <v>457.709991</v>
      </c>
      <c r="C793" s="6">
        <v>293.30999800000001</v>
      </c>
      <c r="D793" s="6">
        <v>41.07</v>
      </c>
      <c r="E793" s="6">
        <v>166.75</v>
      </c>
      <c r="F793" s="6">
        <v>161.83000200000001</v>
      </c>
      <c r="G793" s="6">
        <v>54.23</v>
      </c>
      <c r="H793" s="6">
        <v>159.38999899999999</v>
      </c>
      <c r="I793" s="6">
        <v>216.33999600000001</v>
      </c>
      <c r="J793" s="6">
        <v>36.119999</v>
      </c>
      <c r="K793" s="6">
        <v>29.870000999999998</v>
      </c>
      <c r="N793" s="19">
        <v>789</v>
      </c>
      <c r="O793" s="1">
        <v>44609</v>
      </c>
      <c r="P793" s="5">
        <f t="shared" si="298"/>
        <v>-4.2747169386169487E-2</v>
      </c>
      <c r="Q793" s="5">
        <f t="shared" si="299"/>
        <v>-4.4933440406830283E-2</v>
      </c>
      <c r="R793" s="5">
        <f t="shared" si="300"/>
        <v>-1.3062619059066732E-2</v>
      </c>
      <c r="S793" s="5">
        <f t="shared" si="301"/>
        <v>2.7022805571639027E-3</v>
      </c>
      <c r="T793" s="5">
        <f t="shared" si="302"/>
        <v>-1.1916614998831405E-2</v>
      </c>
      <c r="U793" s="5">
        <f t="shared" si="303"/>
        <v>-1.5370842421420916E-2</v>
      </c>
      <c r="V793" s="5">
        <f t="shared" si="304"/>
        <v>-2.2089364015972821E-2</v>
      </c>
      <c r="W793" s="5">
        <f t="shared" si="305"/>
        <v>-9.2938557804216025E-3</v>
      </c>
      <c r="X793" s="5">
        <f t="shared" si="306"/>
        <v>-1.3201484899218786E-2</v>
      </c>
      <c r="Y793" s="5">
        <f t="shared" si="307"/>
        <v>1.6540528997453296E-2</v>
      </c>
      <c r="Z793" s="33">
        <v>789</v>
      </c>
      <c r="AE793" s="20" t="str">
        <f t="shared" si="308"/>
        <v/>
      </c>
      <c r="AF793" s="22" t="str">
        <f t="shared" si="309"/>
        <v/>
      </c>
      <c r="AG793" s="9" t="str">
        <f t="shared" ca="1" si="288"/>
        <v/>
      </c>
      <c r="AH793" s="9" t="str">
        <f t="shared" ca="1" si="289"/>
        <v/>
      </c>
      <c r="AI793" s="9" t="str">
        <f t="shared" ca="1" si="290"/>
        <v/>
      </c>
      <c r="AJ793" s="9" t="str">
        <f t="shared" ca="1" si="291"/>
        <v/>
      </c>
      <c r="AK793" s="9" t="str">
        <f t="shared" ca="1" si="292"/>
        <v/>
      </c>
      <c r="AL793" s="9" t="str">
        <f t="shared" ca="1" si="293"/>
        <v/>
      </c>
      <c r="AM793" s="9" t="str">
        <f t="shared" ca="1" si="294"/>
        <v/>
      </c>
      <c r="AN793" s="9" t="str">
        <f t="shared" ca="1" si="295"/>
        <v/>
      </c>
      <c r="AO793" s="9" t="str">
        <f t="shared" ca="1" si="296"/>
        <v/>
      </c>
      <c r="AP793" s="9" t="str">
        <f t="shared" ca="1" si="297"/>
        <v/>
      </c>
      <c r="AQ793" s="9"/>
      <c r="AR793" s="9"/>
      <c r="AS793" s="9"/>
      <c r="AT793" s="9"/>
      <c r="AU793" s="9"/>
    </row>
    <row r="794" spans="1:47" x14ac:dyDescent="0.3">
      <c r="A794" s="1">
        <v>44610</v>
      </c>
      <c r="B794" s="6">
        <v>442.55999800000001</v>
      </c>
      <c r="C794" s="6">
        <v>287.63000499999998</v>
      </c>
      <c r="D794" s="6">
        <v>40.634998000000003</v>
      </c>
      <c r="E794" s="6">
        <v>167.71000699999999</v>
      </c>
      <c r="F794" s="6">
        <v>161.89999399999999</v>
      </c>
      <c r="G794" s="6">
        <v>54.240001999999997</v>
      </c>
      <c r="H794" s="6">
        <v>159.029999</v>
      </c>
      <c r="I794" s="6">
        <v>215.470001</v>
      </c>
      <c r="J794" s="6">
        <v>36.110000999999997</v>
      </c>
      <c r="K794" s="6">
        <v>29.860001</v>
      </c>
      <c r="N794" s="18">
        <v>790</v>
      </c>
      <c r="O794" s="1">
        <v>44610</v>
      </c>
      <c r="P794" s="5">
        <f t="shared" si="298"/>
        <v>-3.3659732172882609E-2</v>
      </c>
      <c r="Q794" s="5">
        <f t="shared" si="299"/>
        <v>-1.9555114032889887E-2</v>
      </c>
      <c r="R794" s="5">
        <f t="shared" si="300"/>
        <v>-1.0648212981954069E-2</v>
      </c>
      <c r="S794" s="5">
        <f t="shared" si="301"/>
        <v>5.7406542865179053E-3</v>
      </c>
      <c r="T794" s="5">
        <f t="shared" si="302"/>
        <v>4.3240973623330368E-4</v>
      </c>
      <c r="U794" s="5">
        <f t="shared" si="303"/>
        <v>1.844196523265671E-4</v>
      </c>
      <c r="V794" s="5">
        <f t="shared" si="304"/>
        <v>-2.2611654773394751E-3</v>
      </c>
      <c r="W794" s="5">
        <f t="shared" si="305"/>
        <v>-4.0295323555694885E-3</v>
      </c>
      <c r="X794" s="5">
        <f t="shared" si="306"/>
        <v>-2.7683788076575877E-4</v>
      </c>
      <c r="Y794" s="5">
        <f t="shared" si="307"/>
        <v>-3.3484010576222291E-4</v>
      </c>
      <c r="Z794" s="33">
        <v>790</v>
      </c>
      <c r="AE794" s="20" t="str">
        <f t="shared" si="308"/>
        <v/>
      </c>
      <c r="AF794" s="22" t="str">
        <f t="shared" si="309"/>
        <v/>
      </c>
      <c r="AG794" s="9" t="str">
        <f t="shared" ca="1" si="288"/>
        <v/>
      </c>
      <c r="AH794" s="9" t="str">
        <f t="shared" ca="1" si="289"/>
        <v/>
      </c>
      <c r="AI794" s="9" t="str">
        <f t="shared" ca="1" si="290"/>
        <v/>
      </c>
      <c r="AJ794" s="9" t="str">
        <f t="shared" ca="1" si="291"/>
        <v/>
      </c>
      <c r="AK794" s="9" t="str">
        <f t="shared" ca="1" si="292"/>
        <v/>
      </c>
      <c r="AL794" s="9" t="str">
        <f t="shared" ca="1" si="293"/>
        <v/>
      </c>
      <c r="AM794" s="9" t="str">
        <f t="shared" ca="1" si="294"/>
        <v/>
      </c>
      <c r="AN794" s="9" t="str">
        <f t="shared" ca="1" si="295"/>
        <v/>
      </c>
      <c r="AO794" s="9" t="str">
        <f t="shared" ca="1" si="296"/>
        <v/>
      </c>
      <c r="AP794" s="9" t="str">
        <f t="shared" ca="1" si="297"/>
        <v/>
      </c>
      <c r="AQ794" s="9"/>
      <c r="AR794" s="9"/>
      <c r="AS794" s="9"/>
      <c r="AT794" s="9"/>
      <c r="AU794" s="9"/>
    </row>
    <row r="795" spans="1:47" x14ac:dyDescent="0.3">
      <c r="A795" s="1">
        <v>44614</v>
      </c>
      <c r="B795" s="6">
        <v>438.39999399999999</v>
      </c>
      <c r="C795" s="6">
        <v>289.47000100000002</v>
      </c>
      <c r="D795" s="6">
        <v>40.825001</v>
      </c>
      <c r="E795" s="6">
        <v>168.35000600000001</v>
      </c>
      <c r="F795" s="6">
        <v>163.41999799999999</v>
      </c>
      <c r="G795" s="6">
        <v>54.580002</v>
      </c>
      <c r="H795" s="6">
        <v>158.16000399999999</v>
      </c>
      <c r="I795" s="6">
        <v>208.80999800000001</v>
      </c>
      <c r="J795" s="6">
        <v>36.389999000000003</v>
      </c>
      <c r="K795" s="6">
        <v>28.280000999999999</v>
      </c>
      <c r="N795" s="19">
        <v>791</v>
      </c>
      <c r="O795" s="1">
        <v>44614</v>
      </c>
      <c r="P795" s="5">
        <f t="shared" si="298"/>
        <v>-9.4443220095578265E-3</v>
      </c>
      <c r="Q795" s="5">
        <f t="shared" si="299"/>
        <v>6.3767188209162343E-3</v>
      </c>
      <c r="R795" s="5">
        <f t="shared" si="300"/>
        <v>4.664948364810198E-3</v>
      </c>
      <c r="S795" s="5">
        <f t="shared" si="301"/>
        <v>3.8088421648674814E-3</v>
      </c>
      <c r="T795" s="5">
        <f t="shared" si="302"/>
        <v>9.3447380944818824E-3</v>
      </c>
      <c r="U795" s="5">
        <f t="shared" si="303"/>
        <v>6.2488714183552563E-3</v>
      </c>
      <c r="V795" s="5">
        <f t="shared" si="304"/>
        <v>-5.4856532264968821E-3</v>
      </c>
      <c r="W795" s="5">
        <f t="shared" si="305"/>
        <v>-3.1396955353273991E-2</v>
      </c>
      <c r="X795" s="5">
        <f t="shared" si="306"/>
        <v>7.7241211614655298E-3</v>
      </c>
      <c r="Y795" s="5">
        <f t="shared" si="307"/>
        <v>-5.4364949211611696E-2</v>
      </c>
      <c r="Z795" s="33">
        <v>791</v>
      </c>
      <c r="AE795" s="20" t="str">
        <f t="shared" si="308"/>
        <v/>
      </c>
      <c r="AF795" s="22" t="str">
        <f t="shared" si="309"/>
        <v/>
      </c>
      <c r="AG795" s="9" t="str">
        <f t="shared" ca="1" si="288"/>
        <v/>
      </c>
      <c r="AH795" s="9" t="str">
        <f t="shared" ca="1" si="289"/>
        <v/>
      </c>
      <c r="AI795" s="9" t="str">
        <f t="shared" ca="1" si="290"/>
        <v/>
      </c>
      <c r="AJ795" s="9" t="str">
        <f t="shared" ca="1" si="291"/>
        <v/>
      </c>
      <c r="AK795" s="9" t="str">
        <f t="shared" ca="1" si="292"/>
        <v/>
      </c>
      <c r="AL795" s="9" t="str">
        <f t="shared" ca="1" si="293"/>
        <v/>
      </c>
      <c r="AM795" s="9" t="str">
        <f t="shared" ca="1" si="294"/>
        <v/>
      </c>
      <c r="AN795" s="9" t="str">
        <f t="shared" ca="1" si="295"/>
        <v/>
      </c>
      <c r="AO795" s="9" t="str">
        <f t="shared" ca="1" si="296"/>
        <v/>
      </c>
      <c r="AP795" s="9" t="str">
        <f t="shared" ca="1" si="297"/>
        <v/>
      </c>
      <c r="AQ795" s="9"/>
      <c r="AR795" s="9"/>
      <c r="AS795" s="9"/>
      <c r="AT795" s="9"/>
      <c r="AU795" s="9"/>
    </row>
    <row r="796" spans="1:47" x14ac:dyDescent="0.3">
      <c r="A796" s="1">
        <v>44615</v>
      </c>
      <c r="B796" s="6">
        <v>429.45001200000002</v>
      </c>
      <c r="C796" s="6">
        <v>285.52999899999998</v>
      </c>
      <c r="D796" s="6">
        <v>39.705002</v>
      </c>
      <c r="E796" s="6">
        <v>166.69000199999999</v>
      </c>
      <c r="F796" s="6">
        <v>162.11999499999999</v>
      </c>
      <c r="G796" s="6">
        <v>53.849997999999999</v>
      </c>
      <c r="H796" s="6">
        <v>154.91000399999999</v>
      </c>
      <c r="I796" s="6">
        <v>203.490005</v>
      </c>
      <c r="J796" s="6">
        <v>35.790000999999997</v>
      </c>
      <c r="K796" s="6">
        <v>28.209999</v>
      </c>
      <c r="N796" s="18">
        <v>792</v>
      </c>
      <c r="O796" s="1">
        <v>44615</v>
      </c>
      <c r="P796" s="5">
        <f t="shared" si="298"/>
        <v>-2.0626373792723498E-2</v>
      </c>
      <c r="Q796" s="5">
        <f t="shared" si="299"/>
        <v>-1.370456927247026E-2</v>
      </c>
      <c r="R796" s="5">
        <f t="shared" si="300"/>
        <v>-2.7817488632660654E-2</v>
      </c>
      <c r="S796" s="5">
        <f t="shared" si="301"/>
        <v>-9.9093692938018261E-3</v>
      </c>
      <c r="T796" s="5">
        <f t="shared" si="302"/>
        <v>-7.9867907994019393E-3</v>
      </c>
      <c r="U796" s="5">
        <f t="shared" si="303"/>
        <v>-1.3465185461458272E-2</v>
      </c>
      <c r="V796" s="5">
        <f t="shared" si="304"/>
        <v>-2.0762875213489913E-2</v>
      </c>
      <c r="W796" s="5">
        <f t="shared" si="305"/>
        <v>-2.5807849806555525E-2</v>
      </c>
      <c r="X796" s="5">
        <f t="shared" si="306"/>
        <v>-1.6625431425291649E-2</v>
      </c>
      <c r="Y796" s="5">
        <f t="shared" si="307"/>
        <v>-2.4783868235685406E-3</v>
      </c>
      <c r="Z796" s="33">
        <v>792</v>
      </c>
      <c r="AE796" s="20" t="str">
        <f t="shared" si="308"/>
        <v/>
      </c>
      <c r="AF796" s="22" t="str">
        <f t="shared" si="309"/>
        <v/>
      </c>
      <c r="AG796" s="9" t="str">
        <f t="shared" ca="1" si="288"/>
        <v/>
      </c>
      <c r="AH796" s="9" t="str">
        <f t="shared" ca="1" si="289"/>
        <v/>
      </c>
      <c r="AI796" s="9" t="str">
        <f t="shared" ca="1" si="290"/>
        <v/>
      </c>
      <c r="AJ796" s="9" t="str">
        <f t="shared" ca="1" si="291"/>
        <v/>
      </c>
      <c r="AK796" s="9" t="str">
        <f t="shared" ca="1" si="292"/>
        <v/>
      </c>
      <c r="AL796" s="9" t="str">
        <f t="shared" ca="1" si="293"/>
        <v/>
      </c>
      <c r="AM796" s="9" t="str">
        <f t="shared" ca="1" si="294"/>
        <v/>
      </c>
      <c r="AN796" s="9" t="str">
        <f t="shared" ca="1" si="295"/>
        <v/>
      </c>
      <c r="AO796" s="9" t="str">
        <f t="shared" ca="1" si="296"/>
        <v/>
      </c>
      <c r="AP796" s="9" t="str">
        <f t="shared" ca="1" si="297"/>
        <v/>
      </c>
      <c r="AQ796" s="9"/>
      <c r="AR796" s="9"/>
      <c r="AS796" s="9"/>
      <c r="AT796" s="9"/>
      <c r="AU796" s="9"/>
    </row>
    <row r="797" spans="1:47" x14ac:dyDescent="0.3">
      <c r="A797" s="1">
        <v>44616</v>
      </c>
      <c r="B797" s="6">
        <v>463.82000699999998</v>
      </c>
      <c r="C797" s="6">
        <v>307.79998799999998</v>
      </c>
      <c r="D797" s="6">
        <v>40.174999</v>
      </c>
      <c r="E797" s="6">
        <v>163.78999300000001</v>
      </c>
      <c r="F797" s="6">
        <v>162.94000199999999</v>
      </c>
      <c r="G797" s="6">
        <v>54.32</v>
      </c>
      <c r="H797" s="6">
        <v>155.36000100000001</v>
      </c>
      <c r="I797" s="6">
        <v>204.949997</v>
      </c>
      <c r="J797" s="6">
        <v>36.18</v>
      </c>
      <c r="K797" s="6">
        <v>27.73</v>
      </c>
      <c r="N797" s="19">
        <v>793</v>
      </c>
      <c r="O797" s="1">
        <v>44616</v>
      </c>
      <c r="P797" s="5">
        <f t="shared" si="298"/>
        <v>7.6991212864173722E-2</v>
      </c>
      <c r="Q797" s="5">
        <f t="shared" si="299"/>
        <v>7.510308353590199E-2</v>
      </c>
      <c r="R797" s="5">
        <f t="shared" si="300"/>
        <v>1.1767712013811809E-2</v>
      </c>
      <c r="S797" s="5">
        <f t="shared" si="301"/>
        <v>-1.7550735196681263E-2</v>
      </c>
      <c r="T797" s="5">
        <f t="shared" si="302"/>
        <v>5.0452762381972107E-3</v>
      </c>
      <c r="U797" s="5">
        <f t="shared" si="303"/>
        <v>8.6901167882481364E-3</v>
      </c>
      <c r="V797" s="5">
        <f t="shared" si="304"/>
        <v>2.900682039962116E-3</v>
      </c>
      <c r="W797" s="5">
        <f t="shared" si="305"/>
        <v>7.1491441153004867E-3</v>
      </c>
      <c r="X797" s="5">
        <f t="shared" si="306"/>
        <v>1.0837927248449451E-2</v>
      </c>
      <c r="Y797" s="5">
        <f t="shared" si="307"/>
        <v>-1.7161629937795093E-2</v>
      </c>
      <c r="Z797" s="33">
        <v>793</v>
      </c>
      <c r="AE797" s="20" t="str">
        <f t="shared" si="308"/>
        <v/>
      </c>
      <c r="AF797" s="22" t="str">
        <f t="shared" si="309"/>
        <v/>
      </c>
      <c r="AG797" s="9" t="str">
        <f t="shared" ca="1" si="288"/>
        <v/>
      </c>
      <c r="AH797" s="9" t="str">
        <f t="shared" ca="1" si="289"/>
        <v/>
      </c>
      <c r="AI797" s="9" t="str">
        <f t="shared" ca="1" si="290"/>
        <v/>
      </c>
      <c r="AJ797" s="9" t="str">
        <f t="shared" ca="1" si="291"/>
        <v/>
      </c>
      <c r="AK797" s="9" t="str">
        <f t="shared" ca="1" si="292"/>
        <v/>
      </c>
      <c r="AL797" s="9" t="str">
        <f t="shared" ca="1" si="293"/>
        <v/>
      </c>
      <c r="AM797" s="9" t="str">
        <f t="shared" ca="1" si="294"/>
        <v/>
      </c>
      <c r="AN797" s="9" t="str">
        <f t="shared" ca="1" si="295"/>
        <v/>
      </c>
      <c r="AO797" s="9" t="str">
        <f t="shared" ca="1" si="296"/>
        <v/>
      </c>
      <c r="AP797" s="9" t="str">
        <f t="shared" ca="1" si="297"/>
        <v/>
      </c>
      <c r="AQ797" s="9"/>
      <c r="AR797" s="9"/>
      <c r="AS797" s="9"/>
      <c r="AT797" s="9"/>
      <c r="AU797" s="9"/>
    </row>
    <row r="798" spans="1:47" x14ac:dyDescent="0.3">
      <c r="A798" s="1">
        <v>44617</v>
      </c>
      <c r="B798" s="6">
        <v>465.540009</v>
      </c>
      <c r="C798" s="6">
        <v>311.14999399999999</v>
      </c>
      <c r="D798" s="6">
        <v>42.284999999999997</v>
      </c>
      <c r="E798" s="6">
        <v>168.38000500000001</v>
      </c>
      <c r="F798" s="6">
        <v>168.08999600000001</v>
      </c>
      <c r="G798" s="6">
        <v>56.040000999999997</v>
      </c>
      <c r="H798" s="6">
        <v>159.020004</v>
      </c>
      <c r="I798" s="6">
        <v>212.10000600000001</v>
      </c>
      <c r="J798" s="6">
        <v>37.479999999999997</v>
      </c>
      <c r="K798" s="6">
        <v>28.24</v>
      </c>
      <c r="N798" s="18">
        <v>794</v>
      </c>
      <c r="O798" s="1">
        <v>44617</v>
      </c>
      <c r="P798" s="5">
        <f t="shared" si="298"/>
        <v>3.7014804471763117E-3</v>
      </c>
      <c r="Q798" s="5">
        <f t="shared" si="299"/>
        <v>1.0824909313499591E-2</v>
      </c>
      <c r="R798" s="5">
        <f t="shared" si="300"/>
        <v>5.1187526501710927E-2</v>
      </c>
      <c r="S798" s="5">
        <f t="shared" si="301"/>
        <v>2.7638282847620238E-2</v>
      </c>
      <c r="T798" s="5">
        <f t="shared" si="302"/>
        <v>3.1117479291574716E-2</v>
      </c>
      <c r="U798" s="5">
        <f t="shared" si="303"/>
        <v>3.1173256062762288E-2</v>
      </c>
      <c r="V798" s="5">
        <f t="shared" si="304"/>
        <v>2.3284994647727722E-2</v>
      </c>
      <c r="W798" s="5">
        <f t="shared" si="305"/>
        <v>3.4291857546549516E-2</v>
      </c>
      <c r="X798" s="5">
        <f t="shared" si="306"/>
        <v>3.5300977403072316E-2</v>
      </c>
      <c r="Y798" s="5">
        <f t="shared" si="307"/>
        <v>1.8224552997354676E-2</v>
      </c>
      <c r="Z798" s="33">
        <v>794</v>
      </c>
      <c r="AE798" s="20" t="str">
        <f t="shared" si="308"/>
        <v/>
      </c>
      <c r="AF798" s="22" t="str">
        <f t="shared" si="309"/>
        <v/>
      </c>
      <c r="AG798" s="9" t="str">
        <f t="shared" ca="1" si="288"/>
        <v/>
      </c>
      <c r="AH798" s="9" t="str">
        <f t="shared" ca="1" si="289"/>
        <v/>
      </c>
      <c r="AI798" s="9" t="str">
        <f t="shared" ca="1" si="290"/>
        <v/>
      </c>
      <c r="AJ798" s="9" t="str">
        <f t="shared" ca="1" si="291"/>
        <v/>
      </c>
      <c r="AK798" s="9" t="str">
        <f t="shared" ca="1" si="292"/>
        <v/>
      </c>
      <c r="AL798" s="9" t="str">
        <f t="shared" ca="1" si="293"/>
        <v/>
      </c>
      <c r="AM798" s="9" t="str">
        <f t="shared" ca="1" si="294"/>
        <v/>
      </c>
      <c r="AN798" s="9" t="str">
        <f t="shared" ca="1" si="295"/>
        <v/>
      </c>
      <c r="AO798" s="9" t="str">
        <f t="shared" ca="1" si="296"/>
        <v/>
      </c>
      <c r="AP798" s="9" t="str">
        <f t="shared" ca="1" si="297"/>
        <v/>
      </c>
      <c r="AQ798" s="9"/>
      <c r="AR798" s="9"/>
      <c r="AS798" s="9"/>
      <c r="AT798" s="9"/>
      <c r="AU798" s="9"/>
    </row>
    <row r="799" spans="1:47" x14ac:dyDescent="0.3">
      <c r="A799" s="1">
        <v>44620</v>
      </c>
      <c r="B799" s="6">
        <v>467.67999300000002</v>
      </c>
      <c r="C799" s="6">
        <v>312.39001500000001</v>
      </c>
      <c r="D799" s="6">
        <v>42.200001</v>
      </c>
      <c r="E799" s="6">
        <v>163.740005</v>
      </c>
      <c r="F799" s="6">
        <v>165.11000100000001</v>
      </c>
      <c r="G799" s="6">
        <v>54.869999</v>
      </c>
      <c r="H799" s="6">
        <v>156.86000100000001</v>
      </c>
      <c r="I799" s="6">
        <v>210.179993</v>
      </c>
      <c r="J799" s="6">
        <v>36.799999</v>
      </c>
      <c r="K799" s="6">
        <v>28.049999</v>
      </c>
      <c r="N799" s="19">
        <v>795</v>
      </c>
      <c r="O799" s="1">
        <v>44620</v>
      </c>
      <c r="P799" s="5">
        <f t="shared" si="298"/>
        <v>4.5862449291355955E-3</v>
      </c>
      <c r="Q799" s="5">
        <f t="shared" si="299"/>
        <v>3.9773634948922793E-3</v>
      </c>
      <c r="R799" s="5">
        <f t="shared" si="300"/>
        <v>-2.0121684955371898E-3</v>
      </c>
      <c r="S799" s="5">
        <f t="shared" si="301"/>
        <v>-2.7943525119738112E-2</v>
      </c>
      <c r="T799" s="5">
        <f t="shared" si="302"/>
        <v>-1.7887601948217598E-2</v>
      </c>
      <c r="U799" s="5">
        <f t="shared" si="303"/>
        <v>-2.1099006467214299E-2</v>
      </c>
      <c r="V799" s="5">
        <f t="shared" si="304"/>
        <v>-1.3676311467773681E-2</v>
      </c>
      <c r="W799" s="5">
        <f t="shared" si="305"/>
        <v>-9.0936167265160423E-3</v>
      </c>
      <c r="X799" s="5">
        <f t="shared" si="306"/>
        <v>-1.8309639369249495E-2</v>
      </c>
      <c r="Y799" s="5">
        <f t="shared" si="307"/>
        <v>-6.7508163069604681E-3</v>
      </c>
      <c r="Z799" s="33">
        <v>795</v>
      </c>
      <c r="AE799" s="20" t="str">
        <f t="shared" si="308"/>
        <v/>
      </c>
      <c r="AF799" s="22" t="str">
        <f t="shared" si="309"/>
        <v/>
      </c>
      <c r="AG799" s="9" t="str">
        <f t="shared" ca="1" si="288"/>
        <v/>
      </c>
      <c r="AH799" s="9" t="str">
        <f t="shared" ca="1" si="289"/>
        <v/>
      </c>
      <c r="AI799" s="9" t="str">
        <f t="shared" ca="1" si="290"/>
        <v/>
      </c>
      <c r="AJ799" s="9" t="str">
        <f t="shared" ca="1" si="291"/>
        <v/>
      </c>
      <c r="AK799" s="9" t="str">
        <f t="shared" ca="1" si="292"/>
        <v/>
      </c>
      <c r="AL799" s="9" t="str">
        <f t="shared" ca="1" si="293"/>
        <v/>
      </c>
      <c r="AM799" s="9" t="str">
        <f t="shared" ca="1" si="294"/>
        <v/>
      </c>
      <c r="AN799" s="9" t="str">
        <f t="shared" ca="1" si="295"/>
        <v/>
      </c>
      <c r="AO799" s="9" t="str">
        <f t="shared" ca="1" si="296"/>
        <v/>
      </c>
      <c r="AP799" s="9" t="str">
        <f t="shared" ca="1" si="297"/>
        <v/>
      </c>
      <c r="AQ799" s="9"/>
      <c r="AR799" s="9"/>
      <c r="AS799" s="9"/>
      <c r="AT799" s="9"/>
      <c r="AU799" s="9"/>
    </row>
    <row r="800" spans="1:47" x14ac:dyDescent="0.3">
      <c r="A800" s="1">
        <v>44621</v>
      </c>
      <c r="B800" s="6">
        <v>466.67999300000002</v>
      </c>
      <c r="C800" s="6">
        <v>307.709991</v>
      </c>
      <c r="D800" s="6">
        <v>41.615001999999997</v>
      </c>
      <c r="E800" s="6">
        <v>162.270004</v>
      </c>
      <c r="F800" s="6">
        <v>163.800003</v>
      </c>
      <c r="G800" s="6">
        <v>54.310001</v>
      </c>
      <c r="H800" s="6">
        <v>151.66999799999999</v>
      </c>
      <c r="I800" s="6">
        <v>202</v>
      </c>
      <c r="J800" s="6">
        <v>35.470001000000003</v>
      </c>
      <c r="K800" s="6">
        <v>28.110001</v>
      </c>
      <c r="N800" s="18">
        <v>796</v>
      </c>
      <c r="O800" s="1">
        <v>44621</v>
      </c>
      <c r="P800" s="5">
        <f t="shared" si="298"/>
        <v>-2.1405034393519313E-3</v>
      </c>
      <c r="Q800" s="5">
        <f t="shared" si="299"/>
        <v>-1.5094703487704487E-2</v>
      </c>
      <c r="R800" s="5">
        <f t="shared" si="300"/>
        <v>-1.3959517480997198E-2</v>
      </c>
      <c r="S800" s="5">
        <f t="shared" si="301"/>
        <v>-9.0181952827983903E-3</v>
      </c>
      <c r="T800" s="5">
        <f t="shared" si="302"/>
        <v>-7.9657347663222525E-3</v>
      </c>
      <c r="U800" s="5">
        <f t="shared" si="303"/>
        <v>-1.0258342386419567E-2</v>
      </c>
      <c r="V800" s="5">
        <f t="shared" si="304"/>
        <v>-3.3646599282849937E-2</v>
      </c>
      <c r="W800" s="5">
        <f t="shared" si="305"/>
        <v>-3.9696575731458718E-2</v>
      </c>
      <c r="X800" s="5">
        <f t="shared" si="306"/>
        <v>-3.6810521022602613E-2</v>
      </c>
      <c r="Y800" s="5">
        <f t="shared" si="307"/>
        <v>2.1368241748877807E-3</v>
      </c>
      <c r="Z800" s="33">
        <v>796</v>
      </c>
      <c r="AE800" s="20" t="str">
        <f t="shared" si="308"/>
        <v/>
      </c>
      <c r="AF800" s="22" t="str">
        <f t="shared" si="309"/>
        <v/>
      </c>
      <c r="AG800" s="9" t="str">
        <f t="shared" ca="1" si="288"/>
        <v/>
      </c>
      <c r="AH800" s="9" t="str">
        <f t="shared" ca="1" si="289"/>
        <v/>
      </c>
      <c r="AI800" s="9" t="str">
        <f t="shared" ca="1" si="290"/>
        <v/>
      </c>
      <c r="AJ800" s="9" t="str">
        <f t="shared" ca="1" si="291"/>
        <v/>
      </c>
      <c r="AK800" s="9" t="str">
        <f t="shared" ca="1" si="292"/>
        <v/>
      </c>
      <c r="AL800" s="9" t="str">
        <f t="shared" ca="1" si="293"/>
        <v/>
      </c>
      <c r="AM800" s="9" t="str">
        <f t="shared" ca="1" si="294"/>
        <v/>
      </c>
      <c r="AN800" s="9" t="str">
        <f t="shared" ca="1" si="295"/>
        <v/>
      </c>
      <c r="AO800" s="9" t="str">
        <f t="shared" ca="1" si="296"/>
        <v/>
      </c>
      <c r="AP800" s="9" t="str">
        <f t="shared" ca="1" si="297"/>
        <v/>
      </c>
      <c r="AQ800" s="9"/>
      <c r="AR800" s="9"/>
      <c r="AS800" s="9"/>
      <c r="AT800" s="9"/>
      <c r="AU800" s="9"/>
    </row>
    <row r="801" spans="1:47" x14ac:dyDescent="0.3">
      <c r="A801" s="1">
        <v>44622</v>
      </c>
      <c r="B801" s="6">
        <v>471.17999300000002</v>
      </c>
      <c r="C801" s="6">
        <v>315.32000699999998</v>
      </c>
      <c r="D801" s="6">
        <v>41.875</v>
      </c>
      <c r="E801" s="6">
        <v>164.520004</v>
      </c>
      <c r="F801" s="6">
        <v>167.11000100000001</v>
      </c>
      <c r="G801" s="6">
        <v>55.790000999999997</v>
      </c>
      <c r="H801" s="6">
        <v>157.14999399999999</v>
      </c>
      <c r="I801" s="6">
        <v>209.25</v>
      </c>
      <c r="J801" s="6">
        <v>36.409999999999997</v>
      </c>
      <c r="K801" s="6">
        <v>29.24</v>
      </c>
      <c r="N801" s="19">
        <v>797</v>
      </c>
      <c r="O801" s="1">
        <v>44622</v>
      </c>
      <c r="P801" s="5">
        <f t="shared" si="298"/>
        <v>9.5963888024352371E-3</v>
      </c>
      <c r="Q801" s="5">
        <f t="shared" si="299"/>
        <v>2.4430266652266778E-2</v>
      </c>
      <c r="R801" s="5">
        <f t="shared" si="300"/>
        <v>6.2282628875793824E-3</v>
      </c>
      <c r="S801" s="5">
        <f t="shared" si="301"/>
        <v>1.377052847365722E-2</v>
      </c>
      <c r="T801" s="5">
        <f t="shared" si="302"/>
        <v>2.0006094465386474E-2</v>
      </c>
      <c r="U801" s="5">
        <f t="shared" si="303"/>
        <v>2.6886269322226871E-2</v>
      </c>
      <c r="V801" s="5">
        <f t="shared" si="304"/>
        <v>3.5493630186711027E-2</v>
      </c>
      <c r="W801" s="5">
        <f t="shared" si="305"/>
        <v>3.5262011968379865E-2</v>
      </c>
      <c r="X801" s="5">
        <f t="shared" si="306"/>
        <v>2.6156165208972872E-2</v>
      </c>
      <c r="Y801" s="5">
        <f t="shared" si="307"/>
        <v>3.9412214388609208E-2</v>
      </c>
      <c r="Z801" s="33">
        <v>797</v>
      </c>
      <c r="AE801" s="20" t="str">
        <f t="shared" si="308"/>
        <v/>
      </c>
      <c r="AF801" s="22" t="str">
        <f t="shared" si="309"/>
        <v/>
      </c>
      <c r="AG801" s="9" t="str">
        <f t="shared" ca="1" si="288"/>
        <v/>
      </c>
      <c r="AH801" s="9" t="str">
        <f t="shared" ca="1" si="289"/>
        <v/>
      </c>
      <c r="AI801" s="9" t="str">
        <f t="shared" ca="1" si="290"/>
        <v/>
      </c>
      <c r="AJ801" s="9" t="str">
        <f t="shared" ca="1" si="291"/>
        <v/>
      </c>
      <c r="AK801" s="9" t="str">
        <f t="shared" ca="1" si="292"/>
        <v/>
      </c>
      <c r="AL801" s="9" t="str">
        <f t="shared" ca="1" si="293"/>
        <v/>
      </c>
      <c r="AM801" s="9" t="str">
        <f t="shared" ca="1" si="294"/>
        <v/>
      </c>
      <c r="AN801" s="9" t="str">
        <f t="shared" ca="1" si="295"/>
        <v/>
      </c>
      <c r="AO801" s="9" t="str">
        <f t="shared" ca="1" si="296"/>
        <v/>
      </c>
      <c r="AP801" s="9" t="str">
        <f t="shared" ca="1" si="297"/>
        <v/>
      </c>
      <c r="AQ801" s="9"/>
      <c r="AR801" s="9"/>
      <c r="AS801" s="9"/>
      <c r="AT801" s="9"/>
      <c r="AU801" s="9"/>
    </row>
    <row r="802" spans="1:47" x14ac:dyDescent="0.3">
      <c r="A802" s="1">
        <v>44623</v>
      </c>
      <c r="B802" s="6">
        <v>459.07998700000002</v>
      </c>
      <c r="C802" s="6">
        <v>308.83999599999999</v>
      </c>
      <c r="D802" s="6">
        <v>41.674999</v>
      </c>
      <c r="E802" s="6">
        <v>163.270004</v>
      </c>
      <c r="F802" s="6">
        <v>168.08999600000001</v>
      </c>
      <c r="G802" s="6">
        <v>56.279998999999997</v>
      </c>
      <c r="H802" s="6">
        <v>157.070007</v>
      </c>
      <c r="I802" s="6">
        <v>210.64999399999999</v>
      </c>
      <c r="J802" s="6">
        <v>35.849997999999999</v>
      </c>
      <c r="K802" s="6">
        <v>28.68</v>
      </c>
      <c r="N802" s="18">
        <v>798</v>
      </c>
      <c r="O802" s="1">
        <v>44623</v>
      </c>
      <c r="P802" s="5">
        <f t="shared" si="298"/>
        <v>-2.6015713263557349E-2</v>
      </c>
      <c r="Q802" s="5">
        <f t="shared" si="299"/>
        <v>-2.0764687902452644E-2</v>
      </c>
      <c r="R802" s="5">
        <f t="shared" si="300"/>
        <v>-4.7875855035740779E-3</v>
      </c>
      <c r="S802" s="5">
        <f t="shared" si="301"/>
        <v>-7.6268710380080441E-3</v>
      </c>
      <c r="T802" s="5">
        <f t="shared" si="302"/>
        <v>5.847242249153453E-3</v>
      </c>
      <c r="U802" s="5">
        <f t="shared" si="303"/>
        <v>8.744554696090881E-3</v>
      </c>
      <c r="V802" s="5">
        <f t="shared" si="304"/>
        <v>-5.0911464243610265E-4</v>
      </c>
      <c r="W802" s="5">
        <f t="shared" si="305"/>
        <v>6.6682505721743536E-3</v>
      </c>
      <c r="X802" s="5">
        <f t="shared" si="306"/>
        <v>-1.5499950929719787E-2</v>
      </c>
      <c r="Y802" s="5">
        <f t="shared" si="307"/>
        <v>-1.933761915015806E-2</v>
      </c>
      <c r="Z802" s="33">
        <v>798</v>
      </c>
      <c r="AE802" s="20" t="str">
        <f t="shared" si="308"/>
        <v/>
      </c>
      <c r="AF802" s="22" t="str">
        <f t="shared" si="309"/>
        <v/>
      </c>
      <c r="AG802" s="9" t="str">
        <f t="shared" ca="1" si="288"/>
        <v/>
      </c>
      <c r="AH802" s="9" t="str">
        <f t="shared" ca="1" si="289"/>
        <v/>
      </c>
      <c r="AI802" s="9" t="str">
        <f t="shared" ca="1" si="290"/>
        <v/>
      </c>
      <c r="AJ802" s="9" t="str">
        <f t="shared" ca="1" si="291"/>
        <v/>
      </c>
      <c r="AK802" s="9" t="str">
        <f t="shared" ca="1" si="292"/>
        <v/>
      </c>
      <c r="AL802" s="9" t="str">
        <f t="shared" ca="1" si="293"/>
        <v/>
      </c>
      <c r="AM802" s="9" t="str">
        <f t="shared" ca="1" si="294"/>
        <v/>
      </c>
      <c r="AN802" s="9" t="str">
        <f t="shared" ca="1" si="295"/>
        <v/>
      </c>
      <c r="AO802" s="9" t="str">
        <f t="shared" ca="1" si="296"/>
        <v/>
      </c>
      <c r="AP802" s="9" t="str">
        <f t="shared" ca="1" si="297"/>
        <v/>
      </c>
      <c r="AQ802" s="9"/>
      <c r="AR802" s="9"/>
      <c r="AS802" s="9"/>
      <c r="AT802" s="9"/>
      <c r="AU802" s="9"/>
    </row>
    <row r="803" spans="1:47" x14ac:dyDescent="0.3">
      <c r="A803" s="1">
        <v>44624</v>
      </c>
      <c r="B803" s="6">
        <v>452.13000499999998</v>
      </c>
      <c r="C803" s="6">
        <v>309.05999800000001</v>
      </c>
      <c r="D803" s="6">
        <v>40.659999999999997</v>
      </c>
      <c r="E803" s="6">
        <v>165.75</v>
      </c>
      <c r="F803" s="6">
        <v>172.36999499999999</v>
      </c>
      <c r="G803" s="6">
        <v>58.049999</v>
      </c>
      <c r="H803" s="6">
        <v>150.94000199999999</v>
      </c>
      <c r="I803" s="6">
        <v>207.5</v>
      </c>
      <c r="J803" s="6">
        <v>34.200001</v>
      </c>
      <c r="K803" s="6">
        <v>26.889999</v>
      </c>
      <c r="N803" s="19">
        <v>799</v>
      </c>
      <c r="O803" s="1">
        <v>44624</v>
      </c>
      <c r="P803" s="5">
        <f t="shared" si="298"/>
        <v>-1.5254698336501856E-2</v>
      </c>
      <c r="Q803" s="5">
        <f t="shared" si="299"/>
        <v>7.1209584538877628E-4</v>
      </c>
      <c r="R803" s="5">
        <f t="shared" si="300"/>
        <v>-2.4656596441455944E-2</v>
      </c>
      <c r="S803" s="5">
        <f t="shared" si="301"/>
        <v>1.5075332428603488E-2</v>
      </c>
      <c r="T803" s="5">
        <f t="shared" si="302"/>
        <v>2.5143773710404643E-2</v>
      </c>
      <c r="U803" s="5">
        <f t="shared" si="303"/>
        <v>3.0965476439484715E-2</v>
      </c>
      <c r="V803" s="5">
        <f t="shared" si="304"/>
        <v>-3.9809190314036694E-2</v>
      </c>
      <c r="W803" s="5">
        <f t="shared" si="305"/>
        <v>-1.5066620271006073E-2</v>
      </c>
      <c r="X803" s="5">
        <f t="shared" si="306"/>
        <v>-4.7117837949297046E-2</v>
      </c>
      <c r="Y803" s="5">
        <f t="shared" si="307"/>
        <v>-6.4445582639192922E-2</v>
      </c>
      <c r="Z803" s="33">
        <v>799</v>
      </c>
      <c r="AE803" s="20" t="str">
        <f t="shared" si="308"/>
        <v/>
      </c>
      <c r="AF803" s="22" t="str">
        <f t="shared" si="309"/>
        <v/>
      </c>
      <c r="AG803" s="9" t="str">
        <f t="shared" ca="1" si="288"/>
        <v/>
      </c>
      <c r="AH803" s="9" t="str">
        <f t="shared" ca="1" si="289"/>
        <v/>
      </c>
      <c r="AI803" s="9" t="str">
        <f t="shared" ca="1" si="290"/>
        <v/>
      </c>
      <c r="AJ803" s="9" t="str">
        <f t="shared" ca="1" si="291"/>
        <v/>
      </c>
      <c r="AK803" s="9" t="str">
        <f t="shared" ca="1" si="292"/>
        <v/>
      </c>
      <c r="AL803" s="9" t="str">
        <f t="shared" ca="1" si="293"/>
        <v/>
      </c>
      <c r="AM803" s="9" t="str">
        <f t="shared" ca="1" si="294"/>
        <v/>
      </c>
      <c r="AN803" s="9" t="str">
        <f t="shared" ca="1" si="295"/>
        <v/>
      </c>
      <c r="AO803" s="9" t="str">
        <f t="shared" ca="1" si="296"/>
        <v/>
      </c>
      <c r="AP803" s="9" t="str">
        <f t="shared" ca="1" si="297"/>
        <v/>
      </c>
      <c r="AQ803" s="9"/>
      <c r="AR803" s="9"/>
      <c r="AS803" s="9"/>
      <c r="AT803" s="9"/>
      <c r="AU803" s="9"/>
    </row>
    <row r="804" spans="1:47" x14ac:dyDescent="0.3">
      <c r="A804" s="1">
        <v>44627</v>
      </c>
      <c r="B804" s="6">
        <v>437.97000100000002</v>
      </c>
      <c r="C804" s="6">
        <v>295.459991</v>
      </c>
      <c r="D804" s="6">
        <v>37.5</v>
      </c>
      <c r="E804" s="6">
        <v>162.449997</v>
      </c>
      <c r="F804" s="6">
        <v>170.179993</v>
      </c>
      <c r="G804" s="6">
        <v>57.599997999999999</v>
      </c>
      <c r="H804" s="6">
        <v>146.86000100000001</v>
      </c>
      <c r="I804" s="6">
        <v>204.14999399999999</v>
      </c>
      <c r="J804" s="6">
        <v>32.200001</v>
      </c>
      <c r="K804" s="6">
        <v>25.549999</v>
      </c>
      <c r="N804" s="18">
        <v>800</v>
      </c>
      <c r="O804" s="1">
        <v>44627</v>
      </c>
      <c r="P804" s="5">
        <f t="shared" si="298"/>
        <v>-3.1819342995201193E-2</v>
      </c>
      <c r="Q804" s="5">
        <f t="shared" si="299"/>
        <v>-4.500199290182804E-2</v>
      </c>
      <c r="R804" s="5">
        <f t="shared" si="300"/>
        <v>-8.0903875223835353E-2</v>
      </c>
      <c r="S804" s="5">
        <f t="shared" si="301"/>
        <v>-2.0110385418083489E-2</v>
      </c>
      <c r="T804" s="5">
        <f t="shared" si="302"/>
        <v>-1.2786640870439328E-2</v>
      </c>
      <c r="U804" s="5">
        <f t="shared" si="303"/>
        <v>-7.7821579377488088E-3</v>
      </c>
      <c r="V804" s="5">
        <f t="shared" si="304"/>
        <v>-2.7402661274349788E-2</v>
      </c>
      <c r="W804" s="5">
        <f t="shared" si="305"/>
        <v>-1.6276351295323042E-2</v>
      </c>
      <c r="X804" s="5">
        <f t="shared" si="306"/>
        <v>-6.0259189702062399E-2</v>
      </c>
      <c r="Y804" s="5">
        <f t="shared" si="307"/>
        <v>-5.1117155581457213E-2</v>
      </c>
      <c r="Z804" s="33">
        <v>800</v>
      </c>
      <c r="AE804" s="20" t="str">
        <f t="shared" si="308"/>
        <v/>
      </c>
      <c r="AF804" s="22" t="str">
        <f t="shared" si="309"/>
        <v/>
      </c>
      <c r="AG804" s="9" t="str">
        <f t="shared" ca="1" si="288"/>
        <v/>
      </c>
      <c r="AH804" s="9" t="str">
        <f t="shared" ca="1" si="289"/>
        <v/>
      </c>
      <c r="AI804" s="9" t="str">
        <f t="shared" ca="1" si="290"/>
        <v/>
      </c>
      <c r="AJ804" s="9" t="str">
        <f t="shared" ca="1" si="291"/>
        <v/>
      </c>
      <c r="AK804" s="9" t="str">
        <f t="shared" ca="1" si="292"/>
        <v/>
      </c>
      <c r="AL804" s="9" t="str">
        <f t="shared" ca="1" si="293"/>
        <v/>
      </c>
      <c r="AM804" s="9" t="str">
        <f t="shared" ca="1" si="294"/>
        <v/>
      </c>
      <c r="AN804" s="9" t="str">
        <f t="shared" ca="1" si="295"/>
        <v/>
      </c>
      <c r="AO804" s="9" t="str">
        <f t="shared" ca="1" si="296"/>
        <v/>
      </c>
      <c r="AP804" s="9" t="str">
        <f t="shared" ca="1" si="297"/>
        <v/>
      </c>
      <c r="AQ804" s="9"/>
      <c r="AR804" s="9"/>
      <c r="AS804" s="9"/>
      <c r="AT804" s="9"/>
      <c r="AU804" s="9"/>
    </row>
    <row r="805" spans="1:47" x14ac:dyDescent="0.3">
      <c r="A805" s="1">
        <v>44628</v>
      </c>
      <c r="B805" s="6">
        <v>431.52999899999998</v>
      </c>
      <c r="C805" s="6">
        <v>296.35000600000001</v>
      </c>
      <c r="D805" s="6">
        <v>36.244999</v>
      </c>
      <c r="E805" s="6">
        <v>157.86999499999999</v>
      </c>
      <c r="F805" s="6">
        <v>167.46000699999999</v>
      </c>
      <c r="G805" s="6">
        <v>56.580002</v>
      </c>
      <c r="H805" s="6">
        <v>146.19000199999999</v>
      </c>
      <c r="I805" s="6">
        <v>206.35000600000001</v>
      </c>
      <c r="J805" s="6">
        <v>32.540000999999997</v>
      </c>
      <c r="K805" s="6">
        <v>25.27</v>
      </c>
      <c r="N805" s="19">
        <v>801</v>
      </c>
      <c r="O805" s="1">
        <v>44628</v>
      </c>
      <c r="P805" s="5">
        <f t="shared" si="298"/>
        <v>-1.4813386460764008E-2</v>
      </c>
      <c r="Q805" s="5">
        <f t="shared" si="299"/>
        <v>3.0077750476917874E-3</v>
      </c>
      <c r="R805" s="5">
        <f t="shared" si="300"/>
        <v>-3.4039519813536805E-2</v>
      </c>
      <c r="S805" s="5">
        <f t="shared" si="301"/>
        <v>-2.859836577588212E-2</v>
      </c>
      <c r="T805" s="5">
        <f t="shared" si="302"/>
        <v>-1.611210071118039E-2</v>
      </c>
      <c r="U805" s="5">
        <f t="shared" si="303"/>
        <v>-1.7866931758022651E-2</v>
      </c>
      <c r="V805" s="5">
        <f t="shared" si="304"/>
        <v>-4.5725996283198928E-3</v>
      </c>
      <c r="W805" s="5">
        <f t="shared" si="305"/>
        <v>1.0718796899971765E-2</v>
      </c>
      <c r="X805" s="5">
        <f t="shared" si="306"/>
        <v>1.050364891603585E-2</v>
      </c>
      <c r="Y805" s="5">
        <f t="shared" si="307"/>
        <v>-1.1019356110666621E-2</v>
      </c>
      <c r="Z805" s="33">
        <v>801</v>
      </c>
      <c r="AE805" s="20" t="str">
        <f t="shared" si="308"/>
        <v/>
      </c>
      <c r="AF805" s="22" t="str">
        <f t="shared" si="309"/>
        <v/>
      </c>
      <c r="AG805" s="9" t="str">
        <f t="shared" ca="1" si="288"/>
        <v/>
      </c>
      <c r="AH805" s="9" t="str">
        <f t="shared" ca="1" si="289"/>
        <v/>
      </c>
      <c r="AI805" s="9" t="str">
        <f t="shared" ca="1" si="290"/>
        <v/>
      </c>
      <c r="AJ805" s="9" t="str">
        <f t="shared" ca="1" si="291"/>
        <v/>
      </c>
      <c r="AK805" s="9" t="str">
        <f t="shared" ca="1" si="292"/>
        <v/>
      </c>
      <c r="AL805" s="9" t="str">
        <f t="shared" ca="1" si="293"/>
        <v/>
      </c>
      <c r="AM805" s="9" t="str">
        <f t="shared" ca="1" si="294"/>
        <v/>
      </c>
      <c r="AN805" s="9" t="str">
        <f t="shared" ca="1" si="295"/>
        <v/>
      </c>
      <c r="AO805" s="9" t="str">
        <f t="shared" ca="1" si="296"/>
        <v/>
      </c>
      <c r="AP805" s="9" t="str">
        <f t="shared" ca="1" si="297"/>
        <v/>
      </c>
      <c r="AQ805" s="9"/>
      <c r="AR805" s="9"/>
      <c r="AS805" s="9"/>
      <c r="AT805" s="9"/>
      <c r="AU805" s="9"/>
    </row>
    <row r="806" spans="1:47" x14ac:dyDescent="0.3">
      <c r="A806" s="1">
        <v>44629</v>
      </c>
      <c r="B806" s="6">
        <v>450.86999500000002</v>
      </c>
      <c r="C806" s="6">
        <v>307.790009</v>
      </c>
      <c r="D806" s="6">
        <v>38.340000000000003</v>
      </c>
      <c r="E806" s="6">
        <v>157.39999399999999</v>
      </c>
      <c r="F806" s="6">
        <v>168.990005</v>
      </c>
      <c r="G806" s="6">
        <v>57.27</v>
      </c>
      <c r="H806" s="6">
        <v>151.199997</v>
      </c>
      <c r="I806" s="6">
        <v>207.69000199999999</v>
      </c>
      <c r="J806" s="6">
        <v>33.779998999999997</v>
      </c>
      <c r="K806" s="6">
        <v>25.370000999999998</v>
      </c>
      <c r="N806" s="18">
        <v>802</v>
      </c>
      <c r="O806" s="1">
        <v>44629</v>
      </c>
      <c r="P806" s="5">
        <f t="shared" si="298"/>
        <v>4.384200782194593E-2</v>
      </c>
      <c r="Q806" s="5">
        <f t="shared" si="299"/>
        <v>3.7876553008570311E-2</v>
      </c>
      <c r="R806" s="5">
        <f t="shared" si="300"/>
        <v>5.6192324454670164E-2</v>
      </c>
      <c r="S806" s="5">
        <f t="shared" si="301"/>
        <v>-2.9815800081452186E-3</v>
      </c>
      <c r="T806" s="5">
        <f t="shared" si="302"/>
        <v>9.0950125849694041E-3</v>
      </c>
      <c r="U806" s="5">
        <f t="shared" si="303"/>
        <v>1.212132518416598E-2</v>
      </c>
      <c r="V806" s="5">
        <f t="shared" si="304"/>
        <v>3.3696284699811944E-2</v>
      </c>
      <c r="W806" s="5">
        <f t="shared" si="305"/>
        <v>6.4728077123785343E-3</v>
      </c>
      <c r="X806" s="5">
        <f t="shared" si="306"/>
        <v>3.7398749254039201E-2</v>
      </c>
      <c r="Y806" s="5">
        <f t="shared" si="307"/>
        <v>3.949491627720565E-3</v>
      </c>
      <c r="Z806" s="33">
        <v>802</v>
      </c>
      <c r="AE806" s="20" t="str">
        <f t="shared" si="308"/>
        <v/>
      </c>
      <c r="AF806" s="22" t="str">
        <f t="shared" si="309"/>
        <v/>
      </c>
      <c r="AG806" s="9" t="str">
        <f t="shared" ca="1" si="288"/>
        <v/>
      </c>
      <c r="AH806" s="9" t="str">
        <f t="shared" ca="1" si="289"/>
        <v/>
      </c>
      <c r="AI806" s="9" t="str">
        <f t="shared" ca="1" si="290"/>
        <v/>
      </c>
      <c r="AJ806" s="9" t="str">
        <f t="shared" ca="1" si="291"/>
        <v/>
      </c>
      <c r="AK806" s="9" t="str">
        <f t="shared" ca="1" si="292"/>
        <v/>
      </c>
      <c r="AL806" s="9" t="str">
        <f t="shared" ca="1" si="293"/>
        <v/>
      </c>
      <c r="AM806" s="9" t="str">
        <f t="shared" ca="1" si="294"/>
        <v/>
      </c>
      <c r="AN806" s="9" t="str">
        <f t="shared" ca="1" si="295"/>
        <v/>
      </c>
      <c r="AO806" s="9" t="str">
        <f t="shared" ca="1" si="296"/>
        <v/>
      </c>
      <c r="AP806" s="9" t="str">
        <f t="shared" ca="1" si="297"/>
        <v/>
      </c>
      <c r="AQ806" s="9"/>
      <c r="AR806" s="9"/>
      <c r="AS806" s="9"/>
      <c r="AT806" s="9"/>
      <c r="AU806" s="9"/>
    </row>
    <row r="807" spans="1:47" x14ac:dyDescent="0.3">
      <c r="A807" s="1">
        <v>44630</v>
      </c>
      <c r="B807" s="6">
        <v>438.95001200000002</v>
      </c>
      <c r="C807" s="6">
        <v>300.83999599999999</v>
      </c>
      <c r="D807" s="6">
        <v>37.695</v>
      </c>
      <c r="E807" s="6">
        <v>154.509995</v>
      </c>
      <c r="F807" s="6">
        <v>168.91999799999999</v>
      </c>
      <c r="G807" s="6">
        <v>57.299999</v>
      </c>
      <c r="H807" s="6">
        <v>151.979996</v>
      </c>
      <c r="I807" s="6">
        <v>207.020004</v>
      </c>
      <c r="J807" s="6">
        <v>33.459999000000003</v>
      </c>
      <c r="K807" s="6">
        <v>25.08</v>
      </c>
      <c r="N807" s="19">
        <v>803</v>
      </c>
      <c r="O807" s="1">
        <v>44630</v>
      </c>
      <c r="P807" s="5">
        <f t="shared" si="298"/>
        <v>-2.6793499814258583E-2</v>
      </c>
      <c r="Q807" s="5">
        <f t="shared" si="299"/>
        <v>-2.2839212826649764E-2</v>
      </c>
      <c r="R807" s="5">
        <f t="shared" si="300"/>
        <v>-1.6966277953833323E-2</v>
      </c>
      <c r="S807" s="5">
        <f t="shared" si="301"/>
        <v>-1.8531511061899861E-2</v>
      </c>
      <c r="T807" s="5">
        <f t="shared" si="302"/>
        <v>-4.1435293646288575E-4</v>
      </c>
      <c r="U807" s="5">
        <f t="shared" si="303"/>
        <v>5.2367986292082701E-4</v>
      </c>
      <c r="V807" s="5">
        <f t="shared" si="304"/>
        <v>5.1454630182233823E-3</v>
      </c>
      <c r="W807" s="5">
        <f t="shared" si="305"/>
        <v>-3.2311667103717295E-3</v>
      </c>
      <c r="X807" s="5">
        <f t="shared" si="306"/>
        <v>-9.5182161040918579E-3</v>
      </c>
      <c r="Y807" s="5">
        <f t="shared" si="307"/>
        <v>-1.1496697263103612E-2</v>
      </c>
      <c r="Z807" s="33">
        <v>803</v>
      </c>
      <c r="AE807" s="20" t="str">
        <f t="shared" si="308"/>
        <v/>
      </c>
      <c r="AF807" s="22" t="str">
        <f t="shared" si="309"/>
        <v/>
      </c>
      <c r="AG807" s="9" t="str">
        <f t="shared" ca="1" si="288"/>
        <v/>
      </c>
      <c r="AH807" s="9" t="str">
        <f t="shared" ca="1" si="289"/>
        <v/>
      </c>
      <c r="AI807" s="9" t="str">
        <f t="shared" ca="1" si="290"/>
        <v/>
      </c>
      <c r="AJ807" s="9" t="str">
        <f t="shared" ca="1" si="291"/>
        <v/>
      </c>
      <c r="AK807" s="9" t="str">
        <f t="shared" ca="1" si="292"/>
        <v/>
      </c>
      <c r="AL807" s="9" t="str">
        <f t="shared" ca="1" si="293"/>
        <v/>
      </c>
      <c r="AM807" s="9" t="str">
        <f t="shared" ca="1" si="294"/>
        <v/>
      </c>
      <c r="AN807" s="9" t="str">
        <f t="shared" ca="1" si="295"/>
        <v/>
      </c>
      <c r="AO807" s="9" t="str">
        <f t="shared" ca="1" si="296"/>
        <v/>
      </c>
      <c r="AP807" s="9" t="str">
        <f t="shared" ca="1" si="297"/>
        <v/>
      </c>
      <c r="AQ807" s="9"/>
      <c r="AR807" s="9"/>
      <c r="AS807" s="9"/>
      <c r="AT807" s="9"/>
      <c r="AU807" s="9"/>
    </row>
    <row r="808" spans="1:47" x14ac:dyDescent="0.3">
      <c r="A808" s="1">
        <v>44631</v>
      </c>
      <c r="B808" s="6">
        <v>416.38000499999998</v>
      </c>
      <c r="C808" s="6">
        <v>293.69000199999999</v>
      </c>
      <c r="D808" s="6">
        <v>36.610000999999997</v>
      </c>
      <c r="E808" s="6">
        <v>153.729996</v>
      </c>
      <c r="F808" s="6">
        <v>166.16999799999999</v>
      </c>
      <c r="G808" s="6">
        <v>56.639999000000003</v>
      </c>
      <c r="H808" s="6">
        <v>150.63000500000001</v>
      </c>
      <c r="I808" s="6">
        <v>205.699997</v>
      </c>
      <c r="J808" s="6">
        <v>32.990001999999997</v>
      </c>
      <c r="K808" s="6">
        <v>23.99</v>
      </c>
      <c r="N808" s="18">
        <v>804</v>
      </c>
      <c r="O808" s="1">
        <v>44631</v>
      </c>
      <c r="P808" s="5">
        <f t="shared" si="298"/>
        <v>-5.2787221854293895E-2</v>
      </c>
      <c r="Q808" s="5">
        <f t="shared" si="299"/>
        <v>-2.4053752575935328E-2</v>
      </c>
      <c r="R808" s="5">
        <f t="shared" si="300"/>
        <v>-2.9206005216579504E-2</v>
      </c>
      <c r="S808" s="5">
        <f t="shared" si="301"/>
        <v>-5.060995897098448E-3</v>
      </c>
      <c r="T808" s="5">
        <f t="shared" si="302"/>
        <v>-1.6413869548563251E-2</v>
      </c>
      <c r="U808" s="5">
        <f t="shared" si="303"/>
        <v>-1.1585174538589775E-2</v>
      </c>
      <c r="V808" s="5">
        <f t="shared" si="304"/>
        <v>-8.9223750137437993E-3</v>
      </c>
      <c r="W808" s="5">
        <f t="shared" si="305"/>
        <v>-6.3966442028433965E-3</v>
      </c>
      <c r="X808" s="5">
        <f t="shared" si="306"/>
        <v>-1.4146119807326224E-2</v>
      </c>
      <c r="Y808" s="5">
        <f t="shared" si="307"/>
        <v>-4.4433638913116753E-2</v>
      </c>
      <c r="Z808" s="33">
        <v>804</v>
      </c>
      <c r="AE808" s="20" t="str">
        <f t="shared" si="308"/>
        <v/>
      </c>
      <c r="AF808" s="22" t="str">
        <f t="shared" si="309"/>
        <v/>
      </c>
      <c r="AG808" s="9" t="str">
        <f t="shared" ca="1" si="288"/>
        <v/>
      </c>
      <c r="AH808" s="9" t="str">
        <f t="shared" ca="1" si="289"/>
        <v/>
      </c>
      <c r="AI808" s="9" t="str">
        <f t="shared" ca="1" si="290"/>
        <v/>
      </c>
      <c r="AJ808" s="9" t="str">
        <f t="shared" ca="1" si="291"/>
        <v/>
      </c>
      <c r="AK808" s="9" t="str">
        <f t="shared" ca="1" si="292"/>
        <v/>
      </c>
      <c r="AL808" s="9" t="str">
        <f t="shared" ca="1" si="293"/>
        <v/>
      </c>
      <c r="AM808" s="9" t="str">
        <f t="shared" ca="1" si="294"/>
        <v/>
      </c>
      <c r="AN808" s="9" t="str">
        <f t="shared" ca="1" si="295"/>
        <v/>
      </c>
      <c r="AO808" s="9" t="str">
        <f t="shared" ca="1" si="296"/>
        <v/>
      </c>
      <c r="AP808" s="9" t="str">
        <f t="shared" ca="1" si="297"/>
        <v/>
      </c>
      <c r="AQ808" s="9"/>
      <c r="AR808" s="9"/>
      <c r="AS808" s="9"/>
      <c r="AT808" s="9"/>
      <c r="AU808" s="9"/>
    </row>
    <row r="809" spans="1:47" x14ac:dyDescent="0.3">
      <c r="A809" s="1">
        <v>44634</v>
      </c>
      <c r="B809" s="6">
        <v>411.5</v>
      </c>
      <c r="C809" s="6">
        <v>278.98001099999999</v>
      </c>
      <c r="D809" s="6">
        <v>36.615001999999997</v>
      </c>
      <c r="E809" s="6">
        <v>155.88999899999999</v>
      </c>
      <c r="F809" s="6">
        <v>164.58999600000001</v>
      </c>
      <c r="G809" s="6">
        <v>56.02</v>
      </c>
      <c r="H809" s="6">
        <v>151.41999799999999</v>
      </c>
      <c r="I809" s="6">
        <v>204.720001</v>
      </c>
      <c r="J809" s="6">
        <v>34.169998</v>
      </c>
      <c r="K809" s="6">
        <v>23.879999000000002</v>
      </c>
      <c r="N809" s="19">
        <v>805</v>
      </c>
      <c r="O809" s="1">
        <v>44634</v>
      </c>
      <c r="P809" s="5">
        <f t="shared" si="298"/>
        <v>-1.178929673876458E-2</v>
      </c>
      <c r="Q809" s="5">
        <f t="shared" si="299"/>
        <v>-5.1384661992724498E-2</v>
      </c>
      <c r="R809" s="5">
        <f t="shared" si="300"/>
        <v>1.3659268836835195E-4</v>
      </c>
      <c r="S809" s="5">
        <f t="shared" si="301"/>
        <v>1.395283300494693E-2</v>
      </c>
      <c r="T809" s="5">
        <f t="shared" si="302"/>
        <v>-9.5538399240918132E-3</v>
      </c>
      <c r="U809" s="5">
        <f t="shared" si="303"/>
        <v>-1.1006661898134467E-2</v>
      </c>
      <c r="V809" s="5">
        <f t="shared" si="304"/>
        <v>5.2308875582234536E-3</v>
      </c>
      <c r="W809" s="5">
        <f t="shared" si="305"/>
        <v>-4.7755853383112676E-3</v>
      </c>
      <c r="X809" s="5">
        <f t="shared" si="306"/>
        <v>3.5143461731403876E-2</v>
      </c>
      <c r="Y809" s="5">
        <f t="shared" si="307"/>
        <v>-4.5958302032495443E-3</v>
      </c>
      <c r="Z809" s="33">
        <v>805</v>
      </c>
      <c r="AE809" s="20" t="str">
        <f t="shared" si="308"/>
        <v/>
      </c>
      <c r="AF809" s="22" t="str">
        <f t="shared" si="309"/>
        <v/>
      </c>
      <c r="AG809" s="9" t="str">
        <f t="shared" ca="1" si="288"/>
        <v/>
      </c>
      <c r="AH809" s="9" t="str">
        <f t="shared" ca="1" si="289"/>
        <v/>
      </c>
      <c r="AI809" s="9" t="str">
        <f t="shared" ca="1" si="290"/>
        <v/>
      </c>
      <c r="AJ809" s="9" t="str">
        <f t="shared" ca="1" si="291"/>
        <v/>
      </c>
      <c r="AK809" s="9" t="str">
        <f t="shared" ca="1" si="292"/>
        <v/>
      </c>
      <c r="AL809" s="9" t="str">
        <f t="shared" ca="1" si="293"/>
        <v/>
      </c>
      <c r="AM809" s="9" t="str">
        <f t="shared" ca="1" si="294"/>
        <v/>
      </c>
      <c r="AN809" s="9" t="str">
        <f t="shared" ca="1" si="295"/>
        <v/>
      </c>
      <c r="AO809" s="9" t="str">
        <f t="shared" ca="1" si="296"/>
        <v/>
      </c>
      <c r="AP809" s="9" t="str">
        <f t="shared" ca="1" si="297"/>
        <v/>
      </c>
      <c r="AQ809" s="9"/>
      <c r="AR809" s="9"/>
      <c r="AS809" s="9"/>
      <c r="AT809" s="9"/>
      <c r="AU809" s="9"/>
    </row>
    <row r="810" spans="1:47" x14ac:dyDescent="0.3">
      <c r="A810" s="1">
        <v>44635</v>
      </c>
      <c r="B810" s="6">
        <v>421.66000400000001</v>
      </c>
      <c r="C810" s="6">
        <v>285.5</v>
      </c>
      <c r="D810" s="6">
        <v>37.540000999999997</v>
      </c>
      <c r="E810" s="6">
        <v>159</v>
      </c>
      <c r="F810" s="6">
        <v>165.75</v>
      </c>
      <c r="G810" s="6">
        <v>56.900002000000001</v>
      </c>
      <c r="H810" s="6">
        <v>152.19000199999999</v>
      </c>
      <c r="I810" s="6">
        <v>202.58999600000001</v>
      </c>
      <c r="J810" s="6">
        <v>34.840000000000003</v>
      </c>
      <c r="K810" s="6">
        <v>25.02</v>
      </c>
      <c r="N810" s="18">
        <v>806</v>
      </c>
      <c r="O810" s="1">
        <v>44635</v>
      </c>
      <c r="P810" s="5">
        <f t="shared" si="298"/>
        <v>2.4390291461038802E-2</v>
      </c>
      <c r="Q810" s="5">
        <f t="shared" si="299"/>
        <v>2.3101895002626813E-2</v>
      </c>
      <c r="R810" s="5">
        <f t="shared" si="300"/>
        <v>2.4949010661160734E-2</v>
      </c>
      <c r="S810" s="5">
        <f t="shared" si="301"/>
        <v>1.9753578310421759E-2</v>
      </c>
      <c r="T810" s="5">
        <f t="shared" si="302"/>
        <v>7.0231203128084674E-3</v>
      </c>
      <c r="U810" s="5">
        <f t="shared" si="303"/>
        <v>1.5586606449706926E-2</v>
      </c>
      <c r="V810" s="5">
        <f t="shared" si="304"/>
        <v>5.0723339213103562E-3</v>
      </c>
      <c r="W810" s="5">
        <f t="shared" si="305"/>
        <v>-1.0458984225704968E-2</v>
      </c>
      <c r="X810" s="5">
        <f t="shared" si="306"/>
        <v>1.9418144387978509E-2</v>
      </c>
      <c r="Y810" s="5">
        <f t="shared" si="307"/>
        <v>4.6634258390411458E-2</v>
      </c>
      <c r="Z810" s="33">
        <v>806</v>
      </c>
      <c r="AE810" s="20" t="str">
        <f t="shared" si="308"/>
        <v/>
      </c>
      <c r="AF810" s="22" t="str">
        <f t="shared" si="309"/>
        <v/>
      </c>
      <c r="AG810" s="9" t="str">
        <f t="shared" ca="1" si="288"/>
        <v/>
      </c>
      <c r="AH810" s="9" t="str">
        <f t="shared" ca="1" si="289"/>
        <v/>
      </c>
      <c r="AI810" s="9" t="str">
        <f t="shared" ca="1" si="290"/>
        <v/>
      </c>
      <c r="AJ810" s="9" t="str">
        <f t="shared" ca="1" si="291"/>
        <v/>
      </c>
      <c r="AK810" s="9" t="str">
        <f t="shared" ca="1" si="292"/>
        <v/>
      </c>
      <c r="AL810" s="9" t="str">
        <f t="shared" ca="1" si="293"/>
        <v/>
      </c>
      <c r="AM810" s="9" t="str">
        <f t="shared" ca="1" si="294"/>
        <v/>
      </c>
      <c r="AN810" s="9" t="str">
        <f t="shared" ca="1" si="295"/>
        <v/>
      </c>
      <c r="AO810" s="9" t="str">
        <f t="shared" ca="1" si="296"/>
        <v/>
      </c>
      <c r="AP810" s="9" t="str">
        <f t="shared" ca="1" si="297"/>
        <v/>
      </c>
      <c r="AQ810" s="9"/>
      <c r="AR810" s="9"/>
      <c r="AS810" s="9"/>
      <c r="AT810" s="9"/>
      <c r="AU810" s="9"/>
    </row>
    <row r="811" spans="1:47" x14ac:dyDescent="0.3">
      <c r="A811" s="1">
        <v>44636</v>
      </c>
      <c r="B811" s="6">
        <v>442.35998499999999</v>
      </c>
      <c r="C811" s="6">
        <v>300.07998700000002</v>
      </c>
      <c r="D811" s="6">
        <v>38.595001000000003</v>
      </c>
      <c r="E811" s="6">
        <v>159.699997</v>
      </c>
      <c r="F811" s="6">
        <v>166.66000399999999</v>
      </c>
      <c r="G811" s="6">
        <v>57</v>
      </c>
      <c r="H811" s="6">
        <v>155.800003</v>
      </c>
      <c r="I811" s="6">
        <v>206.220001</v>
      </c>
      <c r="J811" s="6">
        <v>36.25</v>
      </c>
      <c r="K811" s="6">
        <v>25.639999</v>
      </c>
      <c r="N811" s="19">
        <v>807</v>
      </c>
      <c r="O811" s="1">
        <v>44636</v>
      </c>
      <c r="P811" s="5">
        <f t="shared" si="298"/>
        <v>4.7924684719961932E-2</v>
      </c>
      <c r="Q811" s="5">
        <f t="shared" si="299"/>
        <v>4.9807033355785339E-2</v>
      </c>
      <c r="R811" s="5">
        <f t="shared" si="300"/>
        <v>2.7715702515294021E-2</v>
      </c>
      <c r="S811" s="5">
        <f t="shared" si="301"/>
        <v>4.3928342155128376E-3</v>
      </c>
      <c r="T811" s="5">
        <f t="shared" si="302"/>
        <v>5.4752038890484925E-3</v>
      </c>
      <c r="U811" s="5">
        <f t="shared" si="303"/>
        <v>1.7558915528805886E-3</v>
      </c>
      <c r="V811" s="5">
        <f t="shared" si="304"/>
        <v>2.3443399303927439E-2</v>
      </c>
      <c r="W811" s="5">
        <f t="shared" si="305"/>
        <v>1.7759352428438794E-2</v>
      </c>
      <c r="X811" s="5">
        <f t="shared" si="306"/>
        <v>3.9673229316381543E-2</v>
      </c>
      <c r="Y811" s="5">
        <f t="shared" si="307"/>
        <v>2.447808801214333E-2</v>
      </c>
      <c r="Z811" s="33">
        <v>807</v>
      </c>
      <c r="AE811" s="20" t="str">
        <f t="shared" si="308"/>
        <v/>
      </c>
      <c r="AF811" s="22" t="str">
        <f t="shared" si="309"/>
        <v/>
      </c>
      <c r="AG811" s="9" t="str">
        <f t="shared" ca="1" si="288"/>
        <v/>
      </c>
      <c r="AH811" s="9" t="str">
        <f t="shared" ca="1" si="289"/>
        <v/>
      </c>
      <c r="AI811" s="9" t="str">
        <f t="shared" ca="1" si="290"/>
        <v/>
      </c>
      <c r="AJ811" s="9" t="str">
        <f t="shared" ca="1" si="291"/>
        <v/>
      </c>
      <c r="AK811" s="9" t="str">
        <f t="shared" ca="1" si="292"/>
        <v/>
      </c>
      <c r="AL811" s="9" t="str">
        <f t="shared" ca="1" si="293"/>
        <v/>
      </c>
      <c r="AM811" s="9" t="str">
        <f t="shared" ca="1" si="294"/>
        <v/>
      </c>
      <c r="AN811" s="9" t="str">
        <f t="shared" ca="1" si="295"/>
        <v/>
      </c>
      <c r="AO811" s="9" t="str">
        <f t="shared" ca="1" si="296"/>
        <v/>
      </c>
      <c r="AP811" s="9" t="str">
        <f t="shared" ca="1" si="297"/>
        <v/>
      </c>
      <c r="AQ811" s="9"/>
      <c r="AR811" s="9"/>
      <c r="AS811" s="9"/>
      <c r="AT811" s="9"/>
      <c r="AU811" s="9"/>
    </row>
    <row r="812" spans="1:47" x14ac:dyDescent="0.3">
      <c r="A812" s="1">
        <v>44637</v>
      </c>
      <c r="B812" s="6">
        <v>444.35998499999999</v>
      </c>
      <c r="C812" s="6">
        <v>304.04998799999998</v>
      </c>
      <c r="D812" s="6">
        <v>39.139999000000003</v>
      </c>
      <c r="E812" s="6">
        <v>160.94000199999999</v>
      </c>
      <c r="F812" s="6">
        <v>167.770004</v>
      </c>
      <c r="G812" s="6">
        <v>57.470001000000003</v>
      </c>
      <c r="H812" s="6">
        <v>157.33000200000001</v>
      </c>
      <c r="I812" s="6">
        <v>210.35000600000001</v>
      </c>
      <c r="J812" s="6">
        <v>36.43</v>
      </c>
      <c r="K812" s="6">
        <v>25.709999</v>
      </c>
      <c r="N812" s="18">
        <v>808</v>
      </c>
      <c r="O812" s="1">
        <v>44637</v>
      </c>
      <c r="P812" s="5">
        <f t="shared" si="298"/>
        <v>4.5110146589819435E-3</v>
      </c>
      <c r="Q812" s="5">
        <f t="shared" si="299"/>
        <v>1.3143059647074854E-2</v>
      </c>
      <c r="R812" s="5">
        <f t="shared" si="300"/>
        <v>1.4022176106710802E-2</v>
      </c>
      <c r="S812" s="5">
        <f t="shared" si="301"/>
        <v>7.7346007092338239E-3</v>
      </c>
      <c r="T812" s="5">
        <f t="shared" si="302"/>
        <v>6.6381846694533167E-3</v>
      </c>
      <c r="U812" s="5">
        <f t="shared" si="303"/>
        <v>8.211822085482717E-3</v>
      </c>
      <c r="V812" s="5">
        <f t="shared" si="304"/>
        <v>9.7723702723620989E-3</v>
      </c>
      <c r="W812" s="5">
        <f t="shared" si="305"/>
        <v>1.9829273621430568E-2</v>
      </c>
      <c r="X812" s="5">
        <f t="shared" si="306"/>
        <v>4.953229719788726E-3</v>
      </c>
      <c r="Y812" s="5">
        <f t="shared" si="307"/>
        <v>2.7263893315174585E-3</v>
      </c>
      <c r="Z812" s="33">
        <v>808</v>
      </c>
      <c r="AE812" s="20" t="str">
        <f t="shared" si="308"/>
        <v/>
      </c>
      <c r="AF812" s="22" t="str">
        <f t="shared" si="309"/>
        <v/>
      </c>
      <c r="AG812" s="9" t="str">
        <f t="shared" ca="1" si="288"/>
        <v/>
      </c>
      <c r="AH812" s="9" t="str">
        <f t="shared" ca="1" si="289"/>
        <v/>
      </c>
      <c r="AI812" s="9" t="str">
        <f t="shared" ca="1" si="290"/>
        <v/>
      </c>
      <c r="AJ812" s="9" t="str">
        <f t="shared" ca="1" si="291"/>
        <v/>
      </c>
      <c r="AK812" s="9" t="str">
        <f t="shared" ca="1" si="292"/>
        <v/>
      </c>
      <c r="AL812" s="9" t="str">
        <f t="shared" ca="1" si="293"/>
        <v/>
      </c>
      <c r="AM812" s="9" t="str">
        <f t="shared" ca="1" si="294"/>
        <v/>
      </c>
      <c r="AN812" s="9" t="str">
        <f t="shared" ca="1" si="295"/>
        <v/>
      </c>
      <c r="AO812" s="9" t="str">
        <f t="shared" ca="1" si="296"/>
        <v/>
      </c>
      <c r="AP812" s="9" t="str">
        <f t="shared" ca="1" si="297"/>
        <v/>
      </c>
      <c r="AQ812" s="9"/>
      <c r="AR812" s="9"/>
      <c r="AS812" s="9"/>
      <c r="AT812" s="9"/>
      <c r="AU812" s="9"/>
    </row>
    <row r="813" spans="1:47" x14ac:dyDescent="0.3">
      <c r="A813" s="1">
        <v>44638</v>
      </c>
      <c r="B813" s="6">
        <v>453.32998700000002</v>
      </c>
      <c r="C813" s="6">
        <v>318.209991</v>
      </c>
      <c r="D813" s="6">
        <v>40.294998</v>
      </c>
      <c r="E813" s="6">
        <v>162.78999300000001</v>
      </c>
      <c r="F813" s="6">
        <v>164.75</v>
      </c>
      <c r="G813" s="6">
        <v>57.220001000000003</v>
      </c>
      <c r="H813" s="6">
        <v>159.270004</v>
      </c>
      <c r="I813" s="6">
        <v>213.990005</v>
      </c>
      <c r="J813" s="6">
        <v>36.040000999999997</v>
      </c>
      <c r="K813" s="6">
        <v>26.26</v>
      </c>
      <c r="N813" s="19">
        <v>809</v>
      </c>
      <c r="O813" s="1">
        <v>44638</v>
      </c>
      <c r="P813" s="5">
        <f t="shared" si="298"/>
        <v>1.9985297459989323E-2</v>
      </c>
      <c r="Q813" s="5">
        <f t="shared" si="299"/>
        <v>4.5519391803353862E-2</v>
      </c>
      <c r="R813" s="5">
        <f t="shared" si="300"/>
        <v>2.9082405723904095E-2</v>
      </c>
      <c r="S813" s="5">
        <f t="shared" si="301"/>
        <v>1.1429346475255254E-2</v>
      </c>
      <c r="T813" s="5">
        <f t="shared" si="302"/>
        <v>-1.8164844241857069E-2</v>
      </c>
      <c r="U813" s="5">
        <f t="shared" si="303"/>
        <v>-4.3595848216618866E-3</v>
      </c>
      <c r="V813" s="5">
        <f t="shared" si="304"/>
        <v>1.2255377413809256E-2</v>
      </c>
      <c r="W813" s="5">
        <f t="shared" si="305"/>
        <v>1.7156469763215696E-2</v>
      </c>
      <c r="X813" s="5">
        <f t="shared" si="306"/>
        <v>-1.0763150533387918E-2</v>
      </c>
      <c r="Y813" s="5">
        <f t="shared" si="307"/>
        <v>2.1166886492224351E-2</v>
      </c>
      <c r="Z813" s="33">
        <v>809</v>
      </c>
      <c r="AE813" s="20" t="str">
        <f t="shared" si="308"/>
        <v/>
      </c>
      <c r="AF813" s="22" t="str">
        <f t="shared" si="309"/>
        <v/>
      </c>
      <c r="AG813" s="9" t="str">
        <f t="shared" ca="1" si="288"/>
        <v/>
      </c>
      <c r="AH813" s="9" t="str">
        <f t="shared" ca="1" si="289"/>
        <v/>
      </c>
      <c r="AI813" s="9" t="str">
        <f t="shared" ca="1" si="290"/>
        <v/>
      </c>
      <c r="AJ813" s="9" t="str">
        <f t="shared" ca="1" si="291"/>
        <v/>
      </c>
      <c r="AK813" s="9" t="str">
        <f t="shared" ca="1" si="292"/>
        <v/>
      </c>
      <c r="AL813" s="9" t="str">
        <f t="shared" ca="1" si="293"/>
        <v/>
      </c>
      <c r="AM813" s="9" t="str">
        <f t="shared" ca="1" si="294"/>
        <v/>
      </c>
      <c r="AN813" s="9" t="str">
        <f t="shared" ca="1" si="295"/>
        <v/>
      </c>
      <c r="AO813" s="9" t="str">
        <f t="shared" ca="1" si="296"/>
        <v/>
      </c>
      <c r="AP813" s="9" t="str">
        <f t="shared" ca="1" si="297"/>
        <v/>
      </c>
      <c r="AQ813" s="9"/>
      <c r="AR813" s="9"/>
      <c r="AS813" s="9"/>
      <c r="AT813" s="9"/>
      <c r="AU813" s="9"/>
    </row>
    <row r="814" spans="1:47" x14ac:dyDescent="0.3">
      <c r="A814" s="1">
        <v>44641</v>
      </c>
      <c r="B814" s="6">
        <v>453.58999599999999</v>
      </c>
      <c r="C814" s="6">
        <v>314.30999800000001</v>
      </c>
      <c r="D814" s="6">
        <v>39.5</v>
      </c>
      <c r="E814" s="6">
        <v>162.55999800000001</v>
      </c>
      <c r="F814" s="6">
        <v>164.94000199999999</v>
      </c>
      <c r="G814" s="6">
        <v>56.77</v>
      </c>
      <c r="H814" s="6">
        <v>158.16000399999999</v>
      </c>
      <c r="I814" s="6">
        <v>212.78999300000001</v>
      </c>
      <c r="J814" s="6">
        <v>35.869999</v>
      </c>
      <c r="K814" s="6">
        <v>26.15</v>
      </c>
      <c r="N814" s="18">
        <v>810</v>
      </c>
      <c r="O814" s="1">
        <v>44641</v>
      </c>
      <c r="P814" s="5">
        <f t="shared" si="298"/>
        <v>5.7338907951624005E-4</v>
      </c>
      <c r="Q814" s="5">
        <f t="shared" si="299"/>
        <v>-1.2331760232440382E-2</v>
      </c>
      <c r="R814" s="5">
        <f t="shared" si="300"/>
        <v>-1.9926670235447565E-2</v>
      </c>
      <c r="S814" s="5">
        <f t="shared" si="301"/>
        <v>-1.4138315332659708E-3</v>
      </c>
      <c r="T814" s="5">
        <f t="shared" si="302"/>
        <v>1.1526101482141353E-3</v>
      </c>
      <c r="U814" s="5">
        <f t="shared" si="303"/>
        <v>-7.8954879157360682E-3</v>
      </c>
      <c r="V814" s="5">
        <f t="shared" si="304"/>
        <v>-6.9936962250689658E-3</v>
      </c>
      <c r="W814" s="5">
        <f t="shared" si="305"/>
        <v>-5.6235773378121206E-3</v>
      </c>
      <c r="X814" s="5">
        <f t="shared" si="306"/>
        <v>-4.7281968213436776E-3</v>
      </c>
      <c r="Y814" s="5">
        <f t="shared" si="307"/>
        <v>-4.1976783637183704E-3</v>
      </c>
      <c r="Z814" s="33">
        <v>810</v>
      </c>
      <c r="AE814" s="20" t="str">
        <f t="shared" si="308"/>
        <v/>
      </c>
      <c r="AF814" s="22" t="str">
        <f t="shared" si="309"/>
        <v/>
      </c>
      <c r="AG814" s="9" t="str">
        <f t="shared" ca="1" si="288"/>
        <v/>
      </c>
      <c r="AH814" s="9" t="str">
        <f t="shared" ca="1" si="289"/>
        <v/>
      </c>
      <c r="AI814" s="9" t="str">
        <f t="shared" ca="1" si="290"/>
        <v/>
      </c>
      <c r="AJ814" s="9" t="str">
        <f t="shared" ca="1" si="291"/>
        <v/>
      </c>
      <c r="AK814" s="9" t="str">
        <f t="shared" ca="1" si="292"/>
        <v/>
      </c>
      <c r="AL814" s="9" t="str">
        <f t="shared" ca="1" si="293"/>
        <v/>
      </c>
      <c r="AM814" s="9" t="str">
        <f t="shared" ca="1" si="294"/>
        <v/>
      </c>
      <c r="AN814" s="9" t="str">
        <f t="shared" ca="1" si="295"/>
        <v/>
      </c>
      <c r="AO814" s="9" t="str">
        <f t="shared" ca="1" si="296"/>
        <v/>
      </c>
      <c r="AP814" s="9" t="str">
        <f t="shared" ca="1" si="297"/>
        <v/>
      </c>
      <c r="AQ814" s="9"/>
      <c r="AR814" s="9"/>
      <c r="AS814" s="9"/>
      <c r="AT814" s="9"/>
      <c r="AU814" s="9"/>
    </row>
    <row r="815" spans="1:47" x14ac:dyDescent="0.3">
      <c r="A815" s="1">
        <v>44642</v>
      </c>
      <c r="B815" s="6">
        <v>466.45001200000002</v>
      </c>
      <c r="C815" s="6">
        <v>325.22000100000002</v>
      </c>
      <c r="D815" s="6">
        <v>40.650002000000001</v>
      </c>
      <c r="E815" s="6">
        <v>164.33999600000001</v>
      </c>
      <c r="F815" s="6">
        <v>162.66999799999999</v>
      </c>
      <c r="G815" s="6">
        <v>56.25</v>
      </c>
      <c r="H815" s="6">
        <v>159.38999899999999</v>
      </c>
      <c r="I815" s="6">
        <v>212.570007</v>
      </c>
      <c r="J815" s="6">
        <v>36.400002000000001</v>
      </c>
      <c r="K815" s="6">
        <v>26.870000999999998</v>
      </c>
      <c r="N815" s="19">
        <v>811</v>
      </c>
      <c r="O815" s="1">
        <v>44642</v>
      </c>
      <c r="P815" s="5">
        <f t="shared" si="298"/>
        <v>2.7957161636586635E-2</v>
      </c>
      <c r="Q815" s="5">
        <f t="shared" si="299"/>
        <v>3.4122125802579437E-2</v>
      </c>
      <c r="R815" s="5">
        <f t="shared" si="300"/>
        <v>2.8698213287234167E-2</v>
      </c>
      <c r="S815" s="5">
        <f t="shared" si="301"/>
        <v>1.0890276076290667E-2</v>
      </c>
      <c r="T815" s="5">
        <f t="shared" si="302"/>
        <v>-1.3858187047298813E-2</v>
      </c>
      <c r="U815" s="5">
        <f t="shared" si="303"/>
        <v>-9.2019760981054532E-3</v>
      </c>
      <c r="V815" s="5">
        <f t="shared" si="304"/>
        <v>7.7468187038364335E-3</v>
      </c>
      <c r="W815" s="5">
        <f t="shared" si="305"/>
        <v>-1.0343521704593731E-3</v>
      </c>
      <c r="X815" s="5">
        <f t="shared" si="306"/>
        <v>1.4667565922007674E-2</v>
      </c>
      <c r="Y815" s="5">
        <f t="shared" si="307"/>
        <v>2.7161269332693538E-2</v>
      </c>
      <c r="Z815" s="33">
        <v>811</v>
      </c>
      <c r="AE815" s="20" t="str">
        <f t="shared" si="308"/>
        <v/>
      </c>
      <c r="AF815" s="22" t="str">
        <f t="shared" si="309"/>
        <v/>
      </c>
      <c r="AG815" s="9" t="str">
        <f t="shared" ca="1" si="288"/>
        <v/>
      </c>
      <c r="AH815" s="9" t="str">
        <f t="shared" ca="1" si="289"/>
        <v/>
      </c>
      <c r="AI815" s="9" t="str">
        <f t="shared" ca="1" si="290"/>
        <v/>
      </c>
      <c r="AJ815" s="9" t="str">
        <f t="shared" ca="1" si="291"/>
        <v/>
      </c>
      <c r="AK815" s="9" t="str">
        <f t="shared" ca="1" si="292"/>
        <v/>
      </c>
      <c r="AL815" s="9" t="str">
        <f t="shared" ca="1" si="293"/>
        <v/>
      </c>
      <c r="AM815" s="9" t="str">
        <f t="shared" ca="1" si="294"/>
        <v/>
      </c>
      <c r="AN815" s="9" t="str">
        <f t="shared" ca="1" si="295"/>
        <v/>
      </c>
      <c r="AO815" s="9" t="str">
        <f t="shared" ca="1" si="296"/>
        <v/>
      </c>
      <c r="AP815" s="9" t="str">
        <f t="shared" ca="1" si="297"/>
        <v/>
      </c>
      <c r="AQ815" s="9"/>
      <c r="AR815" s="9"/>
      <c r="AS815" s="9"/>
      <c r="AT815" s="9"/>
      <c r="AU815" s="9"/>
    </row>
    <row r="816" spans="1:47" x14ac:dyDescent="0.3">
      <c r="A816" s="1">
        <v>44643</v>
      </c>
      <c r="B816" s="6">
        <v>422.89999399999999</v>
      </c>
      <c r="C816" s="6">
        <v>316.44000199999999</v>
      </c>
      <c r="D816" s="6">
        <v>39.025002000000001</v>
      </c>
      <c r="E816" s="6">
        <v>163.479996</v>
      </c>
      <c r="F816" s="6">
        <v>162.66999799999999</v>
      </c>
      <c r="G816" s="6">
        <v>55.759998000000003</v>
      </c>
      <c r="H816" s="6">
        <v>157.83000200000001</v>
      </c>
      <c r="I816" s="6">
        <v>207.16000399999999</v>
      </c>
      <c r="J816" s="6">
        <v>35.130001</v>
      </c>
      <c r="K816" s="6">
        <v>26.620000999999998</v>
      </c>
      <c r="N816" s="18">
        <v>812</v>
      </c>
      <c r="O816" s="1">
        <v>44643</v>
      </c>
      <c r="P816" s="5">
        <f t="shared" si="298"/>
        <v>-9.8015128842508223E-2</v>
      </c>
      <c r="Q816" s="5">
        <f t="shared" si="299"/>
        <v>-2.7368222998909057E-2</v>
      </c>
      <c r="R816" s="5">
        <f t="shared" si="300"/>
        <v>-4.0796367543616693E-2</v>
      </c>
      <c r="S816" s="5">
        <f t="shared" si="301"/>
        <v>-5.2467939350068025E-3</v>
      </c>
      <c r="T816" s="5">
        <f t="shared" si="302"/>
        <v>0</v>
      </c>
      <c r="U816" s="5">
        <f t="shared" si="303"/>
        <v>-8.7493105002673984E-3</v>
      </c>
      <c r="V816" s="5">
        <f t="shared" si="304"/>
        <v>-9.8355057743544864E-3</v>
      </c>
      <c r="W816" s="5">
        <f t="shared" si="305"/>
        <v>-2.5779917950925151E-2</v>
      </c>
      <c r="X816" s="5">
        <f t="shared" si="306"/>
        <v>-3.55133348443143E-2</v>
      </c>
      <c r="Y816" s="5">
        <f t="shared" si="307"/>
        <v>-9.3476093109204957E-3</v>
      </c>
      <c r="Z816" s="33">
        <v>812</v>
      </c>
      <c r="AE816" s="20" t="str">
        <f t="shared" si="308"/>
        <v/>
      </c>
      <c r="AF816" s="22" t="str">
        <f t="shared" si="309"/>
        <v/>
      </c>
      <c r="AG816" s="9" t="str">
        <f t="shared" ca="1" si="288"/>
        <v/>
      </c>
      <c r="AH816" s="9" t="str">
        <f t="shared" ca="1" si="289"/>
        <v/>
      </c>
      <c r="AI816" s="9" t="str">
        <f t="shared" ca="1" si="290"/>
        <v/>
      </c>
      <c r="AJ816" s="9" t="str">
        <f t="shared" ca="1" si="291"/>
        <v/>
      </c>
      <c r="AK816" s="9" t="str">
        <f t="shared" ca="1" si="292"/>
        <v/>
      </c>
      <c r="AL816" s="9" t="str">
        <f t="shared" ca="1" si="293"/>
        <v/>
      </c>
      <c r="AM816" s="9" t="str">
        <f t="shared" ca="1" si="294"/>
        <v/>
      </c>
      <c r="AN816" s="9" t="str">
        <f t="shared" ca="1" si="295"/>
        <v/>
      </c>
      <c r="AO816" s="9" t="str">
        <f t="shared" ca="1" si="296"/>
        <v/>
      </c>
      <c r="AP816" s="9" t="str">
        <f t="shared" ca="1" si="297"/>
        <v/>
      </c>
      <c r="AQ816" s="9"/>
      <c r="AR816" s="9"/>
      <c r="AS816" s="9"/>
      <c r="AT816" s="9"/>
      <c r="AU816" s="9"/>
    </row>
    <row r="817" spans="1:47" x14ac:dyDescent="0.3">
      <c r="A817" s="1">
        <v>44644</v>
      </c>
      <c r="B817" s="6">
        <v>432.14001500000001</v>
      </c>
      <c r="C817" s="6">
        <v>325.55999800000001</v>
      </c>
      <c r="D817" s="6">
        <v>39.279998999999997</v>
      </c>
      <c r="E817" s="6">
        <v>164.470001</v>
      </c>
      <c r="F817" s="6">
        <v>163.80999800000001</v>
      </c>
      <c r="G817" s="6">
        <v>56.560001</v>
      </c>
      <c r="H817" s="6">
        <v>157.229996</v>
      </c>
      <c r="I817" s="6">
        <v>206.91000399999999</v>
      </c>
      <c r="J817" s="6">
        <v>35.970001000000003</v>
      </c>
      <c r="K817" s="6">
        <v>27.120000999999998</v>
      </c>
      <c r="N817" s="19">
        <v>813</v>
      </c>
      <c r="O817" s="1">
        <v>44644</v>
      </c>
      <c r="P817" s="5">
        <f t="shared" si="298"/>
        <v>2.1613914237805235E-2</v>
      </c>
      <c r="Q817" s="5">
        <f t="shared" si="299"/>
        <v>2.8413113842070677E-2</v>
      </c>
      <c r="R817" s="5">
        <f t="shared" si="300"/>
        <v>6.5129403773226046E-3</v>
      </c>
      <c r="S817" s="5">
        <f t="shared" si="301"/>
        <v>6.0375546050622821E-3</v>
      </c>
      <c r="T817" s="5">
        <f t="shared" si="302"/>
        <v>6.983610923741267E-3</v>
      </c>
      <c r="U817" s="5">
        <f t="shared" si="303"/>
        <v>1.4245308684394395E-2</v>
      </c>
      <c r="V817" s="5">
        <f t="shared" si="304"/>
        <v>-3.8088410409410122E-3</v>
      </c>
      <c r="W817" s="5">
        <f t="shared" si="305"/>
        <v>-1.2075254210512113E-3</v>
      </c>
      <c r="X817" s="5">
        <f t="shared" si="306"/>
        <v>2.3629790765043315E-2</v>
      </c>
      <c r="Y817" s="5">
        <f t="shared" si="307"/>
        <v>1.8608649412645461E-2</v>
      </c>
      <c r="Z817" s="33">
        <v>813</v>
      </c>
      <c r="AE817" s="20" t="str">
        <f t="shared" si="308"/>
        <v/>
      </c>
      <c r="AF817" s="22" t="str">
        <f t="shared" si="309"/>
        <v/>
      </c>
      <c r="AG817" s="9" t="str">
        <f t="shared" ca="1" si="288"/>
        <v/>
      </c>
      <c r="AH817" s="9" t="str">
        <f t="shared" ca="1" si="289"/>
        <v/>
      </c>
      <c r="AI817" s="9" t="str">
        <f t="shared" ca="1" si="290"/>
        <v/>
      </c>
      <c r="AJ817" s="9" t="str">
        <f t="shared" ca="1" si="291"/>
        <v/>
      </c>
      <c r="AK817" s="9" t="str">
        <f t="shared" ca="1" si="292"/>
        <v/>
      </c>
      <c r="AL817" s="9" t="str">
        <f t="shared" ca="1" si="293"/>
        <v/>
      </c>
      <c r="AM817" s="9" t="str">
        <f t="shared" ca="1" si="294"/>
        <v/>
      </c>
      <c r="AN817" s="9" t="str">
        <f t="shared" ca="1" si="295"/>
        <v/>
      </c>
      <c r="AO817" s="9" t="str">
        <f t="shared" ca="1" si="296"/>
        <v/>
      </c>
      <c r="AP817" s="9" t="str">
        <f t="shared" ca="1" si="297"/>
        <v/>
      </c>
      <c r="AQ817" s="9"/>
      <c r="AR817" s="9"/>
      <c r="AS817" s="9"/>
      <c r="AT817" s="9"/>
      <c r="AU817" s="9"/>
    </row>
    <row r="818" spans="1:47" x14ac:dyDescent="0.3">
      <c r="A818" s="1">
        <v>44645</v>
      </c>
      <c r="B818" s="6">
        <v>431.61999500000002</v>
      </c>
      <c r="C818" s="6">
        <v>318.91000400000001</v>
      </c>
      <c r="D818" s="6">
        <v>39.349997999999999</v>
      </c>
      <c r="E818" s="6">
        <v>165.240005</v>
      </c>
      <c r="F818" s="6">
        <v>164.75</v>
      </c>
      <c r="G818" s="6">
        <v>57.400002000000001</v>
      </c>
      <c r="H818" s="6">
        <v>158.279999</v>
      </c>
      <c r="I818" s="6">
        <v>208.820007</v>
      </c>
      <c r="J818" s="6">
        <v>36.450001</v>
      </c>
      <c r="K818" s="6">
        <v>27.35</v>
      </c>
      <c r="N818" s="18">
        <v>814</v>
      </c>
      <c r="O818" s="1">
        <v>44645</v>
      </c>
      <c r="P818" s="5">
        <f t="shared" si="298"/>
        <v>-1.2040845994431204E-3</v>
      </c>
      <c r="Q818" s="5">
        <f t="shared" si="299"/>
        <v>-2.0637826456078208E-2</v>
      </c>
      <c r="R818" s="5">
        <f t="shared" si="300"/>
        <v>1.7804660094735609E-3</v>
      </c>
      <c r="S818" s="5">
        <f t="shared" si="301"/>
        <v>4.6708039542666304E-3</v>
      </c>
      <c r="T818" s="5">
        <f t="shared" si="302"/>
        <v>5.7219659753435115E-3</v>
      </c>
      <c r="U818" s="5">
        <f t="shared" si="303"/>
        <v>1.4742298900069138E-2</v>
      </c>
      <c r="V818" s="5">
        <f t="shared" si="304"/>
        <v>6.6559341575592101E-3</v>
      </c>
      <c r="W818" s="5">
        <f t="shared" si="305"/>
        <v>9.1887349402710785E-3</v>
      </c>
      <c r="X818" s="5">
        <f t="shared" si="306"/>
        <v>1.3256200381031501E-2</v>
      </c>
      <c r="Y818" s="5">
        <f t="shared" si="307"/>
        <v>8.4450289226398814E-3</v>
      </c>
      <c r="Z818" s="33">
        <v>814</v>
      </c>
      <c r="AE818" s="20" t="str">
        <f t="shared" si="308"/>
        <v/>
      </c>
      <c r="AF818" s="22" t="str">
        <f t="shared" si="309"/>
        <v/>
      </c>
      <c r="AG818" s="9" t="str">
        <f t="shared" ca="1" si="288"/>
        <v/>
      </c>
      <c r="AH818" s="9" t="str">
        <f t="shared" ca="1" si="289"/>
        <v/>
      </c>
      <c r="AI818" s="9" t="str">
        <f t="shared" ca="1" si="290"/>
        <v/>
      </c>
      <c r="AJ818" s="9" t="str">
        <f t="shared" ca="1" si="291"/>
        <v/>
      </c>
      <c r="AK818" s="9" t="str">
        <f t="shared" ca="1" si="292"/>
        <v/>
      </c>
      <c r="AL818" s="9" t="str">
        <f t="shared" ca="1" si="293"/>
        <v/>
      </c>
      <c r="AM818" s="9" t="str">
        <f t="shared" ca="1" si="294"/>
        <v/>
      </c>
      <c r="AN818" s="9" t="str">
        <f t="shared" ca="1" si="295"/>
        <v/>
      </c>
      <c r="AO818" s="9" t="str">
        <f t="shared" ca="1" si="296"/>
        <v/>
      </c>
      <c r="AP818" s="9" t="str">
        <f t="shared" ca="1" si="297"/>
        <v/>
      </c>
      <c r="AQ818" s="9"/>
      <c r="AR818" s="9"/>
      <c r="AS818" s="9"/>
      <c r="AT818" s="9"/>
      <c r="AU818" s="9"/>
    </row>
    <row r="819" spans="1:47" x14ac:dyDescent="0.3">
      <c r="A819" s="1">
        <v>44648</v>
      </c>
      <c r="B819" s="6">
        <v>450.01001000000002</v>
      </c>
      <c r="C819" s="6">
        <v>332.38000499999998</v>
      </c>
      <c r="D819" s="6">
        <v>40.009998000000003</v>
      </c>
      <c r="E819" s="6">
        <v>165.729996</v>
      </c>
      <c r="F819" s="6">
        <v>168.83000200000001</v>
      </c>
      <c r="G819" s="6">
        <v>57.689999</v>
      </c>
      <c r="H819" s="6">
        <v>158.64999399999999</v>
      </c>
      <c r="I819" s="6">
        <v>205.86000100000001</v>
      </c>
      <c r="J819" s="6">
        <v>36.009998000000003</v>
      </c>
      <c r="K819" s="6">
        <v>25.58</v>
      </c>
      <c r="N819" s="19">
        <v>815</v>
      </c>
      <c r="O819" s="1">
        <v>44648</v>
      </c>
      <c r="P819" s="5">
        <f t="shared" si="298"/>
        <v>4.1724267032352318E-2</v>
      </c>
      <c r="Q819" s="5">
        <f t="shared" si="299"/>
        <v>4.1369963882898347E-2</v>
      </c>
      <c r="R819" s="5">
        <f t="shared" si="300"/>
        <v>1.6633448844149652E-2</v>
      </c>
      <c r="S819" s="5">
        <f t="shared" si="301"/>
        <v>2.960941212229519E-3</v>
      </c>
      <c r="T819" s="5">
        <f t="shared" si="302"/>
        <v>2.4463129952721561E-2</v>
      </c>
      <c r="U819" s="5">
        <f t="shared" si="303"/>
        <v>5.0394927660455131E-3</v>
      </c>
      <c r="V819" s="5">
        <f t="shared" si="304"/>
        <v>2.3348700107993095E-3</v>
      </c>
      <c r="W819" s="5">
        <f t="shared" si="305"/>
        <v>-1.4276339427573413E-2</v>
      </c>
      <c r="X819" s="5">
        <f t="shared" si="306"/>
        <v>-1.2144863768854321E-2</v>
      </c>
      <c r="Y819" s="5">
        <f t="shared" si="307"/>
        <v>-6.6905732717293734E-2</v>
      </c>
      <c r="Z819" s="33">
        <v>815</v>
      </c>
      <c r="AE819" s="20" t="str">
        <f t="shared" si="308"/>
        <v/>
      </c>
      <c r="AF819" s="22" t="str">
        <f t="shared" si="309"/>
        <v/>
      </c>
      <c r="AG819" s="9" t="str">
        <f t="shared" ca="1" si="288"/>
        <v/>
      </c>
      <c r="AH819" s="9" t="str">
        <f t="shared" ca="1" si="289"/>
        <v/>
      </c>
      <c r="AI819" s="9" t="str">
        <f t="shared" ca="1" si="290"/>
        <v/>
      </c>
      <c r="AJ819" s="9" t="str">
        <f t="shared" ca="1" si="291"/>
        <v/>
      </c>
      <c r="AK819" s="9" t="str">
        <f t="shared" ca="1" si="292"/>
        <v/>
      </c>
      <c r="AL819" s="9" t="str">
        <f t="shared" ca="1" si="293"/>
        <v/>
      </c>
      <c r="AM819" s="9" t="str">
        <f t="shared" ca="1" si="294"/>
        <v/>
      </c>
      <c r="AN819" s="9" t="str">
        <f t="shared" ca="1" si="295"/>
        <v/>
      </c>
      <c r="AO819" s="9" t="str">
        <f t="shared" ca="1" si="296"/>
        <v/>
      </c>
      <c r="AP819" s="9" t="str">
        <f t="shared" ca="1" si="297"/>
        <v/>
      </c>
      <c r="AQ819" s="9"/>
      <c r="AR819" s="9"/>
      <c r="AS819" s="9"/>
      <c r="AT819" s="9"/>
      <c r="AU819" s="9"/>
    </row>
    <row r="820" spans="1:47" x14ac:dyDescent="0.3">
      <c r="A820" s="1">
        <v>44649</v>
      </c>
      <c r="B820" s="6">
        <v>466.32998700000002</v>
      </c>
      <c r="C820" s="6">
        <v>341</v>
      </c>
      <c r="D820" s="6">
        <v>41.290000999999997</v>
      </c>
      <c r="E820" s="6">
        <v>168.19000199999999</v>
      </c>
      <c r="F820" s="6">
        <v>171.33000200000001</v>
      </c>
      <c r="G820" s="6">
        <v>59.52</v>
      </c>
      <c r="H820" s="6">
        <v>162.740005</v>
      </c>
      <c r="I820" s="6">
        <v>210.729996</v>
      </c>
      <c r="J820" s="6">
        <v>37.189999</v>
      </c>
      <c r="K820" s="6">
        <v>26.25</v>
      </c>
      <c r="N820" s="18">
        <v>816</v>
      </c>
      <c r="O820" s="1">
        <v>44649</v>
      </c>
      <c r="P820" s="5">
        <f t="shared" si="298"/>
        <v>3.5623683170333383E-2</v>
      </c>
      <c r="Q820" s="5">
        <f t="shared" si="299"/>
        <v>2.5603569541116717E-2</v>
      </c>
      <c r="R820" s="5">
        <f t="shared" si="300"/>
        <v>3.1490991235298346E-2</v>
      </c>
      <c r="S820" s="5">
        <f t="shared" si="301"/>
        <v>1.4734370630844769E-2</v>
      </c>
      <c r="T820" s="5">
        <f t="shared" si="302"/>
        <v>1.4699229682921949E-2</v>
      </c>
      <c r="U820" s="5">
        <f t="shared" si="303"/>
        <v>3.1228559590065225E-2</v>
      </c>
      <c r="V820" s="5">
        <f t="shared" si="304"/>
        <v>2.5453385782259502E-2</v>
      </c>
      <c r="W820" s="5">
        <f t="shared" si="305"/>
        <v>2.338134327140242E-2</v>
      </c>
      <c r="X820" s="5">
        <f t="shared" si="306"/>
        <v>3.2243258927375035E-2</v>
      </c>
      <c r="Y820" s="5">
        <f t="shared" si="307"/>
        <v>2.585519288693628E-2</v>
      </c>
      <c r="Z820" s="33">
        <v>816</v>
      </c>
      <c r="AE820" s="20" t="str">
        <f t="shared" si="308"/>
        <v/>
      </c>
      <c r="AF820" s="22" t="str">
        <f t="shared" si="309"/>
        <v/>
      </c>
      <c r="AG820" s="9" t="str">
        <f t="shared" ca="1" si="288"/>
        <v/>
      </c>
      <c r="AH820" s="9" t="str">
        <f t="shared" ca="1" si="289"/>
        <v/>
      </c>
      <c r="AI820" s="9" t="str">
        <f t="shared" ca="1" si="290"/>
        <v/>
      </c>
      <c r="AJ820" s="9" t="str">
        <f t="shared" ca="1" si="291"/>
        <v/>
      </c>
      <c r="AK820" s="9" t="str">
        <f t="shared" ca="1" si="292"/>
        <v/>
      </c>
      <c r="AL820" s="9" t="str">
        <f t="shared" ca="1" si="293"/>
        <v/>
      </c>
      <c r="AM820" s="9" t="str">
        <f t="shared" ca="1" si="294"/>
        <v/>
      </c>
      <c r="AN820" s="9" t="str">
        <f t="shared" ca="1" si="295"/>
        <v/>
      </c>
      <c r="AO820" s="9" t="str">
        <f t="shared" ca="1" si="296"/>
        <v/>
      </c>
      <c r="AP820" s="9" t="str">
        <f t="shared" ca="1" si="297"/>
        <v/>
      </c>
      <c r="AQ820" s="9"/>
      <c r="AR820" s="9"/>
      <c r="AS820" s="9"/>
      <c r="AT820" s="9"/>
      <c r="AU820" s="9"/>
    </row>
    <row r="821" spans="1:47" x14ac:dyDescent="0.3">
      <c r="A821" s="1">
        <v>44650</v>
      </c>
      <c r="B821" s="6">
        <v>460.05999800000001</v>
      </c>
      <c r="C821" s="6">
        <v>332.58999599999999</v>
      </c>
      <c r="D821" s="6">
        <v>40.029998999999997</v>
      </c>
      <c r="E821" s="6">
        <v>167.96000699999999</v>
      </c>
      <c r="F821" s="6">
        <v>169.61000100000001</v>
      </c>
      <c r="G821" s="6">
        <v>58.02</v>
      </c>
      <c r="H821" s="6">
        <v>160.58000200000001</v>
      </c>
      <c r="I821" s="6">
        <v>209</v>
      </c>
      <c r="J821" s="6">
        <v>36.5</v>
      </c>
      <c r="K821" s="6">
        <v>25.700001</v>
      </c>
      <c r="N821" s="19">
        <v>817</v>
      </c>
      <c r="O821" s="1">
        <v>44650</v>
      </c>
      <c r="P821" s="5">
        <f t="shared" si="298"/>
        <v>-1.3536598719125756E-2</v>
      </c>
      <c r="Q821" s="5">
        <f t="shared" si="299"/>
        <v>-2.4971989149025209E-2</v>
      </c>
      <c r="R821" s="5">
        <f t="shared" si="300"/>
        <v>-3.099121609371994E-2</v>
      </c>
      <c r="S821" s="5">
        <f t="shared" si="301"/>
        <v>-1.3684071380734642E-3</v>
      </c>
      <c r="T821" s="5">
        <f t="shared" si="302"/>
        <v>-1.0089843238633584E-2</v>
      </c>
      <c r="U821" s="5">
        <f t="shared" si="303"/>
        <v>-2.5524611831578416E-2</v>
      </c>
      <c r="V821" s="5">
        <f t="shared" si="304"/>
        <v>-1.3361592780975665E-2</v>
      </c>
      <c r="W821" s="5">
        <f t="shared" si="305"/>
        <v>-8.2434222626750105E-3</v>
      </c>
      <c r="X821" s="5">
        <f t="shared" si="306"/>
        <v>-1.8727620459583812E-2</v>
      </c>
      <c r="Y821" s="5">
        <f t="shared" si="307"/>
        <v>-2.1174958225953572E-2</v>
      </c>
      <c r="Z821" s="33">
        <v>817</v>
      </c>
      <c r="AE821" s="20" t="str">
        <f t="shared" si="308"/>
        <v/>
      </c>
      <c r="AF821" s="22" t="str">
        <f t="shared" si="309"/>
        <v/>
      </c>
      <c r="AG821" s="9" t="str">
        <f t="shared" ca="1" si="288"/>
        <v/>
      </c>
      <c r="AH821" s="9" t="str">
        <f t="shared" ca="1" si="289"/>
        <v/>
      </c>
      <c r="AI821" s="9" t="str">
        <f t="shared" ca="1" si="290"/>
        <v/>
      </c>
      <c r="AJ821" s="9" t="str">
        <f t="shared" ca="1" si="291"/>
        <v/>
      </c>
      <c r="AK821" s="9" t="str">
        <f t="shared" ca="1" si="292"/>
        <v/>
      </c>
      <c r="AL821" s="9" t="str">
        <f t="shared" ca="1" si="293"/>
        <v/>
      </c>
      <c r="AM821" s="9" t="str">
        <f t="shared" ca="1" si="294"/>
        <v/>
      </c>
      <c r="AN821" s="9" t="str">
        <f t="shared" ca="1" si="295"/>
        <v/>
      </c>
      <c r="AO821" s="9" t="str">
        <f t="shared" ca="1" si="296"/>
        <v/>
      </c>
      <c r="AP821" s="9" t="str">
        <f t="shared" ca="1" si="297"/>
        <v/>
      </c>
      <c r="AQ821" s="9"/>
      <c r="AR821" s="9"/>
      <c r="AS821" s="9"/>
      <c r="AT821" s="9"/>
      <c r="AU821" s="9"/>
    </row>
    <row r="822" spans="1:47" x14ac:dyDescent="0.3">
      <c r="A822" s="1">
        <v>44651</v>
      </c>
      <c r="B822" s="6">
        <v>455.61999500000002</v>
      </c>
      <c r="C822" s="6">
        <v>333.26998900000001</v>
      </c>
      <c r="D822" s="6">
        <v>39.950001</v>
      </c>
      <c r="E822" s="6">
        <v>167.38000500000001</v>
      </c>
      <c r="F822" s="6">
        <v>166.199997</v>
      </c>
      <c r="G822" s="6">
        <v>57.369999</v>
      </c>
      <c r="H822" s="6">
        <v>156.89999399999999</v>
      </c>
      <c r="I822" s="6">
        <v>205.479996</v>
      </c>
      <c r="J822" s="6">
        <v>35.450001</v>
      </c>
      <c r="K822" s="6">
        <v>24.92</v>
      </c>
      <c r="N822" s="18">
        <v>818</v>
      </c>
      <c r="O822" s="1">
        <v>44651</v>
      </c>
      <c r="P822" s="5">
        <f t="shared" si="298"/>
        <v>-9.6977936208624427E-3</v>
      </c>
      <c r="Q822" s="5">
        <f t="shared" si="299"/>
        <v>2.0424511209774271E-3</v>
      </c>
      <c r="R822" s="5">
        <f t="shared" si="300"/>
        <v>-2.0004507796453071E-3</v>
      </c>
      <c r="S822" s="5">
        <f t="shared" si="301"/>
        <v>-3.4591910157064582E-3</v>
      </c>
      <c r="T822" s="5">
        <f t="shared" si="302"/>
        <v>-2.0309825408820349E-2</v>
      </c>
      <c r="U822" s="5">
        <f t="shared" si="303"/>
        <v>-1.1266277510191408E-2</v>
      </c>
      <c r="V822" s="5">
        <f t="shared" si="304"/>
        <v>-2.3183651713320704E-2</v>
      </c>
      <c r="W822" s="5">
        <f t="shared" si="305"/>
        <v>-1.6985565832358874E-2</v>
      </c>
      <c r="X822" s="5">
        <f t="shared" si="306"/>
        <v>-2.9188979401564973E-2</v>
      </c>
      <c r="Y822" s="5">
        <f t="shared" si="307"/>
        <v>-3.0820336892426775E-2</v>
      </c>
      <c r="Z822" s="33">
        <v>818</v>
      </c>
      <c r="AE822" s="20" t="str">
        <f t="shared" si="308"/>
        <v/>
      </c>
      <c r="AF822" s="22" t="str">
        <f t="shared" si="309"/>
        <v/>
      </c>
      <c r="AG822" s="9" t="str">
        <f t="shared" ca="1" si="288"/>
        <v/>
      </c>
      <c r="AH822" s="9" t="str">
        <f t="shared" ca="1" si="289"/>
        <v/>
      </c>
      <c r="AI822" s="9" t="str">
        <f t="shared" ca="1" si="290"/>
        <v/>
      </c>
      <c r="AJ822" s="9" t="str">
        <f t="shared" ca="1" si="291"/>
        <v/>
      </c>
      <c r="AK822" s="9" t="str">
        <f t="shared" ca="1" si="292"/>
        <v/>
      </c>
      <c r="AL822" s="9" t="str">
        <f t="shared" ca="1" si="293"/>
        <v/>
      </c>
      <c r="AM822" s="9" t="str">
        <f t="shared" ca="1" si="294"/>
        <v/>
      </c>
      <c r="AN822" s="9" t="str">
        <f t="shared" ca="1" si="295"/>
        <v/>
      </c>
      <c r="AO822" s="9" t="str">
        <f t="shared" ca="1" si="296"/>
        <v/>
      </c>
      <c r="AP822" s="9" t="str">
        <f t="shared" ca="1" si="297"/>
        <v/>
      </c>
      <c r="AQ822" s="9"/>
      <c r="AR822" s="9"/>
      <c r="AS822" s="9"/>
      <c r="AT822" s="9"/>
      <c r="AU822" s="9"/>
    </row>
    <row r="823" spans="1:47" x14ac:dyDescent="0.3">
      <c r="A823" s="1">
        <v>44652</v>
      </c>
      <c r="B823" s="6">
        <v>458.19000199999999</v>
      </c>
      <c r="C823" s="6">
        <v>334.98001099999999</v>
      </c>
      <c r="D823" s="6">
        <v>41.075001</v>
      </c>
      <c r="E823" s="6">
        <v>169.759995</v>
      </c>
      <c r="F823" s="6">
        <v>171.60000600000001</v>
      </c>
      <c r="G823" s="6">
        <v>58.98</v>
      </c>
      <c r="H823" s="6">
        <v>158.550003</v>
      </c>
      <c r="I823" s="6">
        <v>203.699997</v>
      </c>
      <c r="J823" s="6">
        <v>35.459999000000003</v>
      </c>
      <c r="K823" s="6">
        <v>25.02</v>
      </c>
      <c r="N823" s="19">
        <v>819</v>
      </c>
      <c r="O823" s="1">
        <v>44652</v>
      </c>
      <c r="P823" s="5">
        <f t="shared" si="298"/>
        <v>5.6248318237142299E-3</v>
      </c>
      <c r="Q823" s="5">
        <f t="shared" si="299"/>
        <v>5.1179221326358567E-3</v>
      </c>
      <c r="R823" s="5">
        <f t="shared" si="300"/>
        <v>2.7770991025468095E-2</v>
      </c>
      <c r="S823" s="5">
        <f t="shared" si="301"/>
        <v>1.4118938935451833E-2</v>
      </c>
      <c r="T823" s="5">
        <f t="shared" si="302"/>
        <v>3.1974357648090292E-2</v>
      </c>
      <c r="U823" s="5">
        <f t="shared" si="303"/>
        <v>2.7676902204063544E-2</v>
      </c>
      <c r="V823" s="5">
        <f t="shared" si="304"/>
        <v>1.0461398407763695E-2</v>
      </c>
      <c r="W823" s="5">
        <f t="shared" si="305"/>
        <v>-8.7003776272325979E-3</v>
      </c>
      <c r="X823" s="5">
        <f t="shared" si="306"/>
        <v>2.8199125839112733E-4</v>
      </c>
      <c r="Y823" s="5">
        <f t="shared" si="307"/>
        <v>4.0048111195124915E-3</v>
      </c>
      <c r="Z823" s="33">
        <v>819</v>
      </c>
      <c r="AE823" s="20" t="str">
        <f t="shared" si="308"/>
        <v/>
      </c>
      <c r="AF823" s="22" t="str">
        <f t="shared" si="309"/>
        <v/>
      </c>
      <c r="AG823" s="9" t="str">
        <f t="shared" ca="1" si="288"/>
        <v/>
      </c>
      <c r="AH823" s="9" t="str">
        <f t="shared" ca="1" si="289"/>
        <v/>
      </c>
      <c r="AI823" s="9" t="str">
        <f t="shared" ca="1" si="290"/>
        <v/>
      </c>
      <c r="AJ823" s="9" t="str">
        <f t="shared" ca="1" si="291"/>
        <v/>
      </c>
      <c r="AK823" s="9" t="str">
        <f t="shared" ca="1" si="292"/>
        <v/>
      </c>
      <c r="AL823" s="9" t="str">
        <f t="shared" ca="1" si="293"/>
        <v/>
      </c>
      <c r="AM823" s="9" t="str">
        <f t="shared" ca="1" si="294"/>
        <v/>
      </c>
      <c r="AN823" s="9" t="str">
        <f t="shared" ca="1" si="295"/>
        <v/>
      </c>
      <c r="AO823" s="9" t="str">
        <f t="shared" ca="1" si="296"/>
        <v/>
      </c>
      <c r="AP823" s="9" t="str">
        <f t="shared" ca="1" si="297"/>
        <v/>
      </c>
      <c r="AQ823" s="9"/>
      <c r="AR823" s="9"/>
      <c r="AS823" s="9"/>
      <c r="AT823" s="9"/>
      <c r="AU823" s="9"/>
    </row>
    <row r="824" spans="1:47" x14ac:dyDescent="0.3">
      <c r="A824" s="1">
        <v>44655</v>
      </c>
      <c r="B824" s="6">
        <v>468.80999800000001</v>
      </c>
      <c r="C824" s="6">
        <v>340.14999399999999</v>
      </c>
      <c r="D824" s="6">
        <v>41.299999</v>
      </c>
      <c r="E824" s="6">
        <v>169.320007</v>
      </c>
      <c r="F824" s="6">
        <v>168.990005</v>
      </c>
      <c r="G824" s="6">
        <v>58.060001</v>
      </c>
      <c r="H824" s="6">
        <v>157.929993</v>
      </c>
      <c r="I824" s="6">
        <v>208.60000600000001</v>
      </c>
      <c r="J824" s="6">
        <v>35.119999</v>
      </c>
      <c r="K824" s="6">
        <v>25.799999</v>
      </c>
      <c r="N824" s="18">
        <v>820</v>
      </c>
      <c r="O824" s="1">
        <v>44655</v>
      </c>
      <c r="P824" s="5">
        <f t="shared" si="298"/>
        <v>2.2913615211733546E-2</v>
      </c>
      <c r="Q824" s="5">
        <f t="shared" si="299"/>
        <v>1.5315817763687995E-2</v>
      </c>
      <c r="R824" s="5">
        <f t="shared" si="300"/>
        <v>5.4627874848711322E-3</v>
      </c>
      <c r="S824" s="5">
        <f t="shared" si="301"/>
        <v>-2.5951884177666151E-3</v>
      </c>
      <c r="T824" s="5">
        <f t="shared" si="302"/>
        <v>-1.5326650856614912E-2</v>
      </c>
      <c r="U824" s="5">
        <f t="shared" si="303"/>
        <v>-1.5721427567084629E-2</v>
      </c>
      <c r="V824" s="5">
        <f t="shared" si="304"/>
        <v>-3.9181673473042584E-3</v>
      </c>
      <c r="W824" s="5">
        <f t="shared" si="305"/>
        <v>2.377026282463534E-2</v>
      </c>
      <c r="X824" s="5">
        <f t="shared" si="306"/>
        <v>-9.6345321521605527E-3</v>
      </c>
      <c r="Y824" s="5">
        <f t="shared" si="307"/>
        <v>3.0698948129116034E-2</v>
      </c>
      <c r="Z824" s="33">
        <v>820</v>
      </c>
      <c r="AE824" s="20" t="str">
        <f t="shared" si="308"/>
        <v/>
      </c>
      <c r="AF824" s="22" t="str">
        <f t="shared" si="309"/>
        <v/>
      </c>
      <c r="AG824" s="9" t="str">
        <f t="shared" ca="1" si="288"/>
        <v/>
      </c>
      <c r="AH824" s="9" t="str">
        <f t="shared" ca="1" si="289"/>
        <v/>
      </c>
      <c r="AI824" s="9" t="str">
        <f t="shared" ca="1" si="290"/>
        <v/>
      </c>
      <c r="AJ824" s="9" t="str">
        <f t="shared" ca="1" si="291"/>
        <v/>
      </c>
      <c r="AK824" s="9" t="str">
        <f t="shared" ca="1" si="292"/>
        <v/>
      </c>
      <c r="AL824" s="9" t="str">
        <f t="shared" ca="1" si="293"/>
        <v/>
      </c>
      <c r="AM824" s="9" t="str">
        <f t="shared" ca="1" si="294"/>
        <v/>
      </c>
      <c r="AN824" s="9" t="str">
        <f t="shared" ca="1" si="295"/>
        <v/>
      </c>
      <c r="AO824" s="9" t="str">
        <f t="shared" ca="1" si="296"/>
        <v/>
      </c>
      <c r="AP824" s="9" t="str">
        <f t="shared" ca="1" si="297"/>
        <v/>
      </c>
      <c r="AQ824" s="9"/>
      <c r="AR824" s="9"/>
      <c r="AS824" s="9"/>
      <c r="AT824" s="9"/>
      <c r="AU824" s="9"/>
    </row>
    <row r="825" spans="1:47" x14ac:dyDescent="0.3">
      <c r="A825" s="1">
        <v>44656</v>
      </c>
      <c r="B825" s="6">
        <v>458.57998700000002</v>
      </c>
      <c r="C825" s="6">
        <v>327.709991</v>
      </c>
      <c r="D825" s="6">
        <v>40.950001</v>
      </c>
      <c r="E825" s="6">
        <v>169.5</v>
      </c>
      <c r="F825" s="6">
        <v>169.91000399999999</v>
      </c>
      <c r="G825" s="6">
        <v>58.16</v>
      </c>
      <c r="H825" s="6">
        <v>153.91999799999999</v>
      </c>
      <c r="I825" s="6">
        <v>206.259995</v>
      </c>
      <c r="J825" s="6">
        <v>34.770000000000003</v>
      </c>
      <c r="K825" s="6">
        <v>24.42</v>
      </c>
      <c r="N825" s="19">
        <v>821</v>
      </c>
      <c r="O825" s="1">
        <v>44656</v>
      </c>
      <c r="P825" s="5">
        <f t="shared" si="298"/>
        <v>-2.2062834692731337E-2</v>
      </c>
      <c r="Q825" s="5">
        <f t="shared" si="299"/>
        <v>-3.7257635660331648E-2</v>
      </c>
      <c r="R825" s="5">
        <f t="shared" si="300"/>
        <v>-8.5106410348090959E-3</v>
      </c>
      <c r="S825" s="5">
        <f t="shared" si="301"/>
        <v>1.0624698259448001E-3</v>
      </c>
      <c r="T825" s="5">
        <f t="shared" si="302"/>
        <v>5.429337477260732E-3</v>
      </c>
      <c r="U825" s="5">
        <f t="shared" si="303"/>
        <v>1.7208574052183954E-3</v>
      </c>
      <c r="V825" s="5">
        <f t="shared" si="304"/>
        <v>-2.5718878634894578E-2</v>
      </c>
      <c r="W825" s="5">
        <f t="shared" si="305"/>
        <v>-1.1281086683181065E-2</v>
      </c>
      <c r="X825" s="5">
        <f t="shared" si="306"/>
        <v>-1.0015794273341233E-2</v>
      </c>
      <c r="Y825" s="5">
        <f t="shared" si="307"/>
        <v>-5.4971984485322346E-2</v>
      </c>
      <c r="Z825" s="33">
        <v>821</v>
      </c>
      <c r="AE825" s="20" t="str">
        <f t="shared" si="308"/>
        <v/>
      </c>
      <c r="AF825" s="22" t="str">
        <f t="shared" si="309"/>
        <v/>
      </c>
      <c r="AG825" s="9" t="str">
        <f t="shared" ca="1" si="288"/>
        <v/>
      </c>
      <c r="AH825" s="9" t="str">
        <f t="shared" ca="1" si="289"/>
        <v/>
      </c>
      <c r="AI825" s="9" t="str">
        <f t="shared" ca="1" si="290"/>
        <v/>
      </c>
      <c r="AJ825" s="9" t="str">
        <f t="shared" ca="1" si="291"/>
        <v/>
      </c>
      <c r="AK825" s="9" t="str">
        <f t="shared" ca="1" si="292"/>
        <v/>
      </c>
      <c r="AL825" s="9" t="str">
        <f t="shared" ca="1" si="293"/>
        <v/>
      </c>
      <c r="AM825" s="9" t="str">
        <f t="shared" ca="1" si="294"/>
        <v/>
      </c>
      <c r="AN825" s="9" t="str">
        <f t="shared" ca="1" si="295"/>
        <v/>
      </c>
      <c r="AO825" s="9" t="str">
        <f t="shared" ca="1" si="296"/>
        <v/>
      </c>
      <c r="AP825" s="9" t="str">
        <f t="shared" ca="1" si="297"/>
        <v/>
      </c>
      <c r="AQ825" s="9"/>
      <c r="AR825" s="9"/>
      <c r="AS825" s="9"/>
      <c r="AT825" s="9"/>
      <c r="AU825" s="9"/>
    </row>
    <row r="826" spans="1:47" x14ac:dyDescent="0.3">
      <c r="A826" s="1">
        <v>44657</v>
      </c>
      <c r="B826" s="6">
        <v>444.32998700000002</v>
      </c>
      <c r="C826" s="6">
        <v>324.85000600000001</v>
      </c>
      <c r="D826" s="6">
        <v>40.409999999999997</v>
      </c>
      <c r="E826" s="6">
        <v>172.38999899999999</v>
      </c>
      <c r="F826" s="6">
        <v>175.21000699999999</v>
      </c>
      <c r="G826" s="6">
        <v>59.57</v>
      </c>
      <c r="H826" s="6">
        <v>154.75</v>
      </c>
      <c r="I826" s="6">
        <v>207.36999499999999</v>
      </c>
      <c r="J826" s="6">
        <v>34.459999000000003</v>
      </c>
      <c r="K826" s="6">
        <v>23.92</v>
      </c>
      <c r="N826" s="18">
        <v>822</v>
      </c>
      <c r="O826" s="1">
        <v>44657</v>
      </c>
      <c r="P826" s="5">
        <f t="shared" si="298"/>
        <v>-3.156722978501085E-2</v>
      </c>
      <c r="Q826" s="5">
        <f t="shared" si="299"/>
        <v>-8.7654876948582445E-3</v>
      </c>
      <c r="R826" s="5">
        <f t="shared" si="300"/>
        <v>-1.3274555628720373E-2</v>
      </c>
      <c r="S826" s="5">
        <f t="shared" si="301"/>
        <v>1.6906419285581741E-2</v>
      </c>
      <c r="T826" s="5">
        <f t="shared" si="302"/>
        <v>3.0716385811510774E-2</v>
      </c>
      <c r="U826" s="5">
        <f t="shared" si="303"/>
        <v>2.3954258415332212E-2</v>
      </c>
      <c r="V826" s="5">
        <f t="shared" si="304"/>
        <v>5.3779376410723586E-3</v>
      </c>
      <c r="W826" s="5">
        <f t="shared" si="305"/>
        <v>5.3671285515834834E-3</v>
      </c>
      <c r="X826" s="5">
        <f t="shared" si="306"/>
        <v>-8.9557439391394766E-3</v>
      </c>
      <c r="Y826" s="5">
        <f t="shared" si="307"/>
        <v>-2.0687539600127636E-2</v>
      </c>
      <c r="Z826" s="33">
        <v>822</v>
      </c>
      <c r="AE826" s="20" t="str">
        <f t="shared" si="308"/>
        <v/>
      </c>
      <c r="AF826" s="22" t="str">
        <f t="shared" si="309"/>
        <v/>
      </c>
      <c r="AG826" s="9" t="str">
        <f t="shared" ca="1" si="288"/>
        <v/>
      </c>
      <c r="AH826" s="9" t="str">
        <f t="shared" ca="1" si="289"/>
        <v/>
      </c>
      <c r="AI826" s="9" t="str">
        <f t="shared" ca="1" si="290"/>
        <v/>
      </c>
      <c r="AJ826" s="9" t="str">
        <f t="shared" ca="1" si="291"/>
        <v/>
      </c>
      <c r="AK826" s="9" t="str">
        <f t="shared" ca="1" si="292"/>
        <v/>
      </c>
      <c r="AL826" s="9" t="str">
        <f t="shared" ca="1" si="293"/>
        <v/>
      </c>
      <c r="AM826" s="9" t="str">
        <f t="shared" ca="1" si="294"/>
        <v/>
      </c>
      <c r="AN826" s="9" t="str">
        <f t="shared" ca="1" si="295"/>
        <v/>
      </c>
      <c r="AO826" s="9" t="str">
        <f t="shared" ca="1" si="296"/>
        <v/>
      </c>
      <c r="AP826" s="9" t="str">
        <f t="shared" ca="1" si="297"/>
        <v/>
      </c>
      <c r="AQ826" s="9"/>
      <c r="AR826" s="9"/>
      <c r="AS826" s="9"/>
      <c r="AT826" s="9"/>
      <c r="AU826" s="9"/>
    </row>
    <row r="827" spans="1:47" x14ac:dyDescent="0.3">
      <c r="A827" s="1">
        <v>44658</v>
      </c>
      <c r="B827" s="6">
        <v>452.72000100000002</v>
      </c>
      <c r="C827" s="6">
        <v>326.36999500000002</v>
      </c>
      <c r="D827" s="6">
        <v>40.889999000000003</v>
      </c>
      <c r="E827" s="6">
        <v>172.550003</v>
      </c>
      <c r="F827" s="6">
        <v>172.61000100000001</v>
      </c>
      <c r="G827" s="6">
        <v>59.119999</v>
      </c>
      <c r="H827" s="6">
        <v>154.429993</v>
      </c>
      <c r="I827" s="6">
        <v>205.28999300000001</v>
      </c>
      <c r="J827" s="6">
        <v>34.090000000000003</v>
      </c>
      <c r="K827" s="6">
        <v>23.07</v>
      </c>
      <c r="N827" s="19">
        <v>823</v>
      </c>
      <c r="O827" s="1">
        <v>44658</v>
      </c>
      <c r="P827" s="5">
        <f t="shared" si="298"/>
        <v>1.8706334693682609E-2</v>
      </c>
      <c r="Q827" s="5">
        <f t="shared" si="299"/>
        <v>4.6681359844623479E-3</v>
      </c>
      <c r="R827" s="5">
        <f t="shared" si="300"/>
        <v>1.1808230830311364E-2</v>
      </c>
      <c r="S827" s="5">
        <f t="shared" si="301"/>
        <v>9.2772082419049725E-4</v>
      </c>
      <c r="T827" s="5">
        <f t="shared" si="302"/>
        <v>-1.4950574259047869E-2</v>
      </c>
      <c r="U827" s="5">
        <f t="shared" si="303"/>
        <v>-7.5828319153995764E-3</v>
      </c>
      <c r="V827" s="5">
        <f t="shared" si="304"/>
        <v>-2.0700376577772218E-3</v>
      </c>
      <c r="W827" s="5">
        <f t="shared" si="305"/>
        <v>-1.0081033663846807E-2</v>
      </c>
      <c r="X827" s="5">
        <f t="shared" si="306"/>
        <v>-1.0795115930818737E-2</v>
      </c>
      <c r="Y827" s="5">
        <f t="shared" si="307"/>
        <v>-3.6181856896768692E-2</v>
      </c>
      <c r="Z827" s="33">
        <v>823</v>
      </c>
      <c r="AE827" s="20" t="str">
        <f t="shared" si="308"/>
        <v/>
      </c>
      <c r="AF827" s="22" t="str">
        <f t="shared" si="309"/>
        <v/>
      </c>
      <c r="AG827" s="9" t="str">
        <f t="shared" ca="1" si="288"/>
        <v/>
      </c>
      <c r="AH827" s="9" t="str">
        <f t="shared" ca="1" si="289"/>
        <v/>
      </c>
      <c r="AI827" s="9" t="str">
        <f t="shared" ca="1" si="290"/>
        <v/>
      </c>
      <c r="AJ827" s="9" t="str">
        <f t="shared" ca="1" si="291"/>
        <v/>
      </c>
      <c r="AK827" s="9" t="str">
        <f t="shared" ca="1" si="292"/>
        <v/>
      </c>
      <c r="AL827" s="9" t="str">
        <f t="shared" ca="1" si="293"/>
        <v/>
      </c>
      <c r="AM827" s="9" t="str">
        <f t="shared" ca="1" si="294"/>
        <v/>
      </c>
      <c r="AN827" s="9" t="str">
        <f t="shared" ca="1" si="295"/>
        <v/>
      </c>
      <c r="AO827" s="9" t="str">
        <f t="shared" ca="1" si="296"/>
        <v/>
      </c>
      <c r="AP827" s="9" t="str">
        <f t="shared" ca="1" si="297"/>
        <v/>
      </c>
      <c r="AQ827" s="9"/>
      <c r="AR827" s="9"/>
      <c r="AS827" s="9"/>
      <c r="AT827" s="9"/>
      <c r="AU827" s="9"/>
    </row>
    <row r="828" spans="1:47" x14ac:dyDescent="0.3">
      <c r="A828" s="1">
        <v>44659</v>
      </c>
      <c r="B828" s="6">
        <v>445.33999599999999</v>
      </c>
      <c r="C828" s="6">
        <v>319.82998700000002</v>
      </c>
      <c r="D828" s="6">
        <v>40.810001</v>
      </c>
      <c r="E828" s="6">
        <v>173.13000500000001</v>
      </c>
      <c r="F828" s="6">
        <v>168.21000699999999</v>
      </c>
      <c r="G828" s="6">
        <v>58.740001999999997</v>
      </c>
      <c r="H828" s="6">
        <v>150.88000500000001</v>
      </c>
      <c r="I828" s="6">
        <v>208.39999399999999</v>
      </c>
      <c r="J828" s="6">
        <v>34.139999000000003</v>
      </c>
      <c r="K828" s="6">
        <v>24.43</v>
      </c>
      <c r="N828" s="18">
        <v>824</v>
      </c>
      <c r="O828" s="1">
        <v>44659</v>
      </c>
      <c r="P828" s="5">
        <f t="shared" si="298"/>
        <v>-1.643580864872941E-2</v>
      </c>
      <c r="Q828" s="5">
        <f t="shared" si="299"/>
        <v>-2.0242127797166238E-2</v>
      </c>
      <c r="R828" s="5">
        <f t="shared" si="300"/>
        <v>-1.9583359991814714E-3</v>
      </c>
      <c r="S828" s="5">
        <f t="shared" si="301"/>
        <v>3.3557193407396588E-3</v>
      </c>
      <c r="T828" s="5">
        <f t="shared" si="302"/>
        <v>-2.5821479773666681E-2</v>
      </c>
      <c r="U828" s="5">
        <f t="shared" si="303"/>
        <v>-6.4482999063745034E-3</v>
      </c>
      <c r="V828" s="5">
        <f t="shared" si="304"/>
        <v>-2.325602188286301E-2</v>
      </c>
      <c r="W828" s="5">
        <f t="shared" si="305"/>
        <v>1.5035701554014113E-2</v>
      </c>
      <c r="X828" s="5">
        <f t="shared" si="306"/>
        <v>1.4656019253282396E-3</v>
      </c>
      <c r="Y828" s="5">
        <f t="shared" si="307"/>
        <v>5.7278813083986836E-2</v>
      </c>
      <c r="Z828" s="33">
        <v>824</v>
      </c>
      <c r="AE828" s="20" t="str">
        <f t="shared" si="308"/>
        <v/>
      </c>
      <c r="AF828" s="22" t="str">
        <f t="shared" si="309"/>
        <v/>
      </c>
      <c r="AG828" s="9" t="str">
        <f t="shared" ca="1" si="288"/>
        <v/>
      </c>
      <c r="AH828" s="9" t="str">
        <f t="shared" ca="1" si="289"/>
        <v/>
      </c>
      <c r="AI828" s="9" t="str">
        <f t="shared" ca="1" si="290"/>
        <v/>
      </c>
      <c r="AJ828" s="9" t="str">
        <f t="shared" ca="1" si="291"/>
        <v/>
      </c>
      <c r="AK828" s="9" t="str">
        <f t="shared" ca="1" si="292"/>
        <v/>
      </c>
      <c r="AL828" s="9" t="str">
        <f t="shared" ca="1" si="293"/>
        <v/>
      </c>
      <c r="AM828" s="9" t="str">
        <f t="shared" ca="1" si="294"/>
        <v/>
      </c>
      <c r="AN828" s="9" t="str">
        <f t="shared" ca="1" si="295"/>
        <v/>
      </c>
      <c r="AO828" s="9" t="str">
        <f t="shared" ca="1" si="296"/>
        <v/>
      </c>
      <c r="AP828" s="9" t="str">
        <f t="shared" ca="1" si="297"/>
        <v/>
      </c>
      <c r="AQ828" s="9"/>
      <c r="AR828" s="9"/>
      <c r="AS828" s="9"/>
      <c r="AT828" s="9"/>
      <c r="AU828" s="9"/>
    </row>
    <row r="829" spans="1:47" x14ac:dyDescent="0.3">
      <c r="A829" s="1">
        <v>44662</v>
      </c>
      <c r="B829" s="6">
        <v>434.44000199999999</v>
      </c>
      <c r="C829" s="6">
        <v>309.76998900000001</v>
      </c>
      <c r="D829" s="6">
        <v>41.084999000000003</v>
      </c>
      <c r="E829" s="6">
        <v>172.60000600000001</v>
      </c>
      <c r="F829" s="6">
        <v>165.740005</v>
      </c>
      <c r="G829" s="6">
        <v>57.5</v>
      </c>
      <c r="H829" s="6">
        <v>149.229996</v>
      </c>
      <c r="I829" s="6">
        <v>210.779999</v>
      </c>
      <c r="J829" s="6">
        <v>34.130001</v>
      </c>
      <c r="K829" s="6">
        <v>24.780000999999999</v>
      </c>
      <c r="N829" s="19">
        <v>825</v>
      </c>
      <c r="O829" s="1">
        <v>44662</v>
      </c>
      <c r="P829" s="5">
        <f t="shared" si="298"/>
        <v>-2.478017637894693E-2</v>
      </c>
      <c r="Q829" s="5">
        <f t="shared" si="299"/>
        <v>-3.1959512869140241E-2</v>
      </c>
      <c r="R829" s="5">
        <f t="shared" si="300"/>
        <v>6.7158931218554646E-3</v>
      </c>
      <c r="S829" s="5">
        <f t="shared" si="301"/>
        <v>-3.0659728592331284E-3</v>
      </c>
      <c r="T829" s="5">
        <f t="shared" si="302"/>
        <v>-1.4792914829709715E-2</v>
      </c>
      <c r="U829" s="5">
        <f t="shared" si="303"/>
        <v>-2.1336012015517297E-2</v>
      </c>
      <c r="V829" s="5">
        <f t="shared" si="304"/>
        <v>-1.099613888495082E-2</v>
      </c>
      <c r="W829" s="5">
        <f t="shared" si="305"/>
        <v>1.1355649673083022E-2</v>
      </c>
      <c r="X829" s="5">
        <f t="shared" si="306"/>
        <v>-2.9289585678861357E-4</v>
      </c>
      <c r="Y829" s="5">
        <f t="shared" si="307"/>
        <v>1.4225031286471557E-2</v>
      </c>
      <c r="Z829" s="33">
        <v>825</v>
      </c>
      <c r="AE829" s="20" t="str">
        <f t="shared" si="308"/>
        <v/>
      </c>
      <c r="AF829" s="22" t="str">
        <f t="shared" si="309"/>
        <v/>
      </c>
      <c r="AG829" s="9" t="str">
        <f t="shared" ca="1" si="288"/>
        <v/>
      </c>
      <c r="AH829" s="9" t="str">
        <f t="shared" ca="1" si="289"/>
        <v/>
      </c>
      <c r="AI829" s="9" t="str">
        <f t="shared" ca="1" si="290"/>
        <v/>
      </c>
      <c r="AJ829" s="9" t="str">
        <f t="shared" ca="1" si="291"/>
        <v/>
      </c>
      <c r="AK829" s="9" t="str">
        <f t="shared" ca="1" si="292"/>
        <v/>
      </c>
      <c r="AL829" s="9" t="str">
        <f t="shared" ca="1" si="293"/>
        <v/>
      </c>
      <c r="AM829" s="9" t="str">
        <f t="shared" ca="1" si="294"/>
        <v/>
      </c>
      <c r="AN829" s="9" t="str">
        <f t="shared" ca="1" si="295"/>
        <v/>
      </c>
      <c r="AO829" s="9" t="str">
        <f t="shared" ca="1" si="296"/>
        <v/>
      </c>
      <c r="AP829" s="9" t="str">
        <f t="shared" ca="1" si="297"/>
        <v/>
      </c>
      <c r="AQ829" s="9"/>
      <c r="AR829" s="9"/>
      <c r="AS829" s="9"/>
      <c r="AT829" s="9"/>
      <c r="AU829" s="9"/>
    </row>
    <row r="830" spans="1:47" x14ac:dyDescent="0.3">
      <c r="A830" s="1">
        <v>44663</v>
      </c>
      <c r="B830" s="6">
        <v>426.76998900000001</v>
      </c>
      <c r="C830" s="6">
        <v>310.82998700000002</v>
      </c>
      <c r="D830" s="6">
        <v>41.345001000000003</v>
      </c>
      <c r="E830" s="6">
        <v>173.300003</v>
      </c>
      <c r="F830" s="6">
        <v>165.220001</v>
      </c>
      <c r="G830" s="6">
        <v>57.66</v>
      </c>
      <c r="H830" s="6">
        <v>147.86999499999999</v>
      </c>
      <c r="I830" s="6">
        <v>210.55999800000001</v>
      </c>
      <c r="J830" s="6">
        <v>33.869999</v>
      </c>
      <c r="K830" s="6">
        <v>24.68</v>
      </c>
      <c r="N830" s="18">
        <v>826</v>
      </c>
      <c r="O830" s="1">
        <v>44663</v>
      </c>
      <c r="P830" s="5">
        <f t="shared" si="298"/>
        <v>-1.7812649367575942E-2</v>
      </c>
      <c r="Q830" s="5">
        <f t="shared" si="299"/>
        <v>3.4160459935054961E-3</v>
      </c>
      <c r="R830" s="5">
        <f t="shared" si="300"/>
        <v>6.3084523174837589E-3</v>
      </c>
      <c r="S830" s="5">
        <f t="shared" si="301"/>
        <v>4.0474006207980523E-3</v>
      </c>
      <c r="T830" s="5">
        <f t="shared" si="302"/>
        <v>-3.1424004017333047E-3</v>
      </c>
      <c r="U830" s="5">
        <f t="shared" si="303"/>
        <v>2.7787444069513616E-3</v>
      </c>
      <c r="V830" s="5">
        <f t="shared" si="304"/>
        <v>-9.1552375672037823E-3</v>
      </c>
      <c r="W830" s="5">
        <f t="shared" si="305"/>
        <v>-1.0442921230353879E-3</v>
      </c>
      <c r="X830" s="5">
        <f t="shared" si="306"/>
        <v>-7.6471549133247585E-3</v>
      </c>
      <c r="Y830" s="5">
        <f t="shared" si="307"/>
        <v>-4.0437175189335199E-3</v>
      </c>
      <c r="Z830" s="33">
        <v>826</v>
      </c>
      <c r="AE830" s="20" t="str">
        <f t="shared" si="308"/>
        <v/>
      </c>
      <c r="AF830" s="22" t="str">
        <f t="shared" si="309"/>
        <v/>
      </c>
      <c r="AG830" s="9" t="str">
        <f t="shared" ca="1" si="288"/>
        <v/>
      </c>
      <c r="AH830" s="9" t="str">
        <f t="shared" ca="1" si="289"/>
        <v/>
      </c>
      <c r="AI830" s="9" t="str">
        <f t="shared" ca="1" si="290"/>
        <v/>
      </c>
      <c r="AJ830" s="9" t="str">
        <f t="shared" ca="1" si="291"/>
        <v/>
      </c>
      <c r="AK830" s="9" t="str">
        <f t="shared" ca="1" si="292"/>
        <v/>
      </c>
      <c r="AL830" s="9" t="str">
        <f t="shared" ca="1" si="293"/>
        <v/>
      </c>
      <c r="AM830" s="9" t="str">
        <f t="shared" ca="1" si="294"/>
        <v/>
      </c>
      <c r="AN830" s="9" t="str">
        <f t="shared" ca="1" si="295"/>
        <v/>
      </c>
      <c r="AO830" s="9" t="str">
        <f t="shared" ca="1" si="296"/>
        <v/>
      </c>
      <c r="AP830" s="9" t="str">
        <f t="shared" ca="1" si="297"/>
        <v/>
      </c>
      <c r="AQ830" s="9"/>
      <c r="AR830" s="9"/>
      <c r="AS830" s="9"/>
      <c r="AT830" s="9"/>
      <c r="AU830" s="9"/>
    </row>
    <row r="831" spans="1:47" x14ac:dyDescent="0.3">
      <c r="A831" s="1">
        <v>44664</v>
      </c>
      <c r="B831" s="6">
        <v>431.67001299999998</v>
      </c>
      <c r="C831" s="6">
        <v>306.72000100000002</v>
      </c>
      <c r="D831" s="6">
        <v>42.005001</v>
      </c>
      <c r="E831" s="6">
        <v>173</v>
      </c>
      <c r="F831" s="6">
        <v>165.050003</v>
      </c>
      <c r="G831" s="6">
        <v>57.700001</v>
      </c>
      <c r="H831" s="6">
        <v>149.41000399999999</v>
      </c>
      <c r="I831" s="6">
        <v>210.63999899999999</v>
      </c>
      <c r="J831" s="6">
        <v>34.32</v>
      </c>
      <c r="K831" s="6">
        <v>26</v>
      </c>
      <c r="N831" s="19">
        <v>827</v>
      </c>
      <c r="O831" s="1">
        <v>44664</v>
      </c>
      <c r="P831" s="5">
        <f t="shared" si="298"/>
        <v>1.1416236911145952E-2</v>
      </c>
      <c r="Q831" s="5">
        <f t="shared" si="299"/>
        <v>-1.331081455062744E-2</v>
      </c>
      <c r="R831" s="5">
        <f t="shared" si="300"/>
        <v>1.5837163262648654E-2</v>
      </c>
      <c r="S831" s="5">
        <f t="shared" si="301"/>
        <v>-1.7326195348026181E-3</v>
      </c>
      <c r="T831" s="5">
        <f t="shared" si="302"/>
        <v>-1.029448711383146E-3</v>
      </c>
      <c r="U831" s="5">
        <f t="shared" si="303"/>
        <v>6.9349863482009479E-4</v>
      </c>
      <c r="V831" s="5">
        <f t="shared" si="304"/>
        <v>1.0360756063052071E-2</v>
      </c>
      <c r="W831" s="5">
        <f t="shared" si="305"/>
        <v>3.7987180214536559E-4</v>
      </c>
      <c r="X831" s="5">
        <f t="shared" si="306"/>
        <v>1.3198637314734748E-2</v>
      </c>
      <c r="Y831" s="5">
        <f t="shared" si="307"/>
        <v>5.2103338984294922E-2</v>
      </c>
      <c r="Z831" s="33">
        <v>827</v>
      </c>
      <c r="AE831" s="20" t="str">
        <f t="shared" si="308"/>
        <v/>
      </c>
      <c r="AF831" s="22" t="str">
        <f t="shared" si="309"/>
        <v/>
      </c>
      <c r="AG831" s="9" t="str">
        <f t="shared" ca="1" si="288"/>
        <v/>
      </c>
      <c r="AH831" s="9" t="str">
        <f t="shared" ca="1" si="289"/>
        <v/>
      </c>
      <c r="AI831" s="9" t="str">
        <f t="shared" ca="1" si="290"/>
        <v/>
      </c>
      <c r="AJ831" s="9" t="str">
        <f t="shared" ca="1" si="291"/>
        <v/>
      </c>
      <c r="AK831" s="9" t="str">
        <f t="shared" ca="1" si="292"/>
        <v/>
      </c>
      <c r="AL831" s="9" t="str">
        <f t="shared" ca="1" si="293"/>
        <v/>
      </c>
      <c r="AM831" s="9" t="str">
        <f t="shared" ca="1" si="294"/>
        <v/>
      </c>
      <c r="AN831" s="9" t="str">
        <f t="shared" ca="1" si="295"/>
        <v/>
      </c>
      <c r="AO831" s="9" t="str">
        <f t="shared" ca="1" si="296"/>
        <v/>
      </c>
      <c r="AP831" s="9" t="str">
        <f t="shared" ca="1" si="297"/>
        <v/>
      </c>
      <c r="AQ831" s="9"/>
      <c r="AR831" s="9"/>
      <c r="AS831" s="9"/>
      <c r="AT831" s="9"/>
      <c r="AU831" s="9"/>
    </row>
    <row r="832" spans="1:47" x14ac:dyDescent="0.3">
      <c r="A832" s="1">
        <v>44665</v>
      </c>
      <c r="B832" s="6">
        <v>420.44000199999999</v>
      </c>
      <c r="C832" s="6">
        <v>294.76998900000001</v>
      </c>
      <c r="D832" s="6">
        <v>41.294998</v>
      </c>
      <c r="E832" s="6">
        <v>171.89999399999999</v>
      </c>
      <c r="F832" s="6">
        <v>164.61999499999999</v>
      </c>
      <c r="G832" s="6">
        <v>57.580002</v>
      </c>
      <c r="H832" s="6">
        <v>146.38999899999999</v>
      </c>
      <c r="I832" s="6">
        <v>211.16000399999999</v>
      </c>
      <c r="J832" s="6">
        <v>34.490001999999997</v>
      </c>
      <c r="K832" s="6">
        <v>24.879999000000002</v>
      </c>
      <c r="N832" s="18">
        <v>828</v>
      </c>
      <c r="O832" s="1">
        <v>44665</v>
      </c>
      <c r="P832" s="5">
        <f t="shared" si="298"/>
        <v>-2.6359650846958002E-2</v>
      </c>
      <c r="Q832" s="5">
        <f t="shared" si="299"/>
        <v>-3.9739928645718361E-2</v>
      </c>
      <c r="R832" s="5">
        <f t="shared" si="300"/>
        <v>-1.7047303792834315E-2</v>
      </c>
      <c r="S832" s="5">
        <f t="shared" si="301"/>
        <v>-6.3787170129899753E-3</v>
      </c>
      <c r="T832" s="5">
        <f t="shared" si="302"/>
        <v>-2.6087193039949397E-3</v>
      </c>
      <c r="U832" s="5">
        <f t="shared" si="303"/>
        <v>-2.0818709267642799E-3</v>
      </c>
      <c r="V832" s="5">
        <f t="shared" si="304"/>
        <v>-2.0419945282710135E-2</v>
      </c>
      <c r="W832" s="5">
        <f t="shared" si="305"/>
        <v>2.4656484577794198E-3</v>
      </c>
      <c r="X832" s="5">
        <f t="shared" si="306"/>
        <v>4.9412103168088445E-3</v>
      </c>
      <c r="Y832" s="5">
        <f t="shared" si="307"/>
        <v>-4.4032310343430185E-2</v>
      </c>
      <c r="Z832" s="33">
        <v>828</v>
      </c>
      <c r="AE832" s="20" t="str">
        <f t="shared" si="308"/>
        <v/>
      </c>
      <c r="AF832" s="22" t="str">
        <f t="shared" si="309"/>
        <v/>
      </c>
      <c r="AG832" s="9" t="str">
        <f t="shared" ca="1" si="288"/>
        <v/>
      </c>
      <c r="AH832" s="9" t="str">
        <f t="shared" ca="1" si="289"/>
        <v/>
      </c>
      <c r="AI832" s="9" t="str">
        <f t="shared" ca="1" si="290"/>
        <v/>
      </c>
      <c r="AJ832" s="9" t="str">
        <f t="shared" ca="1" si="291"/>
        <v/>
      </c>
      <c r="AK832" s="9" t="str">
        <f t="shared" ca="1" si="292"/>
        <v/>
      </c>
      <c r="AL832" s="9" t="str">
        <f t="shared" ca="1" si="293"/>
        <v/>
      </c>
      <c r="AM832" s="9" t="str">
        <f t="shared" ca="1" si="294"/>
        <v/>
      </c>
      <c r="AN832" s="9" t="str">
        <f t="shared" ca="1" si="295"/>
        <v/>
      </c>
      <c r="AO832" s="9" t="str">
        <f t="shared" ca="1" si="296"/>
        <v/>
      </c>
      <c r="AP832" s="9" t="str">
        <f t="shared" ca="1" si="297"/>
        <v/>
      </c>
      <c r="AQ832" s="9"/>
      <c r="AR832" s="9"/>
      <c r="AS832" s="9"/>
      <c r="AT832" s="9"/>
      <c r="AU832" s="9"/>
    </row>
    <row r="833" spans="1:47" x14ac:dyDescent="0.3">
      <c r="A833" s="1">
        <v>44669</v>
      </c>
      <c r="B833" s="6">
        <v>425.47000100000002</v>
      </c>
      <c r="C833" s="6">
        <v>297.11999500000002</v>
      </c>
      <c r="D833" s="6">
        <v>41.220001000000003</v>
      </c>
      <c r="E833" s="6">
        <v>170.41999799999999</v>
      </c>
      <c r="F833" s="6">
        <v>163.08000200000001</v>
      </c>
      <c r="G833" s="6">
        <v>57.130001</v>
      </c>
      <c r="H833" s="6">
        <v>146.61999499999999</v>
      </c>
      <c r="I833" s="6">
        <v>216.300003</v>
      </c>
      <c r="J833" s="6">
        <v>34.490001999999997</v>
      </c>
      <c r="K833" s="6">
        <v>24.16</v>
      </c>
      <c r="N833" s="19">
        <v>829</v>
      </c>
      <c r="O833" s="1">
        <v>44669</v>
      </c>
      <c r="P833" s="5">
        <f t="shared" si="298"/>
        <v>1.1892655878184673E-2</v>
      </c>
      <c r="Q833" s="5">
        <f t="shared" si="299"/>
        <v>7.9407268642593398E-3</v>
      </c>
      <c r="R833" s="5">
        <f t="shared" si="300"/>
        <v>-1.8177791082848638E-3</v>
      </c>
      <c r="S833" s="5">
        <f t="shared" si="301"/>
        <v>-8.6469108206909673E-3</v>
      </c>
      <c r="T833" s="5">
        <f t="shared" si="302"/>
        <v>-9.3988669565450017E-3</v>
      </c>
      <c r="U833" s="5">
        <f t="shared" si="303"/>
        <v>-7.8459296780025705E-3</v>
      </c>
      <c r="V833" s="5">
        <f t="shared" si="304"/>
        <v>1.5698853414274842E-3</v>
      </c>
      <c r="W833" s="5">
        <f t="shared" si="305"/>
        <v>2.4050187930241603E-2</v>
      </c>
      <c r="X833" s="5">
        <f t="shared" si="306"/>
        <v>0</v>
      </c>
      <c r="Y833" s="5">
        <f t="shared" si="307"/>
        <v>-2.9365854611437672E-2</v>
      </c>
      <c r="Z833" s="33">
        <v>829</v>
      </c>
      <c r="AE833" s="20" t="str">
        <f t="shared" si="308"/>
        <v/>
      </c>
      <c r="AF833" s="22" t="str">
        <f t="shared" si="309"/>
        <v/>
      </c>
      <c r="AG833" s="9" t="str">
        <f t="shared" ca="1" si="288"/>
        <v/>
      </c>
      <c r="AH833" s="9" t="str">
        <f t="shared" ca="1" si="289"/>
        <v/>
      </c>
      <c r="AI833" s="9" t="str">
        <f t="shared" ca="1" si="290"/>
        <v/>
      </c>
      <c r="AJ833" s="9" t="str">
        <f t="shared" ca="1" si="291"/>
        <v/>
      </c>
      <c r="AK833" s="9" t="str">
        <f t="shared" ca="1" si="292"/>
        <v/>
      </c>
      <c r="AL833" s="9" t="str">
        <f t="shared" ca="1" si="293"/>
        <v/>
      </c>
      <c r="AM833" s="9" t="str">
        <f t="shared" ca="1" si="294"/>
        <v/>
      </c>
      <c r="AN833" s="9" t="str">
        <f t="shared" ca="1" si="295"/>
        <v/>
      </c>
      <c r="AO833" s="9" t="str">
        <f t="shared" ca="1" si="296"/>
        <v/>
      </c>
      <c r="AP833" s="9" t="str">
        <f t="shared" ca="1" si="297"/>
        <v/>
      </c>
      <c r="AQ833" s="9"/>
      <c r="AR833" s="9"/>
      <c r="AS833" s="9"/>
      <c r="AT833" s="9"/>
      <c r="AU833" s="9"/>
    </row>
    <row r="834" spans="1:47" x14ac:dyDescent="0.3">
      <c r="A834" s="1">
        <v>44670</v>
      </c>
      <c r="B834" s="6">
        <v>436.39999399999999</v>
      </c>
      <c r="C834" s="6">
        <v>306.32998700000002</v>
      </c>
      <c r="D834" s="6">
        <v>41.900002000000001</v>
      </c>
      <c r="E834" s="6">
        <v>172.89999399999999</v>
      </c>
      <c r="F834" s="6">
        <v>165.740005</v>
      </c>
      <c r="G834" s="6">
        <v>58</v>
      </c>
      <c r="H834" s="6">
        <v>151.679993</v>
      </c>
      <c r="I834" s="6">
        <v>226.86999499999999</v>
      </c>
      <c r="J834" s="6">
        <v>35.549999</v>
      </c>
      <c r="K834" s="6">
        <v>24.49</v>
      </c>
      <c r="N834" s="18">
        <v>830</v>
      </c>
      <c r="O834" s="1">
        <v>44670</v>
      </c>
      <c r="P834" s="5">
        <f t="shared" si="298"/>
        <v>2.5364797619801861E-2</v>
      </c>
      <c r="Q834" s="5">
        <f t="shared" si="299"/>
        <v>3.0526829021483601E-2</v>
      </c>
      <c r="R834" s="5">
        <f t="shared" si="300"/>
        <v>1.6362274938407088E-2</v>
      </c>
      <c r="S834" s="5">
        <f t="shared" si="301"/>
        <v>1.4447391323006291E-2</v>
      </c>
      <c r="T834" s="5">
        <f t="shared" si="302"/>
        <v>1.6179435373656299E-2</v>
      </c>
      <c r="U834" s="5">
        <f t="shared" si="303"/>
        <v>1.5113620306109866E-2</v>
      </c>
      <c r="V834" s="5">
        <f t="shared" si="304"/>
        <v>3.392882066324128E-2</v>
      </c>
      <c r="W834" s="5">
        <f t="shared" si="305"/>
        <v>4.7710797341077346E-2</v>
      </c>
      <c r="X834" s="5">
        <f t="shared" si="306"/>
        <v>3.0270643183283843E-2</v>
      </c>
      <c r="Y834" s="5">
        <f t="shared" si="307"/>
        <v>1.356649789746201E-2</v>
      </c>
      <c r="Z834" s="33">
        <v>830</v>
      </c>
      <c r="AE834" s="20" t="str">
        <f t="shared" si="308"/>
        <v/>
      </c>
      <c r="AF834" s="22" t="str">
        <f t="shared" si="309"/>
        <v/>
      </c>
      <c r="AG834" s="9" t="str">
        <f t="shared" ca="1" si="288"/>
        <v/>
      </c>
      <c r="AH834" s="9" t="str">
        <f t="shared" ca="1" si="289"/>
        <v/>
      </c>
      <c r="AI834" s="9" t="str">
        <f t="shared" ca="1" si="290"/>
        <v/>
      </c>
      <c r="AJ834" s="9" t="str">
        <f t="shared" ca="1" si="291"/>
        <v/>
      </c>
      <c r="AK834" s="9" t="str">
        <f t="shared" ca="1" si="292"/>
        <v/>
      </c>
      <c r="AL834" s="9" t="str">
        <f t="shared" ca="1" si="293"/>
        <v/>
      </c>
      <c r="AM834" s="9" t="str">
        <f t="shared" ca="1" si="294"/>
        <v/>
      </c>
      <c r="AN834" s="9" t="str">
        <f t="shared" ca="1" si="295"/>
        <v/>
      </c>
      <c r="AO834" s="9" t="str">
        <f t="shared" ca="1" si="296"/>
        <v/>
      </c>
      <c r="AP834" s="9" t="str">
        <f t="shared" ca="1" si="297"/>
        <v/>
      </c>
      <c r="AQ834" s="9"/>
      <c r="AR834" s="9"/>
      <c r="AS834" s="9"/>
      <c r="AT834" s="9"/>
      <c r="AU834" s="9"/>
    </row>
    <row r="835" spans="1:47" x14ac:dyDescent="0.3">
      <c r="A835" s="1">
        <v>44671</v>
      </c>
      <c r="B835" s="6">
        <v>428.10998499999999</v>
      </c>
      <c r="C835" s="6">
        <v>306.26001000000002</v>
      </c>
      <c r="D835" s="6">
        <v>42.674999</v>
      </c>
      <c r="E835" s="6">
        <v>175.470001</v>
      </c>
      <c r="F835" s="6">
        <v>169.029999</v>
      </c>
      <c r="G835" s="6">
        <v>59.060001</v>
      </c>
      <c r="H835" s="6">
        <v>155.520004</v>
      </c>
      <c r="I835" s="6">
        <v>226.320007</v>
      </c>
      <c r="J835" s="6">
        <v>36.970001000000003</v>
      </c>
      <c r="K835" s="6">
        <v>23.01</v>
      </c>
      <c r="N835" s="19">
        <v>831</v>
      </c>
      <c r="O835" s="1">
        <v>44671</v>
      </c>
      <c r="P835" s="5">
        <f t="shared" si="298"/>
        <v>-1.9179103341438967E-2</v>
      </c>
      <c r="Q835" s="5">
        <f t="shared" si="299"/>
        <v>-2.2846275860548699E-4</v>
      </c>
      <c r="R835" s="5">
        <f t="shared" si="300"/>
        <v>1.8327370586793044E-2</v>
      </c>
      <c r="S835" s="5">
        <f t="shared" si="301"/>
        <v>1.4754735834919779E-2</v>
      </c>
      <c r="T835" s="5">
        <f t="shared" si="302"/>
        <v>1.9655882457348228E-2</v>
      </c>
      <c r="U835" s="5">
        <f t="shared" si="303"/>
        <v>1.8110882701290729E-2</v>
      </c>
      <c r="V835" s="5">
        <f t="shared" si="304"/>
        <v>2.5001374075371674E-2</v>
      </c>
      <c r="W835" s="5">
        <f t="shared" si="305"/>
        <v>-2.4271862467473908E-3</v>
      </c>
      <c r="X835" s="5">
        <f t="shared" si="306"/>
        <v>3.9166671877644707E-2</v>
      </c>
      <c r="Y835" s="5">
        <f t="shared" si="307"/>
        <v>-6.2335966916801745E-2</v>
      </c>
      <c r="Z835" s="33">
        <v>831</v>
      </c>
      <c r="AE835" s="20" t="str">
        <f t="shared" si="308"/>
        <v/>
      </c>
      <c r="AF835" s="22" t="str">
        <f t="shared" si="309"/>
        <v/>
      </c>
      <c r="AG835" s="9" t="str">
        <f t="shared" ca="1" si="288"/>
        <v/>
      </c>
      <c r="AH835" s="9" t="str">
        <f t="shared" ca="1" si="289"/>
        <v/>
      </c>
      <c r="AI835" s="9" t="str">
        <f t="shared" ca="1" si="290"/>
        <v/>
      </c>
      <c r="AJ835" s="9" t="str">
        <f t="shared" ca="1" si="291"/>
        <v/>
      </c>
      <c r="AK835" s="9" t="str">
        <f t="shared" ca="1" si="292"/>
        <v/>
      </c>
      <c r="AL835" s="9" t="str">
        <f t="shared" ca="1" si="293"/>
        <v/>
      </c>
      <c r="AM835" s="9" t="str">
        <f t="shared" ca="1" si="294"/>
        <v/>
      </c>
      <c r="AN835" s="9" t="str">
        <f t="shared" ca="1" si="295"/>
        <v/>
      </c>
      <c r="AO835" s="9" t="str">
        <f t="shared" ca="1" si="296"/>
        <v/>
      </c>
      <c r="AP835" s="9" t="str">
        <f t="shared" ca="1" si="297"/>
        <v/>
      </c>
      <c r="AQ835" s="9"/>
      <c r="AR835" s="9"/>
      <c r="AS835" s="9"/>
      <c r="AT835" s="9"/>
      <c r="AU835" s="9"/>
    </row>
    <row r="836" spans="1:47" x14ac:dyDescent="0.3">
      <c r="A836" s="1">
        <v>44672</v>
      </c>
      <c r="B836" s="6">
        <v>417.48001099999999</v>
      </c>
      <c r="C836" s="6">
        <v>295.5</v>
      </c>
      <c r="D836" s="6">
        <v>43.439999</v>
      </c>
      <c r="E836" s="6">
        <v>174.83999600000001</v>
      </c>
      <c r="F836" s="6">
        <v>170.63000500000001</v>
      </c>
      <c r="G836" s="6">
        <v>59.450001</v>
      </c>
      <c r="H836" s="6">
        <v>144.16000399999999</v>
      </c>
      <c r="I836" s="6">
        <v>226.19000199999999</v>
      </c>
      <c r="J836" s="6">
        <v>35.909999999999997</v>
      </c>
      <c r="K836" s="6">
        <v>21.450001</v>
      </c>
      <c r="N836" s="18">
        <v>832</v>
      </c>
      <c r="O836" s="1">
        <v>44672</v>
      </c>
      <c r="P836" s="5">
        <f t="shared" si="298"/>
        <v>-2.5143471568204265E-2</v>
      </c>
      <c r="Q836" s="5">
        <f t="shared" si="299"/>
        <v>-3.5765610192903294E-2</v>
      </c>
      <c r="R836" s="5">
        <f t="shared" si="300"/>
        <v>1.7767407357841072E-2</v>
      </c>
      <c r="S836" s="5">
        <f t="shared" si="301"/>
        <v>-3.596846704970322E-3</v>
      </c>
      <c r="T836" s="5">
        <f t="shared" si="302"/>
        <v>9.4212907963668897E-3</v>
      </c>
      <c r="U836" s="5">
        <f t="shared" si="303"/>
        <v>6.5817467099385605E-3</v>
      </c>
      <c r="V836" s="5">
        <f t="shared" si="304"/>
        <v>-7.5850544825318111E-2</v>
      </c>
      <c r="W836" s="5">
        <f t="shared" si="305"/>
        <v>-5.7459504095472096E-4</v>
      </c>
      <c r="X836" s="5">
        <f t="shared" si="306"/>
        <v>-2.9090991759507492E-2</v>
      </c>
      <c r="Y836" s="5">
        <f t="shared" si="307"/>
        <v>-7.0204212053203097E-2</v>
      </c>
      <c r="Z836" s="33">
        <v>832</v>
      </c>
      <c r="AE836" s="20" t="str">
        <f t="shared" si="308"/>
        <v/>
      </c>
      <c r="AF836" s="22" t="str">
        <f t="shared" si="309"/>
        <v/>
      </c>
      <c r="AG836" s="9" t="str">
        <f t="shared" ca="1" si="288"/>
        <v/>
      </c>
      <c r="AH836" s="9" t="str">
        <f t="shared" ca="1" si="289"/>
        <v/>
      </c>
      <c r="AI836" s="9" t="str">
        <f t="shared" ca="1" si="290"/>
        <v/>
      </c>
      <c r="AJ836" s="9" t="str">
        <f t="shared" ca="1" si="291"/>
        <v/>
      </c>
      <c r="AK836" s="9" t="str">
        <f t="shared" ca="1" si="292"/>
        <v/>
      </c>
      <c r="AL836" s="9" t="str">
        <f t="shared" ca="1" si="293"/>
        <v/>
      </c>
      <c r="AM836" s="9" t="str">
        <f t="shared" ca="1" si="294"/>
        <v/>
      </c>
      <c r="AN836" s="9" t="str">
        <f t="shared" ca="1" si="295"/>
        <v/>
      </c>
      <c r="AO836" s="9" t="str">
        <f t="shared" ca="1" si="296"/>
        <v/>
      </c>
      <c r="AP836" s="9" t="str">
        <f t="shared" ca="1" si="297"/>
        <v/>
      </c>
      <c r="AQ836" s="9"/>
      <c r="AR836" s="9"/>
      <c r="AS836" s="9"/>
      <c r="AT836" s="9"/>
      <c r="AU836" s="9"/>
    </row>
    <row r="837" spans="1:47" x14ac:dyDescent="0.3">
      <c r="A837" s="1">
        <v>44673</v>
      </c>
      <c r="B837" s="6">
        <v>408.67001299999998</v>
      </c>
      <c r="C837" s="6">
        <v>285</v>
      </c>
      <c r="D837" s="6">
        <v>42.825001</v>
      </c>
      <c r="E837" s="6">
        <v>172.14999399999999</v>
      </c>
      <c r="F837" s="6">
        <v>167.070007</v>
      </c>
      <c r="G837" s="6">
        <v>58.25</v>
      </c>
      <c r="H837" s="6">
        <v>143</v>
      </c>
      <c r="I837" s="6">
        <v>222.38000500000001</v>
      </c>
      <c r="J837" s="6">
        <v>35.049999</v>
      </c>
      <c r="K837" s="6">
        <v>20.57</v>
      </c>
      <c r="N837" s="19">
        <v>833</v>
      </c>
      <c r="O837" s="1">
        <v>44673</v>
      </c>
      <c r="P837" s="5">
        <f t="shared" si="298"/>
        <v>-2.1328649088277907E-2</v>
      </c>
      <c r="Q837" s="5">
        <f t="shared" si="299"/>
        <v>-3.6179656577502356E-2</v>
      </c>
      <c r="R837" s="5">
        <f t="shared" si="300"/>
        <v>-1.425858504439213E-2</v>
      </c>
      <c r="S837" s="5">
        <f t="shared" si="301"/>
        <v>-1.5505092185847148E-2</v>
      </c>
      <c r="T837" s="5">
        <f t="shared" si="302"/>
        <v>-2.1084570674052373E-2</v>
      </c>
      <c r="U837" s="5">
        <f t="shared" si="303"/>
        <v>-2.0391547511838602E-2</v>
      </c>
      <c r="V837" s="5">
        <f t="shared" si="304"/>
        <v>-8.0791913470678704E-3</v>
      </c>
      <c r="W837" s="5">
        <f t="shared" si="305"/>
        <v>-1.6987710122874474E-2</v>
      </c>
      <c r="X837" s="5">
        <f t="shared" si="306"/>
        <v>-2.4240223288063148E-2</v>
      </c>
      <c r="Y837" s="5">
        <f t="shared" si="307"/>
        <v>-4.1890988329205757E-2</v>
      </c>
      <c r="Z837" s="33">
        <v>833</v>
      </c>
      <c r="AE837" s="20" t="str">
        <f t="shared" si="308"/>
        <v/>
      </c>
      <c r="AF837" s="22" t="str">
        <f t="shared" si="309"/>
        <v/>
      </c>
      <c r="AG837" s="9" t="str">
        <f t="shared" ref="AG837:AG900" ca="1" si="310">IF($AE837="","",OFFSET(P$4,$AE837,0))</f>
        <v/>
      </c>
      <c r="AH837" s="9" t="str">
        <f t="shared" ref="AH837:AH900" ca="1" si="311">IF($AE837="","",OFFSET(Q$4,$AE837,0))</f>
        <v/>
      </c>
      <c r="AI837" s="9" t="str">
        <f t="shared" ref="AI837:AI900" ca="1" si="312">IF($AE837="","",OFFSET(R$4,$AE837,0))</f>
        <v/>
      </c>
      <c r="AJ837" s="9" t="str">
        <f t="shared" ref="AJ837:AJ900" ca="1" si="313">IF($AE837="","",OFFSET(S$4,$AE837,0))</f>
        <v/>
      </c>
      <c r="AK837" s="9" t="str">
        <f t="shared" ref="AK837:AK900" ca="1" si="314">IF($AE837="","",OFFSET(T$4,$AE837,0))</f>
        <v/>
      </c>
      <c r="AL837" s="9" t="str">
        <f t="shared" ref="AL837:AL900" ca="1" si="315">IF($AE837="","",OFFSET(U$4,$AE837,0))</f>
        <v/>
      </c>
      <c r="AM837" s="9" t="str">
        <f t="shared" ref="AM837:AM900" ca="1" si="316">IF($AE837="","",OFFSET(V$4,$AE837,0))</f>
        <v/>
      </c>
      <c r="AN837" s="9" t="str">
        <f t="shared" ref="AN837:AN900" ca="1" si="317">IF($AE837="","",OFFSET(W$4,$AE837,0))</f>
        <v/>
      </c>
      <c r="AO837" s="9" t="str">
        <f t="shared" ref="AO837:AO900" ca="1" si="318">IF($AE837="","",OFFSET(X$4,$AE837,0))</f>
        <v/>
      </c>
      <c r="AP837" s="9" t="str">
        <f t="shared" ref="AP837:AP900" ca="1" si="319">IF($AE837="","",OFFSET(Y$4,$AE837,0))</f>
        <v/>
      </c>
      <c r="AQ837" s="9"/>
      <c r="AR837" s="9"/>
      <c r="AS837" s="9"/>
      <c r="AT837" s="9"/>
      <c r="AU837" s="9"/>
    </row>
    <row r="838" spans="1:47" x14ac:dyDescent="0.3">
      <c r="A838" s="1">
        <v>44676</v>
      </c>
      <c r="B838" s="6">
        <v>413.95001200000002</v>
      </c>
      <c r="C838" s="6">
        <v>290.92001299999998</v>
      </c>
      <c r="D838" s="6">
        <v>43.34</v>
      </c>
      <c r="E838" s="6">
        <v>173.740005</v>
      </c>
      <c r="F838" s="6">
        <v>164.199997</v>
      </c>
      <c r="G838" s="6">
        <v>57.799999</v>
      </c>
      <c r="H838" s="6">
        <v>142.240005</v>
      </c>
      <c r="I838" s="6">
        <v>223.259995</v>
      </c>
      <c r="J838" s="6">
        <v>35.080002</v>
      </c>
      <c r="K838" s="6">
        <v>21.5</v>
      </c>
      <c r="N838" s="18">
        <v>834</v>
      </c>
      <c r="O838" s="1">
        <v>44676</v>
      </c>
      <c r="P838" s="5">
        <f t="shared" ref="P838:P901" si="320">LN(B838/B837)</f>
        <v>1.2837206361682486E-2</v>
      </c>
      <c r="Q838" s="5">
        <f t="shared" ref="Q838:Q901" si="321">LN(C838/C837)</f>
        <v>2.0559179703512651E-2</v>
      </c>
      <c r="R838" s="5">
        <f t="shared" ref="R838:R901" si="322">LN(D838/D837)</f>
        <v>1.1953928547183277E-2</v>
      </c>
      <c r="S838" s="5">
        <f t="shared" ref="S838:S901" si="323">LN(E838/E837)</f>
        <v>9.1938026792021278E-3</v>
      </c>
      <c r="T838" s="5">
        <f t="shared" ref="T838:T901" si="324">LN(F838/F837)</f>
        <v>-1.7327749420365735E-2</v>
      </c>
      <c r="U838" s="5">
        <f t="shared" ref="U838:U901" si="325">LN(G838/G837)</f>
        <v>-7.7553340685163593E-3</v>
      </c>
      <c r="V838" s="5">
        <f t="shared" ref="V838:V901" si="326">LN(H838/H837)</f>
        <v>-5.3288233424574789E-3</v>
      </c>
      <c r="W838" s="5">
        <f t="shared" ref="W838:W901" si="327">LN(I838/I837)</f>
        <v>3.9493364320332862E-3</v>
      </c>
      <c r="X838" s="5">
        <f t="shared" ref="X838:X901" si="328">LN(J838/J837)</f>
        <v>8.556395665951361E-4</v>
      </c>
      <c r="Y838" s="5">
        <f t="shared" ref="Y838:Y901" si="329">LN(K838/K837)</f>
        <v>4.4219231468751334E-2</v>
      </c>
      <c r="Z838" s="33">
        <v>834</v>
      </c>
      <c r="AE838" s="20" t="str">
        <f t="shared" ref="AE838:AE901" si="330">IF(AE837="","",IF(AE837+1&lt;=$AC$5,AE837+1,""))</f>
        <v/>
      </c>
      <c r="AF838" s="22" t="str">
        <f t="shared" ref="AF838:AF901" si="331">IF(AE838="","",VLOOKUP(AE838,N837:O2094,2))</f>
        <v/>
      </c>
      <c r="AG838" s="9" t="str">
        <f t="shared" ca="1" si="310"/>
        <v/>
      </c>
      <c r="AH838" s="9" t="str">
        <f t="shared" ca="1" si="311"/>
        <v/>
      </c>
      <c r="AI838" s="9" t="str">
        <f t="shared" ca="1" si="312"/>
        <v/>
      </c>
      <c r="AJ838" s="9" t="str">
        <f t="shared" ca="1" si="313"/>
        <v/>
      </c>
      <c r="AK838" s="9" t="str">
        <f t="shared" ca="1" si="314"/>
        <v/>
      </c>
      <c r="AL838" s="9" t="str">
        <f t="shared" ca="1" si="315"/>
        <v/>
      </c>
      <c r="AM838" s="9" t="str">
        <f t="shared" ca="1" si="316"/>
        <v/>
      </c>
      <c r="AN838" s="9" t="str">
        <f t="shared" ca="1" si="317"/>
        <v/>
      </c>
      <c r="AO838" s="9" t="str">
        <f t="shared" ca="1" si="318"/>
        <v/>
      </c>
      <c r="AP838" s="9" t="str">
        <f t="shared" ca="1" si="319"/>
        <v/>
      </c>
      <c r="AQ838" s="9"/>
      <c r="AR838" s="9"/>
      <c r="AS838" s="9"/>
      <c r="AT838" s="9"/>
      <c r="AU838" s="9"/>
    </row>
    <row r="839" spans="1:47" x14ac:dyDescent="0.3">
      <c r="A839" s="1">
        <v>44677</v>
      </c>
      <c r="B839" s="6">
        <v>399.11999500000002</v>
      </c>
      <c r="C839" s="6">
        <v>282.89999399999999</v>
      </c>
      <c r="D839" s="6">
        <v>43.130001</v>
      </c>
      <c r="E839" s="6">
        <v>173.300003</v>
      </c>
      <c r="F839" s="6">
        <v>162.929993</v>
      </c>
      <c r="G839" s="6">
        <v>56.82</v>
      </c>
      <c r="H839" s="6">
        <v>139.050003</v>
      </c>
      <c r="I839" s="6">
        <v>219.61000100000001</v>
      </c>
      <c r="J839" s="6">
        <v>34.080002</v>
      </c>
      <c r="K839" s="6">
        <v>19.829999999999998</v>
      </c>
      <c r="N839" s="19">
        <v>835</v>
      </c>
      <c r="O839" s="1">
        <v>44677</v>
      </c>
      <c r="P839" s="5">
        <f t="shared" si="320"/>
        <v>-3.6483111548601531E-2</v>
      </c>
      <c r="Q839" s="5">
        <f t="shared" si="321"/>
        <v>-2.7954902873549618E-2</v>
      </c>
      <c r="R839" s="5">
        <f t="shared" si="322"/>
        <v>-4.8571622627439602E-3</v>
      </c>
      <c r="S839" s="5">
        <f t="shared" si="323"/>
        <v>-2.5357435778271997E-3</v>
      </c>
      <c r="T839" s="5">
        <f t="shared" si="324"/>
        <v>-7.7645609962987737E-3</v>
      </c>
      <c r="U839" s="5">
        <f t="shared" si="325"/>
        <v>-1.7100381951251666E-2</v>
      </c>
      <c r="V839" s="5">
        <f t="shared" si="326"/>
        <v>-2.2682204662503161E-2</v>
      </c>
      <c r="W839" s="5">
        <f t="shared" si="327"/>
        <v>-1.6483738698444109E-2</v>
      </c>
      <c r="X839" s="5">
        <f t="shared" si="328"/>
        <v>-2.8920463869964212E-2</v>
      </c>
      <c r="Y839" s="5">
        <f t="shared" si="329"/>
        <v>-8.0856992601912647E-2</v>
      </c>
      <c r="Z839" s="33">
        <v>835</v>
      </c>
      <c r="AE839" s="20" t="str">
        <f t="shared" si="330"/>
        <v/>
      </c>
      <c r="AF839" s="22" t="str">
        <f t="shared" si="331"/>
        <v/>
      </c>
      <c r="AG839" s="9" t="str">
        <f t="shared" ca="1" si="310"/>
        <v/>
      </c>
      <c r="AH839" s="9" t="str">
        <f t="shared" ca="1" si="311"/>
        <v/>
      </c>
      <c r="AI839" s="9" t="str">
        <f t="shared" ca="1" si="312"/>
        <v/>
      </c>
      <c r="AJ839" s="9" t="str">
        <f t="shared" ca="1" si="313"/>
        <v/>
      </c>
      <c r="AK839" s="9" t="str">
        <f t="shared" ca="1" si="314"/>
        <v/>
      </c>
      <c r="AL839" s="9" t="str">
        <f t="shared" ca="1" si="315"/>
        <v/>
      </c>
      <c r="AM839" s="9" t="str">
        <f t="shared" ca="1" si="316"/>
        <v/>
      </c>
      <c r="AN839" s="9" t="str">
        <f t="shared" ca="1" si="317"/>
        <v/>
      </c>
      <c r="AO839" s="9" t="str">
        <f t="shared" ca="1" si="318"/>
        <v/>
      </c>
      <c r="AP839" s="9" t="str">
        <f t="shared" ca="1" si="319"/>
        <v/>
      </c>
      <c r="AQ839" s="9"/>
      <c r="AR839" s="9"/>
      <c r="AS839" s="9"/>
      <c r="AT839" s="9"/>
      <c r="AU839" s="9"/>
    </row>
    <row r="840" spans="1:47" x14ac:dyDescent="0.3">
      <c r="A840" s="1">
        <v>44678</v>
      </c>
      <c r="B840" s="6">
        <v>397.89999399999999</v>
      </c>
      <c r="C840" s="6">
        <v>287.02999899999998</v>
      </c>
      <c r="D840" s="6">
        <v>43.375</v>
      </c>
      <c r="E840" s="6">
        <v>174.85000600000001</v>
      </c>
      <c r="F840" s="6">
        <v>161.71000699999999</v>
      </c>
      <c r="G840" s="6">
        <v>55.959999000000003</v>
      </c>
      <c r="H840" s="6">
        <v>137.990005</v>
      </c>
      <c r="I840" s="6">
        <v>220.41999799999999</v>
      </c>
      <c r="J840" s="6">
        <v>34.009998000000003</v>
      </c>
      <c r="K840" s="6">
        <v>18.829999999999998</v>
      </c>
      <c r="N840" s="18">
        <v>836</v>
      </c>
      <c r="O840" s="1">
        <v>44678</v>
      </c>
      <c r="P840" s="5">
        <f t="shared" si="320"/>
        <v>-3.0614086715040189E-3</v>
      </c>
      <c r="Q840" s="5">
        <f t="shared" si="321"/>
        <v>1.4493279330936257E-2</v>
      </c>
      <c r="R840" s="5">
        <f t="shared" si="322"/>
        <v>5.6644044215542269E-3</v>
      </c>
      <c r="S840" s="5">
        <f t="shared" si="323"/>
        <v>8.9042837919298956E-3</v>
      </c>
      <c r="T840" s="5">
        <f t="shared" si="324"/>
        <v>-7.5159668744091239E-3</v>
      </c>
      <c r="U840" s="5">
        <f t="shared" si="325"/>
        <v>-1.5251244498668584E-2</v>
      </c>
      <c r="V840" s="5">
        <f t="shared" si="326"/>
        <v>-7.6523472569744967E-3</v>
      </c>
      <c r="W840" s="5">
        <f t="shared" si="327"/>
        <v>3.6815576970805888E-3</v>
      </c>
      <c r="X840" s="5">
        <f t="shared" si="328"/>
        <v>-2.0562204336903424E-3</v>
      </c>
      <c r="Y840" s="5">
        <f t="shared" si="329"/>
        <v>-5.1744599862643618E-2</v>
      </c>
      <c r="Z840" s="33">
        <v>836</v>
      </c>
      <c r="AE840" s="20" t="str">
        <f t="shared" si="330"/>
        <v/>
      </c>
      <c r="AF840" s="22" t="str">
        <f t="shared" si="331"/>
        <v/>
      </c>
      <c r="AG840" s="9" t="str">
        <f t="shared" ca="1" si="310"/>
        <v/>
      </c>
      <c r="AH840" s="9" t="str">
        <f t="shared" ca="1" si="311"/>
        <v/>
      </c>
      <c r="AI840" s="9" t="str">
        <f t="shared" ca="1" si="312"/>
        <v/>
      </c>
      <c r="AJ840" s="9" t="str">
        <f t="shared" ca="1" si="313"/>
        <v/>
      </c>
      <c r="AK840" s="9" t="str">
        <f t="shared" ca="1" si="314"/>
        <v/>
      </c>
      <c r="AL840" s="9" t="str">
        <f t="shared" ca="1" si="315"/>
        <v/>
      </c>
      <c r="AM840" s="9" t="str">
        <f t="shared" ca="1" si="316"/>
        <v/>
      </c>
      <c r="AN840" s="9" t="str">
        <f t="shared" ca="1" si="317"/>
        <v/>
      </c>
      <c r="AO840" s="9" t="str">
        <f t="shared" ca="1" si="318"/>
        <v/>
      </c>
      <c r="AP840" s="9" t="str">
        <f t="shared" ca="1" si="319"/>
        <v/>
      </c>
      <c r="AQ840" s="9"/>
      <c r="AR840" s="9"/>
      <c r="AS840" s="9"/>
      <c r="AT840" s="9"/>
      <c r="AU840" s="9"/>
    </row>
    <row r="841" spans="1:47" x14ac:dyDescent="0.3">
      <c r="A841" s="1">
        <v>44679</v>
      </c>
      <c r="B841" s="6">
        <v>410.52999899999998</v>
      </c>
      <c r="C841" s="6">
        <v>301.85998499999999</v>
      </c>
      <c r="D841" s="6">
        <v>43.904998999999997</v>
      </c>
      <c r="E841" s="6">
        <v>177.5</v>
      </c>
      <c r="F841" s="6">
        <v>162.14999399999999</v>
      </c>
      <c r="G841" s="6">
        <v>56.18</v>
      </c>
      <c r="H841" s="6">
        <v>139.490005</v>
      </c>
      <c r="I841" s="6">
        <v>220.240005</v>
      </c>
      <c r="J841" s="6">
        <v>34.099997999999999</v>
      </c>
      <c r="K841" s="6">
        <v>18.350000000000001</v>
      </c>
      <c r="N841" s="19">
        <v>837</v>
      </c>
      <c r="O841" s="1">
        <v>44679</v>
      </c>
      <c r="P841" s="5">
        <f t="shared" si="320"/>
        <v>3.1248303040354784E-2</v>
      </c>
      <c r="Q841" s="5">
        <f t="shared" si="321"/>
        <v>5.0376547609821028E-2</v>
      </c>
      <c r="R841" s="5">
        <f t="shared" si="322"/>
        <v>1.2144947768486009E-2</v>
      </c>
      <c r="S841" s="5">
        <f t="shared" si="323"/>
        <v>1.5042111090958973E-2</v>
      </c>
      <c r="T841" s="5">
        <f t="shared" si="324"/>
        <v>2.7171448733332346E-3</v>
      </c>
      <c r="U841" s="5">
        <f t="shared" si="325"/>
        <v>3.9236897487243414E-3</v>
      </c>
      <c r="V841" s="5">
        <f t="shared" si="326"/>
        <v>1.0811694951034368E-2</v>
      </c>
      <c r="W841" s="5">
        <f t="shared" si="327"/>
        <v>-8.1692465295110206E-4</v>
      </c>
      <c r="X841" s="5">
        <f t="shared" si="328"/>
        <v>2.642785425573886E-3</v>
      </c>
      <c r="Y841" s="5">
        <f t="shared" si="329"/>
        <v>-2.5821768168481574E-2</v>
      </c>
      <c r="Z841" s="33">
        <v>837</v>
      </c>
      <c r="AE841" s="20" t="str">
        <f t="shared" si="330"/>
        <v/>
      </c>
      <c r="AF841" s="22" t="str">
        <f t="shared" si="331"/>
        <v/>
      </c>
      <c r="AG841" s="9" t="str">
        <f t="shared" ca="1" si="310"/>
        <v/>
      </c>
      <c r="AH841" s="9" t="str">
        <f t="shared" ca="1" si="311"/>
        <v/>
      </c>
      <c r="AI841" s="9" t="str">
        <f t="shared" ca="1" si="312"/>
        <v/>
      </c>
      <c r="AJ841" s="9" t="str">
        <f t="shared" ca="1" si="313"/>
        <v/>
      </c>
      <c r="AK841" s="9" t="str">
        <f t="shared" ca="1" si="314"/>
        <v/>
      </c>
      <c r="AL841" s="9" t="str">
        <f t="shared" ca="1" si="315"/>
        <v/>
      </c>
      <c r="AM841" s="9" t="str">
        <f t="shared" ca="1" si="316"/>
        <v/>
      </c>
      <c r="AN841" s="9" t="str">
        <f t="shared" ca="1" si="317"/>
        <v/>
      </c>
      <c r="AO841" s="9" t="str">
        <f t="shared" ca="1" si="318"/>
        <v/>
      </c>
      <c r="AP841" s="9" t="str">
        <f t="shared" ca="1" si="319"/>
        <v/>
      </c>
      <c r="AQ841" s="9"/>
      <c r="AR841" s="9"/>
      <c r="AS841" s="9"/>
      <c r="AT841" s="9"/>
      <c r="AU841" s="9"/>
    </row>
    <row r="842" spans="1:47" x14ac:dyDescent="0.3">
      <c r="A842" s="1">
        <v>44680</v>
      </c>
      <c r="B842" s="6">
        <v>395.95001200000002</v>
      </c>
      <c r="C842" s="6">
        <v>286.790009</v>
      </c>
      <c r="D842" s="6">
        <v>42.84</v>
      </c>
      <c r="E842" s="6">
        <v>171.71000699999999</v>
      </c>
      <c r="F842" s="6">
        <v>156.88999899999999</v>
      </c>
      <c r="G842" s="6">
        <v>53.209999000000003</v>
      </c>
      <c r="H842" s="6">
        <v>133.300003</v>
      </c>
      <c r="I842" s="6">
        <v>212.490005</v>
      </c>
      <c r="J842" s="6">
        <v>32.619999</v>
      </c>
      <c r="K842" s="6">
        <v>18.149999999999999</v>
      </c>
      <c r="N842" s="18">
        <v>838</v>
      </c>
      <c r="O842" s="1">
        <v>44680</v>
      </c>
      <c r="P842" s="5">
        <f t="shared" si="320"/>
        <v>-3.6161034430794013E-2</v>
      </c>
      <c r="Q842" s="5">
        <f t="shared" si="321"/>
        <v>-5.1213012043430907E-2</v>
      </c>
      <c r="R842" s="5">
        <f t="shared" si="322"/>
        <v>-2.4555940455961225E-2</v>
      </c>
      <c r="S842" s="5">
        <f t="shared" si="323"/>
        <v>-3.3163560823351632E-2</v>
      </c>
      <c r="T842" s="5">
        <f t="shared" si="324"/>
        <v>-3.2976879279579534E-2</v>
      </c>
      <c r="U842" s="5">
        <f t="shared" si="325"/>
        <v>-5.43144918612797E-2</v>
      </c>
      <c r="V842" s="5">
        <f t="shared" si="326"/>
        <v>-4.5390700258717435E-2</v>
      </c>
      <c r="W842" s="5">
        <f t="shared" si="327"/>
        <v>-3.5822931572698218E-2</v>
      </c>
      <c r="X842" s="5">
        <f t="shared" si="328"/>
        <v>-4.4371759101614817E-2</v>
      </c>
      <c r="Y842" s="5">
        <f t="shared" si="329"/>
        <v>-1.0959013789719654E-2</v>
      </c>
      <c r="Z842" s="33">
        <v>838</v>
      </c>
      <c r="AE842" s="20" t="str">
        <f t="shared" si="330"/>
        <v/>
      </c>
      <c r="AF842" s="22" t="str">
        <f t="shared" si="331"/>
        <v/>
      </c>
      <c r="AG842" s="9" t="str">
        <f t="shared" ca="1" si="310"/>
        <v/>
      </c>
      <c r="AH842" s="9" t="str">
        <f t="shared" ca="1" si="311"/>
        <v/>
      </c>
      <c r="AI842" s="9" t="str">
        <f t="shared" ca="1" si="312"/>
        <v/>
      </c>
      <c r="AJ842" s="9" t="str">
        <f t="shared" ca="1" si="313"/>
        <v/>
      </c>
      <c r="AK842" s="9" t="str">
        <f t="shared" ca="1" si="314"/>
        <v/>
      </c>
      <c r="AL842" s="9" t="str">
        <f t="shared" ca="1" si="315"/>
        <v/>
      </c>
      <c r="AM842" s="9" t="str">
        <f t="shared" ca="1" si="316"/>
        <v/>
      </c>
      <c r="AN842" s="9" t="str">
        <f t="shared" ca="1" si="317"/>
        <v/>
      </c>
      <c r="AO842" s="9" t="str">
        <f t="shared" ca="1" si="318"/>
        <v/>
      </c>
      <c r="AP842" s="9" t="str">
        <f t="shared" ca="1" si="319"/>
        <v/>
      </c>
      <c r="AQ842" s="9"/>
      <c r="AR842" s="9"/>
      <c r="AS842" s="9"/>
      <c r="AT842" s="9"/>
      <c r="AU842" s="9"/>
    </row>
    <row r="843" spans="1:47" x14ac:dyDescent="0.3">
      <c r="A843" s="1">
        <v>44683</v>
      </c>
      <c r="B843" s="6">
        <v>407.290009</v>
      </c>
      <c r="C843" s="6">
        <v>290.709991</v>
      </c>
      <c r="D843" s="6">
        <v>42.375</v>
      </c>
      <c r="E843" s="6">
        <v>167.759995</v>
      </c>
      <c r="F843" s="6">
        <v>150.36000100000001</v>
      </c>
      <c r="G843" s="6">
        <v>51.759998000000003</v>
      </c>
      <c r="H843" s="6">
        <v>134.36999499999999</v>
      </c>
      <c r="I843" s="6">
        <v>214.220001</v>
      </c>
      <c r="J843" s="6">
        <v>32.75</v>
      </c>
      <c r="K843" s="6">
        <v>19.25</v>
      </c>
      <c r="N843" s="19">
        <v>839</v>
      </c>
      <c r="O843" s="1">
        <v>44683</v>
      </c>
      <c r="P843" s="5">
        <f t="shared" si="320"/>
        <v>2.8237513559635878E-2</v>
      </c>
      <c r="Q843" s="5">
        <f t="shared" si="321"/>
        <v>1.3575903743347731E-2</v>
      </c>
      <c r="R843" s="5">
        <f t="shared" si="322"/>
        <v>-1.091367987893376E-2</v>
      </c>
      <c r="S843" s="5">
        <f t="shared" si="323"/>
        <v>-2.3272691302937312E-2</v>
      </c>
      <c r="T843" s="5">
        <f t="shared" si="324"/>
        <v>-4.2512491124289307E-2</v>
      </c>
      <c r="U843" s="5">
        <f t="shared" si="325"/>
        <v>-2.7628718262049885E-2</v>
      </c>
      <c r="V843" s="5">
        <f t="shared" si="326"/>
        <v>7.9949019863414829E-3</v>
      </c>
      <c r="W843" s="5">
        <f t="shared" si="327"/>
        <v>8.1085770404219892E-3</v>
      </c>
      <c r="X843" s="5">
        <f t="shared" si="328"/>
        <v>3.9773955444327696E-3</v>
      </c>
      <c r="Y843" s="5">
        <f t="shared" si="329"/>
        <v>5.8840500022933603E-2</v>
      </c>
      <c r="Z843" s="33">
        <v>839</v>
      </c>
      <c r="AE843" s="20" t="str">
        <f t="shared" si="330"/>
        <v/>
      </c>
      <c r="AF843" s="22" t="str">
        <f t="shared" si="331"/>
        <v/>
      </c>
      <c r="AG843" s="9" t="str">
        <f t="shared" ca="1" si="310"/>
        <v/>
      </c>
      <c r="AH843" s="9" t="str">
        <f t="shared" ca="1" si="311"/>
        <v/>
      </c>
      <c r="AI843" s="9" t="str">
        <f t="shared" ca="1" si="312"/>
        <v/>
      </c>
      <c r="AJ843" s="9" t="str">
        <f t="shared" ca="1" si="313"/>
        <v/>
      </c>
      <c r="AK843" s="9" t="str">
        <f t="shared" ca="1" si="314"/>
        <v/>
      </c>
      <c r="AL843" s="9" t="str">
        <f t="shared" ca="1" si="315"/>
        <v/>
      </c>
      <c r="AM843" s="9" t="str">
        <f t="shared" ca="1" si="316"/>
        <v/>
      </c>
      <c r="AN843" s="9" t="str">
        <f t="shared" ca="1" si="317"/>
        <v/>
      </c>
      <c r="AO843" s="9" t="str">
        <f t="shared" ca="1" si="318"/>
        <v/>
      </c>
      <c r="AP843" s="9" t="str">
        <f t="shared" ca="1" si="319"/>
        <v/>
      </c>
      <c r="AQ843" s="9"/>
      <c r="AR843" s="9"/>
      <c r="AS843" s="9"/>
      <c r="AT843" s="9"/>
      <c r="AU843" s="9"/>
    </row>
    <row r="844" spans="1:47" x14ac:dyDescent="0.3">
      <c r="A844" s="1">
        <v>44684</v>
      </c>
      <c r="B844" s="6">
        <v>407.57998700000002</v>
      </c>
      <c r="C844" s="6">
        <v>292.209991</v>
      </c>
      <c r="D844" s="6">
        <v>41.959999000000003</v>
      </c>
      <c r="E844" s="6">
        <v>167.990005</v>
      </c>
      <c r="F844" s="6">
        <v>152.61000100000001</v>
      </c>
      <c r="G844" s="6">
        <v>51.830002</v>
      </c>
      <c r="H844" s="6">
        <v>136.03999300000001</v>
      </c>
      <c r="I844" s="6">
        <v>219.779999</v>
      </c>
      <c r="J844" s="6">
        <v>33.220001000000003</v>
      </c>
      <c r="K844" s="6">
        <v>19.27</v>
      </c>
      <c r="N844" s="18">
        <v>840</v>
      </c>
      <c r="O844" s="1">
        <v>44684</v>
      </c>
      <c r="P844" s="5">
        <f t="shared" si="320"/>
        <v>7.1171601277227276E-4</v>
      </c>
      <c r="Q844" s="5">
        <f t="shared" si="321"/>
        <v>5.1465153267847832E-3</v>
      </c>
      <c r="R844" s="5">
        <f t="shared" si="322"/>
        <v>-9.8418060047392487E-3</v>
      </c>
      <c r="S844" s="5">
        <f t="shared" si="323"/>
        <v>1.370126796617351E-3</v>
      </c>
      <c r="T844" s="5">
        <f t="shared" si="324"/>
        <v>1.4853228708751581E-2</v>
      </c>
      <c r="U844" s="5">
        <f t="shared" si="325"/>
        <v>1.3515592365369289E-3</v>
      </c>
      <c r="V844" s="5">
        <f t="shared" si="326"/>
        <v>1.2351757006908373E-2</v>
      </c>
      <c r="W844" s="5">
        <f t="shared" si="327"/>
        <v>2.5623512464191759E-2</v>
      </c>
      <c r="X844" s="5">
        <f t="shared" si="328"/>
        <v>1.4249172206235526E-2</v>
      </c>
      <c r="Y844" s="5">
        <f t="shared" si="329"/>
        <v>1.038421692481704E-3</v>
      </c>
      <c r="Z844" s="33">
        <v>840</v>
      </c>
      <c r="AE844" s="20" t="str">
        <f t="shared" si="330"/>
        <v/>
      </c>
      <c r="AF844" s="22" t="str">
        <f t="shared" si="331"/>
        <v/>
      </c>
      <c r="AG844" s="9" t="str">
        <f t="shared" ca="1" si="310"/>
        <v/>
      </c>
      <c r="AH844" s="9" t="str">
        <f t="shared" ca="1" si="311"/>
        <v/>
      </c>
      <c r="AI844" s="9" t="str">
        <f t="shared" ca="1" si="312"/>
        <v/>
      </c>
      <c r="AJ844" s="9" t="str">
        <f t="shared" ca="1" si="313"/>
        <v/>
      </c>
      <c r="AK844" s="9" t="str">
        <f t="shared" ca="1" si="314"/>
        <v/>
      </c>
      <c r="AL844" s="9" t="str">
        <f t="shared" ca="1" si="315"/>
        <v/>
      </c>
      <c r="AM844" s="9" t="str">
        <f t="shared" ca="1" si="316"/>
        <v/>
      </c>
      <c r="AN844" s="9" t="str">
        <f t="shared" ca="1" si="317"/>
        <v/>
      </c>
      <c r="AO844" s="9" t="str">
        <f t="shared" ca="1" si="318"/>
        <v/>
      </c>
      <c r="AP844" s="9" t="str">
        <f t="shared" ca="1" si="319"/>
        <v/>
      </c>
      <c r="AQ844" s="9"/>
      <c r="AR844" s="9"/>
      <c r="AS844" s="9"/>
      <c r="AT844" s="9"/>
      <c r="AU844" s="9"/>
    </row>
    <row r="845" spans="1:47" x14ac:dyDescent="0.3">
      <c r="A845" s="1">
        <v>44685</v>
      </c>
      <c r="B845" s="6">
        <v>423.35000600000001</v>
      </c>
      <c r="C845" s="6">
        <v>299.19000199999999</v>
      </c>
      <c r="D845" s="6">
        <v>43.325001</v>
      </c>
      <c r="E845" s="6">
        <v>173.86000100000001</v>
      </c>
      <c r="F845" s="6">
        <v>152.78999300000001</v>
      </c>
      <c r="G845" s="6">
        <v>52.060001</v>
      </c>
      <c r="H845" s="6">
        <v>138.240005</v>
      </c>
      <c r="I845" s="6">
        <v>227.949997</v>
      </c>
      <c r="J845" s="6">
        <v>34.409999999999997</v>
      </c>
      <c r="K845" s="6">
        <v>19.66</v>
      </c>
      <c r="N845" s="19">
        <v>841</v>
      </c>
      <c r="O845" s="1">
        <v>44685</v>
      </c>
      <c r="P845" s="5">
        <f t="shared" si="320"/>
        <v>3.7962073725270135E-2</v>
      </c>
      <c r="Q845" s="5">
        <f t="shared" si="321"/>
        <v>2.3606138700529248E-2</v>
      </c>
      <c r="R845" s="5">
        <f t="shared" si="322"/>
        <v>3.2013098987156194E-2</v>
      </c>
      <c r="S845" s="5">
        <f t="shared" si="323"/>
        <v>3.4345899816873721E-2</v>
      </c>
      <c r="T845" s="5">
        <f t="shared" si="324"/>
        <v>1.1787296946713279E-3</v>
      </c>
      <c r="U845" s="5">
        <f t="shared" si="325"/>
        <v>4.4277479857196536E-3</v>
      </c>
      <c r="V845" s="5">
        <f t="shared" si="326"/>
        <v>1.6042432541187174E-2</v>
      </c>
      <c r="W845" s="5">
        <f t="shared" si="327"/>
        <v>3.649925202989595E-2</v>
      </c>
      <c r="X845" s="5">
        <f t="shared" si="328"/>
        <v>3.5195085521892558E-2</v>
      </c>
      <c r="Y845" s="5">
        <f t="shared" si="329"/>
        <v>2.0036632292745576E-2</v>
      </c>
      <c r="Z845" s="33">
        <v>841</v>
      </c>
      <c r="AE845" s="20" t="str">
        <f t="shared" si="330"/>
        <v/>
      </c>
      <c r="AF845" s="22" t="str">
        <f t="shared" si="331"/>
        <v/>
      </c>
      <c r="AG845" s="9" t="str">
        <f t="shared" ca="1" si="310"/>
        <v/>
      </c>
      <c r="AH845" s="9" t="str">
        <f t="shared" ca="1" si="311"/>
        <v/>
      </c>
      <c r="AI845" s="9" t="str">
        <f t="shared" ca="1" si="312"/>
        <v/>
      </c>
      <c r="AJ845" s="9" t="str">
        <f t="shared" ca="1" si="313"/>
        <v/>
      </c>
      <c r="AK845" s="9" t="str">
        <f t="shared" ca="1" si="314"/>
        <v/>
      </c>
      <c r="AL845" s="9" t="str">
        <f t="shared" ca="1" si="315"/>
        <v/>
      </c>
      <c r="AM845" s="9" t="str">
        <f t="shared" ca="1" si="316"/>
        <v/>
      </c>
      <c r="AN845" s="9" t="str">
        <f t="shared" ca="1" si="317"/>
        <v/>
      </c>
      <c r="AO845" s="9" t="str">
        <f t="shared" ca="1" si="318"/>
        <v/>
      </c>
      <c r="AP845" s="9" t="str">
        <f t="shared" ca="1" si="319"/>
        <v/>
      </c>
      <c r="AQ845" s="9"/>
      <c r="AR845" s="9"/>
      <c r="AS845" s="9"/>
      <c r="AT845" s="9"/>
      <c r="AU845" s="9"/>
    </row>
    <row r="846" spans="1:47" x14ac:dyDescent="0.3">
      <c r="A846" s="1">
        <v>44686</v>
      </c>
      <c r="B846" s="6">
        <v>400.51001000000002</v>
      </c>
      <c r="C846" s="6">
        <v>282.33999599999999</v>
      </c>
      <c r="D846" s="6">
        <v>41.52</v>
      </c>
      <c r="E846" s="6">
        <v>170.38999899999999</v>
      </c>
      <c r="F846" s="6">
        <v>150.550003</v>
      </c>
      <c r="G846" s="6">
        <v>50.610000999999997</v>
      </c>
      <c r="H846" s="6">
        <v>135.229996</v>
      </c>
      <c r="I846" s="6">
        <v>221.970001</v>
      </c>
      <c r="J846" s="6">
        <v>33.150002000000001</v>
      </c>
      <c r="K846" s="6">
        <v>18.879999000000002</v>
      </c>
      <c r="N846" s="18">
        <v>842</v>
      </c>
      <c r="O846" s="1">
        <v>44686</v>
      </c>
      <c r="P846" s="5">
        <f t="shared" si="320"/>
        <v>-5.5460514307078511E-2</v>
      </c>
      <c r="Q846" s="5">
        <f t="shared" si="321"/>
        <v>-5.7966825477864262E-2</v>
      </c>
      <c r="R846" s="5">
        <f t="shared" si="322"/>
        <v>-4.2554619825398092E-2</v>
      </c>
      <c r="S846" s="5">
        <f t="shared" si="323"/>
        <v>-2.0160462044413897E-2</v>
      </c>
      <c r="T846" s="5">
        <f t="shared" si="324"/>
        <v>-1.4769108895428063E-2</v>
      </c>
      <c r="U846" s="5">
        <f t="shared" si="325"/>
        <v>-2.8247713790097315E-2</v>
      </c>
      <c r="V846" s="5">
        <f t="shared" si="326"/>
        <v>-2.2014338318693684E-2</v>
      </c>
      <c r="W846" s="5">
        <f t="shared" si="327"/>
        <v>-2.6584051387986932E-2</v>
      </c>
      <c r="X846" s="5">
        <f t="shared" si="328"/>
        <v>-3.7304442845694188E-2</v>
      </c>
      <c r="Y846" s="5">
        <f t="shared" si="329"/>
        <v>-4.0483006967768936E-2</v>
      </c>
      <c r="Z846" s="33">
        <v>842</v>
      </c>
      <c r="AE846" s="20" t="str">
        <f t="shared" si="330"/>
        <v/>
      </c>
      <c r="AF846" s="22" t="str">
        <f t="shared" si="331"/>
        <v/>
      </c>
      <c r="AG846" s="9" t="str">
        <f t="shared" ca="1" si="310"/>
        <v/>
      </c>
      <c r="AH846" s="9" t="str">
        <f t="shared" ca="1" si="311"/>
        <v/>
      </c>
      <c r="AI846" s="9" t="str">
        <f t="shared" ca="1" si="312"/>
        <v/>
      </c>
      <c r="AJ846" s="9" t="str">
        <f t="shared" ca="1" si="313"/>
        <v/>
      </c>
      <c r="AK846" s="9" t="str">
        <f t="shared" ca="1" si="314"/>
        <v/>
      </c>
      <c r="AL846" s="9" t="str">
        <f t="shared" ca="1" si="315"/>
        <v/>
      </c>
      <c r="AM846" s="9" t="str">
        <f t="shared" ca="1" si="316"/>
        <v/>
      </c>
      <c r="AN846" s="9" t="str">
        <f t="shared" ca="1" si="317"/>
        <v/>
      </c>
      <c r="AO846" s="9" t="str">
        <f t="shared" ca="1" si="318"/>
        <v/>
      </c>
      <c r="AP846" s="9" t="str">
        <f t="shared" ca="1" si="319"/>
        <v/>
      </c>
      <c r="AQ846" s="9"/>
      <c r="AR846" s="9"/>
      <c r="AS846" s="9"/>
      <c r="AT846" s="9"/>
      <c r="AU846" s="9"/>
    </row>
    <row r="847" spans="1:47" x14ac:dyDescent="0.3">
      <c r="A847" s="1">
        <v>44687</v>
      </c>
      <c r="B847" s="6">
        <v>391.01001000000002</v>
      </c>
      <c r="C847" s="6">
        <v>274.709991</v>
      </c>
      <c r="D847" s="6">
        <v>43.334999000000003</v>
      </c>
      <c r="E847" s="6">
        <v>170.41000399999999</v>
      </c>
      <c r="F847" s="6">
        <v>148.80999800000001</v>
      </c>
      <c r="G847" s="6">
        <v>50.049999</v>
      </c>
      <c r="H847" s="6">
        <v>133.009995</v>
      </c>
      <c r="I847" s="6">
        <v>218.13000500000001</v>
      </c>
      <c r="J847" s="6">
        <v>32.779998999999997</v>
      </c>
      <c r="K847" s="6">
        <v>17.75</v>
      </c>
      <c r="N847" s="19">
        <v>843</v>
      </c>
      <c r="O847" s="1">
        <v>44687</v>
      </c>
      <c r="P847" s="5">
        <f t="shared" si="320"/>
        <v>-2.4005599273194778E-2</v>
      </c>
      <c r="Q847" s="5">
        <f t="shared" si="321"/>
        <v>-2.7396041262809031E-2</v>
      </c>
      <c r="R847" s="5">
        <f t="shared" si="322"/>
        <v>4.2785360652639173E-2</v>
      </c>
      <c r="S847" s="5">
        <f t="shared" si="323"/>
        <v>1.1740023384318476E-4</v>
      </c>
      <c r="T847" s="5">
        <f t="shared" si="324"/>
        <v>-1.1624963852675349E-2</v>
      </c>
      <c r="U847" s="5">
        <f t="shared" si="325"/>
        <v>-1.112671920371784E-2</v>
      </c>
      <c r="V847" s="5">
        <f t="shared" si="326"/>
        <v>-1.655272713198707E-2</v>
      </c>
      <c r="W847" s="5">
        <f t="shared" si="327"/>
        <v>-1.7451003858496968E-2</v>
      </c>
      <c r="X847" s="5">
        <f t="shared" si="328"/>
        <v>-1.1224234154418032E-2</v>
      </c>
      <c r="Y847" s="5">
        <f t="shared" si="329"/>
        <v>-6.1717591829826751E-2</v>
      </c>
      <c r="Z847" s="33">
        <v>843</v>
      </c>
      <c r="AE847" s="20" t="str">
        <f t="shared" si="330"/>
        <v/>
      </c>
      <c r="AF847" s="22" t="str">
        <f t="shared" si="331"/>
        <v/>
      </c>
      <c r="AG847" s="9" t="str">
        <f t="shared" ca="1" si="310"/>
        <v/>
      </c>
      <c r="AH847" s="9" t="str">
        <f t="shared" ca="1" si="311"/>
        <v/>
      </c>
      <c r="AI847" s="9" t="str">
        <f t="shared" ca="1" si="312"/>
        <v/>
      </c>
      <c r="AJ847" s="9" t="str">
        <f t="shared" ca="1" si="313"/>
        <v/>
      </c>
      <c r="AK847" s="9" t="str">
        <f t="shared" ca="1" si="314"/>
        <v/>
      </c>
      <c r="AL847" s="9" t="str">
        <f t="shared" ca="1" si="315"/>
        <v/>
      </c>
      <c r="AM847" s="9" t="str">
        <f t="shared" ca="1" si="316"/>
        <v/>
      </c>
      <c r="AN847" s="9" t="str">
        <f t="shared" ca="1" si="317"/>
        <v/>
      </c>
      <c r="AO847" s="9" t="str">
        <f t="shared" ca="1" si="318"/>
        <v/>
      </c>
      <c r="AP847" s="9" t="str">
        <f t="shared" ca="1" si="319"/>
        <v/>
      </c>
      <c r="AQ847" s="9"/>
      <c r="AR847" s="9"/>
      <c r="AS847" s="9"/>
      <c r="AT847" s="9"/>
      <c r="AU847" s="9"/>
    </row>
    <row r="848" spans="1:47" x14ac:dyDescent="0.3">
      <c r="A848" s="1">
        <v>44690</v>
      </c>
      <c r="B848" s="6">
        <v>376.91000400000001</v>
      </c>
      <c r="C848" s="6">
        <v>262.41000400000001</v>
      </c>
      <c r="D848" s="6">
        <v>41.784999999999997</v>
      </c>
      <c r="E848" s="6">
        <v>171.699997</v>
      </c>
      <c r="F848" s="6">
        <v>143.36999499999999</v>
      </c>
      <c r="G848" s="6">
        <v>47.689999</v>
      </c>
      <c r="H848" s="6">
        <v>132.10000600000001</v>
      </c>
      <c r="I848" s="6">
        <v>217.96000699999999</v>
      </c>
      <c r="J848" s="6">
        <v>32.470001000000003</v>
      </c>
      <c r="K848" s="6">
        <v>17.100000000000001</v>
      </c>
      <c r="N848" s="18">
        <v>844</v>
      </c>
      <c r="O848" s="1">
        <v>44690</v>
      </c>
      <c r="P848" s="5">
        <f t="shared" si="320"/>
        <v>-3.6726717910286352E-2</v>
      </c>
      <c r="Q848" s="5">
        <f t="shared" si="321"/>
        <v>-4.5807781682733709E-2</v>
      </c>
      <c r="R848" s="5">
        <f t="shared" si="322"/>
        <v>-3.6423176056873167E-2</v>
      </c>
      <c r="S848" s="5">
        <f t="shared" si="323"/>
        <v>7.5414288389924313E-3</v>
      </c>
      <c r="T848" s="5">
        <f t="shared" si="324"/>
        <v>-3.7241644618625509E-2</v>
      </c>
      <c r="U848" s="5">
        <f t="shared" si="325"/>
        <v>-4.8300774439833216E-2</v>
      </c>
      <c r="V848" s="5">
        <f t="shared" si="326"/>
        <v>-6.8650188256307067E-3</v>
      </c>
      <c r="W848" s="5">
        <f t="shared" si="327"/>
        <v>-7.796464213040131E-4</v>
      </c>
      <c r="X848" s="5">
        <f t="shared" si="328"/>
        <v>-9.501925896863132E-3</v>
      </c>
      <c r="Y848" s="5">
        <f t="shared" si="329"/>
        <v>-3.7307052412810592E-2</v>
      </c>
      <c r="Z848" s="33">
        <v>844</v>
      </c>
      <c r="AE848" s="20" t="str">
        <f t="shared" si="330"/>
        <v/>
      </c>
      <c r="AF848" s="22" t="str">
        <f t="shared" si="331"/>
        <v/>
      </c>
      <c r="AG848" s="9" t="str">
        <f t="shared" ca="1" si="310"/>
        <v/>
      </c>
      <c r="AH848" s="9" t="str">
        <f t="shared" ca="1" si="311"/>
        <v/>
      </c>
      <c r="AI848" s="9" t="str">
        <f t="shared" ca="1" si="312"/>
        <v/>
      </c>
      <c r="AJ848" s="9" t="str">
        <f t="shared" ca="1" si="313"/>
        <v/>
      </c>
      <c r="AK848" s="9" t="str">
        <f t="shared" ca="1" si="314"/>
        <v/>
      </c>
      <c r="AL848" s="9" t="str">
        <f t="shared" ca="1" si="315"/>
        <v/>
      </c>
      <c r="AM848" s="9" t="str">
        <f t="shared" ca="1" si="316"/>
        <v/>
      </c>
      <c r="AN848" s="9" t="str">
        <f t="shared" ca="1" si="317"/>
        <v/>
      </c>
      <c r="AO848" s="9" t="str">
        <f t="shared" ca="1" si="318"/>
        <v/>
      </c>
      <c r="AP848" s="9" t="str">
        <f t="shared" ca="1" si="319"/>
        <v/>
      </c>
      <c r="AQ848" s="9"/>
      <c r="AR848" s="9"/>
      <c r="AS848" s="9"/>
      <c r="AT848" s="9"/>
      <c r="AU848" s="9"/>
    </row>
    <row r="849" spans="1:47" x14ac:dyDescent="0.3">
      <c r="A849" s="1">
        <v>44691</v>
      </c>
      <c r="B849" s="6">
        <v>393.02999899999998</v>
      </c>
      <c r="C849" s="6">
        <v>270.51001000000002</v>
      </c>
      <c r="D849" s="6">
        <v>42.07</v>
      </c>
      <c r="E849" s="6">
        <v>171.490005</v>
      </c>
      <c r="F849" s="6">
        <v>141.55999800000001</v>
      </c>
      <c r="G849" s="6">
        <v>46.540000999999997</v>
      </c>
      <c r="H849" s="6">
        <v>129.949997</v>
      </c>
      <c r="I849" s="6">
        <v>214</v>
      </c>
      <c r="J849" s="6">
        <v>31.9</v>
      </c>
      <c r="K849" s="6">
        <v>17.350000000000001</v>
      </c>
      <c r="N849" s="19">
        <v>845</v>
      </c>
      <c r="O849" s="1">
        <v>44691</v>
      </c>
      <c r="P849" s="5">
        <f t="shared" si="320"/>
        <v>4.1879499518957156E-2</v>
      </c>
      <c r="Q849" s="5">
        <f t="shared" si="321"/>
        <v>3.0400921803939725E-2</v>
      </c>
      <c r="R849" s="5">
        <f t="shared" si="322"/>
        <v>6.7974741490300777E-3</v>
      </c>
      <c r="S849" s="5">
        <f t="shared" si="323"/>
        <v>-1.2237654068199143E-3</v>
      </c>
      <c r="T849" s="5">
        <f t="shared" si="324"/>
        <v>-1.2705025034398604E-2</v>
      </c>
      <c r="U849" s="5">
        <f t="shared" si="325"/>
        <v>-2.4409531980337889E-2</v>
      </c>
      <c r="V849" s="5">
        <f t="shared" si="326"/>
        <v>-1.6409518946718132E-2</v>
      </c>
      <c r="W849" s="5">
        <f t="shared" si="327"/>
        <v>-1.8335576809030134E-2</v>
      </c>
      <c r="X849" s="5">
        <f t="shared" si="328"/>
        <v>-1.7710607121614697E-2</v>
      </c>
      <c r="Y849" s="5">
        <f t="shared" si="329"/>
        <v>1.4514042884254012E-2</v>
      </c>
      <c r="Z849" s="33">
        <v>845</v>
      </c>
      <c r="AE849" s="20" t="str">
        <f t="shared" si="330"/>
        <v/>
      </c>
      <c r="AF849" s="22" t="str">
        <f t="shared" si="331"/>
        <v/>
      </c>
      <c r="AG849" s="9" t="str">
        <f t="shared" ca="1" si="310"/>
        <v/>
      </c>
      <c r="AH849" s="9" t="str">
        <f t="shared" ca="1" si="311"/>
        <v/>
      </c>
      <c r="AI849" s="9" t="str">
        <f t="shared" ca="1" si="312"/>
        <v/>
      </c>
      <c r="AJ849" s="9" t="str">
        <f t="shared" ca="1" si="313"/>
        <v/>
      </c>
      <c r="AK849" s="9" t="str">
        <f t="shared" ca="1" si="314"/>
        <v/>
      </c>
      <c r="AL849" s="9" t="str">
        <f t="shared" ca="1" si="315"/>
        <v/>
      </c>
      <c r="AM849" s="9" t="str">
        <f t="shared" ca="1" si="316"/>
        <v/>
      </c>
      <c r="AN849" s="9" t="str">
        <f t="shared" ca="1" si="317"/>
        <v/>
      </c>
      <c r="AO849" s="9" t="str">
        <f t="shared" ca="1" si="318"/>
        <v/>
      </c>
      <c r="AP849" s="9" t="str">
        <f t="shared" ca="1" si="319"/>
        <v/>
      </c>
      <c r="AQ849" s="9"/>
      <c r="AR849" s="9"/>
      <c r="AS849" s="9"/>
      <c r="AT849" s="9"/>
      <c r="AU849" s="9"/>
    </row>
    <row r="850" spans="1:47" x14ac:dyDescent="0.3">
      <c r="A850" s="1">
        <v>44692</v>
      </c>
      <c r="B850" s="6">
        <v>379.32998700000002</v>
      </c>
      <c r="C850" s="6">
        <v>260.82998700000002</v>
      </c>
      <c r="D850" s="6">
        <v>42.455002</v>
      </c>
      <c r="E850" s="6">
        <v>170.66000399999999</v>
      </c>
      <c r="F850" s="6">
        <v>143.5</v>
      </c>
      <c r="G850" s="6">
        <v>47.439999</v>
      </c>
      <c r="H850" s="6">
        <v>130.08000200000001</v>
      </c>
      <c r="I850" s="6">
        <v>210.91000399999999</v>
      </c>
      <c r="J850" s="6">
        <v>30.959999</v>
      </c>
      <c r="K850" s="6">
        <v>16.620000999999998</v>
      </c>
      <c r="N850" s="18">
        <v>846</v>
      </c>
      <c r="O850" s="1">
        <v>44692</v>
      </c>
      <c r="P850" s="5">
        <f t="shared" si="320"/>
        <v>-3.5479437926969677E-2</v>
      </c>
      <c r="Q850" s="5">
        <f t="shared" si="321"/>
        <v>-3.6440298876204452E-2</v>
      </c>
      <c r="R850" s="5">
        <f t="shared" si="322"/>
        <v>9.1098409575993931E-3</v>
      </c>
      <c r="S850" s="5">
        <f t="shared" si="323"/>
        <v>-4.8516884774202941E-3</v>
      </c>
      <c r="T850" s="5">
        <f t="shared" si="324"/>
        <v>1.3611393850698032E-2</v>
      </c>
      <c r="U850" s="5">
        <f t="shared" si="325"/>
        <v>1.9153554249173362E-2</v>
      </c>
      <c r="V850" s="5">
        <f t="shared" si="326"/>
        <v>9.9992317295731384E-4</v>
      </c>
      <c r="W850" s="5">
        <f t="shared" si="327"/>
        <v>-1.4544493858893068E-2</v>
      </c>
      <c r="X850" s="5">
        <f t="shared" si="328"/>
        <v>-2.9909993369014596E-2</v>
      </c>
      <c r="Y850" s="5">
        <f t="shared" si="329"/>
        <v>-4.2985656797096358E-2</v>
      </c>
      <c r="Z850" s="33">
        <v>846</v>
      </c>
      <c r="AE850" s="20" t="str">
        <f t="shared" si="330"/>
        <v/>
      </c>
      <c r="AF850" s="22" t="str">
        <f t="shared" si="331"/>
        <v/>
      </c>
      <c r="AG850" s="9" t="str">
        <f t="shared" ca="1" si="310"/>
        <v/>
      </c>
      <c r="AH850" s="9" t="str">
        <f t="shared" ca="1" si="311"/>
        <v/>
      </c>
      <c r="AI850" s="9" t="str">
        <f t="shared" ca="1" si="312"/>
        <v/>
      </c>
      <c r="AJ850" s="9" t="str">
        <f t="shared" ca="1" si="313"/>
        <v/>
      </c>
      <c r="AK850" s="9" t="str">
        <f t="shared" ca="1" si="314"/>
        <v/>
      </c>
      <c r="AL850" s="9" t="str">
        <f t="shared" ca="1" si="315"/>
        <v/>
      </c>
      <c r="AM850" s="9" t="str">
        <f t="shared" ca="1" si="316"/>
        <v/>
      </c>
      <c r="AN850" s="9" t="str">
        <f t="shared" ca="1" si="317"/>
        <v/>
      </c>
      <c r="AO850" s="9" t="str">
        <f t="shared" ca="1" si="318"/>
        <v/>
      </c>
      <c r="AP850" s="9" t="str">
        <f t="shared" ca="1" si="319"/>
        <v/>
      </c>
      <c r="AQ850" s="9"/>
      <c r="AR850" s="9"/>
      <c r="AS850" s="9"/>
      <c r="AT850" s="9"/>
      <c r="AU850" s="9"/>
    </row>
    <row r="851" spans="1:47" x14ac:dyDescent="0.3">
      <c r="A851" s="1">
        <v>44693</v>
      </c>
      <c r="B851" s="6">
        <v>388.48998999999998</v>
      </c>
      <c r="C851" s="6">
        <v>262.05999800000001</v>
      </c>
      <c r="D851" s="6">
        <v>42.84</v>
      </c>
      <c r="E851" s="6">
        <v>170.39999399999999</v>
      </c>
      <c r="F851" s="6">
        <v>144.220001</v>
      </c>
      <c r="G851" s="6">
        <v>47.939999</v>
      </c>
      <c r="H851" s="6">
        <v>131.35000600000001</v>
      </c>
      <c r="I851" s="6">
        <v>214.75</v>
      </c>
      <c r="J851" s="6">
        <v>31.290001</v>
      </c>
      <c r="K851" s="6">
        <v>17.110001</v>
      </c>
      <c r="N851" s="19">
        <v>847</v>
      </c>
      <c r="O851" s="1">
        <v>44693</v>
      </c>
      <c r="P851" s="5">
        <f t="shared" si="320"/>
        <v>2.3860899347609019E-2</v>
      </c>
      <c r="Q851" s="5">
        <f t="shared" si="321"/>
        <v>4.7046732736692074E-3</v>
      </c>
      <c r="R851" s="5">
        <f t="shared" si="322"/>
        <v>9.0275070195191646E-3</v>
      </c>
      <c r="S851" s="5">
        <f t="shared" si="323"/>
        <v>-1.5247173629069125E-3</v>
      </c>
      <c r="T851" s="5">
        <f t="shared" si="324"/>
        <v>5.0048832227887483E-3</v>
      </c>
      <c r="U851" s="5">
        <f t="shared" si="325"/>
        <v>1.0484474536618745E-2</v>
      </c>
      <c r="V851" s="5">
        <f t="shared" si="326"/>
        <v>9.715900636376059E-3</v>
      </c>
      <c r="W851" s="5">
        <f t="shared" si="327"/>
        <v>1.804303970140636E-2</v>
      </c>
      <c r="X851" s="5">
        <f t="shared" si="328"/>
        <v>1.060257321809838E-2</v>
      </c>
      <c r="Y851" s="5">
        <f t="shared" si="329"/>
        <v>2.9056296753682109E-2</v>
      </c>
      <c r="Z851" s="33">
        <v>847</v>
      </c>
      <c r="AE851" s="20" t="str">
        <f t="shared" si="330"/>
        <v/>
      </c>
      <c r="AF851" s="22" t="str">
        <f t="shared" si="331"/>
        <v/>
      </c>
      <c r="AG851" s="9" t="str">
        <f t="shared" ca="1" si="310"/>
        <v/>
      </c>
      <c r="AH851" s="9" t="str">
        <f t="shared" ca="1" si="311"/>
        <v/>
      </c>
      <c r="AI851" s="9" t="str">
        <f t="shared" ca="1" si="312"/>
        <v/>
      </c>
      <c r="AJ851" s="9" t="str">
        <f t="shared" ca="1" si="313"/>
        <v/>
      </c>
      <c r="AK851" s="9" t="str">
        <f t="shared" ca="1" si="314"/>
        <v/>
      </c>
      <c r="AL851" s="9" t="str">
        <f t="shared" ca="1" si="315"/>
        <v/>
      </c>
      <c r="AM851" s="9" t="str">
        <f t="shared" ca="1" si="316"/>
        <v/>
      </c>
      <c r="AN851" s="9" t="str">
        <f t="shared" ca="1" si="317"/>
        <v/>
      </c>
      <c r="AO851" s="9" t="str">
        <f t="shared" ca="1" si="318"/>
        <v/>
      </c>
      <c r="AP851" s="9" t="str">
        <f t="shared" ca="1" si="319"/>
        <v/>
      </c>
      <c r="AQ851" s="9"/>
      <c r="AR851" s="9"/>
      <c r="AS851" s="9"/>
      <c r="AT851" s="9"/>
      <c r="AU851" s="9"/>
    </row>
    <row r="852" spans="1:47" x14ac:dyDescent="0.3">
      <c r="A852" s="1">
        <v>44694</v>
      </c>
      <c r="B852" s="6">
        <v>405.45001200000002</v>
      </c>
      <c r="C852" s="6">
        <v>275.98998999999998</v>
      </c>
      <c r="D852" s="6">
        <v>44.445</v>
      </c>
      <c r="E852" s="6">
        <v>173.720001</v>
      </c>
      <c r="F852" s="6">
        <v>145.990005</v>
      </c>
      <c r="G852" s="6">
        <v>48.779998999999997</v>
      </c>
      <c r="H852" s="6">
        <v>132.83000200000001</v>
      </c>
      <c r="I852" s="6">
        <v>216.490005</v>
      </c>
      <c r="J852" s="6">
        <v>32.119999</v>
      </c>
      <c r="K852" s="6">
        <v>18.100000000000001</v>
      </c>
      <c r="N852" s="18">
        <v>848</v>
      </c>
      <c r="O852" s="1">
        <v>44694</v>
      </c>
      <c r="P852" s="5">
        <f t="shared" si="320"/>
        <v>4.2730187277316999E-2</v>
      </c>
      <c r="Q852" s="5">
        <f t="shared" si="321"/>
        <v>5.1791119398904739E-2</v>
      </c>
      <c r="R852" s="5">
        <f t="shared" si="322"/>
        <v>3.6780224114090106E-2</v>
      </c>
      <c r="S852" s="5">
        <f t="shared" si="323"/>
        <v>1.9296234239063695E-2</v>
      </c>
      <c r="T852" s="5">
        <f t="shared" si="324"/>
        <v>1.2198242038344718E-2</v>
      </c>
      <c r="U852" s="5">
        <f t="shared" si="325"/>
        <v>1.7370164140738532E-2</v>
      </c>
      <c r="V852" s="5">
        <f t="shared" si="326"/>
        <v>1.1204568390221355E-2</v>
      </c>
      <c r="W852" s="5">
        <f t="shared" si="327"/>
        <v>8.0698192307289401E-3</v>
      </c>
      <c r="X852" s="5">
        <f t="shared" si="328"/>
        <v>2.6180268305427433E-2</v>
      </c>
      <c r="Y852" s="5">
        <f t="shared" si="329"/>
        <v>5.6248791922326208E-2</v>
      </c>
      <c r="Z852" s="33">
        <v>848</v>
      </c>
      <c r="AE852" s="20" t="str">
        <f t="shared" si="330"/>
        <v/>
      </c>
      <c r="AF852" s="22" t="str">
        <f t="shared" si="331"/>
        <v/>
      </c>
      <c r="AG852" s="9" t="str">
        <f t="shared" ca="1" si="310"/>
        <v/>
      </c>
      <c r="AH852" s="9" t="str">
        <f t="shared" ca="1" si="311"/>
        <v/>
      </c>
      <c r="AI852" s="9" t="str">
        <f t="shared" ca="1" si="312"/>
        <v/>
      </c>
      <c r="AJ852" s="9" t="str">
        <f t="shared" ca="1" si="313"/>
        <v/>
      </c>
      <c r="AK852" s="9" t="str">
        <f t="shared" ca="1" si="314"/>
        <v/>
      </c>
      <c r="AL852" s="9" t="str">
        <f t="shared" ca="1" si="315"/>
        <v/>
      </c>
      <c r="AM852" s="9" t="str">
        <f t="shared" ca="1" si="316"/>
        <v/>
      </c>
      <c r="AN852" s="9" t="str">
        <f t="shared" ca="1" si="317"/>
        <v/>
      </c>
      <c r="AO852" s="9" t="str">
        <f t="shared" ca="1" si="318"/>
        <v/>
      </c>
      <c r="AP852" s="9" t="str">
        <f t="shared" ca="1" si="319"/>
        <v/>
      </c>
      <c r="AQ852" s="9"/>
      <c r="AR852" s="9"/>
      <c r="AS852" s="9"/>
      <c r="AT852" s="9"/>
      <c r="AU852" s="9"/>
    </row>
    <row r="853" spans="1:47" x14ac:dyDescent="0.3">
      <c r="A853" s="1">
        <v>44697</v>
      </c>
      <c r="B853" s="6">
        <v>402.85998499999999</v>
      </c>
      <c r="C853" s="6">
        <v>273.73001099999999</v>
      </c>
      <c r="D853" s="6">
        <v>44.555</v>
      </c>
      <c r="E853" s="6">
        <v>175.470001</v>
      </c>
      <c r="F853" s="6">
        <v>144.21000699999999</v>
      </c>
      <c r="G853" s="6">
        <v>48.220001000000003</v>
      </c>
      <c r="H853" s="6">
        <v>133.36999499999999</v>
      </c>
      <c r="I853" s="6">
        <v>216.83999600000001</v>
      </c>
      <c r="J853" s="6">
        <v>31.889999</v>
      </c>
      <c r="K853" s="6">
        <v>17.209999</v>
      </c>
      <c r="N853" s="19">
        <v>849</v>
      </c>
      <c r="O853" s="1">
        <v>44697</v>
      </c>
      <c r="P853" s="5">
        <f t="shared" si="320"/>
        <v>-6.4085211708114261E-3</v>
      </c>
      <c r="Q853" s="5">
        <f t="shared" si="321"/>
        <v>-8.2223376569055279E-3</v>
      </c>
      <c r="R853" s="5">
        <f t="shared" si="322"/>
        <v>2.4719113710448678E-3</v>
      </c>
      <c r="S853" s="5">
        <f t="shared" si="323"/>
        <v>1.0023280399013174E-2</v>
      </c>
      <c r="T853" s="5">
        <f t="shared" si="324"/>
        <v>-1.2267541346508176E-2</v>
      </c>
      <c r="U853" s="5">
        <f t="shared" si="325"/>
        <v>-1.1546478796261242E-2</v>
      </c>
      <c r="V853" s="5">
        <f t="shared" si="326"/>
        <v>4.0570529433605045E-3</v>
      </c>
      <c r="W853" s="5">
        <f t="shared" si="327"/>
        <v>1.6153558502625461E-3</v>
      </c>
      <c r="X853" s="5">
        <f t="shared" si="328"/>
        <v>-7.1864082811367944E-3</v>
      </c>
      <c r="Y853" s="5">
        <f t="shared" si="329"/>
        <v>-5.0421386154086263E-2</v>
      </c>
      <c r="Z853" s="33">
        <v>849</v>
      </c>
      <c r="AE853" s="20" t="str">
        <f t="shared" si="330"/>
        <v/>
      </c>
      <c r="AF853" s="22" t="str">
        <f t="shared" si="331"/>
        <v/>
      </c>
      <c r="AG853" s="9" t="str">
        <f t="shared" ca="1" si="310"/>
        <v/>
      </c>
      <c r="AH853" s="9" t="str">
        <f t="shared" ca="1" si="311"/>
        <v/>
      </c>
      <c r="AI853" s="9" t="str">
        <f t="shared" ca="1" si="312"/>
        <v/>
      </c>
      <c r="AJ853" s="9" t="str">
        <f t="shared" ca="1" si="313"/>
        <v/>
      </c>
      <c r="AK853" s="9" t="str">
        <f t="shared" ca="1" si="314"/>
        <v/>
      </c>
      <c r="AL853" s="9" t="str">
        <f t="shared" ca="1" si="315"/>
        <v/>
      </c>
      <c r="AM853" s="9" t="str">
        <f t="shared" ca="1" si="316"/>
        <v/>
      </c>
      <c r="AN853" s="9" t="str">
        <f t="shared" ca="1" si="317"/>
        <v/>
      </c>
      <c r="AO853" s="9" t="str">
        <f t="shared" ca="1" si="318"/>
        <v/>
      </c>
      <c r="AP853" s="9" t="str">
        <f t="shared" ca="1" si="319"/>
        <v/>
      </c>
      <c r="AQ853" s="9"/>
      <c r="AR853" s="9"/>
      <c r="AS853" s="9"/>
      <c r="AT853" s="9"/>
      <c r="AU853" s="9"/>
    </row>
    <row r="854" spans="1:47" x14ac:dyDescent="0.3">
      <c r="A854" s="1">
        <v>44698</v>
      </c>
      <c r="B854" s="6">
        <v>409.64999399999999</v>
      </c>
      <c r="C854" s="6">
        <v>282.80999800000001</v>
      </c>
      <c r="D854" s="6">
        <v>44.615001999999997</v>
      </c>
      <c r="E854" s="6">
        <v>174.46000699999999</v>
      </c>
      <c r="F854" s="6">
        <v>143.16999799999999</v>
      </c>
      <c r="G854" s="6">
        <v>48.560001</v>
      </c>
      <c r="H854" s="6">
        <v>135.89999399999999</v>
      </c>
      <c r="I854" s="6">
        <v>223.36999499999999</v>
      </c>
      <c r="J854" s="6">
        <v>32.810001</v>
      </c>
      <c r="K854" s="6">
        <v>18.360001</v>
      </c>
      <c r="N854" s="18">
        <v>850</v>
      </c>
      <c r="O854" s="1">
        <v>44698</v>
      </c>
      <c r="P854" s="5">
        <f t="shared" si="320"/>
        <v>1.6714052124675183E-2</v>
      </c>
      <c r="Q854" s="5">
        <f t="shared" si="321"/>
        <v>3.2633027717684601E-2</v>
      </c>
      <c r="R854" s="5">
        <f t="shared" si="322"/>
        <v>1.3457891154032978E-3</v>
      </c>
      <c r="S854" s="5">
        <f t="shared" si="323"/>
        <v>-5.7725646931417679E-3</v>
      </c>
      <c r="T854" s="5">
        <f t="shared" si="324"/>
        <v>-7.2378977114718719E-3</v>
      </c>
      <c r="U854" s="5">
        <f t="shared" si="325"/>
        <v>7.0262738530156646E-3</v>
      </c>
      <c r="V854" s="5">
        <f t="shared" si="326"/>
        <v>1.8792093862374657E-2</v>
      </c>
      <c r="W854" s="5">
        <f t="shared" si="327"/>
        <v>2.9669831015724148E-2</v>
      </c>
      <c r="X854" s="5">
        <f t="shared" si="328"/>
        <v>2.8440927787349111E-2</v>
      </c>
      <c r="Y854" s="5">
        <f t="shared" si="329"/>
        <v>6.4683887540880086E-2</v>
      </c>
      <c r="Z854" s="33">
        <v>850</v>
      </c>
      <c r="AE854" s="20" t="str">
        <f t="shared" si="330"/>
        <v/>
      </c>
      <c r="AF854" s="22" t="str">
        <f t="shared" si="331"/>
        <v/>
      </c>
      <c r="AG854" s="9" t="str">
        <f t="shared" ca="1" si="310"/>
        <v/>
      </c>
      <c r="AH854" s="9" t="str">
        <f t="shared" ca="1" si="311"/>
        <v/>
      </c>
      <c r="AI854" s="9" t="str">
        <f t="shared" ca="1" si="312"/>
        <v/>
      </c>
      <c r="AJ854" s="9" t="str">
        <f t="shared" ca="1" si="313"/>
        <v/>
      </c>
      <c r="AK854" s="9" t="str">
        <f t="shared" ca="1" si="314"/>
        <v/>
      </c>
      <c r="AL854" s="9" t="str">
        <f t="shared" ca="1" si="315"/>
        <v/>
      </c>
      <c r="AM854" s="9" t="str">
        <f t="shared" ca="1" si="316"/>
        <v/>
      </c>
      <c r="AN854" s="9" t="str">
        <f t="shared" ca="1" si="317"/>
        <v/>
      </c>
      <c r="AO854" s="9" t="str">
        <f t="shared" ca="1" si="318"/>
        <v/>
      </c>
      <c r="AP854" s="9" t="str">
        <f t="shared" ca="1" si="319"/>
        <v/>
      </c>
      <c r="AQ854" s="9"/>
      <c r="AR854" s="9"/>
      <c r="AS854" s="9"/>
      <c r="AT854" s="9"/>
      <c r="AU854" s="9"/>
    </row>
    <row r="855" spans="1:47" x14ac:dyDescent="0.3">
      <c r="A855" s="1">
        <v>44699</v>
      </c>
      <c r="B855" s="6">
        <v>397.88000499999998</v>
      </c>
      <c r="C855" s="6">
        <v>272.57000699999998</v>
      </c>
      <c r="D855" s="6">
        <v>43.310001</v>
      </c>
      <c r="E855" s="6">
        <v>163.64999399999999</v>
      </c>
      <c r="F855" s="6">
        <v>138.240005</v>
      </c>
      <c r="G855" s="6">
        <v>46.740001999999997</v>
      </c>
      <c r="H855" s="6">
        <v>129.38999899999999</v>
      </c>
      <c r="I855" s="6">
        <v>216.39999399999999</v>
      </c>
      <c r="J855" s="6">
        <v>31.32</v>
      </c>
      <c r="K855" s="6">
        <v>17.459999</v>
      </c>
      <c r="N855" s="19">
        <v>851</v>
      </c>
      <c r="O855" s="1">
        <v>44699</v>
      </c>
      <c r="P855" s="5">
        <f t="shared" si="320"/>
        <v>-2.9152657090357949E-2</v>
      </c>
      <c r="Q855" s="5">
        <f t="shared" si="321"/>
        <v>-3.6879799473769778E-2</v>
      </c>
      <c r="R855" s="5">
        <f t="shared" si="322"/>
        <v>-2.9686591864195488E-2</v>
      </c>
      <c r="S855" s="5">
        <f t="shared" si="323"/>
        <v>-6.3965564845304745E-2</v>
      </c>
      <c r="T855" s="5">
        <f t="shared" si="324"/>
        <v>-3.5041380178102668E-2</v>
      </c>
      <c r="U855" s="5">
        <f t="shared" si="325"/>
        <v>-3.8199795443710854E-2</v>
      </c>
      <c r="V855" s="5">
        <f t="shared" si="326"/>
        <v>-4.9088185407697799E-2</v>
      </c>
      <c r="W855" s="5">
        <f t="shared" si="327"/>
        <v>-3.1701047715187003E-2</v>
      </c>
      <c r="X855" s="5">
        <f t="shared" si="328"/>
        <v>-4.6476506328920059E-2</v>
      </c>
      <c r="Y855" s="5">
        <f t="shared" si="329"/>
        <v>-5.0261946520887973E-2</v>
      </c>
      <c r="Z855" s="33">
        <v>851</v>
      </c>
      <c r="AE855" s="20" t="str">
        <f t="shared" si="330"/>
        <v/>
      </c>
      <c r="AF855" s="22" t="str">
        <f t="shared" si="331"/>
        <v/>
      </c>
      <c r="AG855" s="9" t="str">
        <f t="shared" ca="1" si="310"/>
        <v/>
      </c>
      <c r="AH855" s="9" t="str">
        <f t="shared" ca="1" si="311"/>
        <v/>
      </c>
      <c r="AI855" s="9" t="str">
        <f t="shared" ca="1" si="312"/>
        <v/>
      </c>
      <c r="AJ855" s="9" t="str">
        <f t="shared" ca="1" si="313"/>
        <v/>
      </c>
      <c r="AK855" s="9" t="str">
        <f t="shared" ca="1" si="314"/>
        <v/>
      </c>
      <c r="AL855" s="9" t="str">
        <f t="shared" ca="1" si="315"/>
        <v/>
      </c>
      <c r="AM855" s="9" t="str">
        <f t="shared" ca="1" si="316"/>
        <v/>
      </c>
      <c r="AN855" s="9" t="str">
        <f t="shared" ca="1" si="317"/>
        <v/>
      </c>
      <c r="AO855" s="9" t="str">
        <f t="shared" ca="1" si="318"/>
        <v/>
      </c>
      <c r="AP855" s="9" t="str">
        <f t="shared" ca="1" si="319"/>
        <v/>
      </c>
      <c r="AQ855" s="9"/>
      <c r="AR855" s="9"/>
      <c r="AS855" s="9"/>
      <c r="AT855" s="9"/>
      <c r="AU855" s="9"/>
    </row>
    <row r="856" spans="1:47" x14ac:dyDescent="0.3">
      <c r="A856" s="1">
        <v>44700</v>
      </c>
      <c r="B856" s="6">
        <v>394.38000499999998</v>
      </c>
      <c r="C856" s="6">
        <v>300.51998900000001</v>
      </c>
      <c r="D856" s="6">
        <v>43.380001</v>
      </c>
      <c r="E856" s="6">
        <v>161.199997</v>
      </c>
      <c r="F856" s="6">
        <v>138</v>
      </c>
      <c r="G856" s="6">
        <v>46.279998999999997</v>
      </c>
      <c r="H856" s="6">
        <v>129.53999300000001</v>
      </c>
      <c r="I856" s="6">
        <v>215.029999</v>
      </c>
      <c r="J856" s="6">
        <v>30.709999</v>
      </c>
      <c r="K856" s="6">
        <v>17.5</v>
      </c>
      <c r="N856" s="18">
        <v>852</v>
      </c>
      <c r="O856" s="1">
        <v>44700</v>
      </c>
      <c r="P856" s="5">
        <f t="shared" si="320"/>
        <v>-8.8355406691486508E-3</v>
      </c>
      <c r="Q856" s="5">
        <f t="shared" si="321"/>
        <v>9.7618783367225001E-2</v>
      </c>
      <c r="R856" s="5">
        <f t="shared" si="322"/>
        <v>1.6149501349349579E-3</v>
      </c>
      <c r="S856" s="5">
        <f t="shared" si="323"/>
        <v>-1.5084152821471577E-2</v>
      </c>
      <c r="T856" s="5">
        <f t="shared" si="324"/>
        <v>-1.7376560675215781E-3</v>
      </c>
      <c r="U856" s="5">
        <f t="shared" si="325"/>
        <v>-9.8904911827428343E-3</v>
      </c>
      <c r="V856" s="5">
        <f t="shared" si="326"/>
        <v>1.1585681181178499E-3</v>
      </c>
      <c r="W856" s="5">
        <f t="shared" si="327"/>
        <v>-6.3509706191100402E-3</v>
      </c>
      <c r="X856" s="5">
        <f t="shared" si="328"/>
        <v>-1.9668569232555014E-2</v>
      </c>
      <c r="Y856" s="5">
        <f t="shared" si="329"/>
        <v>2.2883877917823968E-3</v>
      </c>
      <c r="Z856" s="33">
        <v>852</v>
      </c>
      <c r="AE856" s="20" t="str">
        <f t="shared" si="330"/>
        <v/>
      </c>
      <c r="AF856" s="22" t="str">
        <f t="shared" si="331"/>
        <v/>
      </c>
      <c r="AG856" s="9" t="str">
        <f t="shared" ca="1" si="310"/>
        <v/>
      </c>
      <c r="AH856" s="9" t="str">
        <f t="shared" ca="1" si="311"/>
        <v/>
      </c>
      <c r="AI856" s="9" t="str">
        <f t="shared" ca="1" si="312"/>
        <v/>
      </c>
      <c r="AJ856" s="9" t="str">
        <f t="shared" ca="1" si="313"/>
        <v/>
      </c>
      <c r="AK856" s="9" t="str">
        <f t="shared" ca="1" si="314"/>
        <v/>
      </c>
      <c r="AL856" s="9" t="str">
        <f t="shared" ca="1" si="315"/>
        <v/>
      </c>
      <c r="AM856" s="9" t="str">
        <f t="shared" ca="1" si="316"/>
        <v/>
      </c>
      <c r="AN856" s="9" t="str">
        <f t="shared" ca="1" si="317"/>
        <v/>
      </c>
      <c r="AO856" s="9" t="str">
        <f t="shared" ca="1" si="318"/>
        <v/>
      </c>
      <c r="AP856" s="9" t="str">
        <f t="shared" ca="1" si="319"/>
        <v/>
      </c>
      <c r="AQ856" s="9"/>
      <c r="AR856" s="9"/>
      <c r="AS856" s="9"/>
      <c r="AT856" s="9"/>
      <c r="AU856" s="9"/>
    </row>
    <row r="857" spans="1:47" x14ac:dyDescent="0.3">
      <c r="A857" s="1">
        <v>44701</v>
      </c>
      <c r="B857" s="6">
        <v>399.08999599999999</v>
      </c>
      <c r="C857" s="6">
        <v>306.72000100000002</v>
      </c>
      <c r="D857" s="6">
        <v>43.814999</v>
      </c>
      <c r="E857" s="6">
        <v>162.21000699999999</v>
      </c>
      <c r="F857" s="6">
        <v>138.63999899999999</v>
      </c>
      <c r="G857" s="6">
        <v>46.580002</v>
      </c>
      <c r="H857" s="6">
        <v>130.779999</v>
      </c>
      <c r="I857" s="6">
        <v>209.96000699999999</v>
      </c>
      <c r="J857" s="6">
        <v>30.67</v>
      </c>
      <c r="K857" s="6">
        <v>17.739999999999998</v>
      </c>
      <c r="N857" s="19">
        <v>853</v>
      </c>
      <c r="O857" s="1">
        <v>44701</v>
      </c>
      <c r="P857" s="5">
        <f t="shared" si="320"/>
        <v>1.1872021159454705E-2</v>
      </c>
      <c r="Q857" s="5">
        <f t="shared" si="321"/>
        <v>2.0421011659898916E-2</v>
      </c>
      <c r="R857" s="5">
        <f t="shared" si="322"/>
        <v>9.9776732337537952E-3</v>
      </c>
      <c r="S857" s="5">
        <f t="shared" si="323"/>
        <v>6.2460237538525211E-3</v>
      </c>
      <c r="T857" s="5">
        <f t="shared" si="324"/>
        <v>4.6269530372202543E-3</v>
      </c>
      <c r="U857" s="5">
        <f t="shared" si="325"/>
        <v>6.4614266752072193E-3</v>
      </c>
      <c r="V857" s="5">
        <f t="shared" si="326"/>
        <v>9.5268547692940724E-3</v>
      </c>
      <c r="W857" s="5">
        <f t="shared" si="327"/>
        <v>-2.3860478903001272E-2</v>
      </c>
      <c r="X857" s="5">
        <f t="shared" si="328"/>
        <v>-1.3033237638871266E-3</v>
      </c>
      <c r="Y857" s="5">
        <f t="shared" si="329"/>
        <v>1.3621095951964916E-2</v>
      </c>
      <c r="Z857" s="33">
        <v>853</v>
      </c>
      <c r="AE857" s="20" t="str">
        <f t="shared" si="330"/>
        <v/>
      </c>
      <c r="AF857" s="22" t="str">
        <f t="shared" si="331"/>
        <v/>
      </c>
      <c r="AG857" s="9" t="str">
        <f t="shared" ca="1" si="310"/>
        <v/>
      </c>
      <c r="AH857" s="9" t="str">
        <f t="shared" ca="1" si="311"/>
        <v/>
      </c>
      <c r="AI857" s="9" t="str">
        <f t="shared" ca="1" si="312"/>
        <v/>
      </c>
      <c r="AJ857" s="9" t="str">
        <f t="shared" ca="1" si="313"/>
        <v/>
      </c>
      <c r="AK857" s="9" t="str">
        <f t="shared" ca="1" si="314"/>
        <v/>
      </c>
      <c r="AL857" s="9" t="str">
        <f t="shared" ca="1" si="315"/>
        <v/>
      </c>
      <c r="AM857" s="9" t="str">
        <f t="shared" ca="1" si="316"/>
        <v/>
      </c>
      <c r="AN857" s="9" t="str">
        <f t="shared" ca="1" si="317"/>
        <v/>
      </c>
      <c r="AO857" s="9" t="str">
        <f t="shared" ca="1" si="318"/>
        <v/>
      </c>
      <c r="AP857" s="9" t="str">
        <f t="shared" ca="1" si="319"/>
        <v/>
      </c>
      <c r="AQ857" s="9"/>
      <c r="AR857" s="9"/>
      <c r="AS857" s="9"/>
      <c r="AT857" s="9"/>
      <c r="AU857" s="9"/>
    </row>
    <row r="858" spans="1:47" x14ac:dyDescent="0.3">
      <c r="A858" s="1">
        <v>44704</v>
      </c>
      <c r="B858" s="6">
        <v>406.76001000000002</v>
      </c>
      <c r="C858" s="6">
        <v>306.98001099999999</v>
      </c>
      <c r="D858" s="6">
        <v>43.525002000000001</v>
      </c>
      <c r="E858" s="6">
        <v>165.60000600000001</v>
      </c>
      <c r="F858" s="6">
        <v>140.83999600000001</v>
      </c>
      <c r="G858" s="6">
        <v>47.790000999999997</v>
      </c>
      <c r="H858" s="6">
        <v>130.800003</v>
      </c>
      <c r="I858" s="6">
        <v>212.320007</v>
      </c>
      <c r="J858" s="6">
        <v>31.209999</v>
      </c>
      <c r="K858" s="6">
        <v>18.290001</v>
      </c>
      <c r="N858" s="18">
        <v>854</v>
      </c>
      <c r="O858" s="1">
        <v>44704</v>
      </c>
      <c r="P858" s="5">
        <f t="shared" si="320"/>
        <v>1.9036410166336015E-2</v>
      </c>
      <c r="Q858" s="5">
        <f t="shared" si="321"/>
        <v>8.4735216057761967E-4</v>
      </c>
      <c r="R858" s="5">
        <f t="shared" si="322"/>
        <v>-6.6406700797248166E-3</v>
      </c>
      <c r="S858" s="5">
        <f t="shared" si="323"/>
        <v>2.0683442967084412E-2</v>
      </c>
      <c r="T858" s="5">
        <f t="shared" si="324"/>
        <v>1.5743827691403992E-2</v>
      </c>
      <c r="U858" s="5">
        <f t="shared" si="325"/>
        <v>2.5645126121869526E-2</v>
      </c>
      <c r="V858" s="5">
        <f t="shared" si="326"/>
        <v>1.5294747217722669E-4</v>
      </c>
      <c r="W858" s="5">
        <f t="shared" si="327"/>
        <v>1.1177533829217875E-2</v>
      </c>
      <c r="X858" s="5">
        <f t="shared" si="328"/>
        <v>1.7453546115514858E-2</v>
      </c>
      <c r="Y858" s="5">
        <f t="shared" si="329"/>
        <v>3.0532540196025085E-2</v>
      </c>
      <c r="Z858" s="33">
        <v>854</v>
      </c>
      <c r="AE858" s="20" t="str">
        <f t="shared" si="330"/>
        <v/>
      </c>
      <c r="AF858" s="22" t="str">
        <f t="shared" si="331"/>
        <v/>
      </c>
      <c r="AG858" s="9" t="str">
        <f t="shared" ca="1" si="310"/>
        <v/>
      </c>
      <c r="AH858" s="9" t="str">
        <f t="shared" ca="1" si="311"/>
        <v/>
      </c>
      <c r="AI858" s="9" t="str">
        <f t="shared" ca="1" si="312"/>
        <v/>
      </c>
      <c r="AJ858" s="9" t="str">
        <f t="shared" ca="1" si="313"/>
        <v/>
      </c>
      <c r="AK858" s="9" t="str">
        <f t="shared" ca="1" si="314"/>
        <v/>
      </c>
      <c r="AL858" s="9" t="str">
        <f t="shared" ca="1" si="315"/>
        <v/>
      </c>
      <c r="AM858" s="9" t="str">
        <f t="shared" ca="1" si="316"/>
        <v/>
      </c>
      <c r="AN858" s="9" t="str">
        <f t="shared" ca="1" si="317"/>
        <v/>
      </c>
      <c r="AO858" s="9" t="str">
        <f t="shared" ca="1" si="318"/>
        <v/>
      </c>
      <c r="AP858" s="9" t="str">
        <f t="shared" ca="1" si="319"/>
        <v/>
      </c>
      <c r="AQ858" s="9"/>
      <c r="AR858" s="9"/>
      <c r="AS858" s="9"/>
      <c r="AT858" s="9"/>
      <c r="AU858" s="9"/>
    </row>
    <row r="859" spans="1:47" x14ac:dyDescent="0.3">
      <c r="A859" s="1">
        <v>44705</v>
      </c>
      <c r="B859" s="6">
        <v>398.41000400000001</v>
      </c>
      <c r="C859" s="6">
        <v>296.36999500000002</v>
      </c>
      <c r="D859" s="6">
        <v>43.744999</v>
      </c>
      <c r="E859" s="6">
        <v>167.820007</v>
      </c>
      <c r="F859" s="6">
        <v>141.229996</v>
      </c>
      <c r="G859" s="6">
        <v>47.799999</v>
      </c>
      <c r="H859" s="6">
        <v>130.85000600000001</v>
      </c>
      <c r="I859" s="6">
        <v>211.91999799999999</v>
      </c>
      <c r="J859" s="6">
        <v>29.67</v>
      </c>
      <c r="K859" s="6">
        <v>16.860001</v>
      </c>
      <c r="N859" s="19">
        <v>855</v>
      </c>
      <c r="O859" s="1">
        <v>44705</v>
      </c>
      <c r="P859" s="5">
        <f t="shared" si="320"/>
        <v>-2.0741719670509615E-2</v>
      </c>
      <c r="Q859" s="5">
        <f t="shared" si="321"/>
        <v>-3.5173977864525745E-2</v>
      </c>
      <c r="R859" s="5">
        <f t="shared" si="322"/>
        <v>5.0417660936173461E-3</v>
      </c>
      <c r="S859" s="5">
        <f t="shared" si="323"/>
        <v>1.3316739970237119E-2</v>
      </c>
      <c r="T859" s="5">
        <f t="shared" si="324"/>
        <v>2.7652728725487217E-3</v>
      </c>
      <c r="U859" s="5">
        <f t="shared" si="325"/>
        <v>2.0918506196169543E-4</v>
      </c>
      <c r="V859" s="5">
        <f t="shared" si="326"/>
        <v>3.8221287130730847E-4</v>
      </c>
      <c r="W859" s="5">
        <f t="shared" si="327"/>
        <v>-1.8857680267094761E-3</v>
      </c>
      <c r="X859" s="5">
        <f t="shared" si="328"/>
        <v>-5.0602089938944605E-2</v>
      </c>
      <c r="Y859" s="5">
        <f t="shared" si="329"/>
        <v>-8.1410505191769719E-2</v>
      </c>
      <c r="Z859" s="33">
        <v>855</v>
      </c>
      <c r="AE859" s="20" t="str">
        <f t="shared" si="330"/>
        <v/>
      </c>
      <c r="AF859" s="22" t="str">
        <f t="shared" si="331"/>
        <v/>
      </c>
      <c r="AG859" s="9" t="str">
        <f t="shared" ca="1" si="310"/>
        <v/>
      </c>
      <c r="AH859" s="9" t="str">
        <f t="shared" ca="1" si="311"/>
        <v/>
      </c>
      <c r="AI859" s="9" t="str">
        <f t="shared" ca="1" si="312"/>
        <v/>
      </c>
      <c r="AJ859" s="9" t="str">
        <f t="shared" ca="1" si="313"/>
        <v/>
      </c>
      <c r="AK859" s="9" t="str">
        <f t="shared" ca="1" si="314"/>
        <v/>
      </c>
      <c r="AL859" s="9" t="str">
        <f t="shared" ca="1" si="315"/>
        <v/>
      </c>
      <c r="AM859" s="9" t="str">
        <f t="shared" ca="1" si="316"/>
        <v/>
      </c>
      <c r="AN859" s="9" t="str">
        <f t="shared" ca="1" si="317"/>
        <v/>
      </c>
      <c r="AO859" s="9" t="str">
        <f t="shared" ca="1" si="318"/>
        <v/>
      </c>
      <c r="AP859" s="9" t="str">
        <f t="shared" ca="1" si="319"/>
        <v/>
      </c>
      <c r="AQ859" s="9"/>
      <c r="AR859" s="9"/>
      <c r="AS859" s="9"/>
      <c r="AT859" s="9"/>
      <c r="AU859" s="9"/>
    </row>
    <row r="860" spans="1:47" x14ac:dyDescent="0.3">
      <c r="A860" s="1">
        <v>44706</v>
      </c>
      <c r="B860" s="6">
        <v>402.5</v>
      </c>
      <c r="C860" s="6">
        <v>299.17001299999998</v>
      </c>
      <c r="D860" s="6">
        <v>43.865001999999997</v>
      </c>
      <c r="E860" s="6">
        <v>168.970001</v>
      </c>
      <c r="F860" s="6">
        <v>141.60000600000001</v>
      </c>
      <c r="G860" s="6">
        <v>47.66</v>
      </c>
      <c r="H860" s="6">
        <v>129.759995</v>
      </c>
      <c r="I860" s="6">
        <v>215.21000699999999</v>
      </c>
      <c r="J860" s="6">
        <v>30.84</v>
      </c>
      <c r="K860" s="6">
        <v>17.23</v>
      </c>
      <c r="N860" s="18">
        <v>856</v>
      </c>
      <c r="O860" s="1">
        <v>44706</v>
      </c>
      <c r="P860" s="5">
        <f t="shared" si="320"/>
        <v>1.021346102166969E-2</v>
      </c>
      <c r="Q860" s="5">
        <f t="shared" si="321"/>
        <v>9.4033602933982722E-3</v>
      </c>
      <c r="R860" s="5">
        <f t="shared" si="322"/>
        <v>2.7394834763113216E-3</v>
      </c>
      <c r="S860" s="5">
        <f t="shared" si="323"/>
        <v>6.8291721374887969E-3</v>
      </c>
      <c r="T860" s="5">
        <f t="shared" si="324"/>
        <v>2.6164848741221571E-3</v>
      </c>
      <c r="U860" s="5">
        <f t="shared" si="325"/>
        <v>-2.9331469063119892E-3</v>
      </c>
      <c r="V860" s="5">
        <f t="shared" si="326"/>
        <v>-8.365122995758794E-3</v>
      </c>
      <c r="W860" s="5">
        <f t="shared" si="327"/>
        <v>1.5405492609572077E-2</v>
      </c>
      <c r="X860" s="5">
        <f t="shared" si="328"/>
        <v>3.8676114392398202E-2</v>
      </c>
      <c r="Y860" s="5">
        <f t="shared" si="329"/>
        <v>2.170803865414964E-2</v>
      </c>
      <c r="Z860" s="33">
        <v>856</v>
      </c>
      <c r="AE860" s="20" t="str">
        <f t="shared" si="330"/>
        <v/>
      </c>
      <c r="AF860" s="22" t="str">
        <f t="shared" si="331"/>
        <v/>
      </c>
      <c r="AG860" s="9" t="str">
        <f t="shared" ca="1" si="310"/>
        <v/>
      </c>
      <c r="AH860" s="9" t="str">
        <f t="shared" ca="1" si="311"/>
        <v/>
      </c>
      <c r="AI860" s="9" t="str">
        <f t="shared" ca="1" si="312"/>
        <v/>
      </c>
      <c r="AJ860" s="9" t="str">
        <f t="shared" ca="1" si="313"/>
        <v/>
      </c>
      <c r="AK860" s="9" t="str">
        <f t="shared" ca="1" si="314"/>
        <v/>
      </c>
      <c r="AL860" s="9" t="str">
        <f t="shared" ca="1" si="315"/>
        <v/>
      </c>
      <c r="AM860" s="9" t="str">
        <f t="shared" ca="1" si="316"/>
        <v/>
      </c>
      <c r="AN860" s="9" t="str">
        <f t="shared" ca="1" si="317"/>
        <v/>
      </c>
      <c r="AO860" s="9" t="str">
        <f t="shared" ca="1" si="318"/>
        <v/>
      </c>
      <c r="AP860" s="9" t="str">
        <f t="shared" ca="1" si="319"/>
        <v/>
      </c>
      <c r="AQ860" s="9"/>
      <c r="AR860" s="9"/>
      <c r="AS860" s="9"/>
      <c r="AT860" s="9"/>
      <c r="AU860" s="9"/>
    </row>
    <row r="861" spans="1:47" x14ac:dyDescent="0.3">
      <c r="A861" s="1">
        <v>44707</v>
      </c>
      <c r="B861" s="6">
        <v>408.60000600000001</v>
      </c>
      <c r="C861" s="6">
        <v>306.10000600000001</v>
      </c>
      <c r="D861" s="6">
        <v>44.365001999999997</v>
      </c>
      <c r="E861" s="6">
        <v>170.11000100000001</v>
      </c>
      <c r="F861" s="6">
        <v>141.89999399999999</v>
      </c>
      <c r="G861" s="6">
        <v>47.59</v>
      </c>
      <c r="H861" s="6">
        <v>133.05999800000001</v>
      </c>
      <c r="I861" s="6">
        <v>219.270004</v>
      </c>
      <c r="J861" s="6">
        <v>31.620000999999998</v>
      </c>
      <c r="K861" s="6">
        <v>17.98</v>
      </c>
      <c r="N861" s="19">
        <v>857</v>
      </c>
      <c r="O861" s="1">
        <v>44707</v>
      </c>
      <c r="P861" s="5">
        <f t="shared" si="320"/>
        <v>1.5041600209191449E-2</v>
      </c>
      <c r="Q861" s="5">
        <f t="shared" si="321"/>
        <v>2.2899848405716877E-2</v>
      </c>
      <c r="R861" s="5">
        <f t="shared" si="322"/>
        <v>1.1334134193098056E-2</v>
      </c>
      <c r="S861" s="5">
        <f t="shared" si="323"/>
        <v>6.7241022092720919E-3</v>
      </c>
      <c r="T861" s="5">
        <f t="shared" si="324"/>
        <v>2.1163182501980388E-3</v>
      </c>
      <c r="U861" s="5">
        <f t="shared" si="325"/>
        <v>-1.4698165375768607E-3</v>
      </c>
      <c r="V861" s="5">
        <f t="shared" si="326"/>
        <v>2.5113587448501899E-2</v>
      </c>
      <c r="W861" s="5">
        <f t="shared" si="327"/>
        <v>1.868953726689691E-2</v>
      </c>
      <c r="X861" s="5">
        <f t="shared" si="328"/>
        <v>2.4977314711750225E-2</v>
      </c>
      <c r="Y861" s="5">
        <f t="shared" si="329"/>
        <v>4.2607978503635999E-2</v>
      </c>
      <c r="Z861" s="33">
        <v>857</v>
      </c>
      <c r="AE861" s="20" t="str">
        <f t="shared" si="330"/>
        <v/>
      </c>
      <c r="AF861" s="22" t="str">
        <f t="shared" si="331"/>
        <v/>
      </c>
      <c r="AG861" s="9" t="str">
        <f t="shared" ca="1" si="310"/>
        <v/>
      </c>
      <c r="AH861" s="9" t="str">
        <f t="shared" ca="1" si="311"/>
        <v/>
      </c>
      <c r="AI861" s="9" t="str">
        <f t="shared" ca="1" si="312"/>
        <v/>
      </c>
      <c r="AJ861" s="9" t="str">
        <f t="shared" ca="1" si="313"/>
        <v/>
      </c>
      <c r="AK861" s="9" t="str">
        <f t="shared" ca="1" si="314"/>
        <v/>
      </c>
      <c r="AL861" s="9" t="str">
        <f t="shared" ca="1" si="315"/>
        <v/>
      </c>
      <c r="AM861" s="9" t="str">
        <f t="shared" ca="1" si="316"/>
        <v/>
      </c>
      <c r="AN861" s="9" t="str">
        <f t="shared" ca="1" si="317"/>
        <v/>
      </c>
      <c r="AO861" s="9" t="str">
        <f t="shared" ca="1" si="318"/>
        <v/>
      </c>
      <c r="AP861" s="9" t="str">
        <f t="shared" ca="1" si="319"/>
        <v/>
      </c>
      <c r="AQ861" s="9"/>
      <c r="AR861" s="9"/>
      <c r="AS861" s="9"/>
      <c r="AT861" s="9"/>
      <c r="AU861" s="9"/>
    </row>
    <row r="862" spans="1:47" x14ac:dyDescent="0.3">
      <c r="A862" s="1">
        <v>44708</v>
      </c>
      <c r="B862" s="6">
        <v>428.22000100000002</v>
      </c>
      <c r="C862" s="6">
        <v>322.959991</v>
      </c>
      <c r="D862" s="6">
        <v>44.834999000000003</v>
      </c>
      <c r="E862" s="6">
        <v>171.770004</v>
      </c>
      <c r="F862" s="6">
        <v>144.979996</v>
      </c>
      <c r="G862" s="6">
        <v>48.59</v>
      </c>
      <c r="H862" s="6">
        <v>134.550003</v>
      </c>
      <c r="I862" s="6">
        <v>222.89999399999999</v>
      </c>
      <c r="J862" s="6">
        <v>32.279998999999997</v>
      </c>
      <c r="K862" s="6">
        <v>18.760000000000002</v>
      </c>
      <c r="N862" s="18">
        <v>858</v>
      </c>
      <c r="O862" s="1">
        <v>44708</v>
      </c>
      <c r="P862" s="5">
        <f t="shared" si="320"/>
        <v>4.6900387478469932E-2</v>
      </c>
      <c r="Q862" s="5">
        <f t="shared" si="321"/>
        <v>5.3616583124652763E-2</v>
      </c>
      <c r="R862" s="5">
        <f t="shared" si="322"/>
        <v>1.0538146732125673E-2</v>
      </c>
      <c r="S862" s="5">
        <f t="shared" si="323"/>
        <v>9.7111034358464514E-3</v>
      </c>
      <c r="T862" s="5">
        <f t="shared" si="324"/>
        <v>2.1473232400021022E-2</v>
      </c>
      <c r="U862" s="5">
        <f t="shared" si="325"/>
        <v>2.0795093284792569E-2</v>
      </c>
      <c r="V862" s="5">
        <f t="shared" si="326"/>
        <v>1.1135760186530307E-2</v>
      </c>
      <c r="W862" s="5">
        <f t="shared" si="327"/>
        <v>1.641934807116292E-2</v>
      </c>
      <c r="X862" s="5">
        <f t="shared" si="328"/>
        <v>2.0657949015934259E-2</v>
      </c>
      <c r="Y862" s="5">
        <f t="shared" si="329"/>
        <v>4.2466914534604418E-2</v>
      </c>
      <c r="Z862" s="33">
        <v>858</v>
      </c>
      <c r="AE862" s="20" t="str">
        <f t="shared" si="330"/>
        <v/>
      </c>
      <c r="AF862" s="22" t="str">
        <f t="shared" si="331"/>
        <v/>
      </c>
      <c r="AG862" s="9" t="str">
        <f t="shared" ca="1" si="310"/>
        <v/>
      </c>
      <c r="AH862" s="9" t="str">
        <f t="shared" ca="1" si="311"/>
        <v/>
      </c>
      <c r="AI862" s="9" t="str">
        <f t="shared" ca="1" si="312"/>
        <v/>
      </c>
      <c r="AJ862" s="9" t="str">
        <f t="shared" ca="1" si="313"/>
        <v/>
      </c>
      <c r="AK862" s="9" t="str">
        <f t="shared" ca="1" si="314"/>
        <v/>
      </c>
      <c r="AL862" s="9" t="str">
        <f t="shared" ca="1" si="315"/>
        <v/>
      </c>
      <c r="AM862" s="9" t="str">
        <f t="shared" ca="1" si="316"/>
        <v/>
      </c>
      <c r="AN862" s="9" t="str">
        <f t="shared" ca="1" si="317"/>
        <v/>
      </c>
      <c r="AO862" s="9" t="str">
        <f t="shared" ca="1" si="318"/>
        <v/>
      </c>
      <c r="AP862" s="9" t="str">
        <f t="shared" ca="1" si="319"/>
        <v/>
      </c>
      <c r="AQ862" s="9"/>
      <c r="AR862" s="9"/>
      <c r="AS862" s="9"/>
      <c r="AT862" s="9"/>
      <c r="AU862" s="9"/>
    </row>
    <row r="863" spans="1:47" x14ac:dyDescent="0.3">
      <c r="A863" s="1">
        <v>44712</v>
      </c>
      <c r="B863" s="6">
        <v>416.48001099999999</v>
      </c>
      <c r="C863" s="6">
        <v>319.20001200000002</v>
      </c>
      <c r="D863" s="6">
        <v>44.560001</v>
      </c>
      <c r="E863" s="6">
        <v>167.75</v>
      </c>
      <c r="F863" s="6">
        <v>143.490005</v>
      </c>
      <c r="G863" s="6">
        <v>47.799999</v>
      </c>
      <c r="H863" s="6">
        <v>133.91000399999999</v>
      </c>
      <c r="I863" s="6">
        <v>221.88000500000001</v>
      </c>
      <c r="J863" s="6">
        <v>32.229999999999997</v>
      </c>
      <c r="K863" s="6">
        <v>18.450001</v>
      </c>
      <c r="N863" s="19">
        <v>859</v>
      </c>
      <c r="O863" s="1">
        <v>44712</v>
      </c>
      <c r="P863" s="5">
        <f t="shared" si="320"/>
        <v>-2.7798616888191942E-2</v>
      </c>
      <c r="Q863" s="5">
        <f t="shared" si="321"/>
        <v>-1.1710545507818866E-2</v>
      </c>
      <c r="R863" s="5">
        <f t="shared" si="322"/>
        <v>-6.1524440393271344E-3</v>
      </c>
      <c r="S863" s="5">
        <f t="shared" si="323"/>
        <v>-2.3681620084096005E-2</v>
      </c>
      <c r="T863" s="5">
        <f t="shared" si="324"/>
        <v>-1.0330393076770488E-2</v>
      </c>
      <c r="U863" s="5">
        <f t="shared" si="325"/>
        <v>-1.6392129840903682E-2</v>
      </c>
      <c r="V863" s="5">
        <f t="shared" si="326"/>
        <v>-4.7679370911756459E-3</v>
      </c>
      <c r="W863" s="5">
        <f t="shared" si="327"/>
        <v>-4.5864957521853569E-3</v>
      </c>
      <c r="X863" s="5">
        <f t="shared" si="328"/>
        <v>-1.5501165954667432E-3</v>
      </c>
      <c r="Y863" s="5">
        <f t="shared" si="329"/>
        <v>-1.6662518891001947E-2</v>
      </c>
      <c r="Z863" s="33">
        <v>859</v>
      </c>
      <c r="AE863" s="20" t="str">
        <f t="shared" si="330"/>
        <v/>
      </c>
      <c r="AF863" s="22" t="str">
        <f t="shared" si="331"/>
        <v/>
      </c>
      <c r="AG863" s="9" t="str">
        <f t="shared" ca="1" si="310"/>
        <v/>
      </c>
      <c r="AH863" s="9" t="str">
        <f t="shared" ca="1" si="311"/>
        <v/>
      </c>
      <c r="AI863" s="9" t="str">
        <f t="shared" ca="1" si="312"/>
        <v/>
      </c>
      <c r="AJ863" s="9" t="str">
        <f t="shared" ca="1" si="313"/>
        <v/>
      </c>
      <c r="AK863" s="9" t="str">
        <f t="shared" ca="1" si="314"/>
        <v/>
      </c>
      <c r="AL863" s="9" t="str">
        <f t="shared" ca="1" si="315"/>
        <v/>
      </c>
      <c r="AM863" s="9" t="str">
        <f t="shared" ca="1" si="316"/>
        <v/>
      </c>
      <c r="AN863" s="9" t="str">
        <f t="shared" ca="1" si="317"/>
        <v/>
      </c>
      <c r="AO863" s="9" t="str">
        <f t="shared" ca="1" si="318"/>
        <v/>
      </c>
      <c r="AP863" s="9" t="str">
        <f t="shared" ca="1" si="319"/>
        <v/>
      </c>
      <c r="AQ863" s="9"/>
      <c r="AR863" s="9"/>
      <c r="AS863" s="9"/>
      <c r="AT863" s="9"/>
      <c r="AU863" s="9"/>
    </row>
    <row r="864" spans="1:47" x14ac:dyDescent="0.3">
      <c r="A864" s="1">
        <v>44713</v>
      </c>
      <c r="B864" s="6">
        <v>418.16000400000001</v>
      </c>
      <c r="C864" s="6">
        <v>316.85998499999999</v>
      </c>
      <c r="D864" s="6">
        <v>44.025002000000001</v>
      </c>
      <c r="E864" s="6">
        <v>166.490005</v>
      </c>
      <c r="F864" s="6">
        <v>143.55999800000001</v>
      </c>
      <c r="G864" s="6">
        <v>47.919998</v>
      </c>
      <c r="H864" s="6">
        <v>132.779999</v>
      </c>
      <c r="I864" s="6">
        <v>216.96000699999999</v>
      </c>
      <c r="J864" s="6">
        <v>31.68</v>
      </c>
      <c r="K864" s="6">
        <v>17.66</v>
      </c>
      <c r="N864" s="18">
        <v>860</v>
      </c>
      <c r="O864" s="1">
        <v>44713</v>
      </c>
      <c r="P864" s="5">
        <f t="shared" si="320"/>
        <v>4.0256763122954869E-3</v>
      </c>
      <c r="Q864" s="5">
        <f t="shared" si="321"/>
        <v>-7.3579145622614025E-3</v>
      </c>
      <c r="R864" s="5">
        <f t="shared" si="322"/>
        <v>-1.2078918249677491E-2</v>
      </c>
      <c r="S864" s="5">
        <f t="shared" si="323"/>
        <v>-7.5394982631970305E-3</v>
      </c>
      <c r="T864" s="5">
        <f t="shared" si="324"/>
        <v>4.8767114200091815E-4</v>
      </c>
      <c r="U864" s="5">
        <f t="shared" si="325"/>
        <v>2.5072934940579272E-3</v>
      </c>
      <c r="V864" s="5">
        <f t="shared" si="326"/>
        <v>-8.4743466185244806E-3</v>
      </c>
      <c r="W864" s="5">
        <f t="shared" si="327"/>
        <v>-2.2423680705695035E-2</v>
      </c>
      <c r="X864" s="5">
        <f t="shared" si="328"/>
        <v>-1.7212128881121294E-2</v>
      </c>
      <c r="Y864" s="5">
        <f t="shared" si="329"/>
        <v>-4.376222951126274E-2</v>
      </c>
      <c r="Z864" s="33">
        <v>860</v>
      </c>
      <c r="AE864" s="20" t="str">
        <f t="shared" si="330"/>
        <v/>
      </c>
      <c r="AF864" s="22" t="str">
        <f t="shared" si="331"/>
        <v/>
      </c>
      <c r="AG864" s="9" t="str">
        <f t="shared" ca="1" si="310"/>
        <v/>
      </c>
      <c r="AH864" s="9" t="str">
        <f t="shared" ca="1" si="311"/>
        <v/>
      </c>
      <c r="AI864" s="9" t="str">
        <f t="shared" ca="1" si="312"/>
        <v/>
      </c>
      <c r="AJ864" s="9" t="str">
        <f t="shared" ca="1" si="313"/>
        <v/>
      </c>
      <c r="AK864" s="9" t="str">
        <f t="shared" ca="1" si="314"/>
        <v/>
      </c>
      <c r="AL864" s="9" t="str">
        <f t="shared" ca="1" si="315"/>
        <v/>
      </c>
      <c r="AM864" s="9" t="str">
        <f t="shared" ca="1" si="316"/>
        <v/>
      </c>
      <c r="AN864" s="9" t="str">
        <f t="shared" ca="1" si="317"/>
        <v/>
      </c>
      <c r="AO864" s="9" t="str">
        <f t="shared" ca="1" si="318"/>
        <v/>
      </c>
      <c r="AP864" s="9" t="str">
        <f t="shared" ca="1" si="319"/>
        <v/>
      </c>
      <c r="AQ864" s="9"/>
      <c r="AR864" s="9"/>
      <c r="AS864" s="9"/>
      <c r="AT864" s="9"/>
      <c r="AU864" s="9"/>
    </row>
    <row r="865" spans="1:47" x14ac:dyDescent="0.3">
      <c r="A865" s="1">
        <v>44714</v>
      </c>
      <c r="B865" s="6">
        <v>441.27999899999998</v>
      </c>
      <c r="C865" s="6">
        <v>330.80999800000001</v>
      </c>
      <c r="D865" s="6">
        <v>45.169998</v>
      </c>
      <c r="E865" s="6">
        <v>166.679993</v>
      </c>
      <c r="F865" s="6">
        <v>144.66000399999999</v>
      </c>
      <c r="G865" s="6">
        <v>48</v>
      </c>
      <c r="H865" s="6">
        <v>135.529999</v>
      </c>
      <c r="I865" s="6">
        <v>220.490005</v>
      </c>
      <c r="J865" s="6">
        <v>31.91</v>
      </c>
      <c r="K865" s="6">
        <v>18</v>
      </c>
      <c r="N865" s="19">
        <v>861</v>
      </c>
      <c r="O865" s="1">
        <v>44714</v>
      </c>
      <c r="P865" s="5">
        <f t="shared" si="320"/>
        <v>5.3815448368419221E-2</v>
      </c>
      <c r="Q865" s="5">
        <f t="shared" si="321"/>
        <v>4.3084197785553759E-2</v>
      </c>
      <c r="R865" s="5">
        <f t="shared" si="322"/>
        <v>2.5675405578334282E-2</v>
      </c>
      <c r="S865" s="5">
        <f t="shared" si="323"/>
        <v>1.140486969017406E-3</v>
      </c>
      <c r="T865" s="5">
        <f t="shared" si="324"/>
        <v>7.6331367242287148E-3</v>
      </c>
      <c r="U865" s="5">
        <f t="shared" si="325"/>
        <v>1.6680988369250375E-3</v>
      </c>
      <c r="V865" s="5">
        <f t="shared" si="326"/>
        <v>2.0499394889725898E-2</v>
      </c>
      <c r="W865" s="5">
        <f t="shared" si="327"/>
        <v>1.613932804529165E-2</v>
      </c>
      <c r="X865" s="5">
        <f t="shared" si="328"/>
        <v>7.2338733439270197E-3</v>
      </c>
      <c r="Y865" s="5">
        <f t="shared" si="329"/>
        <v>1.906956272035075E-2</v>
      </c>
      <c r="Z865" s="33">
        <v>861</v>
      </c>
      <c r="AE865" s="20" t="str">
        <f t="shared" si="330"/>
        <v/>
      </c>
      <c r="AF865" s="22" t="str">
        <f t="shared" si="331"/>
        <v/>
      </c>
      <c r="AG865" s="9" t="str">
        <f t="shared" ca="1" si="310"/>
        <v/>
      </c>
      <c r="AH865" s="9" t="str">
        <f t="shared" ca="1" si="311"/>
        <v/>
      </c>
      <c r="AI865" s="9" t="str">
        <f t="shared" ca="1" si="312"/>
        <v/>
      </c>
      <c r="AJ865" s="9" t="str">
        <f t="shared" ca="1" si="313"/>
        <v/>
      </c>
      <c r="AK865" s="9" t="str">
        <f t="shared" ca="1" si="314"/>
        <v/>
      </c>
      <c r="AL865" s="9" t="str">
        <f t="shared" ca="1" si="315"/>
        <v/>
      </c>
      <c r="AM865" s="9" t="str">
        <f t="shared" ca="1" si="316"/>
        <v/>
      </c>
      <c r="AN865" s="9" t="str">
        <f t="shared" ca="1" si="317"/>
        <v/>
      </c>
      <c r="AO865" s="9" t="str">
        <f t="shared" ca="1" si="318"/>
        <v/>
      </c>
      <c r="AP865" s="9" t="str">
        <f t="shared" ca="1" si="319"/>
        <v/>
      </c>
      <c r="AQ865" s="9"/>
      <c r="AR865" s="9"/>
      <c r="AS865" s="9"/>
      <c r="AT865" s="9"/>
      <c r="AU865" s="9"/>
    </row>
    <row r="866" spans="1:47" x14ac:dyDescent="0.3">
      <c r="A866" s="1">
        <v>44715</v>
      </c>
      <c r="B866" s="6">
        <v>429.76001000000002</v>
      </c>
      <c r="C866" s="6">
        <v>327.67999300000002</v>
      </c>
      <c r="D866" s="6">
        <v>44.415000999999997</v>
      </c>
      <c r="E866" s="6">
        <v>164.85000600000001</v>
      </c>
      <c r="F866" s="6">
        <v>143.55999800000001</v>
      </c>
      <c r="G866" s="6">
        <v>47.799999</v>
      </c>
      <c r="H866" s="6">
        <v>133.429993</v>
      </c>
      <c r="I866" s="6">
        <v>220.19000199999999</v>
      </c>
      <c r="J866" s="6">
        <v>31.08</v>
      </c>
      <c r="K866" s="6">
        <v>17.5</v>
      </c>
      <c r="N866" s="18">
        <v>862</v>
      </c>
      <c r="O866" s="1">
        <v>44715</v>
      </c>
      <c r="P866" s="5">
        <f t="shared" si="320"/>
        <v>-2.6452655735128373E-2</v>
      </c>
      <c r="Q866" s="5">
        <f t="shared" si="321"/>
        <v>-9.5066853441469895E-3</v>
      </c>
      <c r="R866" s="5">
        <f t="shared" si="322"/>
        <v>-1.6855832652756593E-2</v>
      </c>
      <c r="S866" s="5">
        <f t="shared" si="323"/>
        <v>-1.1039758643147784E-2</v>
      </c>
      <c r="T866" s="5">
        <f t="shared" si="324"/>
        <v>-7.6331367242287477E-3</v>
      </c>
      <c r="U866" s="5">
        <f t="shared" si="325"/>
        <v>-4.175392330982991E-3</v>
      </c>
      <c r="V866" s="5">
        <f t="shared" si="326"/>
        <v>-1.5616067357121515E-2</v>
      </c>
      <c r="W866" s="5">
        <f t="shared" si="327"/>
        <v>-1.3615459815750671E-3</v>
      </c>
      <c r="X866" s="5">
        <f t="shared" si="328"/>
        <v>-2.6354914790705477E-2</v>
      </c>
      <c r="Y866" s="5">
        <f t="shared" si="329"/>
        <v>-2.8170876966696335E-2</v>
      </c>
      <c r="Z866" s="33">
        <v>862</v>
      </c>
      <c r="AE866" s="20" t="str">
        <f t="shared" si="330"/>
        <v/>
      </c>
      <c r="AF866" s="22" t="str">
        <f t="shared" si="331"/>
        <v/>
      </c>
      <c r="AG866" s="9" t="str">
        <f t="shared" ca="1" si="310"/>
        <v/>
      </c>
      <c r="AH866" s="9" t="str">
        <f t="shared" ca="1" si="311"/>
        <v/>
      </c>
      <c r="AI866" s="9" t="str">
        <f t="shared" ca="1" si="312"/>
        <v/>
      </c>
      <c r="AJ866" s="9" t="str">
        <f t="shared" ca="1" si="313"/>
        <v/>
      </c>
      <c r="AK866" s="9" t="str">
        <f t="shared" ca="1" si="314"/>
        <v/>
      </c>
      <c r="AL866" s="9" t="str">
        <f t="shared" ca="1" si="315"/>
        <v/>
      </c>
      <c r="AM866" s="9" t="str">
        <f t="shared" ca="1" si="316"/>
        <v/>
      </c>
      <c r="AN866" s="9" t="str">
        <f t="shared" ca="1" si="317"/>
        <v/>
      </c>
      <c r="AO866" s="9" t="str">
        <f t="shared" ca="1" si="318"/>
        <v/>
      </c>
      <c r="AP866" s="9" t="str">
        <f t="shared" ca="1" si="319"/>
        <v/>
      </c>
      <c r="AQ866" s="9"/>
      <c r="AR866" s="9"/>
      <c r="AS866" s="9"/>
      <c r="AT866" s="9"/>
      <c r="AU866" s="9"/>
    </row>
    <row r="867" spans="1:47" x14ac:dyDescent="0.3">
      <c r="A867" s="1">
        <v>44718</v>
      </c>
      <c r="B867" s="6">
        <v>429.459991</v>
      </c>
      <c r="C867" s="6">
        <v>328.790009</v>
      </c>
      <c r="D867" s="6">
        <v>45.68</v>
      </c>
      <c r="E867" s="6">
        <v>165.53999300000001</v>
      </c>
      <c r="F867" s="6">
        <v>139.83999600000001</v>
      </c>
      <c r="G867" s="6">
        <v>46.41</v>
      </c>
      <c r="H867" s="6">
        <v>133.19000199999999</v>
      </c>
      <c r="I867" s="6">
        <v>221.55999800000001</v>
      </c>
      <c r="J867" s="6">
        <v>31.32</v>
      </c>
      <c r="K867" s="6">
        <v>16.850000000000001</v>
      </c>
      <c r="N867" s="19">
        <v>863</v>
      </c>
      <c r="O867" s="1">
        <v>44718</v>
      </c>
      <c r="P867" s="5">
        <f t="shared" si="320"/>
        <v>-6.9835202123792739E-4</v>
      </c>
      <c r="Q867" s="5">
        <f t="shared" si="321"/>
        <v>3.3817754185284411E-3</v>
      </c>
      <c r="R867" s="5">
        <f t="shared" si="322"/>
        <v>2.808329261117461E-2</v>
      </c>
      <c r="S867" s="5">
        <f t="shared" si="323"/>
        <v>4.1768092569328726E-3</v>
      </c>
      <c r="T867" s="5">
        <f t="shared" si="324"/>
        <v>-2.6254169044843203E-2</v>
      </c>
      <c r="U867" s="5">
        <f t="shared" si="325"/>
        <v>-2.9510665323823546E-2</v>
      </c>
      <c r="V867" s="5">
        <f t="shared" si="326"/>
        <v>-1.8002480632814076E-3</v>
      </c>
      <c r="W867" s="5">
        <f t="shared" si="327"/>
        <v>6.2026050582442106E-3</v>
      </c>
      <c r="X867" s="5">
        <f t="shared" si="328"/>
        <v>7.6923456231556449E-3</v>
      </c>
      <c r="Y867" s="5">
        <f t="shared" si="329"/>
        <v>-3.7850224131097523E-2</v>
      </c>
      <c r="Z867" s="33">
        <v>863</v>
      </c>
      <c r="AE867" s="20" t="str">
        <f t="shared" si="330"/>
        <v/>
      </c>
      <c r="AF867" s="22" t="str">
        <f t="shared" si="331"/>
        <v/>
      </c>
      <c r="AG867" s="9" t="str">
        <f t="shared" ca="1" si="310"/>
        <v/>
      </c>
      <c r="AH867" s="9" t="str">
        <f t="shared" ca="1" si="311"/>
        <v/>
      </c>
      <c r="AI867" s="9" t="str">
        <f t="shared" ca="1" si="312"/>
        <v/>
      </c>
      <c r="AJ867" s="9" t="str">
        <f t="shared" ca="1" si="313"/>
        <v/>
      </c>
      <c r="AK867" s="9" t="str">
        <f t="shared" ca="1" si="314"/>
        <v/>
      </c>
      <c r="AL867" s="9" t="str">
        <f t="shared" ca="1" si="315"/>
        <v/>
      </c>
      <c r="AM867" s="9" t="str">
        <f t="shared" ca="1" si="316"/>
        <v/>
      </c>
      <c r="AN867" s="9" t="str">
        <f t="shared" ca="1" si="317"/>
        <v/>
      </c>
      <c r="AO867" s="9" t="str">
        <f t="shared" ca="1" si="318"/>
        <v/>
      </c>
      <c r="AP867" s="9" t="str">
        <f t="shared" ca="1" si="319"/>
        <v/>
      </c>
      <c r="AQ867" s="9"/>
      <c r="AR867" s="9"/>
      <c r="AS867" s="9"/>
      <c r="AT867" s="9"/>
      <c r="AU867" s="9"/>
    </row>
    <row r="868" spans="1:47" x14ac:dyDescent="0.3">
      <c r="A868" s="1">
        <v>44719</v>
      </c>
      <c r="B868" s="6">
        <v>433.42001299999998</v>
      </c>
      <c r="C868" s="6">
        <v>329.52999899999998</v>
      </c>
      <c r="D868" s="6">
        <v>45.424999</v>
      </c>
      <c r="E868" s="6">
        <v>166.55999800000001</v>
      </c>
      <c r="F868" s="6">
        <v>142.63000500000001</v>
      </c>
      <c r="G868" s="6">
        <v>47.310001</v>
      </c>
      <c r="H868" s="6">
        <v>136.11999499999999</v>
      </c>
      <c r="I868" s="6">
        <v>224.679993</v>
      </c>
      <c r="J868" s="6">
        <v>31.610001</v>
      </c>
      <c r="K868" s="6">
        <v>17.170000000000002</v>
      </c>
      <c r="N868" s="18">
        <v>864</v>
      </c>
      <c r="O868" s="1">
        <v>44719</v>
      </c>
      <c r="P868" s="5">
        <f t="shared" si="320"/>
        <v>9.1786801957494842E-3</v>
      </c>
      <c r="Q868" s="5">
        <f t="shared" si="321"/>
        <v>2.2481173370657013E-3</v>
      </c>
      <c r="R868" s="5">
        <f t="shared" si="322"/>
        <v>-5.5979730798293957E-3</v>
      </c>
      <c r="S868" s="5">
        <f t="shared" si="323"/>
        <v>6.1427776875772801E-3</v>
      </c>
      <c r="T868" s="5">
        <f t="shared" si="324"/>
        <v>1.9755016287962886E-2</v>
      </c>
      <c r="U868" s="5">
        <f t="shared" si="325"/>
        <v>1.9206757527152462E-2</v>
      </c>
      <c r="V868" s="5">
        <f t="shared" si="326"/>
        <v>2.1760117671327791E-2</v>
      </c>
      <c r="W868" s="5">
        <f t="shared" si="327"/>
        <v>1.3983712370807366E-2</v>
      </c>
      <c r="X868" s="5">
        <f t="shared" si="328"/>
        <v>9.2166867404817939E-3</v>
      </c>
      <c r="Y868" s="5">
        <f t="shared" si="329"/>
        <v>1.8813018111013467E-2</v>
      </c>
      <c r="Z868" s="33">
        <v>864</v>
      </c>
      <c r="AE868" s="20" t="str">
        <f t="shared" si="330"/>
        <v/>
      </c>
      <c r="AF868" s="22" t="str">
        <f t="shared" si="331"/>
        <v/>
      </c>
      <c r="AG868" s="9" t="str">
        <f t="shared" ca="1" si="310"/>
        <v/>
      </c>
      <c r="AH868" s="9" t="str">
        <f t="shared" ca="1" si="311"/>
        <v/>
      </c>
      <c r="AI868" s="9" t="str">
        <f t="shared" ca="1" si="312"/>
        <v/>
      </c>
      <c r="AJ868" s="9" t="str">
        <f t="shared" ca="1" si="313"/>
        <v/>
      </c>
      <c r="AK868" s="9" t="str">
        <f t="shared" ca="1" si="314"/>
        <v/>
      </c>
      <c r="AL868" s="9" t="str">
        <f t="shared" ca="1" si="315"/>
        <v/>
      </c>
      <c r="AM868" s="9" t="str">
        <f t="shared" ca="1" si="316"/>
        <v/>
      </c>
      <c r="AN868" s="9" t="str">
        <f t="shared" ca="1" si="317"/>
        <v/>
      </c>
      <c r="AO868" s="9" t="str">
        <f t="shared" ca="1" si="318"/>
        <v/>
      </c>
      <c r="AP868" s="9" t="str">
        <f t="shared" ca="1" si="319"/>
        <v/>
      </c>
      <c r="AQ868" s="9"/>
      <c r="AR868" s="9"/>
      <c r="AS868" s="9"/>
      <c r="AT868" s="9"/>
      <c r="AU868" s="9"/>
    </row>
    <row r="869" spans="1:47" x14ac:dyDescent="0.3">
      <c r="A869" s="1">
        <v>44720</v>
      </c>
      <c r="B869" s="6">
        <v>428.83999599999999</v>
      </c>
      <c r="C869" s="6">
        <v>322.89001500000001</v>
      </c>
      <c r="D869" s="6">
        <v>45.119999</v>
      </c>
      <c r="E869" s="6">
        <v>165.729996</v>
      </c>
      <c r="F869" s="6">
        <v>139.36000100000001</v>
      </c>
      <c r="G869" s="6">
        <v>46.349997999999999</v>
      </c>
      <c r="H869" s="6">
        <v>134.61999499999999</v>
      </c>
      <c r="I869" s="6">
        <v>221.240005</v>
      </c>
      <c r="J869" s="6">
        <v>30.75</v>
      </c>
      <c r="K869" s="6">
        <v>16.670000000000002</v>
      </c>
      <c r="N869" s="19">
        <v>865</v>
      </c>
      <c r="O869" s="1">
        <v>44720</v>
      </c>
      <c r="P869" s="5">
        <f t="shared" si="320"/>
        <v>-1.0623385117634603E-2</v>
      </c>
      <c r="Q869" s="5">
        <f t="shared" si="321"/>
        <v>-2.035563940461298E-2</v>
      </c>
      <c r="R869" s="5">
        <f t="shared" si="322"/>
        <v>-6.7370072412426957E-3</v>
      </c>
      <c r="S869" s="5">
        <f t="shared" si="323"/>
        <v>-4.9956588591637775E-3</v>
      </c>
      <c r="T869" s="5">
        <f t="shared" si="324"/>
        <v>-2.3193379311216136E-2</v>
      </c>
      <c r="U869" s="5">
        <f t="shared" si="325"/>
        <v>-2.0500461918319675E-2</v>
      </c>
      <c r="V869" s="5">
        <f t="shared" si="326"/>
        <v>-1.1080855459426608E-2</v>
      </c>
      <c r="W869" s="5">
        <f t="shared" si="327"/>
        <v>-1.5429028782441854E-2</v>
      </c>
      <c r="X869" s="5">
        <f t="shared" si="328"/>
        <v>-2.758356361055737E-2</v>
      </c>
      <c r="Y869" s="5">
        <f t="shared" si="329"/>
        <v>-2.9552978146681515E-2</v>
      </c>
      <c r="Z869" s="33">
        <v>865</v>
      </c>
      <c r="AE869" s="20" t="str">
        <f t="shared" si="330"/>
        <v/>
      </c>
      <c r="AF869" s="22" t="str">
        <f t="shared" si="331"/>
        <v/>
      </c>
      <c r="AG869" s="9" t="str">
        <f t="shared" ca="1" si="310"/>
        <v/>
      </c>
      <c r="AH869" s="9" t="str">
        <f t="shared" ca="1" si="311"/>
        <v/>
      </c>
      <c r="AI869" s="9" t="str">
        <f t="shared" ca="1" si="312"/>
        <v/>
      </c>
      <c r="AJ869" s="9" t="str">
        <f t="shared" ca="1" si="313"/>
        <v/>
      </c>
      <c r="AK869" s="9" t="str">
        <f t="shared" ca="1" si="314"/>
        <v/>
      </c>
      <c r="AL869" s="9" t="str">
        <f t="shared" ca="1" si="315"/>
        <v/>
      </c>
      <c r="AM869" s="9" t="str">
        <f t="shared" ca="1" si="316"/>
        <v/>
      </c>
      <c r="AN869" s="9" t="str">
        <f t="shared" ca="1" si="317"/>
        <v/>
      </c>
      <c r="AO869" s="9" t="str">
        <f t="shared" ca="1" si="318"/>
        <v/>
      </c>
      <c r="AP869" s="9" t="str">
        <f t="shared" ca="1" si="319"/>
        <v/>
      </c>
      <c r="AQ869" s="9"/>
      <c r="AR869" s="9"/>
      <c r="AS869" s="9"/>
      <c r="AT869" s="9"/>
      <c r="AU869" s="9"/>
    </row>
    <row r="870" spans="1:47" x14ac:dyDescent="0.3">
      <c r="A870" s="1">
        <v>44721</v>
      </c>
      <c r="B870" s="6">
        <v>426.42001299999998</v>
      </c>
      <c r="C870" s="6">
        <v>317.07998700000002</v>
      </c>
      <c r="D870" s="6">
        <v>44.650002000000001</v>
      </c>
      <c r="E870" s="6">
        <v>162.779999</v>
      </c>
      <c r="F870" s="6">
        <v>134.91000399999999</v>
      </c>
      <c r="G870" s="6">
        <v>45.209999000000003</v>
      </c>
      <c r="H870" s="6">
        <v>132.71000699999999</v>
      </c>
      <c r="I870" s="6">
        <v>218.66999799999999</v>
      </c>
      <c r="J870" s="6">
        <v>30.25</v>
      </c>
      <c r="K870" s="6">
        <v>15.63</v>
      </c>
      <c r="N870" s="18">
        <v>866</v>
      </c>
      <c r="O870" s="1">
        <v>44721</v>
      </c>
      <c r="P870" s="5">
        <f t="shared" si="320"/>
        <v>-5.6590731073175807E-3</v>
      </c>
      <c r="Q870" s="5">
        <f t="shared" si="321"/>
        <v>-1.8157687429927318E-2</v>
      </c>
      <c r="R870" s="5">
        <f t="shared" si="322"/>
        <v>-1.0471232911342386E-2</v>
      </c>
      <c r="S870" s="5">
        <f t="shared" si="323"/>
        <v>-1.7960344244175464E-2</v>
      </c>
      <c r="T870" s="5">
        <f t="shared" si="324"/>
        <v>-3.2452601179731845E-2</v>
      </c>
      <c r="U870" s="5">
        <f t="shared" si="325"/>
        <v>-2.4902969674403769E-2</v>
      </c>
      <c r="V870" s="5">
        <f t="shared" si="326"/>
        <v>-1.4289608245235773E-2</v>
      </c>
      <c r="W870" s="5">
        <f t="shared" si="327"/>
        <v>-1.168437281033937E-2</v>
      </c>
      <c r="X870" s="5">
        <f t="shared" si="328"/>
        <v>-1.6393809775676383E-2</v>
      </c>
      <c r="Y870" s="5">
        <f t="shared" si="329"/>
        <v>-6.4418552329317438E-2</v>
      </c>
      <c r="Z870" s="33">
        <v>866</v>
      </c>
      <c r="AE870" s="20" t="str">
        <f t="shared" si="330"/>
        <v/>
      </c>
      <c r="AF870" s="22" t="str">
        <f t="shared" si="331"/>
        <v/>
      </c>
      <c r="AG870" s="9" t="str">
        <f t="shared" ca="1" si="310"/>
        <v/>
      </c>
      <c r="AH870" s="9" t="str">
        <f t="shared" ca="1" si="311"/>
        <v/>
      </c>
      <c r="AI870" s="9" t="str">
        <f t="shared" ca="1" si="312"/>
        <v/>
      </c>
      <c r="AJ870" s="9" t="str">
        <f t="shared" ca="1" si="313"/>
        <v/>
      </c>
      <c r="AK870" s="9" t="str">
        <f t="shared" ca="1" si="314"/>
        <v/>
      </c>
      <c r="AL870" s="9" t="str">
        <f t="shared" ca="1" si="315"/>
        <v/>
      </c>
      <c r="AM870" s="9" t="str">
        <f t="shared" ca="1" si="316"/>
        <v/>
      </c>
      <c r="AN870" s="9" t="str">
        <f t="shared" ca="1" si="317"/>
        <v/>
      </c>
      <c r="AO870" s="9" t="str">
        <f t="shared" ca="1" si="318"/>
        <v/>
      </c>
      <c r="AP870" s="9" t="str">
        <f t="shared" ca="1" si="319"/>
        <v/>
      </c>
      <c r="AQ870" s="9"/>
      <c r="AR870" s="9"/>
      <c r="AS870" s="9"/>
      <c r="AT870" s="9"/>
      <c r="AU870" s="9"/>
    </row>
    <row r="871" spans="1:47" x14ac:dyDescent="0.3">
      <c r="A871" s="1">
        <v>44722</v>
      </c>
      <c r="B871" s="6">
        <v>393.83999599999999</v>
      </c>
      <c r="C871" s="6">
        <v>305.39001500000001</v>
      </c>
      <c r="D871" s="6">
        <v>43.52</v>
      </c>
      <c r="E871" s="6">
        <v>162.520004</v>
      </c>
      <c r="F871" s="6">
        <v>133.19000199999999</v>
      </c>
      <c r="G871" s="6">
        <v>44.759998000000003</v>
      </c>
      <c r="H871" s="6">
        <v>128.41000399999999</v>
      </c>
      <c r="I871" s="6">
        <v>209.36000100000001</v>
      </c>
      <c r="J871" s="6">
        <v>28.950001</v>
      </c>
      <c r="K871" s="6">
        <v>14.86</v>
      </c>
      <c r="N871" s="19">
        <v>867</v>
      </c>
      <c r="O871" s="1">
        <v>44722</v>
      </c>
      <c r="P871" s="5">
        <f t="shared" si="320"/>
        <v>-7.94800812596968E-2</v>
      </c>
      <c r="Q871" s="5">
        <f t="shared" si="321"/>
        <v>-3.7564369546249879E-2</v>
      </c>
      <c r="R871" s="5">
        <f t="shared" si="322"/>
        <v>-2.5633749567652946E-2</v>
      </c>
      <c r="S871" s="5">
        <f t="shared" si="323"/>
        <v>-1.5984940237534831E-3</v>
      </c>
      <c r="T871" s="5">
        <f t="shared" si="324"/>
        <v>-1.283122387103975E-2</v>
      </c>
      <c r="U871" s="5">
        <f t="shared" si="325"/>
        <v>-1.0003440426542262E-2</v>
      </c>
      <c r="V871" s="5">
        <f t="shared" si="326"/>
        <v>-3.2938048202342821E-2</v>
      </c>
      <c r="W871" s="5">
        <f t="shared" si="327"/>
        <v>-4.3508471917677094E-2</v>
      </c>
      <c r="X871" s="5">
        <f t="shared" si="328"/>
        <v>-4.3925945915532526E-2</v>
      </c>
      <c r="Y871" s="5">
        <f t="shared" si="329"/>
        <v>-5.0519105143772169E-2</v>
      </c>
      <c r="Z871" s="33">
        <v>867</v>
      </c>
      <c r="AE871" s="20" t="str">
        <f t="shared" si="330"/>
        <v/>
      </c>
      <c r="AF871" s="22" t="str">
        <f t="shared" si="331"/>
        <v/>
      </c>
      <c r="AG871" s="9" t="str">
        <f t="shared" ca="1" si="310"/>
        <v/>
      </c>
      <c r="AH871" s="9" t="str">
        <f t="shared" ca="1" si="311"/>
        <v/>
      </c>
      <c r="AI871" s="9" t="str">
        <f t="shared" ca="1" si="312"/>
        <v/>
      </c>
      <c r="AJ871" s="9" t="str">
        <f t="shared" ca="1" si="313"/>
        <v/>
      </c>
      <c r="AK871" s="9" t="str">
        <f t="shared" ca="1" si="314"/>
        <v/>
      </c>
      <c r="AL871" s="9" t="str">
        <f t="shared" ca="1" si="315"/>
        <v/>
      </c>
      <c r="AM871" s="9" t="str">
        <f t="shared" ca="1" si="316"/>
        <v/>
      </c>
      <c r="AN871" s="9" t="str">
        <f t="shared" ca="1" si="317"/>
        <v/>
      </c>
      <c r="AO871" s="9" t="str">
        <f t="shared" ca="1" si="318"/>
        <v/>
      </c>
      <c r="AP871" s="9" t="str">
        <f t="shared" ca="1" si="319"/>
        <v/>
      </c>
      <c r="AQ871" s="9"/>
      <c r="AR871" s="9"/>
      <c r="AS871" s="9"/>
      <c r="AT871" s="9"/>
      <c r="AU871" s="9"/>
    </row>
    <row r="872" spans="1:47" x14ac:dyDescent="0.3">
      <c r="A872" s="1">
        <v>44725</v>
      </c>
      <c r="B872" s="6">
        <v>371.64999399999999</v>
      </c>
      <c r="C872" s="6">
        <v>290.25</v>
      </c>
      <c r="D872" s="6">
        <v>42.244999</v>
      </c>
      <c r="E872" s="6">
        <v>159.740005</v>
      </c>
      <c r="F872" s="6">
        <v>126.5</v>
      </c>
      <c r="G872" s="6">
        <v>42.41</v>
      </c>
      <c r="H872" s="6">
        <v>123.959999</v>
      </c>
      <c r="I872" s="6">
        <v>205.94000199999999</v>
      </c>
      <c r="J872" s="6">
        <v>28.01</v>
      </c>
      <c r="K872" s="6">
        <v>14.03</v>
      </c>
      <c r="N872" s="18">
        <v>868</v>
      </c>
      <c r="O872" s="1">
        <v>44725</v>
      </c>
      <c r="P872" s="5">
        <f t="shared" si="320"/>
        <v>-5.7992190266455787E-2</v>
      </c>
      <c r="Q872" s="5">
        <f t="shared" si="321"/>
        <v>-5.0847076845586654E-2</v>
      </c>
      <c r="R872" s="5">
        <f t="shared" si="322"/>
        <v>-2.9734622614319788E-2</v>
      </c>
      <c r="S872" s="5">
        <f t="shared" si="323"/>
        <v>-1.7253570941774786E-2</v>
      </c>
      <c r="T872" s="5">
        <f t="shared" si="324"/>
        <v>-5.1534387061506468E-2</v>
      </c>
      <c r="U872" s="5">
        <f t="shared" si="325"/>
        <v>-5.3930655274471773E-2</v>
      </c>
      <c r="V872" s="5">
        <f t="shared" si="326"/>
        <v>-3.5269376140974973E-2</v>
      </c>
      <c r="W872" s="5">
        <f t="shared" si="327"/>
        <v>-1.647038905818091E-2</v>
      </c>
      <c r="X872" s="5">
        <f t="shared" si="328"/>
        <v>-3.3008649289300751E-2</v>
      </c>
      <c r="Y872" s="5">
        <f t="shared" si="329"/>
        <v>-5.7475145175243526E-2</v>
      </c>
      <c r="Z872" s="33">
        <v>868</v>
      </c>
      <c r="AE872" s="20" t="str">
        <f t="shared" si="330"/>
        <v/>
      </c>
      <c r="AF872" s="22" t="str">
        <f t="shared" si="331"/>
        <v/>
      </c>
      <c r="AG872" s="9" t="str">
        <f t="shared" ca="1" si="310"/>
        <v/>
      </c>
      <c r="AH872" s="9" t="str">
        <f t="shared" ca="1" si="311"/>
        <v/>
      </c>
      <c r="AI872" s="9" t="str">
        <f t="shared" ca="1" si="312"/>
        <v/>
      </c>
      <c r="AJ872" s="9" t="str">
        <f t="shared" ca="1" si="313"/>
        <v/>
      </c>
      <c r="AK872" s="9" t="str">
        <f t="shared" ca="1" si="314"/>
        <v/>
      </c>
      <c r="AL872" s="9" t="str">
        <f t="shared" ca="1" si="315"/>
        <v/>
      </c>
      <c r="AM872" s="9" t="str">
        <f t="shared" ca="1" si="316"/>
        <v/>
      </c>
      <c r="AN872" s="9" t="str">
        <f t="shared" ca="1" si="317"/>
        <v/>
      </c>
      <c r="AO872" s="9" t="str">
        <f t="shared" ca="1" si="318"/>
        <v/>
      </c>
      <c r="AP872" s="9" t="str">
        <f t="shared" ca="1" si="319"/>
        <v/>
      </c>
      <c r="AQ872" s="9"/>
      <c r="AR872" s="9"/>
      <c r="AS872" s="9"/>
      <c r="AT872" s="9"/>
      <c r="AU872" s="9"/>
    </row>
    <row r="873" spans="1:47" x14ac:dyDescent="0.3">
      <c r="A873" s="1">
        <v>44726</v>
      </c>
      <c r="B873" s="6">
        <v>370.82000699999998</v>
      </c>
      <c r="C873" s="6">
        <v>295.16000400000001</v>
      </c>
      <c r="D873" s="6">
        <v>44.029998999999997</v>
      </c>
      <c r="E873" s="6">
        <v>156.11999499999999</v>
      </c>
      <c r="F873" s="6">
        <v>126</v>
      </c>
      <c r="G873" s="6">
        <v>42.32</v>
      </c>
      <c r="H873" s="6">
        <v>123</v>
      </c>
      <c r="I873" s="6">
        <v>205.570007</v>
      </c>
      <c r="J873" s="6">
        <v>27.780000999999999</v>
      </c>
      <c r="K873" s="6">
        <v>13.98</v>
      </c>
      <c r="N873" s="19">
        <v>869</v>
      </c>
      <c r="O873" s="1">
        <v>44726</v>
      </c>
      <c r="P873" s="5">
        <f t="shared" si="320"/>
        <v>-2.2357464802903282E-3</v>
      </c>
      <c r="Q873" s="5">
        <f t="shared" si="321"/>
        <v>1.6774975164136865E-2</v>
      </c>
      <c r="R873" s="5">
        <f t="shared" si="322"/>
        <v>4.1385217122507256E-2</v>
      </c>
      <c r="S873" s="5">
        <f t="shared" si="323"/>
        <v>-2.2922614504338797E-2</v>
      </c>
      <c r="T873" s="5">
        <f t="shared" si="324"/>
        <v>-3.9604012160969048E-3</v>
      </c>
      <c r="U873" s="5">
        <f t="shared" si="325"/>
        <v>-2.124395936455266E-3</v>
      </c>
      <c r="V873" s="5">
        <f t="shared" si="326"/>
        <v>-7.7745694800115256E-3</v>
      </c>
      <c r="W873" s="5">
        <f t="shared" si="327"/>
        <v>-1.7982313509288903E-3</v>
      </c>
      <c r="X873" s="5">
        <f t="shared" si="328"/>
        <v>-8.2452159486999504E-3</v>
      </c>
      <c r="Y873" s="5">
        <f t="shared" si="329"/>
        <v>-3.5701573087053144E-3</v>
      </c>
      <c r="Z873" s="33">
        <v>869</v>
      </c>
      <c r="AE873" s="20" t="str">
        <f t="shared" si="330"/>
        <v/>
      </c>
      <c r="AF873" s="22" t="str">
        <f t="shared" si="331"/>
        <v/>
      </c>
      <c r="AG873" s="9" t="str">
        <f t="shared" ca="1" si="310"/>
        <v/>
      </c>
      <c r="AH873" s="9" t="str">
        <f t="shared" ca="1" si="311"/>
        <v/>
      </c>
      <c r="AI873" s="9" t="str">
        <f t="shared" ca="1" si="312"/>
        <v/>
      </c>
      <c r="AJ873" s="9" t="str">
        <f t="shared" ca="1" si="313"/>
        <v/>
      </c>
      <c r="AK873" s="9" t="str">
        <f t="shared" ca="1" si="314"/>
        <v/>
      </c>
      <c r="AL873" s="9" t="str">
        <f t="shared" ca="1" si="315"/>
        <v/>
      </c>
      <c r="AM873" s="9" t="str">
        <f t="shared" ca="1" si="316"/>
        <v/>
      </c>
      <c r="AN873" s="9" t="str">
        <f t="shared" ca="1" si="317"/>
        <v/>
      </c>
      <c r="AO873" s="9" t="str">
        <f t="shared" ca="1" si="318"/>
        <v/>
      </c>
      <c r="AP873" s="9" t="str">
        <f t="shared" ca="1" si="319"/>
        <v/>
      </c>
      <c r="AQ873" s="9"/>
      <c r="AR873" s="9"/>
      <c r="AS873" s="9"/>
      <c r="AT873" s="9"/>
      <c r="AU873" s="9"/>
    </row>
    <row r="874" spans="1:47" x14ac:dyDescent="0.3">
      <c r="A874" s="1">
        <v>44727</v>
      </c>
      <c r="B874" s="6">
        <v>376.92001299999998</v>
      </c>
      <c r="C874" s="6">
        <v>303.23998999999998</v>
      </c>
      <c r="D874" s="6">
        <v>43.935001</v>
      </c>
      <c r="E874" s="6">
        <v>157.78999300000001</v>
      </c>
      <c r="F874" s="6">
        <v>128.550003</v>
      </c>
      <c r="G874" s="6">
        <v>42.939999</v>
      </c>
      <c r="H874" s="6">
        <v>124.05999799999999</v>
      </c>
      <c r="I874" s="6">
        <v>203.83999600000001</v>
      </c>
      <c r="J874" s="6">
        <v>28.049999</v>
      </c>
      <c r="K874" s="6">
        <v>14.85</v>
      </c>
      <c r="N874" s="18">
        <v>870</v>
      </c>
      <c r="O874" s="1">
        <v>44727</v>
      </c>
      <c r="P874" s="5">
        <f t="shared" si="320"/>
        <v>1.6316209281842076E-2</v>
      </c>
      <c r="Q874" s="5">
        <f t="shared" si="321"/>
        <v>2.7006942468785187E-2</v>
      </c>
      <c r="R874" s="5">
        <f t="shared" si="322"/>
        <v>-2.1599053471717217E-3</v>
      </c>
      <c r="S874" s="5">
        <f t="shared" si="323"/>
        <v>1.0640080399048629E-2</v>
      </c>
      <c r="T874" s="5">
        <f t="shared" si="324"/>
        <v>2.0036050097643116E-2</v>
      </c>
      <c r="U874" s="5">
        <f t="shared" si="325"/>
        <v>1.4543981612281478E-2</v>
      </c>
      <c r="V874" s="5">
        <f t="shared" si="326"/>
        <v>8.5809480513221702E-3</v>
      </c>
      <c r="W874" s="5">
        <f t="shared" si="327"/>
        <v>-8.4512898286777938E-3</v>
      </c>
      <c r="X874" s="5">
        <f t="shared" si="328"/>
        <v>9.6722229947634585E-3</v>
      </c>
      <c r="Y874" s="5">
        <f t="shared" si="329"/>
        <v>6.0372128443044459E-2</v>
      </c>
      <c r="Z874" s="33">
        <v>870</v>
      </c>
      <c r="AE874" s="20" t="str">
        <f t="shared" si="330"/>
        <v/>
      </c>
      <c r="AF874" s="22" t="str">
        <f t="shared" si="331"/>
        <v/>
      </c>
      <c r="AG874" s="9" t="str">
        <f t="shared" ca="1" si="310"/>
        <v/>
      </c>
      <c r="AH874" s="9" t="str">
        <f t="shared" ca="1" si="311"/>
        <v/>
      </c>
      <c r="AI874" s="9" t="str">
        <f t="shared" ca="1" si="312"/>
        <v/>
      </c>
      <c r="AJ874" s="9" t="str">
        <f t="shared" ca="1" si="313"/>
        <v/>
      </c>
      <c r="AK874" s="9" t="str">
        <f t="shared" ca="1" si="314"/>
        <v/>
      </c>
      <c r="AL874" s="9" t="str">
        <f t="shared" ca="1" si="315"/>
        <v/>
      </c>
      <c r="AM874" s="9" t="str">
        <f t="shared" ca="1" si="316"/>
        <v/>
      </c>
      <c r="AN874" s="9" t="str">
        <f t="shared" ca="1" si="317"/>
        <v/>
      </c>
      <c r="AO874" s="9" t="str">
        <f t="shared" ca="1" si="318"/>
        <v/>
      </c>
      <c r="AP874" s="9" t="str">
        <f t="shared" ca="1" si="319"/>
        <v/>
      </c>
      <c r="AQ874" s="9"/>
      <c r="AR874" s="9"/>
      <c r="AS874" s="9"/>
      <c r="AT874" s="9"/>
      <c r="AU874" s="9"/>
    </row>
    <row r="875" spans="1:47" x14ac:dyDescent="0.3">
      <c r="A875" s="1">
        <v>44728</v>
      </c>
      <c r="B875" s="6">
        <v>365.07998700000002</v>
      </c>
      <c r="C875" s="6">
        <v>289.48998999999998</v>
      </c>
      <c r="D875" s="6">
        <v>43.945</v>
      </c>
      <c r="E875" s="6">
        <v>157.029999</v>
      </c>
      <c r="F875" s="6">
        <v>127.58000199999999</v>
      </c>
      <c r="G875" s="6">
        <v>42.77</v>
      </c>
      <c r="H875" s="6">
        <v>119.82</v>
      </c>
      <c r="I875" s="6">
        <v>191.820007</v>
      </c>
      <c r="J875" s="6">
        <v>26.59</v>
      </c>
      <c r="K875" s="6">
        <v>13.65</v>
      </c>
      <c r="N875" s="19">
        <v>871</v>
      </c>
      <c r="O875" s="1">
        <v>44728</v>
      </c>
      <c r="P875" s="5">
        <f t="shared" si="320"/>
        <v>-3.1916525788590132E-2</v>
      </c>
      <c r="Q875" s="5">
        <f t="shared" si="321"/>
        <v>-4.6403818652315569E-2</v>
      </c>
      <c r="R875" s="5">
        <f t="shared" si="322"/>
        <v>2.275603079055144E-4</v>
      </c>
      <c r="S875" s="5">
        <f t="shared" si="323"/>
        <v>-4.8281271561635497E-3</v>
      </c>
      <c r="T875" s="5">
        <f t="shared" si="324"/>
        <v>-7.5743225588737091E-3</v>
      </c>
      <c r="U875" s="5">
        <f t="shared" si="325"/>
        <v>-3.9668469235081038E-3</v>
      </c>
      <c r="V875" s="5">
        <f t="shared" si="326"/>
        <v>-3.4774686767960868E-2</v>
      </c>
      <c r="W875" s="5">
        <f t="shared" si="327"/>
        <v>-6.0777883968215013E-2</v>
      </c>
      <c r="X875" s="5">
        <f t="shared" si="328"/>
        <v>-5.3453391063152375E-2</v>
      </c>
      <c r="Y875" s="5">
        <f t="shared" si="329"/>
        <v>-8.4260343617739847E-2</v>
      </c>
      <c r="Z875" s="33">
        <v>871</v>
      </c>
      <c r="AE875" s="20" t="str">
        <f t="shared" si="330"/>
        <v/>
      </c>
      <c r="AF875" s="22" t="str">
        <f t="shared" si="331"/>
        <v/>
      </c>
      <c r="AG875" s="9" t="str">
        <f t="shared" ca="1" si="310"/>
        <v/>
      </c>
      <c r="AH875" s="9" t="str">
        <f t="shared" ca="1" si="311"/>
        <v/>
      </c>
      <c r="AI875" s="9" t="str">
        <f t="shared" ca="1" si="312"/>
        <v/>
      </c>
      <c r="AJ875" s="9" t="str">
        <f t="shared" ca="1" si="313"/>
        <v/>
      </c>
      <c r="AK875" s="9" t="str">
        <f t="shared" ca="1" si="314"/>
        <v/>
      </c>
      <c r="AL875" s="9" t="str">
        <f t="shared" ca="1" si="315"/>
        <v/>
      </c>
      <c r="AM875" s="9" t="str">
        <f t="shared" ca="1" si="316"/>
        <v/>
      </c>
      <c r="AN875" s="9" t="str">
        <f t="shared" ca="1" si="317"/>
        <v/>
      </c>
      <c r="AO875" s="9" t="str">
        <f t="shared" ca="1" si="318"/>
        <v/>
      </c>
      <c r="AP875" s="9" t="str">
        <f t="shared" ca="1" si="319"/>
        <v/>
      </c>
      <c r="AQ875" s="9"/>
      <c r="AR875" s="9"/>
      <c r="AS875" s="9"/>
      <c r="AT875" s="9"/>
      <c r="AU875" s="9"/>
    </row>
    <row r="876" spans="1:47" x14ac:dyDescent="0.3">
      <c r="A876" s="1">
        <v>44729</v>
      </c>
      <c r="B876" s="6">
        <v>360.790009</v>
      </c>
      <c r="C876" s="6">
        <v>296.17999300000002</v>
      </c>
      <c r="D876" s="6">
        <v>44.060001</v>
      </c>
      <c r="E876" s="6">
        <v>157.05999800000001</v>
      </c>
      <c r="F876" s="6">
        <v>128.58000200000001</v>
      </c>
      <c r="G876" s="6">
        <v>43.529998999999997</v>
      </c>
      <c r="H876" s="6">
        <v>117.290001</v>
      </c>
      <c r="I876" s="6">
        <v>195.729996</v>
      </c>
      <c r="J876" s="6">
        <v>27.049999</v>
      </c>
      <c r="K876" s="6">
        <v>14.22</v>
      </c>
      <c r="N876" s="18">
        <v>872</v>
      </c>
      <c r="O876" s="1">
        <v>44729</v>
      </c>
      <c r="P876" s="5">
        <f t="shared" si="320"/>
        <v>-1.1820375476668308E-2</v>
      </c>
      <c r="Q876" s="5">
        <f t="shared" si="321"/>
        <v>2.2846634416473527E-2</v>
      </c>
      <c r="R876" s="5">
        <f t="shared" si="322"/>
        <v>2.6135120539114444E-3</v>
      </c>
      <c r="S876" s="5">
        <f t="shared" si="323"/>
        <v>1.9102168408889684E-4</v>
      </c>
      <c r="T876" s="5">
        <f t="shared" si="324"/>
        <v>7.8076597778116907E-3</v>
      </c>
      <c r="U876" s="5">
        <f t="shared" si="325"/>
        <v>1.76134103527259E-2</v>
      </c>
      <c r="V876" s="5">
        <f t="shared" si="326"/>
        <v>-2.1341107596489026E-2</v>
      </c>
      <c r="W876" s="5">
        <f t="shared" si="327"/>
        <v>2.0178669285767285E-2</v>
      </c>
      <c r="X876" s="5">
        <f t="shared" si="328"/>
        <v>1.7151763068984697E-2</v>
      </c>
      <c r="Y876" s="5">
        <f t="shared" si="329"/>
        <v>4.0909902744126148E-2</v>
      </c>
      <c r="Z876" s="33">
        <v>872</v>
      </c>
      <c r="AE876" s="20" t="str">
        <f t="shared" si="330"/>
        <v/>
      </c>
      <c r="AF876" s="22" t="str">
        <f t="shared" si="331"/>
        <v/>
      </c>
      <c r="AG876" s="9" t="str">
        <f t="shared" ca="1" si="310"/>
        <v/>
      </c>
      <c r="AH876" s="9" t="str">
        <f t="shared" ca="1" si="311"/>
        <v/>
      </c>
      <c r="AI876" s="9" t="str">
        <f t="shared" ca="1" si="312"/>
        <v/>
      </c>
      <c r="AJ876" s="9" t="str">
        <f t="shared" ca="1" si="313"/>
        <v/>
      </c>
      <c r="AK876" s="9" t="str">
        <f t="shared" ca="1" si="314"/>
        <v/>
      </c>
      <c r="AL876" s="9" t="str">
        <f t="shared" ca="1" si="315"/>
        <v/>
      </c>
      <c r="AM876" s="9" t="str">
        <f t="shared" ca="1" si="316"/>
        <v/>
      </c>
      <c r="AN876" s="9" t="str">
        <f t="shared" ca="1" si="317"/>
        <v/>
      </c>
      <c r="AO876" s="9" t="str">
        <f t="shared" ca="1" si="318"/>
        <v/>
      </c>
      <c r="AP876" s="9" t="str">
        <f t="shared" ca="1" si="319"/>
        <v/>
      </c>
      <c r="AQ876" s="9"/>
      <c r="AR876" s="9"/>
      <c r="AS876" s="9"/>
      <c r="AT876" s="9"/>
      <c r="AU876" s="9"/>
    </row>
    <row r="877" spans="1:47" x14ac:dyDescent="0.3">
      <c r="A877" s="1">
        <v>44733</v>
      </c>
      <c r="B877" s="6">
        <v>362.98998999999998</v>
      </c>
      <c r="C877" s="6">
        <v>302.22000100000002</v>
      </c>
      <c r="D877" s="6">
        <v>45.419998</v>
      </c>
      <c r="E877" s="6">
        <v>160.71000699999999</v>
      </c>
      <c r="F877" s="6">
        <v>130.36999499999999</v>
      </c>
      <c r="G877" s="6">
        <v>44.099997999999999</v>
      </c>
      <c r="H877" s="6">
        <v>119.220001</v>
      </c>
      <c r="I877" s="6">
        <v>197.53999300000001</v>
      </c>
      <c r="J877" s="6">
        <v>27.209999</v>
      </c>
      <c r="K877" s="6">
        <v>14.04</v>
      </c>
      <c r="N877" s="19">
        <v>873</v>
      </c>
      <c r="O877" s="1">
        <v>44733</v>
      </c>
      <c r="P877" s="5">
        <f t="shared" si="320"/>
        <v>6.0791615636828266E-3</v>
      </c>
      <c r="Q877" s="5">
        <f t="shared" si="321"/>
        <v>2.0187878319381482E-2</v>
      </c>
      <c r="R877" s="5">
        <f t="shared" si="322"/>
        <v>3.0400128573426013E-2</v>
      </c>
      <c r="S877" s="5">
        <f t="shared" si="323"/>
        <v>2.297365690495317E-2</v>
      </c>
      <c r="T877" s="5">
        <f t="shared" si="324"/>
        <v>1.3825229054245641E-2</v>
      </c>
      <c r="U877" s="5">
        <f t="shared" si="325"/>
        <v>1.3009404509782071E-2</v>
      </c>
      <c r="V877" s="5">
        <f t="shared" si="326"/>
        <v>1.6321025120344994E-2</v>
      </c>
      <c r="W877" s="5">
        <f t="shared" si="327"/>
        <v>9.2049219660026941E-3</v>
      </c>
      <c r="X877" s="5">
        <f t="shared" si="328"/>
        <v>5.897547720046724E-3</v>
      </c>
      <c r="Y877" s="5">
        <f t="shared" si="329"/>
        <v>-1.2739025777429826E-2</v>
      </c>
      <c r="Z877" s="33">
        <v>873</v>
      </c>
      <c r="AE877" s="20" t="str">
        <f t="shared" si="330"/>
        <v/>
      </c>
      <c r="AF877" s="22" t="str">
        <f t="shared" si="331"/>
        <v/>
      </c>
      <c r="AG877" s="9" t="str">
        <f t="shared" ca="1" si="310"/>
        <v/>
      </c>
      <c r="AH877" s="9" t="str">
        <f t="shared" ca="1" si="311"/>
        <v/>
      </c>
      <c r="AI877" s="9" t="str">
        <f t="shared" ca="1" si="312"/>
        <v/>
      </c>
      <c r="AJ877" s="9" t="str">
        <f t="shared" ca="1" si="313"/>
        <v/>
      </c>
      <c r="AK877" s="9" t="str">
        <f t="shared" ca="1" si="314"/>
        <v/>
      </c>
      <c r="AL877" s="9" t="str">
        <f t="shared" ca="1" si="315"/>
        <v/>
      </c>
      <c r="AM877" s="9" t="str">
        <f t="shared" ca="1" si="316"/>
        <v/>
      </c>
      <c r="AN877" s="9" t="str">
        <f t="shared" ca="1" si="317"/>
        <v/>
      </c>
      <c r="AO877" s="9" t="str">
        <f t="shared" ca="1" si="318"/>
        <v/>
      </c>
      <c r="AP877" s="9" t="str">
        <f t="shared" ca="1" si="319"/>
        <v/>
      </c>
      <c r="AQ877" s="9"/>
      <c r="AR877" s="9"/>
      <c r="AS877" s="9"/>
      <c r="AT877" s="9"/>
      <c r="AU877" s="9"/>
    </row>
    <row r="878" spans="1:47" x14ac:dyDescent="0.3">
      <c r="A878" s="1">
        <v>44734</v>
      </c>
      <c r="B878" s="6">
        <v>365.32998700000002</v>
      </c>
      <c r="C878" s="6">
        <v>301.23998999999998</v>
      </c>
      <c r="D878" s="6">
        <v>45.369999</v>
      </c>
      <c r="E878" s="6">
        <v>162.029999</v>
      </c>
      <c r="F878" s="6">
        <v>131.88999899999999</v>
      </c>
      <c r="G878" s="6">
        <v>44.48</v>
      </c>
      <c r="H878" s="6">
        <v>119.41999800000001</v>
      </c>
      <c r="I878" s="6">
        <v>196.60000600000001</v>
      </c>
      <c r="J878" s="6">
        <v>27.23</v>
      </c>
      <c r="K878" s="6">
        <v>13.97</v>
      </c>
      <c r="N878" s="18">
        <v>874</v>
      </c>
      <c r="O878" s="1">
        <v>44734</v>
      </c>
      <c r="P878" s="5">
        <f t="shared" si="320"/>
        <v>6.4257609993115137E-3</v>
      </c>
      <c r="Q878" s="5">
        <f t="shared" si="321"/>
        <v>-3.2479762574344072E-3</v>
      </c>
      <c r="R878" s="5">
        <f t="shared" si="322"/>
        <v>-1.1014210090699228E-3</v>
      </c>
      <c r="S878" s="5">
        <f t="shared" si="323"/>
        <v>8.1799549835181416E-3</v>
      </c>
      <c r="T878" s="5">
        <f t="shared" si="324"/>
        <v>1.1591710933412538E-2</v>
      </c>
      <c r="U878" s="5">
        <f t="shared" si="325"/>
        <v>8.579912841001569E-3</v>
      </c>
      <c r="V878" s="5">
        <f t="shared" si="326"/>
        <v>1.6761401915980766E-3</v>
      </c>
      <c r="W878" s="5">
        <f t="shared" si="327"/>
        <v>-4.7698218122339377E-3</v>
      </c>
      <c r="X878" s="5">
        <f t="shared" si="328"/>
        <v>7.3479064170835142E-4</v>
      </c>
      <c r="Y878" s="5">
        <f t="shared" si="329"/>
        <v>-4.9982253287945569E-3</v>
      </c>
      <c r="Z878" s="33">
        <v>874</v>
      </c>
      <c r="AE878" s="20" t="str">
        <f t="shared" si="330"/>
        <v/>
      </c>
      <c r="AF878" s="22" t="str">
        <f t="shared" si="331"/>
        <v/>
      </c>
      <c r="AG878" s="9" t="str">
        <f t="shared" ca="1" si="310"/>
        <v/>
      </c>
      <c r="AH878" s="9" t="str">
        <f t="shared" ca="1" si="311"/>
        <v/>
      </c>
      <c r="AI878" s="9" t="str">
        <f t="shared" ca="1" si="312"/>
        <v/>
      </c>
      <c r="AJ878" s="9" t="str">
        <f t="shared" ca="1" si="313"/>
        <v/>
      </c>
      <c r="AK878" s="9" t="str">
        <f t="shared" ca="1" si="314"/>
        <v/>
      </c>
      <c r="AL878" s="9" t="str">
        <f t="shared" ca="1" si="315"/>
        <v/>
      </c>
      <c r="AM878" s="9" t="str">
        <f t="shared" ca="1" si="316"/>
        <v/>
      </c>
      <c r="AN878" s="9" t="str">
        <f t="shared" ca="1" si="317"/>
        <v/>
      </c>
      <c r="AO878" s="9" t="str">
        <f t="shared" ca="1" si="318"/>
        <v/>
      </c>
      <c r="AP878" s="9" t="str">
        <f t="shared" ca="1" si="319"/>
        <v/>
      </c>
      <c r="AQ878" s="9"/>
      <c r="AR878" s="9"/>
      <c r="AS878" s="9"/>
      <c r="AT878" s="9"/>
      <c r="AU878" s="9"/>
    </row>
    <row r="879" spans="1:47" x14ac:dyDescent="0.3">
      <c r="A879" s="1">
        <v>44735</v>
      </c>
      <c r="B879" s="6">
        <v>376.64001500000001</v>
      </c>
      <c r="C879" s="6">
        <v>309.25</v>
      </c>
      <c r="D879" s="6">
        <v>46.09</v>
      </c>
      <c r="E879" s="6">
        <v>164.10000600000001</v>
      </c>
      <c r="F879" s="6">
        <v>134.61000100000001</v>
      </c>
      <c r="G879" s="6">
        <v>45.700001</v>
      </c>
      <c r="H879" s="6">
        <v>118.58000199999999</v>
      </c>
      <c r="I879" s="6">
        <v>195.820007</v>
      </c>
      <c r="J879" s="6">
        <v>26.940000999999999</v>
      </c>
      <c r="K879" s="6">
        <v>14.12</v>
      </c>
      <c r="N879" s="19">
        <v>875</v>
      </c>
      <c r="O879" s="1">
        <v>44735</v>
      </c>
      <c r="P879" s="5">
        <f t="shared" si="320"/>
        <v>3.0488844771371256E-2</v>
      </c>
      <c r="Q879" s="5">
        <f t="shared" si="321"/>
        <v>2.6242755235569574E-2</v>
      </c>
      <c r="R879" s="5">
        <f t="shared" si="322"/>
        <v>1.5744935097540994E-2</v>
      </c>
      <c r="S879" s="5">
        <f t="shared" si="323"/>
        <v>1.2694537557903077E-2</v>
      </c>
      <c r="T879" s="5">
        <f t="shared" si="324"/>
        <v>2.0413481829153056E-2</v>
      </c>
      <c r="U879" s="5">
        <f t="shared" si="325"/>
        <v>2.7058669839669883E-2</v>
      </c>
      <c r="V879" s="5">
        <f t="shared" si="326"/>
        <v>-7.0588192257606958E-3</v>
      </c>
      <c r="W879" s="5">
        <f t="shared" si="327"/>
        <v>-3.9753325588463622E-3</v>
      </c>
      <c r="X879" s="5">
        <f t="shared" si="328"/>
        <v>-1.0707098583926178E-2</v>
      </c>
      <c r="Y879" s="5">
        <f t="shared" si="329"/>
        <v>1.0680058796225531E-2</v>
      </c>
      <c r="Z879" s="33">
        <v>875</v>
      </c>
      <c r="AE879" s="20" t="str">
        <f t="shared" si="330"/>
        <v/>
      </c>
      <c r="AF879" s="22" t="str">
        <f t="shared" si="331"/>
        <v/>
      </c>
      <c r="AG879" s="9" t="str">
        <f t="shared" ca="1" si="310"/>
        <v/>
      </c>
      <c r="AH879" s="9" t="str">
        <f t="shared" ca="1" si="311"/>
        <v/>
      </c>
      <c r="AI879" s="9" t="str">
        <f t="shared" ca="1" si="312"/>
        <v/>
      </c>
      <c r="AJ879" s="9" t="str">
        <f t="shared" ca="1" si="313"/>
        <v/>
      </c>
      <c r="AK879" s="9" t="str">
        <f t="shared" ca="1" si="314"/>
        <v/>
      </c>
      <c r="AL879" s="9" t="str">
        <f t="shared" ca="1" si="315"/>
        <v/>
      </c>
      <c r="AM879" s="9" t="str">
        <f t="shared" ca="1" si="316"/>
        <v/>
      </c>
      <c r="AN879" s="9" t="str">
        <f t="shared" ca="1" si="317"/>
        <v/>
      </c>
      <c r="AO879" s="9" t="str">
        <f t="shared" ca="1" si="318"/>
        <v/>
      </c>
      <c r="AP879" s="9" t="str">
        <f t="shared" ca="1" si="319"/>
        <v/>
      </c>
      <c r="AQ879" s="9"/>
      <c r="AR879" s="9"/>
      <c r="AS879" s="9"/>
      <c r="AT879" s="9"/>
      <c r="AU879" s="9"/>
    </row>
    <row r="880" spans="1:47" x14ac:dyDescent="0.3">
      <c r="A880" s="1">
        <v>44736</v>
      </c>
      <c r="B880" s="6">
        <v>387.72000100000002</v>
      </c>
      <c r="C880" s="6">
        <v>317.47000100000002</v>
      </c>
      <c r="D880" s="6">
        <v>47.290000999999997</v>
      </c>
      <c r="E880" s="6">
        <v>166.13000500000001</v>
      </c>
      <c r="F880" s="6">
        <v>135.11000100000001</v>
      </c>
      <c r="G880" s="6">
        <v>46.150002000000001</v>
      </c>
      <c r="H880" s="6">
        <v>123.220001</v>
      </c>
      <c r="I880" s="6">
        <v>201.86999499999999</v>
      </c>
      <c r="J880" s="6">
        <v>27.98</v>
      </c>
      <c r="K880" s="6">
        <v>14.28</v>
      </c>
      <c r="N880" s="18">
        <v>876</v>
      </c>
      <c r="O880" s="1">
        <v>44736</v>
      </c>
      <c r="P880" s="5">
        <f t="shared" si="320"/>
        <v>2.8993568305848517E-2</v>
      </c>
      <c r="Q880" s="5">
        <f t="shared" si="321"/>
        <v>2.6233317556786529E-2</v>
      </c>
      <c r="R880" s="5">
        <f t="shared" si="322"/>
        <v>2.5702871069486752E-2</v>
      </c>
      <c r="S880" s="5">
        <f t="shared" si="323"/>
        <v>1.22946098361831E-2</v>
      </c>
      <c r="T880" s="5">
        <f t="shared" si="324"/>
        <v>3.70755278837417E-3</v>
      </c>
      <c r="U880" s="5">
        <f t="shared" si="325"/>
        <v>9.7986845038081898E-3</v>
      </c>
      <c r="V880" s="5">
        <f t="shared" si="326"/>
        <v>3.8383528556518068E-2</v>
      </c>
      <c r="W880" s="5">
        <f t="shared" si="327"/>
        <v>3.0427995426881384E-2</v>
      </c>
      <c r="X880" s="5">
        <f t="shared" si="328"/>
        <v>3.7877761135593095E-2</v>
      </c>
      <c r="Y880" s="5">
        <f t="shared" si="329"/>
        <v>1.1267724846342288E-2</v>
      </c>
      <c r="Z880" s="33">
        <v>876</v>
      </c>
      <c r="AE880" s="20" t="str">
        <f t="shared" si="330"/>
        <v/>
      </c>
      <c r="AF880" s="22" t="str">
        <f t="shared" si="331"/>
        <v/>
      </c>
      <c r="AG880" s="9" t="str">
        <f t="shared" ca="1" si="310"/>
        <v/>
      </c>
      <c r="AH880" s="9" t="str">
        <f t="shared" ca="1" si="311"/>
        <v/>
      </c>
      <c r="AI880" s="9" t="str">
        <f t="shared" ca="1" si="312"/>
        <v/>
      </c>
      <c r="AJ880" s="9" t="str">
        <f t="shared" ca="1" si="313"/>
        <v/>
      </c>
      <c r="AK880" s="9" t="str">
        <f t="shared" ca="1" si="314"/>
        <v/>
      </c>
      <c r="AL880" s="9" t="str">
        <f t="shared" ca="1" si="315"/>
        <v/>
      </c>
      <c r="AM880" s="9" t="str">
        <f t="shared" ca="1" si="316"/>
        <v/>
      </c>
      <c r="AN880" s="9" t="str">
        <f t="shared" ca="1" si="317"/>
        <v/>
      </c>
      <c r="AO880" s="9" t="str">
        <f t="shared" ca="1" si="318"/>
        <v/>
      </c>
      <c r="AP880" s="9" t="str">
        <f t="shared" ca="1" si="319"/>
        <v/>
      </c>
      <c r="AQ880" s="9"/>
      <c r="AR880" s="9"/>
      <c r="AS880" s="9"/>
      <c r="AT880" s="9"/>
      <c r="AU880" s="9"/>
    </row>
    <row r="881" spans="1:47" x14ac:dyDescent="0.3">
      <c r="A881" s="1">
        <v>44739</v>
      </c>
      <c r="B881" s="6">
        <v>381.07000699999998</v>
      </c>
      <c r="C881" s="6">
        <v>311.85998499999999</v>
      </c>
      <c r="D881" s="6">
        <v>47.104999999999997</v>
      </c>
      <c r="E881" s="6">
        <v>166.35000600000001</v>
      </c>
      <c r="F881" s="6">
        <v>135.550003</v>
      </c>
      <c r="G881" s="6">
        <v>46.68</v>
      </c>
      <c r="H881" s="6">
        <v>123.07</v>
      </c>
      <c r="I881" s="6">
        <v>204.070007</v>
      </c>
      <c r="J881" s="6">
        <v>28</v>
      </c>
      <c r="K881" s="6">
        <v>14.08</v>
      </c>
      <c r="N881" s="19">
        <v>877</v>
      </c>
      <c r="O881" s="1">
        <v>44739</v>
      </c>
      <c r="P881" s="5">
        <f t="shared" si="320"/>
        <v>-1.7300328549182755E-2</v>
      </c>
      <c r="Q881" s="5">
        <f t="shared" si="321"/>
        <v>-1.7829007771151338E-2</v>
      </c>
      <c r="R881" s="5">
        <f t="shared" si="322"/>
        <v>-3.9197253012727461E-3</v>
      </c>
      <c r="S881" s="5">
        <f t="shared" si="323"/>
        <v>1.3233940377163618E-3</v>
      </c>
      <c r="T881" s="5">
        <f t="shared" si="324"/>
        <v>3.251329203484385E-3</v>
      </c>
      <c r="U881" s="5">
        <f t="shared" si="325"/>
        <v>1.141880313255019E-2</v>
      </c>
      <c r="V881" s="5">
        <f t="shared" si="326"/>
        <v>-1.2180845177449928E-3</v>
      </c>
      <c r="W881" s="5">
        <f t="shared" si="327"/>
        <v>1.0839205443028424E-2</v>
      </c>
      <c r="X881" s="5">
        <f t="shared" si="328"/>
        <v>7.1454093786885034E-4</v>
      </c>
      <c r="Y881" s="5">
        <f t="shared" si="329"/>
        <v>-1.4104606181541935E-2</v>
      </c>
      <c r="Z881" s="33">
        <v>877</v>
      </c>
      <c r="AE881" s="20" t="str">
        <f t="shared" si="330"/>
        <v/>
      </c>
      <c r="AF881" s="22" t="str">
        <f t="shared" si="331"/>
        <v/>
      </c>
      <c r="AG881" s="9" t="str">
        <f t="shared" ca="1" si="310"/>
        <v/>
      </c>
      <c r="AH881" s="9" t="str">
        <f t="shared" ca="1" si="311"/>
        <v/>
      </c>
      <c r="AI881" s="9" t="str">
        <f t="shared" ca="1" si="312"/>
        <v/>
      </c>
      <c r="AJ881" s="9" t="str">
        <f t="shared" ca="1" si="313"/>
        <v/>
      </c>
      <c r="AK881" s="9" t="str">
        <f t="shared" ca="1" si="314"/>
        <v/>
      </c>
      <c r="AL881" s="9" t="str">
        <f t="shared" ca="1" si="315"/>
        <v/>
      </c>
      <c r="AM881" s="9" t="str">
        <f t="shared" ca="1" si="316"/>
        <v/>
      </c>
      <c r="AN881" s="9" t="str">
        <f t="shared" ca="1" si="317"/>
        <v/>
      </c>
      <c r="AO881" s="9" t="str">
        <f t="shared" ca="1" si="318"/>
        <v/>
      </c>
      <c r="AP881" s="9" t="str">
        <f t="shared" ca="1" si="319"/>
        <v/>
      </c>
      <c r="AQ881" s="9"/>
      <c r="AR881" s="9"/>
      <c r="AS881" s="9"/>
      <c r="AT881" s="9"/>
      <c r="AU881" s="9"/>
    </row>
    <row r="882" spans="1:47" x14ac:dyDescent="0.3">
      <c r="A882" s="1">
        <v>44740</v>
      </c>
      <c r="B882" s="6">
        <v>365.63000499999998</v>
      </c>
      <c r="C882" s="6">
        <v>303.67001299999998</v>
      </c>
      <c r="D882" s="6">
        <v>45.404998999999997</v>
      </c>
      <c r="E882" s="6">
        <v>164.009995</v>
      </c>
      <c r="F882" s="6">
        <v>134.779999</v>
      </c>
      <c r="G882" s="6">
        <v>46.25</v>
      </c>
      <c r="H882" s="6">
        <v>121.779999</v>
      </c>
      <c r="I882" s="6">
        <v>201.11000100000001</v>
      </c>
      <c r="J882" s="6">
        <v>27.48</v>
      </c>
      <c r="K882" s="6">
        <v>13.66</v>
      </c>
      <c r="N882" s="18">
        <v>878</v>
      </c>
      <c r="O882" s="1">
        <v>44740</v>
      </c>
      <c r="P882" s="5">
        <f t="shared" si="320"/>
        <v>-4.1361196873087619E-2</v>
      </c>
      <c r="Q882" s="5">
        <f t="shared" si="321"/>
        <v>-2.6612692768593911E-2</v>
      </c>
      <c r="R882" s="5">
        <f t="shared" si="322"/>
        <v>-3.675694338284579E-2</v>
      </c>
      <c r="S882" s="5">
        <f t="shared" si="323"/>
        <v>-1.4166667443944144E-2</v>
      </c>
      <c r="T882" s="5">
        <f t="shared" si="324"/>
        <v>-5.6967859781563695E-3</v>
      </c>
      <c r="U882" s="5">
        <f t="shared" si="325"/>
        <v>-9.2543434599210248E-3</v>
      </c>
      <c r="V882" s="5">
        <f t="shared" si="326"/>
        <v>-1.0537169215346217E-2</v>
      </c>
      <c r="W882" s="5">
        <f t="shared" si="327"/>
        <v>-1.4611079524034285E-2</v>
      </c>
      <c r="X882" s="5">
        <f t="shared" si="328"/>
        <v>-1.8746042821055332E-2</v>
      </c>
      <c r="Y882" s="5">
        <f t="shared" si="329"/>
        <v>-3.0283496587252295E-2</v>
      </c>
      <c r="Z882" s="33">
        <v>878</v>
      </c>
      <c r="AE882" s="20" t="str">
        <f t="shared" si="330"/>
        <v/>
      </c>
      <c r="AF882" s="22" t="str">
        <f t="shared" si="331"/>
        <v/>
      </c>
      <c r="AG882" s="9" t="str">
        <f t="shared" ca="1" si="310"/>
        <v/>
      </c>
      <c r="AH882" s="9" t="str">
        <f t="shared" ca="1" si="311"/>
        <v/>
      </c>
      <c r="AI882" s="9" t="str">
        <f t="shared" ca="1" si="312"/>
        <v/>
      </c>
      <c r="AJ882" s="9" t="str">
        <f t="shared" ca="1" si="313"/>
        <v/>
      </c>
      <c r="AK882" s="9" t="str">
        <f t="shared" ca="1" si="314"/>
        <v/>
      </c>
      <c r="AL882" s="9" t="str">
        <f t="shared" ca="1" si="315"/>
        <v/>
      </c>
      <c r="AM882" s="9" t="str">
        <f t="shared" ca="1" si="316"/>
        <v/>
      </c>
      <c r="AN882" s="9" t="str">
        <f t="shared" ca="1" si="317"/>
        <v/>
      </c>
      <c r="AO882" s="9" t="str">
        <f t="shared" ca="1" si="318"/>
        <v/>
      </c>
      <c r="AP882" s="9" t="str">
        <f t="shared" ca="1" si="319"/>
        <v/>
      </c>
      <c r="AQ882" s="9"/>
      <c r="AR882" s="9"/>
      <c r="AS882" s="9"/>
      <c r="AT882" s="9"/>
      <c r="AU882" s="9"/>
    </row>
    <row r="883" spans="1:47" x14ac:dyDescent="0.3">
      <c r="A883" s="1">
        <v>44741</v>
      </c>
      <c r="B883" s="6">
        <v>368.5</v>
      </c>
      <c r="C883" s="6">
        <v>306.05999800000001</v>
      </c>
      <c r="D883" s="6">
        <v>46.674999</v>
      </c>
      <c r="E883" s="6">
        <v>166.729996</v>
      </c>
      <c r="F883" s="6">
        <v>133.91999799999999</v>
      </c>
      <c r="G883" s="6">
        <v>46.290000999999997</v>
      </c>
      <c r="H883" s="6">
        <v>121.260002</v>
      </c>
      <c r="I883" s="6">
        <v>198.86999499999999</v>
      </c>
      <c r="J883" s="6">
        <v>27.440000999999999</v>
      </c>
      <c r="K883" s="6">
        <v>13.17</v>
      </c>
      <c r="N883" s="19">
        <v>879</v>
      </c>
      <c r="O883" s="1">
        <v>44741</v>
      </c>
      <c r="P883" s="5">
        <f t="shared" si="320"/>
        <v>7.8188048480734521E-3</v>
      </c>
      <c r="Q883" s="5">
        <f t="shared" si="321"/>
        <v>7.8395263385851559E-3</v>
      </c>
      <c r="R883" s="5">
        <f t="shared" si="322"/>
        <v>2.7586458885255398E-2</v>
      </c>
      <c r="S883" s="5">
        <f t="shared" si="323"/>
        <v>1.6448342492412556E-2</v>
      </c>
      <c r="T883" s="5">
        <f t="shared" si="324"/>
        <v>-6.4012202916965992E-3</v>
      </c>
      <c r="U883" s="5">
        <f t="shared" si="325"/>
        <v>8.6451268768265833E-4</v>
      </c>
      <c r="V883" s="5">
        <f t="shared" si="326"/>
        <v>-4.2791128318294888E-3</v>
      </c>
      <c r="W883" s="5">
        <f t="shared" si="327"/>
        <v>-1.1200707239557777E-2</v>
      </c>
      <c r="X883" s="5">
        <f t="shared" si="328"/>
        <v>-1.4566280533162032E-3</v>
      </c>
      <c r="Y883" s="5">
        <f t="shared" si="329"/>
        <v>-3.6530338387454404E-2</v>
      </c>
      <c r="Z883" s="33">
        <v>879</v>
      </c>
      <c r="AE883" s="20" t="str">
        <f t="shared" si="330"/>
        <v/>
      </c>
      <c r="AF883" s="22" t="str">
        <f t="shared" si="331"/>
        <v/>
      </c>
      <c r="AG883" s="9" t="str">
        <f t="shared" ca="1" si="310"/>
        <v/>
      </c>
      <c r="AH883" s="9" t="str">
        <f t="shared" ca="1" si="311"/>
        <v/>
      </c>
      <c r="AI883" s="9" t="str">
        <f t="shared" ca="1" si="312"/>
        <v/>
      </c>
      <c r="AJ883" s="9" t="str">
        <f t="shared" ca="1" si="313"/>
        <v/>
      </c>
      <c r="AK883" s="9" t="str">
        <f t="shared" ca="1" si="314"/>
        <v/>
      </c>
      <c r="AL883" s="9" t="str">
        <f t="shared" ca="1" si="315"/>
        <v/>
      </c>
      <c r="AM883" s="9" t="str">
        <f t="shared" ca="1" si="316"/>
        <v/>
      </c>
      <c r="AN883" s="9" t="str">
        <f t="shared" ca="1" si="317"/>
        <v/>
      </c>
      <c r="AO883" s="9" t="str">
        <f t="shared" ca="1" si="318"/>
        <v/>
      </c>
      <c r="AP883" s="9" t="str">
        <f t="shared" ca="1" si="319"/>
        <v/>
      </c>
      <c r="AQ883" s="9"/>
      <c r="AR883" s="9"/>
      <c r="AS883" s="9"/>
      <c r="AT883" s="9"/>
      <c r="AU883" s="9"/>
    </row>
    <row r="884" spans="1:47" x14ac:dyDescent="0.3">
      <c r="A884" s="1">
        <v>44742</v>
      </c>
      <c r="B884" s="6">
        <v>366.05999800000001</v>
      </c>
      <c r="C884" s="6">
        <v>303.70001200000002</v>
      </c>
      <c r="D884" s="6">
        <v>46.349997999999999</v>
      </c>
      <c r="E884" s="6">
        <v>166.66000399999999</v>
      </c>
      <c r="F884" s="6">
        <v>134.479996</v>
      </c>
      <c r="G884" s="6">
        <v>46.040000999999997</v>
      </c>
      <c r="H884" s="6">
        <v>121.32</v>
      </c>
      <c r="I884" s="6">
        <v>197.029999</v>
      </c>
      <c r="J884" s="6">
        <v>27.530000999999999</v>
      </c>
      <c r="K884" s="6">
        <v>13.42</v>
      </c>
      <c r="N884" s="18">
        <v>880</v>
      </c>
      <c r="O884" s="1">
        <v>44742</v>
      </c>
      <c r="P884" s="5">
        <f t="shared" si="320"/>
        <v>-6.6434627011603782E-3</v>
      </c>
      <c r="Q884" s="5">
        <f t="shared" si="321"/>
        <v>-7.740743063844497E-3</v>
      </c>
      <c r="R884" s="5">
        <f t="shared" si="322"/>
        <v>-6.9874191411233499E-3</v>
      </c>
      <c r="S884" s="5">
        <f t="shared" si="323"/>
        <v>-4.1988062646337621E-4</v>
      </c>
      <c r="T884" s="5">
        <f t="shared" si="324"/>
        <v>4.172867549283971E-3</v>
      </c>
      <c r="U884" s="5">
        <f t="shared" si="325"/>
        <v>-5.4153710721920557E-3</v>
      </c>
      <c r="V884" s="5">
        <f t="shared" si="326"/>
        <v>4.9466568331066677E-4</v>
      </c>
      <c r="W884" s="5">
        <f t="shared" si="327"/>
        <v>-9.2953234468497476E-3</v>
      </c>
      <c r="X884" s="5">
        <f t="shared" si="328"/>
        <v>3.2745161776928447E-3</v>
      </c>
      <c r="Y884" s="5">
        <f t="shared" si="329"/>
        <v>1.880461578834608E-2</v>
      </c>
      <c r="Z884" s="33">
        <v>880</v>
      </c>
      <c r="AE884" s="20" t="str">
        <f t="shared" si="330"/>
        <v/>
      </c>
      <c r="AF884" s="22" t="str">
        <f t="shared" si="331"/>
        <v/>
      </c>
      <c r="AG884" s="9" t="str">
        <f t="shared" ca="1" si="310"/>
        <v/>
      </c>
      <c r="AH884" s="9" t="str">
        <f t="shared" ca="1" si="311"/>
        <v/>
      </c>
      <c r="AI884" s="9" t="str">
        <f t="shared" ca="1" si="312"/>
        <v/>
      </c>
      <c r="AJ884" s="9" t="str">
        <f t="shared" ca="1" si="313"/>
        <v/>
      </c>
      <c r="AK884" s="9" t="str">
        <f t="shared" ca="1" si="314"/>
        <v/>
      </c>
      <c r="AL884" s="9" t="str">
        <f t="shared" ca="1" si="315"/>
        <v/>
      </c>
      <c r="AM884" s="9" t="str">
        <f t="shared" ca="1" si="316"/>
        <v/>
      </c>
      <c r="AN884" s="9" t="str">
        <f t="shared" ca="1" si="317"/>
        <v/>
      </c>
      <c r="AO884" s="9" t="str">
        <f t="shared" ca="1" si="318"/>
        <v/>
      </c>
      <c r="AP884" s="9" t="str">
        <f t="shared" ca="1" si="319"/>
        <v/>
      </c>
      <c r="AQ884" s="9"/>
      <c r="AR884" s="9"/>
      <c r="AS884" s="9"/>
      <c r="AT884" s="9"/>
      <c r="AU884" s="9"/>
    </row>
    <row r="885" spans="1:47" x14ac:dyDescent="0.3">
      <c r="A885" s="1">
        <v>44743</v>
      </c>
      <c r="B885" s="6">
        <v>368.48001099999999</v>
      </c>
      <c r="C885" s="6">
        <v>301.23001099999999</v>
      </c>
      <c r="D885" s="6">
        <v>47.294998</v>
      </c>
      <c r="E885" s="6">
        <v>169.38999899999999</v>
      </c>
      <c r="F885" s="6">
        <v>136.05999800000001</v>
      </c>
      <c r="G885" s="6">
        <v>46.459999000000003</v>
      </c>
      <c r="H885" s="6">
        <v>122.410004</v>
      </c>
      <c r="I885" s="6">
        <v>198.240005</v>
      </c>
      <c r="J885" s="6">
        <v>27.809999000000001</v>
      </c>
      <c r="K885" s="6">
        <v>14.25</v>
      </c>
      <c r="N885" s="19">
        <v>881</v>
      </c>
      <c r="O885" s="1">
        <v>44743</v>
      </c>
      <c r="P885" s="5">
        <f t="shared" si="320"/>
        <v>6.5892169965101896E-3</v>
      </c>
      <c r="Q885" s="5">
        <f t="shared" si="321"/>
        <v>-8.1662824879782624E-3</v>
      </c>
      <c r="R885" s="5">
        <f t="shared" si="322"/>
        <v>2.018329051544759E-2</v>
      </c>
      <c r="S885" s="5">
        <f t="shared" si="323"/>
        <v>1.6247909739733817E-2</v>
      </c>
      <c r="T885" s="5">
        <f t="shared" si="324"/>
        <v>1.1680490861357492E-2</v>
      </c>
      <c r="U885" s="5">
        <f t="shared" si="325"/>
        <v>9.0811002444466243E-3</v>
      </c>
      <c r="V885" s="5">
        <f t="shared" si="326"/>
        <v>8.944415944109118E-3</v>
      </c>
      <c r="W885" s="5">
        <f t="shared" si="327"/>
        <v>6.1224467702779718E-3</v>
      </c>
      <c r="X885" s="5">
        <f t="shared" si="328"/>
        <v>1.0119276809059045E-2</v>
      </c>
      <c r="Y885" s="5">
        <f t="shared" si="329"/>
        <v>6.0010775171123777E-2</v>
      </c>
      <c r="Z885" s="33">
        <v>881</v>
      </c>
      <c r="AE885" s="20" t="str">
        <f t="shared" si="330"/>
        <v/>
      </c>
      <c r="AF885" s="22" t="str">
        <f t="shared" si="331"/>
        <v/>
      </c>
      <c r="AG885" s="9" t="str">
        <f t="shared" ca="1" si="310"/>
        <v/>
      </c>
      <c r="AH885" s="9" t="str">
        <f t="shared" ca="1" si="311"/>
        <v/>
      </c>
      <c r="AI885" s="9" t="str">
        <f t="shared" ca="1" si="312"/>
        <v/>
      </c>
      <c r="AJ885" s="9" t="str">
        <f t="shared" ca="1" si="313"/>
        <v/>
      </c>
      <c r="AK885" s="9" t="str">
        <f t="shared" ca="1" si="314"/>
        <v/>
      </c>
      <c r="AL885" s="9" t="str">
        <f t="shared" ca="1" si="315"/>
        <v/>
      </c>
      <c r="AM885" s="9" t="str">
        <f t="shared" ca="1" si="316"/>
        <v/>
      </c>
      <c r="AN885" s="9" t="str">
        <f t="shared" ca="1" si="317"/>
        <v/>
      </c>
      <c r="AO885" s="9" t="str">
        <f t="shared" ca="1" si="318"/>
        <v/>
      </c>
      <c r="AP885" s="9" t="str">
        <f t="shared" ca="1" si="319"/>
        <v/>
      </c>
      <c r="AQ885" s="9"/>
      <c r="AR885" s="9"/>
      <c r="AS885" s="9"/>
      <c r="AT885" s="9"/>
      <c r="AU885" s="9"/>
    </row>
    <row r="886" spans="1:47" x14ac:dyDescent="0.3">
      <c r="A886" s="1">
        <v>44747</v>
      </c>
      <c r="B886" s="6">
        <v>376.48998999999998</v>
      </c>
      <c r="C886" s="6">
        <v>302.91000400000001</v>
      </c>
      <c r="D886" s="6">
        <v>48.055</v>
      </c>
      <c r="E886" s="6">
        <v>169.009995</v>
      </c>
      <c r="F886" s="6">
        <v>133.91000399999999</v>
      </c>
      <c r="G886" s="6">
        <v>45.810001</v>
      </c>
      <c r="H886" s="6">
        <v>121.769997</v>
      </c>
      <c r="I886" s="6">
        <v>198.699997</v>
      </c>
      <c r="J886" s="6">
        <v>27.35</v>
      </c>
      <c r="K886" s="6">
        <v>14.44</v>
      </c>
      <c r="N886" s="18">
        <v>882</v>
      </c>
      <c r="O886" s="1">
        <v>44747</v>
      </c>
      <c r="P886" s="5">
        <f t="shared" si="320"/>
        <v>2.1504993976375102E-2</v>
      </c>
      <c r="Q886" s="5">
        <f t="shared" si="321"/>
        <v>5.5616158131806381E-3</v>
      </c>
      <c r="R886" s="5">
        <f t="shared" si="322"/>
        <v>1.5941648897883083E-2</v>
      </c>
      <c r="S886" s="5">
        <f t="shared" si="323"/>
        <v>-2.2458875086662491E-3</v>
      </c>
      <c r="T886" s="5">
        <f t="shared" si="324"/>
        <v>-1.5927987839234312E-2</v>
      </c>
      <c r="U886" s="5">
        <f t="shared" si="325"/>
        <v>-1.4089276090426006E-2</v>
      </c>
      <c r="V886" s="5">
        <f t="shared" si="326"/>
        <v>-5.2421038821836765E-3</v>
      </c>
      <c r="W886" s="5">
        <f t="shared" si="327"/>
        <v>2.3176913568478579E-3</v>
      </c>
      <c r="X886" s="5">
        <f t="shared" si="328"/>
        <v>-1.6679103419594273E-2</v>
      </c>
      <c r="Y886" s="5">
        <f t="shared" si="329"/>
        <v>1.3245226750020505E-2</v>
      </c>
      <c r="Z886" s="33">
        <v>882</v>
      </c>
      <c r="AE886" s="20" t="str">
        <f t="shared" si="330"/>
        <v/>
      </c>
      <c r="AF886" s="22" t="str">
        <f t="shared" si="331"/>
        <v/>
      </c>
      <c r="AG886" s="9" t="str">
        <f t="shared" ca="1" si="310"/>
        <v/>
      </c>
      <c r="AH886" s="9" t="str">
        <f t="shared" ca="1" si="311"/>
        <v/>
      </c>
      <c r="AI886" s="9" t="str">
        <f t="shared" ca="1" si="312"/>
        <v/>
      </c>
      <c r="AJ886" s="9" t="str">
        <f t="shared" ca="1" si="313"/>
        <v/>
      </c>
      <c r="AK886" s="9" t="str">
        <f t="shared" ca="1" si="314"/>
        <v/>
      </c>
      <c r="AL886" s="9" t="str">
        <f t="shared" ca="1" si="315"/>
        <v/>
      </c>
      <c r="AM886" s="9" t="str">
        <f t="shared" ca="1" si="316"/>
        <v/>
      </c>
      <c r="AN886" s="9" t="str">
        <f t="shared" ca="1" si="317"/>
        <v/>
      </c>
      <c r="AO886" s="9" t="str">
        <f t="shared" ca="1" si="318"/>
        <v/>
      </c>
      <c r="AP886" s="9" t="str">
        <f t="shared" ca="1" si="319"/>
        <v/>
      </c>
      <c r="AQ886" s="9"/>
      <c r="AR886" s="9"/>
      <c r="AS886" s="9"/>
      <c r="AT886" s="9"/>
      <c r="AU886" s="9"/>
    </row>
    <row r="887" spans="1:47" x14ac:dyDescent="0.3">
      <c r="A887" s="1">
        <v>44748</v>
      </c>
      <c r="B887" s="6">
        <v>382.82998700000002</v>
      </c>
      <c r="C887" s="6">
        <v>309.63000499999998</v>
      </c>
      <c r="D887" s="6">
        <v>48.695</v>
      </c>
      <c r="E887" s="6">
        <v>170.699997</v>
      </c>
      <c r="F887" s="6">
        <v>134.729996</v>
      </c>
      <c r="G887" s="6">
        <v>45.82</v>
      </c>
      <c r="H887" s="6">
        <v>122.08000199999999</v>
      </c>
      <c r="I887" s="6">
        <v>198.66000399999999</v>
      </c>
      <c r="J887" s="6">
        <v>27.33</v>
      </c>
      <c r="K887" s="6">
        <v>14.27</v>
      </c>
      <c r="N887" s="19">
        <v>883</v>
      </c>
      <c r="O887" s="1">
        <v>44748</v>
      </c>
      <c r="P887" s="5">
        <f t="shared" si="320"/>
        <v>1.6699532555246522E-2</v>
      </c>
      <c r="Q887" s="5">
        <f t="shared" si="321"/>
        <v>2.1942307504675681E-2</v>
      </c>
      <c r="R887" s="5">
        <f t="shared" si="322"/>
        <v>1.3230167137914996E-2</v>
      </c>
      <c r="S887" s="5">
        <f t="shared" si="323"/>
        <v>9.949757039614357E-3</v>
      </c>
      <c r="T887" s="5">
        <f t="shared" si="324"/>
        <v>6.1047837004652439E-3</v>
      </c>
      <c r="U887" s="5">
        <f t="shared" si="325"/>
        <v>2.1824729740412192E-4</v>
      </c>
      <c r="V887" s="5">
        <f t="shared" si="326"/>
        <v>2.5425890365408741E-3</v>
      </c>
      <c r="W887" s="5">
        <f t="shared" si="327"/>
        <v>-2.0129353751965507E-4</v>
      </c>
      <c r="X887" s="5">
        <f t="shared" si="328"/>
        <v>-7.3152892801370446E-4</v>
      </c>
      <c r="Y887" s="5">
        <f t="shared" si="329"/>
        <v>-1.1842701975935064E-2</v>
      </c>
      <c r="Z887" s="33">
        <v>883</v>
      </c>
      <c r="AE887" s="20" t="str">
        <f t="shared" si="330"/>
        <v/>
      </c>
      <c r="AF887" s="22" t="str">
        <f t="shared" si="331"/>
        <v/>
      </c>
      <c r="AG887" s="9" t="str">
        <f t="shared" ca="1" si="310"/>
        <v/>
      </c>
      <c r="AH887" s="9" t="str">
        <f t="shared" ca="1" si="311"/>
        <v/>
      </c>
      <c r="AI887" s="9" t="str">
        <f t="shared" ca="1" si="312"/>
        <v/>
      </c>
      <c r="AJ887" s="9" t="str">
        <f t="shared" ca="1" si="313"/>
        <v/>
      </c>
      <c r="AK887" s="9" t="str">
        <f t="shared" ca="1" si="314"/>
        <v/>
      </c>
      <c r="AL887" s="9" t="str">
        <f t="shared" ca="1" si="315"/>
        <v/>
      </c>
      <c r="AM887" s="9" t="str">
        <f t="shared" ca="1" si="316"/>
        <v/>
      </c>
      <c r="AN887" s="9" t="str">
        <f t="shared" ca="1" si="317"/>
        <v/>
      </c>
      <c r="AO887" s="9" t="str">
        <f t="shared" ca="1" si="318"/>
        <v/>
      </c>
      <c r="AP887" s="9" t="str">
        <f t="shared" ca="1" si="319"/>
        <v/>
      </c>
      <c r="AQ887" s="9"/>
      <c r="AR887" s="9"/>
      <c r="AS887" s="9"/>
      <c r="AT887" s="9"/>
      <c r="AU887" s="9"/>
    </row>
    <row r="888" spans="1:47" x14ac:dyDescent="0.3">
      <c r="A888" s="1">
        <v>44749</v>
      </c>
      <c r="B888" s="6">
        <v>390.89001500000001</v>
      </c>
      <c r="C888" s="6">
        <v>319.42999300000002</v>
      </c>
      <c r="D888" s="6">
        <v>48.494999</v>
      </c>
      <c r="E888" s="6">
        <v>170.36000100000001</v>
      </c>
      <c r="F888" s="6">
        <v>134.16000399999999</v>
      </c>
      <c r="G888" s="6">
        <v>45.639999000000003</v>
      </c>
      <c r="H888" s="6">
        <v>123.610001</v>
      </c>
      <c r="I888" s="6">
        <v>201.33999600000001</v>
      </c>
      <c r="J888" s="6">
        <v>27.889999</v>
      </c>
      <c r="K888" s="6">
        <v>14.52</v>
      </c>
      <c r="N888" s="18">
        <v>884</v>
      </c>
      <c r="O888" s="1">
        <v>44749</v>
      </c>
      <c r="P888" s="5">
        <f t="shared" si="320"/>
        <v>2.0835236399009058E-2</v>
      </c>
      <c r="Q888" s="5">
        <f t="shared" si="321"/>
        <v>3.116008317329811E-2</v>
      </c>
      <c r="R888" s="5">
        <f t="shared" si="322"/>
        <v>-4.1156761883392101E-3</v>
      </c>
      <c r="S888" s="5">
        <f t="shared" si="323"/>
        <v>-1.9937613007669649E-3</v>
      </c>
      <c r="T888" s="5">
        <f t="shared" si="324"/>
        <v>-4.2395987486492943E-3</v>
      </c>
      <c r="U888" s="5">
        <f t="shared" si="325"/>
        <v>-3.9361739420794668E-3</v>
      </c>
      <c r="V888" s="5">
        <f t="shared" si="326"/>
        <v>1.2454872070845491E-2</v>
      </c>
      <c r="W888" s="5">
        <f t="shared" si="327"/>
        <v>1.3400160512271884E-2</v>
      </c>
      <c r="X888" s="5">
        <f t="shared" si="328"/>
        <v>2.0283165844275232E-2</v>
      </c>
      <c r="Y888" s="5">
        <f t="shared" si="329"/>
        <v>1.736757790790492E-2</v>
      </c>
      <c r="Z888" s="33">
        <v>884</v>
      </c>
      <c r="AE888" s="20" t="str">
        <f t="shared" si="330"/>
        <v/>
      </c>
      <c r="AF888" s="22" t="str">
        <f t="shared" si="331"/>
        <v/>
      </c>
      <c r="AG888" s="9" t="str">
        <f t="shared" ca="1" si="310"/>
        <v/>
      </c>
      <c r="AH888" s="9" t="str">
        <f t="shared" ca="1" si="311"/>
        <v/>
      </c>
      <c r="AI888" s="9" t="str">
        <f t="shared" ca="1" si="312"/>
        <v/>
      </c>
      <c r="AJ888" s="9" t="str">
        <f t="shared" ca="1" si="313"/>
        <v/>
      </c>
      <c r="AK888" s="9" t="str">
        <f t="shared" ca="1" si="314"/>
        <v/>
      </c>
      <c r="AL888" s="9" t="str">
        <f t="shared" ca="1" si="315"/>
        <v/>
      </c>
      <c r="AM888" s="9" t="str">
        <f t="shared" ca="1" si="316"/>
        <v/>
      </c>
      <c r="AN888" s="9" t="str">
        <f t="shared" ca="1" si="317"/>
        <v/>
      </c>
      <c r="AO888" s="9" t="str">
        <f t="shared" ca="1" si="318"/>
        <v/>
      </c>
      <c r="AP888" s="9" t="str">
        <f t="shared" ca="1" si="319"/>
        <v/>
      </c>
      <c r="AQ888" s="9"/>
      <c r="AR888" s="9"/>
      <c r="AS888" s="9"/>
      <c r="AT888" s="9"/>
      <c r="AU888" s="9"/>
    </row>
    <row r="889" spans="1:47" x14ac:dyDescent="0.3">
      <c r="A889" s="1">
        <v>44750</v>
      </c>
      <c r="B889" s="6">
        <v>389.44000199999999</v>
      </c>
      <c r="C889" s="6">
        <v>317.540009</v>
      </c>
      <c r="D889" s="6">
        <v>48.740001999999997</v>
      </c>
      <c r="E889" s="6">
        <v>171.88000500000001</v>
      </c>
      <c r="F889" s="6">
        <v>132.740005</v>
      </c>
      <c r="G889" s="6">
        <v>44.810001</v>
      </c>
      <c r="H889" s="6">
        <v>121.779999</v>
      </c>
      <c r="I889" s="6">
        <v>198.020004</v>
      </c>
      <c r="J889" s="6">
        <v>28.18</v>
      </c>
      <c r="K889" s="6">
        <v>13.99</v>
      </c>
      <c r="N889" s="19">
        <v>885</v>
      </c>
      <c r="O889" s="1">
        <v>44750</v>
      </c>
      <c r="P889" s="5">
        <f t="shared" si="320"/>
        <v>-3.7164139206303116E-3</v>
      </c>
      <c r="Q889" s="5">
        <f t="shared" si="321"/>
        <v>-5.9343125753045676E-3</v>
      </c>
      <c r="R889" s="5">
        <f t="shared" si="322"/>
        <v>5.0394100062942059E-3</v>
      </c>
      <c r="S889" s="5">
        <f t="shared" si="323"/>
        <v>8.8827370719216075E-3</v>
      </c>
      <c r="T889" s="5">
        <f t="shared" si="324"/>
        <v>-1.0640781944699907E-2</v>
      </c>
      <c r="U889" s="5">
        <f t="shared" si="325"/>
        <v>-1.8353151968771412E-2</v>
      </c>
      <c r="V889" s="5">
        <f t="shared" si="326"/>
        <v>-1.4915326020793021E-2</v>
      </c>
      <c r="W889" s="5">
        <f t="shared" si="327"/>
        <v>-1.6626945540037054E-2</v>
      </c>
      <c r="X889" s="5">
        <f t="shared" si="328"/>
        <v>1.0344340686282509E-2</v>
      </c>
      <c r="Y889" s="5">
        <f t="shared" si="329"/>
        <v>-3.7184220719260232E-2</v>
      </c>
      <c r="Z889" s="33">
        <v>885</v>
      </c>
      <c r="AE889" s="20" t="str">
        <f t="shared" si="330"/>
        <v/>
      </c>
      <c r="AF889" s="22" t="str">
        <f t="shared" si="331"/>
        <v/>
      </c>
      <c r="AG889" s="9" t="str">
        <f t="shared" ca="1" si="310"/>
        <v/>
      </c>
      <c r="AH889" s="9" t="str">
        <f t="shared" ca="1" si="311"/>
        <v/>
      </c>
      <c r="AI889" s="9" t="str">
        <f t="shared" ca="1" si="312"/>
        <v/>
      </c>
      <c r="AJ889" s="9" t="str">
        <f t="shared" ca="1" si="313"/>
        <v/>
      </c>
      <c r="AK889" s="9" t="str">
        <f t="shared" ca="1" si="314"/>
        <v/>
      </c>
      <c r="AL889" s="9" t="str">
        <f t="shared" ca="1" si="315"/>
        <v/>
      </c>
      <c r="AM889" s="9" t="str">
        <f t="shared" ca="1" si="316"/>
        <v/>
      </c>
      <c r="AN889" s="9" t="str">
        <f t="shared" ca="1" si="317"/>
        <v/>
      </c>
      <c r="AO889" s="9" t="str">
        <f t="shared" ca="1" si="318"/>
        <v/>
      </c>
      <c r="AP889" s="9" t="str">
        <f t="shared" ca="1" si="319"/>
        <v/>
      </c>
      <c r="AQ889" s="9"/>
      <c r="AR889" s="9"/>
      <c r="AS889" s="9"/>
      <c r="AT889" s="9"/>
      <c r="AU889" s="9"/>
    </row>
    <row r="890" spans="1:47" x14ac:dyDescent="0.3">
      <c r="A890" s="1">
        <v>44753</v>
      </c>
      <c r="B890" s="6">
        <v>384.16000400000001</v>
      </c>
      <c r="C890" s="6">
        <v>315.19000199999999</v>
      </c>
      <c r="D890" s="6">
        <v>48.43</v>
      </c>
      <c r="E890" s="6">
        <v>170.470001</v>
      </c>
      <c r="F890" s="6">
        <v>132.78999300000001</v>
      </c>
      <c r="G890" s="6">
        <v>44.529998999999997</v>
      </c>
      <c r="H890" s="6">
        <v>121.33000199999999</v>
      </c>
      <c r="I890" s="6">
        <v>197.88999899999999</v>
      </c>
      <c r="J890" s="6">
        <v>28</v>
      </c>
      <c r="K890" s="6">
        <v>13.66</v>
      </c>
      <c r="N890" s="18">
        <v>886</v>
      </c>
      <c r="O890" s="1">
        <v>44753</v>
      </c>
      <c r="P890" s="5">
        <f t="shared" si="320"/>
        <v>-1.3650672049470305E-2</v>
      </c>
      <c r="Q890" s="5">
        <f t="shared" si="321"/>
        <v>-7.4281850547494831E-3</v>
      </c>
      <c r="R890" s="5">
        <f t="shared" si="322"/>
        <v>-6.3806328159797376E-3</v>
      </c>
      <c r="S890" s="5">
        <f t="shared" si="323"/>
        <v>-8.2372539678885331E-3</v>
      </c>
      <c r="T890" s="5">
        <f t="shared" si="324"/>
        <v>3.7651490202285614E-4</v>
      </c>
      <c r="U890" s="5">
        <f t="shared" si="325"/>
        <v>-6.2682542376587052E-3</v>
      </c>
      <c r="V890" s="5">
        <f t="shared" si="326"/>
        <v>-3.7020074211482046E-3</v>
      </c>
      <c r="W890" s="5">
        <f t="shared" si="327"/>
        <v>-6.5674018684844942E-4</v>
      </c>
      <c r="X890" s="5">
        <f t="shared" si="328"/>
        <v>-6.4079962953301831E-3</v>
      </c>
      <c r="Y890" s="5">
        <f t="shared" si="329"/>
        <v>-2.3870934534745782E-2</v>
      </c>
      <c r="Z890" s="33">
        <v>886</v>
      </c>
      <c r="AE890" s="20" t="str">
        <f t="shared" si="330"/>
        <v/>
      </c>
      <c r="AF890" s="22" t="str">
        <f t="shared" si="331"/>
        <v/>
      </c>
      <c r="AG890" s="9" t="str">
        <f t="shared" ca="1" si="310"/>
        <v/>
      </c>
      <c r="AH890" s="9" t="str">
        <f t="shared" ca="1" si="311"/>
        <v/>
      </c>
      <c r="AI890" s="9" t="str">
        <f t="shared" ca="1" si="312"/>
        <v/>
      </c>
      <c r="AJ890" s="9" t="str">
        <f t="shared" ca="1" si="313"/>
        <v/>
      </c>
      <c r="AK890" s="9" t="str">
        <f t="shared" ca="1" si="314"/>
        <v/>
      </c>
      <c r="AL890" s="9" t="str">
        <f t="shared" ca="1" si="315"/>
        <v/>
      </c>
      <c r="AM890" s="9" t="str">
        <f t="shared" ca="1" si="316"/>
        <v/>
      </c>
      <c r="AN890" s="9" t="str">
        <f t="shared" ca="1" si="317"/>
        <v/>
      </c>
      <c r="AO890" s="9" t="str">
        <f t="shared" ca="1" si="318"/>
        <v/>
      </c>
      <c r="AP890" s="9" t="str">
        <f t="shared" ca="1" si="319"/>
        <v/>
      </c>
      <c r="AQ890" s="9"/>
      <c r="AR890" s="9"/>
      <c r="AS890" s="9"/>
      <c r="AT890" s="9"/>
      <c r="AU890" s="9"/>
    </row>
    <row r="891" spans="1:47" x14ac:dyDescent="0.3">
      <c r="A891" s="1">
        <v>44754</v>
      </c>
      <c r="B891" s="6">
        <v>375.540009</v>
      </c>
      <c r="C891" s="6">
        <v>306.41000400000001</v>
      </c>
      <c r="D891" s="6">
        <v>48.375</v>
      </c>
      <c r="E891" s="6">
        <v>169.5</v>
      </c>
      <c r="F891" s="6">
        <v>132.55999800000001</v>
      </c>
      <c r="G891" s="6">
        <v>44.830002</v>
      </c>
      <c r="H891" s="6">
        <v>120.769997</v>
      </c>
      <c r="I891" s="6">
        <v>199.55999800000001</v>
      </c>
      <c r="J891" s="6">
        <v>27.950001</v>
      </c>
      <c r="K891" s="6">
        <v>13.95</v>
      </c>
      <c r="N891" s="19">
        <v>887</v>
      </c>
      <c r="O891" s="1">
        <v>44754</v>
      </c>
      <c r="P891" s="5">
        <f t="shared" si="320"/>
        <v>-2.2694128755116796E-2</v>
      </c>
      <c r="Q891" s="5">
        <f t="shared" si="321"/>
        <v>-2.825155047352082E-2</v>
      </c>
      <c r="R891" s="5">
        <f t="shared" si="322"/>
        <v>-1.13630506519193E-3</v>
      </c>
      <c r="S891" s="5">
        <f t="shared" si="323"/>
        <v>-5.7064072084633179E-3</v>
      </c>
      <c r="T891" s="5">
        <f t="shared" si="324"/>
        <v>-1.7335222566220799E-3</v>
      </c>
      <c r="U891" s="5">
        <f t="shared" si="325"/>
        <v>6.7145059034894976E-3</v>
      </c>
      <c r="V891" s="5">
        <f t="shared" si="326"/>
        <v>-4.6262371010732705E-3</v>
      </c>
      <c r="W891" s="5">
        <f t="shared" si="327"/>
        <v>8.4036172632882614E-3</v>
      </c>
      <c r="X891" s="5">
        <f t="shared" si="328"/>
        <v>-1.7872747959210417E-3</v>
      </c>
      <c r="Y891" s="5">
        <f t="shared" si="329"/>
        <v>2.1007654124730536E-2</v>
      </c>
      <c r="Z891" s="33">
        <v>887</v>
      </c>
      <c r="AE891" s="20" t="str">
        <f t="shared" si="330"/>
        <v/>
      </c>
      <c r="AF891" s="22" t="str">
        <f t="shared" si="331"/>
        <v/>
      </c>
      <c r="AG891" s="9" t="str">
        <f t="shared" ca="1" si="310"/>
        <v/>
      </c>
      <c r="AH891" s="9" t="str">
        <f t="shared" ca="1" si="311"/>
        <v/>
      </c>
      <c r="AI891" s="9" t="str">
        <f t="shared" ca="1" si="312"/>
        <v/>
      </c>
      <c r="AJ891" s="9" t="str">
        <f t="shared" ca="1" si="313"/>
        <v/>
      </c>
      <c r="AK891" s="9" t="str">
        <f t="shared" ca="1" si="314"/>
        <v/>
      </c>
      <c r="AL891" s="9" t="str">
        <f t="shared" ca="1" si="315"/>
        <v/>
      </c>
      <c r="AM891" s="9" t="str">
        <f t="shared" ca="1" si="316"/>
        <v/>
      </c>
      <c r="AN891" s="9" t="str">
        <f t="shared" ca="1" si="317"/>
        <v/>
      </c>
      <c r="AO891" s="9" t="str">
        <f t="shared" ca="1" si="318"/>
        <v/>
      </c>
      <c r="AP891" s="9" t="str">
        <f t="shared" ca="1" si="319"/>
        <v/>
      </c>
      <c r="AQ891" s="9"/>
      <c r="AR891" s="9"/>
      <c r="AS891" s="9"/>
      <c r="AT891" s="9"/>
      <c r="AU891" s="9"/>
    </row>
    <row r="892" spans="1:47" x14ac:dyDescent="0.3">
      <c r="A892" s="1">
        <v>44755</v>
      </c>
      <c r="B892" s="6">
        <v>371.94000199999999</v>
      </c>
      <c r="C892" s="6">
        <v>303.07000699999998</v>
      </c>
      <c r="D892" s="6">
        <v>48.400002000000001</v>
      </c>
      <c r="E892" s="6">
        <v>170.10000600000001</v>
      </c>
      <c r="F892" s="6">
        <v>132.35000600000001</v>
      </c>
      <c r="G892" s="6">
        <v>44.380001</v>
      </c>
      <c r="H892" s="6">
        <v>119.720001</v>
      </c>
      <c r="I892" s="6">
        <v>197.16999799999999</v>
      </c>
      <c r="J892" s="6">
        <v>27.9</v>
      </c>
      <c r="K892" s="6">
        <v>14.18</v>
      </c>
      <c r="N892" s="18">
        <v>888</v>
      </c>
      <c r="O892" s="1">
        <v>44755</v>
      </c>
      <c r="P892" s="5">
        <f t="shared" si="320"/>
        <v>-9.6324578110600946E-3</v>
      </c>
      <c r="Q892" s="5">
        <f t="shared" si="321"/>
        <v>-1.0960262437054941E-2</v>
      </c>
      <c r="R892" s="5">
        <f t="shared" si="322"/>
        <v>5.1670369495330516E-4</v>
      </c>
      <c r="S892" s="5">
        <f t="shared" si="323"/>
        <v>3.5336078546790652E-3</v>
      </c>
      <c r="T892" s="5">
        <f t="shared" si="324"/>
        <v>-1.5853840233498115E-3</v>
      </c>
      <c r="U892" s="5">
        <f t="shared" si="325"/>
        <v>-1.0088662743209584E-2</v>
      </c>
      <c r="V892" s="5">
        <f t="shared" si="326"/>
        <v>-8.7321941093561253E-3</v>
      </c>
      <c r="W892" s="5">
        <f t="shared" si="327"/>
        <v>-1.2048642336142789E-2</v>
      </c>
      <c r="X892" s="5">
        <f t="shared" si="328"/>
        <v>-1.7905465519629392E-3</v>
      </c>
      <c r="Y892" s="5">
        <f t="shared" si="329"/>
        <v>1.6353012836606763E-2</v>
      </c>
      <c r="Z892" s="33">
        <v>888</v>
      </c>
      <c r="AE892" s="20" t="str">
        <f t="shared" si="330"/>
        <v/>
      </c>
      <c r="AF892" s="22" t="str">
        <f t="shared" si="331"/>
        <v/>
      </c>
      <c r="AG892" s="9" t="str">
        <f t="shared" ca="1" si="310"/>
        <v/>
      </c>
      <c r="AH892" s="9" t="str">
        <f t="shared" ca="1" si="311"/>
        <v/>
      </c>
      <c r="AI892" s="9" t="str">
        <f t="shared" ca="1" si="312"/>
        <v/>
      </c>
      <c r="AJ892" s="9" t="str">
        <f t="shared" ca="1" si="313"/>
        <v/>
      </c>
      <c r="AK892" s="9" t="str">
        <f t="shared" ca="1" si="314"/>
        <v/>
      </c>
      <c r="AL892" s="9" t="str">
        <f t="shared" ca="1" si="315"/>
        <v/>
      </c>
      <c r="AM892" s="9" t="str">
        <f t="shared" ca="1" si="316"/>
        <v/>
      </c>
      <c r="AN892" s="9" t="str">
        <f t="shared" ca="1" si="317"/>
        <v/>
      </c>
      <c r="AO892" s="9" t="str">
        <f t="shared" ca="1" si="318"/>
        <v/>
      </c>
      <c r="AP892" s="9" t="str">
        <f t="shared" ca="1" si="319"/>
        <v/>
      </c>
      <c r="AQ892" s="9"/>
      <c r="AR892" s="9"/>
      <c r="AS892" s="9"/>
      <c r="AT892" s="9"/>
      <c r="AU892" s="9"/>
    </row>
    <row r="893" spans="1:47" x14ac:dyDescent="0.3">
      <c r="A893" s="1">
        <v>44756</v>
      </c>
      <c r="B893" s="6">
        <v>372.959991</v>
      </c>
      <c r="C893" s="6">
        <v>305.01998900000001</v>
      </c>
      <c r="D893" s="6">
        <v>48.875</v>
      </c>
      <c r="E893" s="6">
        <v>170.979996</v>
      </c>
      <c r="F893" s="6">
        <v>130.5</v>
      </c>
      <c r="G893" s="6">
        <v>44.02</v>
      </c>
      <c r="H893" s="6">
        <v>117.93</v>
      </c>
      <c r="I893" s="6">
        <v>196.03999300000001</v>
      </c>
      <c r="J893" s="6">
        <v>27.5</v>
      </c>
      <c r="K893" s="6">
        <v>13.63</v>
      </c>
      <c r="N893" s="19">
        <v>889</v>
      </c>
      <c r="O893" s="1">
        <v>44756</v>
      </c>
      <c r="P893" s="5">
        <f t="shared" si="320"/>
        <v>2.7385948370782735E-3</v>
      </c>
      <c r="Q893" s="5">
        <f t="shared" si="321"/>
        <v>6.4134871379024202E-3</v>
      </c>
      <c r="R893" s="5">
        <f t="shared" si="322"/>
        <v>9.766163260630607E-3</v>
      </c>
      <c r="S893" s="5">
        <f t="shared" si="323"/>
        <v>5.1600325283540924E-3</v>
      </c>
      <c r="T893" s="5">
        <f t="shared" si="324"/>
        <v>-1.4076747244701973E-2</v>
      </c>
      <c r="U893" s="5">
        <f t="shared" si="325"/>
        <v>-8.1448639388042709E-3</v>
      </c>
      <c r="V893" s="5">
        <f t="shared" si="326"/>
        <v>-1.5064463235442641E-2</v>
      </c>
      <c r="W893" s="5">
        <f t="shared" si="327"/>
        <v>-5.74760630029773E-3</v>
      </c>
      <c r="X893" s="5">
        <f t="shared" si="328"/>
        <v>-1.4440684154794247E-2</v>
      </c>
      <c r="Y893" s="5">
        <f t="shared" si="329"/>
        <v>-3.9559275395540133E-2</v>
      </c>
      <c r="Z893" s="33">
        <v>889</v>
      </c>
      <c r="AE893" s="20" t="str">
        <f t="shared" si="330"/>
        <v/>
      </c>
      <c r="AF893" s="22" t="str">
        <f t="shared" si="331"/>
        <v/>
      </c>
      <c r="AG893" s="9" t="str">
        <f t="shared" ca="1" si="310"/>
        <v/>
      </c>
      <c r="AH893" s="9" t="str">
        <f t="shared" ca="1" si="311"/>
        <v/>
      </c>
      <c r="AI893" s="9" t="str">
        <f t="shared" ca="1" si="312"/>
        <v/>
      </c>
      <c r="AJ893" s="9" t="str">
        <f t="shared" ca="1" si="313"/>
        <v/>
      </c>
      <c r="AK893" s="9" t="str">
        <f t="shared" ca="1" si="314"/>
        <v/>
      </c>
      <c r="AL893" s="9" t="str">
        <f t="shared" ca="1" si="315"/>
        <v/>
      </c>
      <c r="AM893" s="9" t="str">
        <f t="shared" ca="1" si="316"/>
        <v/>
      </c>
      <c r="AN893" s="9" t="str">
        <f t="shared" ca="1" si="317"/>
        <v/>
      </c>
      <c r="AO893" s="9" t="str">
        <f t="shared" ca="1" si="318"/>
        <v/>
      </c>
      <c r="AP893" s="9" t="str">
        <f t="shared" ca="1" si="319"/>
        <v/>
      </c>
      <c r="AQ893" s="9"/>
      <c r="AR893" s="9"/>
      <c r="AS893" s="9"/>
      <c r="AT893" s="9"/>
      <c r="AU893" s="9"/>
    </row>
    <row r="894" spans="1:47" x14ac:dyDescent="0.3">
      <c r="A894" s="1">
        <v>44757</v>
      </c>
      <c r="B894" s="6">
        <v>379.85998499999999</v>
      </c>
      <c r="C894" s="6">
        <v>314.29998799999998</v>
      </c>
      <c r="D894" s="6">
        <v>48.575001</v>
      </c>
      <c r="E894" s="6">
        <v>171.11999499999999</v>
      </c>
      <c r="F894" s="6">
        <v>132.08000200000001</v>
      </c>
      <c r="G894" s="6">
        <v>44.630001</v>
      </c>
      <c r="H894" s="6">
        <v>120.529999</v>
      </c>
      <c r="I894" s="6">
        <v>197.86999499999999</v>
      </c>
      <c r="J894" s="6">
        <v>28.02</v>
      </c>
      <c r="K894" s="6">
        <v>13.96</v>
      </c>
      <c r="N894" s="18">
        <v>890</v>
      </c>
      <c r="O894" s="1">
        <v>44757</v>
      </c>
      <c r="P894" s="5">
        <f t="shared" si="320"/>
        <v>1.8331573139684341E-2</v>
      </c>
      <c r="Q894" s="5">
        <f t="shared" si="321"/>
        <v>2.9970593458610251E-2</v>
      </c>
      <c r="R894" s="5">
        <f t="shared" si="322"/>
        <v>-6.1570024553047045E-3</v>
      </c>
      <c r="S894" s="5">
        <f t="shared" si="323"/>
        <v>8.1846835135010953E-4</v>
      </c>
      <c r="T894" s="5">
        <f t="shared" si="324"/>
        <v>1.2034587991462436E-2</v>
      </c>
      <c r="U894" s="5">
        <f t="shared" si="325"/>
        <v>1.3762224949315598E-2</v>
      </c>
      <c r="V894" s="5">
        <f t="shared" si="326"/>
        <v>2.1807448201683882E-2</v>
      </c>
      <c r="W894" s="5">
        <f t="shared" si="327"/>
        <v>9.2915398008844782E-3</v>
      </c>
      <c r="X894" s="5">
        <f t="shared" si="328"/>
        <v>1.8732536236335411E-2</v>
      </c>
      <c r="Y894" s="5">
        <f t="shared" si="329"/>
        <v>2.3922851625785144E-2</v>
      </c>
      <c r="Z894" s="33">
        <v>890</v>
      </c>
      <c r="AE894" s="20" t="str">
        <f t="shared" si="330"/>
        <v/>
      </c>
      <c r="AF894" s="22" t="str">
        <f t="shared" si="331"/>
        <v/>
      </c>
      <c r="AG894" s="9" t="str">
        <f t="shared" ca="1" si="310"/>
        <v/>
      </c>
      <c r="AH894" s="9" t="str">
        <f t="shared" ca="1" si="311"/>
        <v/>
      </c>
      <c r="AI894" s="9" t="str">
        <f t="shared" ca="1" si="312"/>
        <v/>
      </c>
      <c r="AJ894" s="9" t="str">
        <f t="shared" ca="1" si="313"/>
        <v/>
      </c>
      <c r="AK894" s="9" t="str">
        <f t="shared" ca="1" si="314"/>
        <v/>
      </c>
      <c r="AL894" s="9" t="str">
        <f t="shared" ca="1" si="315"/>
        <v/>
      </c>
      <c r="AM894" s="9" t="str">
        <f t="shared" ca="1" si="316"/>
        <v/>
      </c>
      <c r="AN894" s="9" t="str">
        <f t="shared" ca="1" si="317"/>
        <v/>
      </c>
      <c r="AO894" s="9" t="str">
        <f t="shared" ca="1" si="318"/>
        <v/>
      </c>
      <c r="AP894" s="9" t="str">
        <f t="shared" ca="1" si="319"/>
        <v/>
      </c>
      <c r="AQ894" s="9"/>
      <c r="AR894" s="9"/>
      <c r="AS894" s="9"/>
      <c r="AT894" s="9"/>
      <c r="AU894" s="9"/>
    </row>
    <row r="895" spans="1:47" x14ac:dyDescent="0.3">
      <c r="A895" s="1">
        <v>44760</v>
      </c>
      <c r="B895" s="6">
        <v>375.23001099999999</v>
      </c>
      <c r="C895" s="6">
        <v>310.42999300000002</v>
      </c>
      <c r="D895" s="6">
        <v>47.509998000000003</v>
      </c>
      <c r="E895" s="6">
        <v>168.259995</v>
      </c>
      <c r="F895" s="6">
        <v>131.13999899999999</v>
      </c>
      <c r="G895" s="6">
        <v>44.599997999999999</v>
      </c>
      <c r="H895" s="6">
        <v>119.980003</v>
      </c>
      <c r="I895" s="6">
        <v>200.30999800000001</v>
      </c>
      <c r="J895" s="6">
        <v>28.51</v>
      </c>
      <c r="K895" s="6">
        <v>13.88</v>
      </c>
      <c r="N895" s="19">
        <v>891</v>
      </c>
      <c r="O895" s="1">
        <v>44760</v>
      </c>
      <c r="P895" s="5">
        <f t="shared" si="320"/>
        <v>-1.2263523688776654E-2</v>
      </c>
      <c r="Q895" s="5">
        <f t="shared" si="321"/>
        <v>-1.2389495049466352E-2</v>
      </c>
      <c r="R895" s="5">
        <f t="shared" si="322"/>
        <v>-2.2168842747796805E-2</v>
      </c>
      <c r="S895" s="5">
        <f t="shared" si="323"/>
        <v>-1.6854663148137088E-2</v>
      </c>
      <c r="T895" s="5">
        <f t="shared" si="324"/>
        <v>-7.1423675441757142E-3</v>
      </c>
      <c r="U895" s="5">
        <f t="shared" si="325"/>
        <v>-6.7248686466332501E-4</v>
      </c>
      <c r="V895" s="5">
        <f t="shared" si="326"/>
        <v>-4.573589074448498E-3</v>
      </c>
      <c r="W895" s="5">
        <f t="shared" si="327"/>
        <v>1.225593241813103E-2</v>
      </c>
      <c r="X895" s="5">
        <f t="shared" si="328"/>
        <v>1.7336362015719666E-2</v>
      </c>
      <c r="Y895" s="5">
        <f t="shared" si="329"/>
        <v>-5.7471422555679594E-3</v>
      </c>
      <c r="Z895" s="33">
        <v>891</v>
      </c>
      <c r="AE895" s="20" t="str">
        <f t="shared" si="330"/>
        <v/>
      </c>
      <c r="AF895" s="22" t="str">
        <f t="shared" si="331"/>
        <v/>
      </c>
      <c r="AG895" s="9" t="str">
        <f t="shared" ca="1" si="310"/>
        <v/>
      </c>
      <c r="AH895" s="9" t="str">
        <f t="shared" ca="1" si="311"/>
        <v/>
      </c>
      <c r="AI895" s="9" t="str">
        <f t="shared" ca="1" si="312"/>
        <v/>
      </c>
      <c r="AJ895" s="9" t="str">
        <f t="shared" ca="1" si="313"/>
        <v/>
      </c>
      <c r="AK895" s="9" t="str">
        <f t="shared" ca="1" si="314"/>
        <v/>
      </c>
      <c r="AL895" s="9" t="str">
        <f t="shared" ca="1" si="315"/>
        <v/>
      </c>
      <c r="AM895" s="9" t="str">
        <f t="shared" ca="1" si="316"/>
        <v/>
      </c>
      <c r="AN895" s="9" t="str">
        <f t="shared" ca="1" si="317"/>
        <v/>
      </c>
      <c r="AO895" s="9" t="str">
        <f t="shared" ca="1" si="318"/>
        <v/>
      </c>
      <c r="AP895" s="9" t="str">
        <f t="shared" ca="1" si="319"/>
        <v/>
      </c>
      <c r="AQ895" s="9"/>
      <c r="AR895" s="9"/>
      <c r="AS895" s="9"/>
      <c r="AT895" s="9"/>
      <c r="AU895" s="9"/>
    </row>
    <row r="896" spans="1:47" x14ac:dyDescent="0.3">
      <c r="A896" s="1">
        <v>44761</v>
      </c>
      <c r="B896" s="6">
        <v>387.82998700000002</v>
      </c>
      <c r="C896" s="6">
        <v>323.51001000000002</v>
      </c>
      <c r="D896" s="6">
        <v>48.130001</v>
      </c>
      <c r="E896" s="6">
        <v>170.05999800000001</v>
      </c>
      <c r="F896" s="6">
        <v>133.83000200000001</v>
      </c>
      <c r="G896" s="6">
        <v>45.43</v>
      </c>
      <c r="H896" s="6">
        <v>124.910004</v>
      </c>
      <c r="I896" s="6">
        <v>207.550003</v>
      </c>
      <c r="J896" s="6">
        <v>29.65</v>
      </c>
      <c r="K896" s="6">
        <v>14.25</v>
      </c>
      <c r="N896" s="18">
        <v>892</v>
      </c>
      <c r="O896" s="1">
        <v>44761</v>
      </c>
      <c r="P896" s="5">
        <f t="shared" si="320"/>
        <v>3.3027865153181735E-2</v>
      </c>
      <c r="Q896" s="5">
        <f t="shared" si="321"/>
        <v>4.127164570124725E-2</v>
      </c>
      <c r="R896" s="5">
        <f t="shared" si="322"/>
        <v>1.2965530989651537E-2</v>
      </c>
      <c r="S896" s="5">
        <f t="shared" si="323"/>
        <v>1.0640931790340164E-2</v>
      </c>
      <c r="T896" s="5">
        <f t="shared" si="324"/>
        <v>2.0304905542580694E-2</v>
      </c>
      <c r="U896" s="5">
        <f t="shared" si="325"/>
        <v>1.8438865588343952E-2</v>
      </c>
      <c r="V896" s="5">
        <f t="shared" si="326"/>
        <v>4.0268422771760022E-2</v>
      </c>
      <c r="W896" s="5">
        <f t="shared" si="327"/>
        <v>3.5506132400032933E-2</v>
      </c>
      <c r="X896" s="5">
        <f t="shared" si="328"/>
        <v>3.9207222519153741E-2</v>
      </c>
      <c r="Y896" s="5">
        <f t="shared" si="329"/>
        <v>2.6307951636001057E-2</v>
      </c>
      <c r="Z896" s="33">
        <v>892</v>
      </c>
      <c r="AE896" s="20" t="str">
        <f t="shared" si="330"/>
        <v/>
      </c>
      <c r="AF896" s="22" t="str">
        <f t="shared" si="331"/>
        <v/>
      </c>
      <c r="AG896" s="9" t="str">
        <f t="shared" ca="1" si="310"/>
        <v/>
      </c>
      <c r="AH896" s="9" t="str">
        <f t="shared" ca="1" si="311"/>
        <v/>
      </c>
      <c r="AI896" s="9" t="str">
        <f t="shared" ca="1" si="312"/>
        <v/>
      </c>
      <c r="AJ896" s="9" t="str">
        <f t="shared" ca="1" si="313"/>
        <v/>
      </c>
      <c r="AK896" s="9" t="str">
        <f t="shared" ca="1" si="314"/>
        <v/>
      </c>
      <c r="AL896" s="9" t="str">
        <f t="shared" ca="1" si="315"/>
        <v/>
      </c>
      <c r="AM896" s="9" t="str">
        <f t="shared" ca="1" si="316"/>
        <v/>
      </c>
      <c r="AN896" s="9" t="str">
        <f t="shared" ca="1" si="317"/>
        <v/>
      </c>
      <c r="AO896" s="9" t="str">
        <f t="shared" ca="1" si="318"/>
        <v/>
      </c>
      <c r="AP896" s="9" t="str">
        <f t="shared" ca="1" si="319"/>
        <v/>
      </c>
      <c r="AQ896" s="9"/>
      <c r="AR896" s="9"/>
      <c r="AS896" s="9"/>
      <c r="AT896" s="9"/>
      <c r="AU896" s="9"/>
    </row>
    <row r="897" spans="1:47" x14ac:dyDescent="0.3">
      <c r="A897" s="1">
        <v>44762</v>
      </c>
      <c r="B897" s="6">
        <v>401.48998999999998</v>
      </c>
      <c r="C897" s="6">
        <v>330.70001200000002</v>
      </c>
      <c r="D897" s="6">
        <v>48.200001</v>
      </c>
      <c r="E897" s="6">
        <v>168.259995</v>
      </c>
      <c r="F897" s="6">
        <v>133.929993</v>
      </c>
      <c r="G897" s="6">
        <v>45.419998</v>
      </c>
      <c r="H897" s="6">
        <v>125.699997</v>
      </c>
      <c r="I897" s="6">
        <v>207.820007</v>
      </c>
      <c r="J897" s="6">
        <v>29.93</v>
      </c>
      <c r="K897" s="6">
        <v>14.44</v>
      </c>
      <c r="N897" s="19">
        <v>893</v>
      </c>
      <c r="O897" s="1">
        <v>44762</v>
      </c>
      <c r="P897" s="5">
        <f t="shared" si="320"/>
        <v>3.4615535808909977E-2</v>
      </c>
      <c r="Q897" s="5">
        <f t="shared" si="321"/>
        <v>2.1981599999191678E-2</v>
      </c>
      <c r="R897" s="5">
        <f t="shared" si="322"/>
        <v>1.4533377113624963E-3</v>
      </c>
      <c r="S897" s="5">
        <f t="shared" si="323"/>
        <v>-1.0640931790340058E-2</v>
      </c>
      <c r="T897" s="5">
        <f t="shared" si="324"/>
        <v>7.4687038030483229E-4</v>
      </c>
      <c r="U897" s="5">
        <f t="shared" si="325"/>
        <v>-2.201871273658797E-4</v>
      </c>
      <c r="V897" s="5">
        <f t="shared" si="326"/>
        <v>6.3045817289790846E-3</v>
      </c>
      <c r="W897" s="5">
        <f t="shared" si="327"/>
        <v>1.3000651540990232E-3</v>
      </c>
      <c r="X897" s="5">
        <f t="shared" si="328"/>
        <v>9.3991964208730745E-3</v>
      </c>
      <c r="Y897" s="5">
        <f t="shared" si="329"/>
        <v>1.3245226750020505E-2</v>
      </c>
      <c r="Z897" s="33">
        <v>893</v>
      </c>
      <c r="AE897" s="20" t="str">
        <f t="shared" si="330"/>
        <v/>
      </c>
      <c r="AF897" s="22" t="str">
        <f t="shared" si="331"/>
        <v/>
      </c>
      <c r="AG897" s="9" t="str">
        <f t="shared" ca="1" si="310"/>
        <v/>
      </c>
      <c r="AH897" s="9" t="str">
        <f t="shared" ca="1" si="311"/>
        <v/>
      </c>
      <c r="AI897" s="9" t="str">
        <f t="shared" ca="1" si="312"/>
        <v/>
      </c>
      <c r="AJ897" s="9" t="str">
        <f t="shared" ca="1" si="313"/>
        <v/>
      </c>
      <c r="AK897" s="9" t="str">
        <f t="shared" ca="1" si="314"/>
        <v/>
      </c>
      <c r="AL897" s="9" t="str">
        <f t="shared" ca="1" si="315"/>
        <v/>
      </c>
      <c r="AM897" s="9" t="str">
        <f t="shared" ca="1" si="316"/>
        <v/>
      </c>
      <c r="AN897" s="9" t="str">
        <f t="shared" ca="1" si="317"/>
        <v/>
      </c>
      <c r="AO897" s="9" t="str">
        <f t="shared" ca="1" si="318"/>
        <v/>
      </c>
      <c r="AP897" s="9" t="str">
        <f t="shared" ca="1" si="319"/>
        <v/>
      </c>
      <c r="AQ897" s="9"/>
      <c r="AR897" s="9"/>
      <c r="AS897" s="9"/>
      <c r="AT897" s="9"/>
      <c r="AU897" s="9"/>
    </row>
    <row r="898" spans="1:47" x14ac:dyDescent="0.3">
      <c r="A898" s="1">
        <v>44763</v>
      </c>
      <c r="B898" s="6">
        <v>408.91000400000001</v>
      </c>
      <c r="C898" s="6">
        <v>338.66000400000001</v>
      </c>
      <c r="D898" s="6">
        <v>47.884998000000003</v>
      </c>
      <c r="E898" s="6">
        <v>168.509995</v>
      </c>
      <c r="F898" s="6">
        <v>134.58000200000001</v>
      </c>
      <c r="G898" s="6">
        <v>45.689999</v>
      </c>
      <c r="H898" s="6">
        <v>127.44000200000001</v>
      </c>
      <c r="I898" s="6">
        <v>211.80999800000001</v>
      </c>
      <c r="J898" s="6">
        <v>29.15</v>
      </c>
      <c r="K898" s="6">
        <v>14.51</v>
      </c>
      <c r="N898" s="18">
        <v>894</v>
      </c>
      <c r="O898" s="1">
        <v>44763</v>
      </c>
      <c r="P898" s="5">
        <f t="shared" si="320"/>
        <v>1.8312491141666651E-2</v>
      </c>
      <c r="Q898" s="5">
        <f t="shared" si="321"/>
        <v>2.3785009774039537E-2</v>
      </c>
      <c r="R898" s="5">
        <f t="shared" si="322"/>
        <v>-6.5567805965933684E-3</v>
      </c>
      <c r="S898" s="5">
        <f t="shared" si="323"/>
        <v>1.4846931338697883E-3</v>
      </c>
      <c r="T898" s="5">
        <f t="shared" si="324"/>
        <v>4.8416094883009337E-3</v>
      </c>
      <c r="U898" s="5">
        <f t="shared" si="325"/>
        <v>5.9269410446067365E-3</v>
      </c>
      <c r="V898" s="5">
        <f t="shared" si="326"/>
        <v>1.3747589565599825E-2</v>
      </c>
      <c r="W898" s="5">
        <f t="shared" si="327"/>
        <v>1.9017282855987045E-2</v>
      </c>
      <c r="X898" s="5">
        <f t="shared" si="328"/>
        <v>-2.6406409068106238E-2</v>
      </c>
      <c r="Y898" s="5">
        <f t="shared" si="329"/>
        <v>4.8359334314163165E-3</v>
      </c>
      <c r="Z898" s="33">
        <v>894</v>
      </c>
      <c r="AE898" s="20" t="str">
        <f t="shared" si="330"/>
        <v/>
      </c>
      <c r="AF898" s="22" t="str">
        <f t="shared" si="331"/>
        <v/>
      </c>
      <c r="AG898" s="9" t="str">
        <f t="shared" ca="1" si="310"/>
        <v/>
      </c>
      <c r="AH898" s="9" t="str">
        <f t="shared" ca="1" si="311"/>
        <v/>
      </c>
      <c r="AI898" s="9" t="str">
        <f t="shared" ca="1" si="312"/>
        <v/>
      </c>
      <c r="AJ898" s="9" t="str">
        <f t="shared" ca="1" si="313"/>
        <v/>
      </c>
      <c r="AK898" s="9" t="str">
        <f t="shared" ca="1" si="314"/>
        <v/>
      </c>
      <c r="AL898" s="9" t="str">
        <f t="shared" ca="1" si="315"/>
        <v/>
      </c>
      <c r="AM898" s="9" t="str">
        <f t="shared" ca="1" si="316"/>
        <v/>
      </c>
      <c r="AN898" s="9" t="str">
        <f t="shared" ca="1" si="317"/>
        <v/>
      </c>
      <c r="AO898" s="9" t="str">
        <f t="shared" ca="1" si="318"/>
        <v/>
      </c>
      <c r="AP898" s="9" t="str">
        <f t="shared" ca="1" si="319"/>
        <v/>
      </c>
      <c r="AQ898" s="9"/>
      <c r="AR898" s="9"/>
      <c r="AS898" s="9"/>
      <c r="AT898" s="9"/>
      <c r="AU898" s="9"/>
    </row>
    <row r="899" spans="1:47" x14ac:dyDescent="0.3">
      <c r="A899" s="1">
        <v>44764</v>
      </c>
      <c r="B899" s="6">
        <v>401.89999399999999</v>
      </c>
      <c r="C899" s="6">
        <v>338.040009</v>
      </c>
      <c r="D899" s="6">
        <v>47.534999999999997</v>
      </c>
      <c r="E899" s="6">
        <v>169.61000100000001</v>
      </c>
      <c r="F899" s="6">
        <v>135.83999600000001</v>
      </c>
      <c r="G899" s="6">
        <v>46.169998</v>
      </c>
      <c r="H899" s="6">
        <v>128.63999899999999</v>
      </c>
      <c r="I899" s="6">
        <v>213.270004</v>
      </c>
      <c r="J899" s="6">
        <v>29.49</v>
      </c>
      <c r="K899" s="6">
        <v>14.65</v>
      </c>
      <c r="N899" s="19">
        <v>895</v>
      </c>
      <c r="O899" s="1">
        <v>44764</v>
      </c>
      <c r="P899" s="5">
        <f t="shared" si="320"/>
        <v>-1.7291806184770022E-2</v>
      </c>
      <c r="Q899" s="5">
        <f t="shared" si="321"/>
        <v>-1.8324077481012371E-3</v>
      </c>
      <c r="R899" s="5">
        <f t="shared" si="322"/>
        <v>-7.3359793958553401E-3</v>
      </c>
      <c r="S899" s="5">
        <f t="shared" si="323"/>
        <v>6.5066242390054985E-3</v>
      </c>
      <c r="T899" s="5">
        <f t="shared" si="324"/>
        <v>9.3188604954082422E-3</v>
      </c>
      <c r="U899" s="5">
        <f t="shared" si="325"/>
        <v>1.0450759512171911E-2</v>
      </c>
      <c r="V899" s="5">
        <f t="shared" si="326"/>
        <v>9.3721163615715711E-3</v>
      </c>
      <c r="W899" s="5">
        <f t="shared" si="327"/>
        <v>6.8693504015871539E-3</v>
      </c>
      <c r="X899" s="5">
        <f t="shared" si="328"/>
        <v>1.1596310030683428E-2</v>
      </c>
      <c r="Y899" s="5">
        <f t="shared" si="329"/>
        <v>9.6022685669799671E-3</v>
      </c>
      <c r="Z899" s="33">
        <v>895</v>
      </c>
      <c r="AE899" s="20" t="str">
        <f t="shared" si="330"/>
        <v/>
      </c>
      <c r="AF899" s="22" t="str">
        <f t="shared" si="331"/>
        <v/>
      </c>
      <c r="AG899" s="9" t="str">
        <f t="shared" ca="1" si="310"/>
        <v/>
      </c>
      <c r="AH899" s="9" t="str">
        <f t="shared" ca="1" si="311"/>
        <v/>
      </c>
      <c r="AI899" s="9" t="str">
        <f t="shared" ca="1" si="312"/>
        <v/>
      </c>
      <c r="AJ899" s="9" t="str">
        <f t="shared" ca="1" si="313"/>
        <v/>
      </c>
      <c r="AK899" s="9" t="str">
        <f t="shared" ca="1" si="314"/>
        <v/>
      </c>
      <c r="AL899" s="9" t="str">
        <f t="shared" ca="1" si="315"/>
        <v/>
      </c>
      <c r="AM899" s="9" t="str">
        <f t="shared" ca="1" si="316"/>
        <v/>
      </c>
      <c r="AN899" s="9" t="str">
        <f t="shared" ca="1" si="317"/>
        <v/>
      </c>
      <c r="AO899" s="9" t="str">
        <f t="shared" ca="1" si="318"/>
        <v/>
      </c>
      <c r="AP899" s="9" t="str">
        <f t="shared" ca="1" si="319"/>
        <v/>
      </c>
      <c r="AQ899" s="9"/>
      <c r="AR899" s="9"/>
      <c r="AS899" s="9"/>
      <c r="AT899" s="9"/>
      <c r="AU899" s="9"/>
    </row>
    <row r="900" spans="1:47" x14ac:dyDescent="0.3">
      <c r="A900" s="1">
        <v>44767</v>
      </c>
      <c r="B900" s="6">
        <v>391.959991</v>
      </c>
      <c r="C900" s="6">
        <v>337.67001299999998</v>
      </c>
      <c r="D900" s="6">
        <v>47.919998</v>
      </c>
      <c r="E900" s="6">
        <v>169.85000600000001</v>
      </c>
      <c r="F900" s="6">
        <v>135.85000600000001</v>
      </c>
      <c r="G900" s="6">
        <v>46.060001</v>
      </c>
      <c r="H900" s="6">
        <v>126.66999800000001</v>
      </c>
      <c r="I900" s="6">
        <v>214.179993</v>
      </c>
      <c r="J900" s="6">
        <v>29.42</v>
      </c>
      <c r="K900" s="6">
        <v>14.66</v>
      </c>
      <c r="N900" s="18">
        <v>896</v>
      </c>
      <c r="O900" s="1">
        <v>44767</v>
      </c>
      <c r="P900" s="5">
        <f t="shared" si="320"/>
        <v>-2.5043515719977642E-2</v>
      </c>
      <c r="Q900" s="5">
        <f t="shared" si="321"/>
        <v>-1.0951326010627364E-3</v>
      </c>
      <c r="R900" s="5">
        <f t="shared" si="322"/>
        <v>8.0666302599722347E-3</v>
      </c>
      <c r="S900" s="5">
        <f t="shared" si="323"/>
        <v>1.4140401522529126E-3</v>
      </c>
      <c r="T900" s="5">
        <f t="shared" si="324"/>
        <v>7.3686922086429346E-5</v>
      </c>
      <c r="U900" s="5">
        <f t="shared" si="325"/>
        <v>-2.3852770973737786E-3</v>
      </c>
      <c r="V900" s="5">
        <f t="shared" si="326"/>
        <v>-1.5432533950541432E-2</v>
      </c>
      <c r="W900" s="5">
        <f t="shared" si="327"/>
        <v>4.2577629248690078E-3</v>
      </c>
      <c r="X900" s="5">
        <f t="shared" si="328"/>
        <v>-2.3765076538933491E-3</v>
      </c>
      <c r="Y900" s="5">
        <f t="shared" si="329"/>
        <v>6.8236099542908694E-4</v>
      </c>
      <c r="Z900" s="33">
        <v>896</v>
      </c>
      <c r="AE900" s="20" t="str">
        <f t="shared" si="330"/>
        <v/>
      </c>
      <c r="AF900" s="22" t="str">
        <f t="shared" si="331"/>
        <v/>
      </c>
      <c r="AG900" s="9" t="str">
        <f t="shared" ca="1" si="310"/>
        <v/>
      </c>
      <c r="AH900" s="9" t="str">
        <f t="shared" ca="1" si="311"/>
        <v/>
      </c>
      <c r="AI900" s="9" t="str">
        <f t="shared" ca="1" si="312"/>
        <v/>
      </c>
      <c r="AJ900" s="9" t="str">
        <f t="shared" ca="1" si="313"/>
        <v/>
      </c>
      <c r="AK900" s="9" t="str">
        <f t="shared" ca="1" si="314"/>
        <v/>
      </c>
      <c r="AL900" s="9" t="str">
        <f t="shared" ca="1" si="315"/>
        <v/>
      </c>
      <c r="AM900" s="9" t="str">
        <f t="shared" ca="1" si="316"/>
        <v/>
      </c>
      <c r="AN900" s="9" t="str">
        <f t="shared" ca="1" si="317"/>
        <v/>
      </c>
      <c r="AO900" s="9" t="str">
        <f t="shared" ca="1" si="318"/>
        <v/>
      </c>
      <c r="AP900" s="9" t="str">
        <f t="shared" ca="1" si="319"/>
        <v/>
      </c>
      <c r="AQ900" s="9"/>
      <c r="AR900" s="9"/>
      <c r="AS900" s="9"/>
      <c r="AT900" s="9"/>
      <c r="AU900" s="9"/>
    </row>
    <row r="901" spans="1:47" x14ac:dyDescent="0.3">
      <c r="A901" s="1">
        <v>44768</v>
      </c>
      <c r="B901" s="6">
        <v>379.26001000000002</v>
      </c>
      <c r="C901" s="6">
        <v>339.41000400000001</v>
      </c>
      <c r="D901" s="6">
        <v>47.945</v>
      </c>
      <c r="E901" s="6">
        <v>171.83000200000001</v>
      </c>
      <c r="F901" s="6">
        <v>135</v>
      </c>
      <c r="G901" s="6">
        <v>46.150002000000001</v>
      </c>
      <c r="H901" s="6">
        <v>127.230003</v>
      </c>
      <c r="I901" s="6">
        <v>215.990005</v>
      </c>
      <c r="J901" s="6">
        <v>28.709999</v>
      </c>
      <c r="K901" s="6">
        <v>14.43</v>
      </c>
      <c r="N901" s="19">
        <v>897</v>
      </c>
      <c r="O901" s="1">
        <v>44768</v>
      </c>
      <c r="P901" s="5">
        <f t="shared" si="320"/>
        <v>-3.2937758726692745E-2</v>
      </c>
      <c r="Q901" s="5">
        <f t="shared" si="321"/>
        <v>5.1397022115235915E-3</v>
      </c>
      <c r="R901" s="5">
        <f t="shared" si="322"/>
        <v>5.2160853467850818E-4</v>
      </c>
      <c r="S901" s="5">
        <f t="shared" si="323"/>
        <v>1.1589897666185497E-2</v>
      </c>
      <c r="T901" s="5">
        <f t="shared" si="324"/>
        <v>-6.2766016002863134E-3</v>
      </c>
      <c r="U901" s="5">
        <f t="shared" si="325"/>
        <v>1.9520881824542065E-3</v>
      </c>
      <c r="V901" s="5">
        <f t="shared" si="326"/>
        <v>4.4112320274703768E-3</v>
      </c>
      <c r="W901" s="5">
        <f t="shared" si="327"/>
        <v>8.4153831754433701E-3</v>
      </c>
      <c r="X901" s="5">
        <f t="shared" si="328"/>
        <v>-2.4429255871388864E-2</v>
      </c>
      <c r="Y901" s="5">
        <f t="shared" si="329"/>
        <v>-1.5813323672725907E-2</v>
      </c>
      <c r="Z901" s="33">
        <v>897</v>
      </c>
      <c r="AE901" s="20" t="str">
        <f t="shared" si="330"/>
        <v/>
      </c>
      <c r="AF901" s="22" t="str">
        <f t="shared" si="331"/>
        <v/>
      </c>
      <c r="AG901" s="9" t="str">
        <f t="shared" ref="AG901:AG964" ca="1" si="332">IF($AE901="","",OFFSET(P$4,$AE901,0))</f>
        <v/>
      </c>
      <c r="AH901" s="9" t="str">
        <f t="shared" ref="AH901:AH964" ca="1" si="333">IF($AE901="","",OFFSET(Q$4,$AE901,0))</f>
        <v/>
      </c>
      <c r="AI901" s="9" t="str">
        <f t="shared" ref="AI901:AI964" ca="1" si="334">IF($AE901="","",OFFSET(R$4,$AE901,0))</f>
        <v/>
      </c>
      <c r="AJ901" s="9" t="str">
        <f t="shared" ref="AJ901:AJ964" ca="1" si="335">IF($AE901="","",OFFSET(S$4,$AE901,0))</f>
        <v/>
      </c>
      <c r="AK901" s="9" t="str">
        <f t="shared" ref="AK901:AK964" ca="1" si="336">IF($AE901="","",OFFSET(T$4,$AE901,0))</f>
        <v/>
      </c>
      <c r="AL901" s="9" t="str">
        <f t="shared" ref="AL901:AL964" ca="1" si="337">IF($AE901="","",OFFSET(U$4,$AE901,0))</f>
        <v/>
      </c>
      <c r="AM901" s="9" t="str">
        <f t="shared" ref="AM901:AM964" ca="1" si="338">IF($AE901="","",OFFSET(V$4,$AE901,0))</f>
        <v/>
      </c>
      <c r="AN901" s="9" t="str">
        <f t="shared" ref="AN901:AN964" ca="1" si="339">IF($AE901="","",OFFSET(W$4,$AE901,0))</f>
        <v/>
      </c>
      <c r="AO901" s="9" t="str">
        <f t="shared" ref="AO901:AO964" ca="1" si="340">IF($AE901="","",OFFSET(X$4,$AE901,0))</f>
        <v/>
      </c>
      <c r="AP901" s="9" t="str">
        <f t="shared" ref="AP901:AP964" ca="1" si="341">IF($AE901="","",OFFSET(Y$4,$AE901,0))</f>
        <v/>
      </c>
      <c r="AQ901" s="9"/>
      <c r="AR901" s="9"/>
      <c r="AS901" s="9"/>
      <c r="AT901" s="9"/>
      <c r="AU901" s="9"/>
    </row>
    <row r="902" spans="1:47" x14ac:dyDescent="0.3">
      <c r="A902" s="1">
        <v>44769</v>
      </c>
      <c r="B902" s="6">
        <v>392.77999899999998</v>
      </c>
      <c r="C902" s="6">
        <v>353.540009</v>
      </c>
      <c r="D902" s="6">
        <v>48.695</v>
      </c>
      <c r="E902" s="6">
        <v>171.58999600000001</v>
      </c>
      <c r="F902" s="6">
        <v>135.80999800000001</v>
      </c>
      <c r="G902" s="6">
        <v>46.5</v>
      </c>
      <c r="H902" s="6">
        <v>130.10000600000001</v>
      </c>
      <c r="I902" s="6">
        <v>219.270004</v>
      </c>
      <c r="J902" s="6">
        <v>29.52</v>
      </c>
      <c r="K902" s="6">
        <v>15.15</v>
      </c>
      <c r="N902" s="18">
        <v>898</v>
      </c>
      <c r="O902" s="1">
        <v>44769</v>
      </c>
      <c r="P902" s="5">
        <f t="shared" ref="P902:P965" si="342">LN(B902/B901)</f>
        <v>3.5027644061724442E-2</v>
      </c>
      <c r="Q902" s="5">
        <f t="shared" ref="Q902:Q965" si="343">LN(C902/C901)</f>
        <v>4.0787830653734744E-2</v>
      </c>
      <c r="R902" s="5">
        <f t="shared" ref="R902:R965" si="344">LN(D902/D901)</f>
        <v>1.5521834807518122E-2</v>
      </c>
      <c r="S902" s="5">
        <f t="shared" ref="S902:S965" si="345">LN(E902/E901)</f>
        <v>-1.397740611917091E-3</v>
      </c>
      <c r="T902" s="5">
        <f t="shared" ref="T902:T965" si="346">LN(F902/F901)</f>
        <v>5.9820569510913883E-3</v>
      </c>
      <c r="U902" s="5">
        <f t="shared" ref="U902:U965" si="347">LN(G902/G901)</f>
        <v>7.5553083075056513E-3</v>
      </c>
      <c r="V902" s="5">
        <f t="shared" ref="V902:V965" si="348">LN(H902/H901)</f>
        <v>2.230693590287583E-2</v>
      </c>
      <c r="W902" s="5">
        <f t="shared" ref="W902:W965" si="349">LN(I902/I901)</f>
        <v>1.5071731937377769E-2</v>
      </c>
      <c r="X902" s="5">
        <f t="shared" ref="X902:X965" si="350">LN(J902/J901)</f>
        <v>2.7822540430369098E-2</v>
      </c>
      <c r="Y902" s="5">
        <f t="shared" ref="Y902:Y965" si="351">LN(K902/K901)</f>
        <v>4.8691159169598645E-2</v>
      </c>
      <c r="Z902" s="33">
        <v>898</v>
      </c>
      <c r="AE902" s="20" t="str">
        <f t="shared" ref="AE902:AE965" si="352">IF(AE901="","",IF(AE901+1&lt;=$AC$5,AE901+1,""))</f>
        <v/>
      </c>
      <c r="AF902" s="22" t="str">
        <f t="shared" ref="AF902:AF965" si="353">IF(AE902="","",VLOOKUP(AE902,N901:O2158,2))</f>
        <v/>
      </c>
      <c r="AG902" s="9" t="str">
        <f t="shared" ca="1" si="332"/>
        <v/>
      </c>
      <c r="AH902" s="9" t="str">
        <f t="shared" ca="1" si="333"/>
        <v/>
      </c>
      <c r="AI902" s="9" t="str">
        <f t="shared" ca="1" si="334"/>
        <v/>
      </c>
      <c r="AJ902" s="9" t="str">
        <f t="shared" ca="1" si="335"/>
        <v/>
      </c>
      <c r="AK902" s="9" t="str">
        <f t="shared" ca="1" si="336"/>
        <v/>
      </c>
      <c r="AL902" s="9" t="str">
        <f t="shared" ca="1" si="337"/>
        <v/>
      </c>
      <c r="AM902" s="9" t="str">
        <f t="shared" ca="1" si="338"/>
        <v/>
      </c>
      <c r="AN902" s="9" t="str">
        <f t="shared" ca="1" si="339"/>
        <v/>
      </c>
      <c r="AO902" s="9" t="str">
        <f t="shared" ca="1" si="340"/>
        <v/>
      </c>
      <c r="AP902" s="9" t="str">
        <f t="shared" ca="1" si="341"/>
        <v/>
      </c>
      <c r="AQ902" s="9"/>
      <c r="AR902" s="9"/>
      <c r="AS902" s="9"/>
      <c r="AT902" s="9"/>
      <c r="AU902" s="9"/>
    </row>
    <row r="903" spans="1:47" x14ac:dyDescent="0.3">
      <c r="A903" s="1">
        <v>44770</v>
      </c>
      <c r="B903" s="6">
        <v>403.5</v>
      </c>
      <c r="C903" s="6">
        <v>362.64001500000001</v>
      </c>
      <c r="D903" s="6">
        <v>49.455002</v>
      </c>
      <c r="E903" s="6">
        <v>174.83999600000001</v>
      </c>
      <c r="F903" s="6">
        <v>141.33000200000001</v>
      </c>
      <c r="G903" s="6">
        <v>48.259998000000003</v>
      </c>
      <c r="H903" s="6">
        <v>131.800003</v>
      </c>
      <c r="I903" s="6">
        <v>221.61000100000001</v>
      </c>
      <c r="J903" s="6">
        <v>29.84</v>
      </c>
      <c r="K903" s="6">
        <v>15.59</v>
      </c>
      <c r="N903" s="19">
        <v>899</v>
      </c>
      <c r="O903" s="1">
        <v>44770</v>
      </c>
      <c r="P903" s="5">
        <f t="shared" si="342"/>
        <v>2.69268315688811E-2</v>
      </c>
      <c r="Q903" s="5">
        <f t="shared" si="343"/>
        <v>2.5413989431383552E-2</v>
      </c>
      <c r="R903" s="5">
        <f t="shared" si="344"/>
        <v>1.5486850219445554E-2</v>
      </c>
      <c r="S903" s="5">
        <f t="shared" si="345"/>
        <v>1.8763360130905973E-2</v>
      </c>
      <c r="T903" s="5">
        <f t="shared" si="346"/>
        <v>3.9840760141815833E-2</v>
      </c>
      <c r="U903" s="5">
        <f t="shared" si="347"/>
        <v>3.7150706161386202E-2</v>
      </c>
      <c r="V903" s="5">
        <f t="shared" si="348"/>
        <v>1.298221319333768E-2</v>
      </c>
      <c r="W903" s="5">
        <f t="shared" si="349"/>
        <v>1.0615219318428369E-2</v>
      </c>
      <c r="X903" s="5">
        <f t="shared" si="350"/>
        <v>1.0781775603288413E-2</v>
      </c>
      <c r="Y903" s="5">
        <f t="shared" si="351"/>
        <v>2.8629151114306955E-2</v>
      </c>
      <c r="Z903" s="33">
        <v>899</v>
      </c>
      <c r="AE903" s="20" t="str">
        <f t="shared" si="352"/>
        <v/>
      </c>
      <c r="AF903" s="22" t="str">
        <f t="shared" si="353"/>
        <v/>
      </c>
      <c r="AG903" s="9" t="str">
        <f t="shared" ca="1" si="332"/>
        <v/>
      </c>
      <c r="AH903" s="9" t="str">
        <f t="shared" ca="1" si="333"/>
        <v/>
      </c>
      <c r="AI903" s="9" t="str">
        <f t="shared" ca="1" si="334"/>
        <v/>
      </c>
      <c r="AJ903" s="9" t="str">
        <f t="shared" ca="1" si="335"/>
        <v/>
      </c>
      <c r="AK903" s="9" t="str">
        <f t="shared" ca="1" si="336"/>
        <v/>
      </c>
      <c r="AL903" s="9" t="str">
        <f t="shared" ca="1" si="337"/>
        <v/>
      </c>
      <c r="AM903" s="9" t="str">
        <f t="shared" ca="1" si="338"/>
        <v/>
      </c>
      <c r="AN903" s="9" t="str">
        <f t="shared" ca="1" si="339"/>
        <v/>
      </c>
      <c r="AO903" s="9" t="str">
        <f t="shared" ca="1" si="340"/>
        <v/>
      </c>
      <c r="AP903" s="9" t="str">
        <f t="shared" ca="1" si="341"/>
        <v/>
      </c>
      <c r="AQ903" s="9"/>
      <c r="AR903" s="9"/>
      <c r="AS903" s="9"/>
      <c r="AT903" s="9"/>
      <c r="AU903" s="9"/>
    </row>
    <row r="904" spans="1:47" x14ac:dyDescent="0.3">
      <c r="A904" s="1">
        <v>44771</v>
      </c>
      <c r="B904" s="6">
        <v>410.11999500000002</v>
      </c>
      <c r="C904" s="6">
        <v>367.5</v>
      </c>
      <c r="D904" s="6">
        <v>49.810001</v>
      </c>
      <c r="E904" s="6">
        <v>174.96000699999999</v>
      </c>
      <c r="F904" s="6">
        <v>141.10000600000001</v>
      </c>
      <c r="G904" s="6">
        <v>48.400002000000001</v>
      </c>
      <c r="H904" s="6">
        <v>133.679993</v>
      </c>
      <c r="I904" s="6">
        <v>224.050003</v>
      </c>
      <c r="J904" s="6">
        <v>29.870000999999998</v>
      </c>
      <c r="K904" s="6">
        <v>15</v>
      </c>
      <c r="N904" s="18">
        <v>900</v>
      </c>
      <c r="O904" s="1">
        <v>44771</v>
      </c>
      <c r="P904" s="5">
        <f t="shared" si="342"/>
        <v>1.6273299900333209E-2</v>
      </c>
      <c r="Q904" s="5">
        <f t="shared" si="343"/>
        <v>1.331267065696286E-2</v>
      </c>
      <c r="R904" s="5">
        <f t="shared" si="344"/>
        <v>7.1525815288737615E-3</v>
      </c>
      <c r="S904" s="5">
        <f t="shared" si="345"/>
        <v>6.8616926060274092E-4</v>
      </c>
      <c r="T904" s="5">
        <f t="shared" si="346"/>
        <v>-1.628694149535747E-3</v>
      </c>
      <c r="U904" s="5">
        <f t="shared" si="347"/>
        <v>2.8968362902024483E-3</v>
      </c>
      <c r="V904" s="5">
        <f t="shared" si="348"/>
        <v>1.4163187093115944E-2</v>
      </c>
      <c r="W904" s="5">
        <f t="shared" si="349"/>
        <v>1.095016990083241E-2</v>
      </c>
      <c r="X904" s="5">
        <f t="shared" si="350"/>
        <v>1.0048903708641714E-3</v>
      </c>
      <c r="Y904" s="5">
        <f t="shared" si="351"/>
        <v>-3.8579481967475085E-2</v>
      </c>
      <c r="Z904" s="33">
        <v>900</v>
      </c>
      <c r="AE904" s="20" t="str">
        <f t="shared" si="352"/>
        <v/>
      </c>
      <c r="AF904" s="22" t="str">
        <f t="shared" si="353"/>
        <v/>
      </c>
      <c r="AG904" s="9" t="str">
        <f t="shared" ca="1" si="332"/>
        <v/>
      </c>
      <c r="AH904" s="9" t="str">
        <f t="shared" ca="1" si="333"/>
        <v/>
      </c>
      <c r="AI904" s="9" t="str">
        <f t="shared" ca="1" si="334"/>
        <v/>
      </c>
      <c r="AJ904" s="9" t="str">
        <f t="shared" ca="1" si="335"/>
        <v/>
      </c>
      <c r="AK904" s="9" t="str">
        <f t="shared" ca="1" si="336"/>
        <v/>
      </c>
      <c r="AL904" s="9" t="str">
        <f t="shared" ca="1" si="337"/>
        <v/>
      </c>
      <c r="AM904" s="9" t="str">
        <f t="shared" ca="1" si="338"/>
        <v/>
      </c>
      <c r="AN904" s="9" t="str">
        <f t="shared" ca="1" si="339"/>
        <v/>
      </c>
      <c r="AO904" s="9" t="str">
        <f t="shared" ca="1" si="340"/>
        <v/>
      </c>
      <c r="AP904" s="9" t="str">
        <f t="shared" ca="1" si="341"/>
        <v/>
      </c>
      <c r="AQ904" s="9"/>
      <c r="AR904" s="9"/>
      <c r="AS904" s="9"/>
      <c r="AT904" s="9"/>
      <c r="AU904" s="9"/>
    </row>
    <row r="905" spans="1:47" x14ac:dyDescent="0.3">
      <c r="A905" s="1">
        <v>44774</v>
      </c>
      <c r="B905" s="6">
        <v>411.08999599999999</v>
      </c>
      <c r="C905" s="6">
        <v>370.01001000000002</v>
      </c>
      <c r="D905" s="6">
        <v>49.244999</v>
      </c>
      <c r="E905" s="6">
        <v>176.949997</v>
      </c>
      <c r="F905" s="6">
        <v>138.91999799999999</v>
      </c>
      <c r="G905" s="6">
        <v>47.23</v>
      </c>
      <c r="H905" s="6">
        <v>132.279999</v>
      </c>
      <c r="I905" s="6">
        <v>224</v>
      </c>
      <c r="J905" s="6">
        <v>29.889999</v>
      </c>
      <c r="K905" s="6">
        <v>15.4</v>
      </c>
      <c r="N905" s="19">
        <v>901</v>
      </c>
      <c r="O905" s="1">
        <v>44774</v>
      </c>
      <c r="P905" s="5">
        <f t="shared" si="342"/>
        <v>2.3623712856531446E-3</v>
      </c>
      <c r="Q905" s="5">
        <f t="shared" si="343"/>
        <v>6.8067406734785988E-3</v>
      </c>
      <c r="R905" s="5">
        <f t="shared" si="344"/>
        <v>-1.1407967846446368E-2</v>
      </c>
      <c r="S905" s="5">
        <f t="shared" si="345"/>
        <v>1.1309773459873999E-2</v>
      </c>
      <c r="T905" s="5">
        <f t="shared" si="346"/>
        <v>-1.5570687902702801E-2</v>
      </c>
      <c r="U905" s="5">
        <f t="shared" si="347"/>
        <v>-2.4470571136873599E-2</v>
      </c>
      <c r="V905" s="5">
        <f t="shared" si="348"/>
        <v>-1.0527951369412607E-2</v>
      </c>
      <c r="W905" s="5">
        <f t="shared" si="349"/>
        <v>-2.2320276698048074E-4</v>
      </c>
      <c r="X905" s="5">
        <f t="shared" si="350"/>
        <v>6.6927713341639666E-4</v>
      </c>
      <c r="Y905" s="5">
        <f t="shared" si="351"/>
        <v>2.6317308317373358E-2</v>
      </c>
      <c r="Z905" s="33">
        <v>901</v>
      </c>
      <c r="AE905" s="20" t="str">
        <f t="shared" si="352"/>
        <v/>
      </c>
      <c r="AF905" s="22" t="str">
        <f t="shared" si="353"/>
        <v/>
      </c>
      <c r="AG905" s="9" t="str">
        <f t="shared" ca="1" si="332"/>
        <v/>
      </c>
      <c r="AH905" s="9" t="str">
        <f t="shared" ca="1" si="333"/>
        <v/>
      </c>
      <c r="AI905" s="9" t="str">
        <f t="shared" ca="1" si="334"/>
        <v/>
      </c>
      <c r="AJ905" s="9" t="str">
        <f t="shared" ca="1" si="335"/>
        <v/>
      </c>
      <c r="AK905" s="9" t="str">
        <f t="shared" ca="1" si="336"/>
        <v/>
      </c>
      <c r="AL905" s="9" t="str">
        <f t="shared" ca="1" si="337"/>
        <v/>
      </c>
      <c r="AM905" s="9" t="str">
        <f t="shared" ca="1" si="338"/>
        <v/>
      </c>
      <c r="AN905" s="9" t="str">
        <f t="shared" ca="1" si="339"/>
        <v/>
      </c>
      <c r="AO905" s="9" t="str">
        <f t="shared" ca="1" si="340"/>
        <v/>
      </c>
      <c r="AP905" s="9" t="str">
        <f t="shared" ca="1" si="341"/>
        <v/>
      </c>
      <c r="AQ905" s="9"/>
      <c r="AR905" s="9"/>
      <c r="AS905" s="9"/>
      <c r="AT905" s="9"/>
      <c r="AU905" s="9"/>
    </row>
    <row r="906" spans="1:47" x14ac:dyDescent="0.3">
      <c r="A906" s="1">
        <v>44775</v>
      </c>
      <c r="B906" s="6">
        <v>409.959991</v>
      </c>
      <c r="C906" s="6">
        <v>368.35998499999999</v>
      </c>
      <c r="D906" s="6">
        <v>48.450001</v>
      </c>
      <c r="E906" s="6">
        <v>175.490005</v>
      </c>
      <c r="F906" s="6">
        <v>137.070007</v>
      </c>
      <c r="G906" s="6">
        <v>46.349997999999999</v>
      </c>
      <c r="H906" s="6">
        <v>131.13000500000001</v>
      </c>
      <c r="I906" s="6">
        <v>221.61999499999999</v>
      </c>
      <c r="J906" s="6">
        <v>29.389999</v>
      </c>
      <c r="K906" s="6">
        <v>16</v>
      </c>
      <c r="N906" s="18">
        <v>902</v>
      </c>
      <c r="O906" s="1">
        <v>44775</v>
      </c>
      <c r="P906" s="5">
        <f t="shared" si="342"/>
        <v>-2.7525868859892004E-3</v>
      </c>
      <c r="Q906" s="5">
        <f t="shared" si="343"/>
        <v>-4.4693791942382868E-3</v>
      </c>
      <c r="R906" s="5">
        <f t="shared" si="344"/>
        <v>-1.6275460338425401E-2</v>
      </c>
      <c r="S906" s="5">
        <f t="shared" si="345"/>
        <v>-8.2851001203635907E-3</v>
      </c>
      <c r="T906" s="5">
        <f t="shared" si="346"/>
        <v>-1.3406418167012444E-2</v>
      </c>
      <c r="U906" s="5">
        <f t="shared" si="347"/>
        <v>-1.8808035046108493E-2</v>
      </c>
      <c r="V906" s="5">
        <f t="shared" si="348"/>
        <v>-8.7316448804380803E-3</v>
      </c>
      <c r="W906" s="5">
        <f t="shared" si="349"/>
        <v>-1.0681870908001422E-2</v>
      </c>
      <c r="X906" s="5">
        <f t="shared" si="350"/>
        <v>-1.6869496434193759E-2</v>
      </c>
      <c r="Y906" s="5">
        <f t="shared" si="351"/>
        <v>3.8221212820197671E-2</v>
      </c>
      <c r="Z906" s="33">
        <v>902</v>
      </c>
      <c r="AE906" s="20" t="str">
        <f t="shared" si="352"/>
        <v/>
      </c>
      <c r="AF906" s="22" t="str">
        <f t="shared" si="353"/>
        <v/>
      </c>
      <c r="AG906" s="9" t="str">
        <f t="shared" ca="1" si="332"/>
        <v/>
      </c>
      <c r="AH906" s="9" t="str">
        <f t="shared" ca="1" si="333"/>
        <v/>
      </c>
      <c r="AI906" s="9" t="str">
        <f t="shared" ca="1" si="334"/>
        <v/>
      </c>
      <c r="AJ906" s="9" t="str">
        <f t="shared" ca="1" si="335"/>
        <v/>
      </c>
      <c r="AK906" s="9" t="str">
        <f t="shared" ca="1" si="336"/>
        <v/>
      </c>
      <c r="AL906" s="9" t="str">
        <f t="shared" ca="1" si="337"/>
        <v/>
      </c>
      <c r="AM906" s="9" t="str">
        <f t="shared" ca="1" si="338"/>
        <v/>
      </c>
      <c r="AN906" s="9" t="str">
        <f t="shared" ca="1" si="339"/>
        <v/>
      </c>
      <c r="AO906" s="9" t="str">
        <f t="shared" ca="1" si="340"/>
        <v/>
      </c>
      <c r="AP906" s="9" t="str">
        <f t="shared" ca="1" si="341"/>
        <v/>
      </c>
      <c r="AQ906" s="9"/>
      <c r="AR906" s="9"/>
      <c r="AS906" s="9"/>
      <c r="AT906" s="9"/>
      <c r="AU906" s="9"/>
    </row>
    <row r="907" spans="1:47" x14ac:dyDescent="0.3">
      <c r="A907" s="1">
        <v>44776</v>
      </c>
      <c r="B907" s="6">
        <v>424.540009</v>
      </c>
      <c r="C907" s="6">
        <v>370.83999599999999</v>
      </c>
      <c r="D907" s="6">
        <v>48.025002000000001</v>
      </c>
      <c r="E907" s="6">
        <v>176.83000200000001</v>
      </c>
      <c r="F907" s="6">
        <v>136.300003</v>
      </c>
      <c r="G907" s="6">
        <v>46.169998</v>
      </c>
      <c r="H907" s="6">
        <v>133.16999799999999</v>
      </c>
      <c r="I907" s="6">
        <v>223.16000399999999</v>
      </c>
      <c r="J907" s="6">
        <v>30.02</v>
      </c>
      <c r="K907" s="6">
        <v>16.709999</v>
      </c>
      <c r="N907" s="19">
        <v>903</v>
      </c>
      <c r="O907" s="1">
        <v>44776</v>
      </c>
      <c r="P907" s="5">
        <f t="shared" si="342"/>
        <v>3.4946679005712862E-2</v>
      </c>
      <c r="Q907" s="5">
        <f t="shared" si="343"/>
        <v>6.7100118203269445E-3</v>
      </c>
      <c r="R907" s="5">
        <f t="shared" si="344"/>
        <v>-8.8106086770138332E-3</v>
      </c>
      <c r="S907" s="5">
        <f t="shared" si="345"/>
        <v>7.606740660016975E-3</v>
      </c>
      <c r="T907" s="5">
        <f t="shared" si="346"/>
        <v>-5.6334345993273487E-3</v>
      </c>
      <c r="U907" s="5">
        <f t="shared" si="347"/>
        <v>-3.8910556611924919E-3</v>
      </c>
      <c r="V907" s="5">
        <f t="shared" si="348"/>
        <v>1.5437256822223815E-2</v>
      </c>
      <c r="W907" s="5">
        <f t="shared" si="349"/>
        <v>6.9248399546482054E-3</v>
      </c>
      <c r="X907" s="5">
        <f t="shared" si="350"/>
        <v>2.1209379799669179E-2</v>
      </c>
      <c r="Y907" s="5">
        <f t="shared" si="351"/>
        <v>4.3418560523114762E-2</v>
      </c>
      <c r="Z907" s="33">
        <v>903</v>
      </c>
      <c r="AE907" s="20" t="str">
        <f t="shared" si="352"/>
        <v/>
      </c>
      <c r="AF907" s="22" t="str">
        <f t="shared" si="353"/>
        <v/>
      </c>
      <c r="AG907" s="9" t="str">
        <f t="shared" ca="1" si="332"/>
        <v/>
      </c>
      <c r="AH907" s="9" t="str">
        <f t="shared" ca="1" si="333"/>
        <v/>
      </c>
      <c r="AI907" s="9" t="str">
        <f t="shared" ca="1" si="334"/>
        <v/>
      </c>
      <c r="AJ907" s="9" t="str">
        <f t="shared" ca="1" si="335"/>
        <v/>
      </c>
      <c r="AK907" s="9" t="str">
        <f t="shared" ca="1" si="336"/>
        <v/>
      </c>
      <c r="AL907" s="9" t="str">
        <f t="shared" ca="1" si="337"/>
        <v/>
      </c>
      <c r="AM907" s="9" t="str">
        <f t="shared" ca="1" si="338"/>
        <v/>
      </c>
      <c r="AN907" s="9" t="str">
        <f t="shared" ca="1" si="339"/>
        <v/>
      </c>
      <c r="AO907" s="9" t="str">
        <f t="shared" ca="1" si="340"/>
        <v/>
      </c>
      <c r="AP907" s="9" t="str">
        <f t="shared" ca="1" si="341"/>
        <v/>
      </c>
      <c r="AQ907" s="9"/>
      <c r="AR907" s="9"/>
      <c r="AS907" s="9"/>
      <c r="AT907" s="9"/>
      <c r="AU907" s="9"/>
    </row>
    <row r="908" spans="1:47" x14ac:dyDescent="0.3">
      <c r="A908" s="1">
        <v>44777</v>
      </c>
      <c r="B908" s="6">
        <v>430.58999599999999</v>
      </c>
      <c r="C908" s="6">
        <v>372.290009</v>
      </c>
      <c r="D908" s="6">
        <v>48.18</v>
      </c>
      <c r="E908" s="6">
        <v>175.86999499999999</v>
      </c>
      <c r="F908" s="6">
        <v>137.11000100000001</v>
      </c>
      <c r="G908" s="6">
        <v>46.66</v>
      </c>
      <c r="H908" s="6">
        <v>132.46000699999999</v>
      </c>
      <c r="I908" s="6">
        <v>223.05999800000001</v>
      </c>
      <c r="J908" s="6">
        <v>29.57</v>
      </c>
      <c r="K908" s="6">
        <v>17.48</v>
      </c>
      <c r="N908" s="18">
        <v>904</v>
      </c>
      <c r="O908" s="1">
        <v>44777</v>
      </c>
      <c r="P908" s="5">
        <f t="shared" si="342"/>
        <v>1.4150100946105732E-2</v>
      </c>
      <c r="Q908" s="5">
        <f t="shared" si="343"/>
        <v>3.9024526810849357E-3</v>
      </c>
      <c r="R908" s="5">
        <f t="shared" si="344"/>
        <v>3.2222468871291863E-3</v>
      </c>
      <c r="S908" s="5">
        <f t="shared" si="345"/>
        <v>-5.443773059001969E-3</v>
      </c>
      <c r="T908" s="5">
        <f t="shared" si="346"/>
        <v>5.9251699492194592E-3</v>
      </c>
      <c r="U908" s="5">
        <f t="shared" si="347"/>
        <v>1.055707339255922E-2</v>
      </c>
      <c r="V908" s="5">
        <f t="shared" si="348"/>
        <v>-5.3457265926817174E-3</v>
      </c>
      <c r="W908" s="5">
        <f t="shared" si="349"/>
        <v>-4.4823630149318905E-4</v>
      </c>
      <c r="X908" s="5">
        <f t="shared" si="350"/>
        <v>-1.5103492340930027E-2</v>
      </c>
      <c r="Y908" s="5">
        <f t="shared" si="351"/>
        <v>4.5050087464493439E-2</v>
      </c>
      <c r="Z908" s="33">
        <v>904</v>
      </c>
      <c r="AE908" s="20" t="str">
        <f t="shared" si="352"/>
        <v/>
      </c>
      <c r="AF908" s="22" t="str">
        <f t="shared" si="353"/>
        <v/>
      </c>
      <c r="AG908" s="9" t="str">
        <f t="shared" ca="1" si="332"/>
        <v/>
      </c>
      <c r="AH908" s="9" t="str">
        <f t="shared" ca="1" si="333"/>
        <v/>
      </c>
      <c r="AI908" s="9" t="str">
        <f t="shared" ca="1" si="334"/>
        <v/>
      </c>
      <c r="AJ908" s="9" t="str">
        <f t="shared" ca="1" si="335"/>
        <v/>
      </c>
      <c r="AK908" s="9" t="str">
        <f t="shared" ca="1" si="336"/>
        <v/>
      </c>
      <c r="AL908" s="9" t="str">
        <f t="shared" ca="1" si="337"/>
        <v/>
      </c>
      <c r="AM908" s="9" t="str">
        <f t="shared" ca="1" si="338"/>
        <v/>
      </c>
      <c r="AN908" s="9" t="str">
        <f t="shared" ca="1" si="339"/>
        <v/>
      </c>
      <c r="AO908" s="9" t="str">
        <f t="shared" ca="1" si="340"/>
        <v/>
      </c>
      <c r="AP908" s="9" t="str">
        <f t="shared" ca="1" si="341"/>
        <v/>
      </c>
      <c r="AQ908" s="9"/>
      <c r="AR908" s="9"/>
      <c r="AS908" s="9"/>
      <c r="AT908" s="9"/>
      <c r="AU908" s="9"/>
    </row>
    <row r="909" spans="1:47" x14ac:dyDescent="0.3">
      <c r="A909" s="1">
        <v>44778</v>
      </c>
      <c r="B909" s="6">
        <v>433.42999300000002</v>
      </c>
      <c r="C909" s="6">
        <v>374.290009</v>
      </c>
      <c r="D909" s="6">
        <v>45.689999</v>
      </c>
      <c r="E909" s="6">
        <v>174.550003</v>
      </c>
      <c r="F909" s="6">
        <v>137.279999</v>
      </c>
      <c r="G909" s="6">
        <v>46.759998000000003</v>
      </c>
      <c r="H909" s="6">
        <v>134.029999</v>
      </c>
      <c r="I909" s="6">
        <v>223</v>
      </c>
      <c r="J909" s="6">
        <v>29.02</v>
      </c>
      <c r="K909" s="6">
        <v>14.59</v>
      </c>
      <c r="N909" s="19">
        <v>905</v>
      </c>
      <c r="O909" s="1">
        <v>44778</v>
      </c>
      <c r="P909" s="5">
        <f t="shared" si="342"/>
        <v>6.5739387145756787E-3</v>
      </c>
      <c r="Q909" s="5">
        <f t="shared" si="343"/>
        <v>5.3577774279359352E-3</v>
      </c>
      <c r="R909" s="5">
        <f t="shared" si="344"/>
        <v>-5.3064563498172665E-2</v>
      </c>
      <c r="S909" s="5">
        <f t="shared" si="345"/>
        <v>-7.5338065800845807E-3</v>
      </c>
      <c r="T909" s="5">
        <f t="shared" si="346"/>
        <v>1.2390977932921668E-3</v>
      </c>
      <c r="U909" s="5">
        <f t="shared" si="347"/>
        <v>2.1408272389832361E-3</v>
      </c>
      <c r="V909" s="5">
        <f t="shared" si="348"/>
        <v>1.1782882126415E-2</v>
      </c>
      <c r="W909" s="5">
        <f t="shared" si="349"/>
        <v>-2.6901314007461935E-4</v>
      </c>
      <c r="X909" s="5">
        <f t="shared" si="350"/>
        <v>-1.8775086408344105E-2</v>
      </c>
      <c r="Y909" s="5">
        <f t="shared" si="351"/>
        <v>-0.1807210076926952</v>
      </c>
      <c r="Z909" s="33">
        <v>905</v>
      </c>
      <c r="AE909" s="20" t="str">
        <f t="shared" si="352"/>
        <v/>
      </c>
      <c r="AF909" s="22" t="str">
        <f t="shared" si="353"/>
        <v/>
      </c>
      <c r="AG909" s="9" t="str">
        <f t="shared" ca="1" si="332"/>
        <v/>
      </c>
      <c r="AH909" s="9" t="str">
        <f t="shared" ca="1" si="333"/>
        <v/>
      </c>
      <c r="AI909" s="9" t="str">
        <f t="shared" ca="1" si="334"/>
        <v/>
      </c>
      <c r="AJ909" s="9" t="str">
        <f t="shared" ca="1" si="335"/>
        <v/>
      </c>
      <c r="AK909" s="9" t="str">
        <f t="shared" ca="1" si="336"/>
        <v/>
      </c>
      <c r="AL909" s="9" t="str">
        <f t="shared" ca="1" si="337"/>
        <v/>
      </c>
      <c r="AM909" s="9" t="str">
        <f t="shared" ca="1" si="338"/>
        <v/>
      </c>
      <c r="AN909" s="9" t="str">
        <f t="shared" ca="1" si="339"/>
        <v/>
      </c>
      <c r="AO909" s="9" t="str">
        <f t="shared" ca="1" si="340"/>
        <v/>
      </c>
      <c r="AP909" s="9" t="str">
        <f t="shared" ca="1" si="341"/>
        <v/>
      </c>
      <c r="AQ909" s="9"/>
      <c r="AR909" s="9"/>
      <c r="AS909" s="9"/>
      <c r="AT909" s="9"/>
      <c r="AU909" s="9"/>
    </row>
    <row r="910" spans="1:47" x14ac:dyDescent="0.3">
      <c r="A910" s="1">
        <v>44781</v>
      </c>
      <c r="B910" s="6">
        <v>434.33999599999999</v>
      </c>
      <c r="C910" s="6">
        <v>372.07000699999998</v>
      </c>
      <c r="D910" s="6">
        <v>44.715000000000003</v>
      </c>
      <c r="E910" s="6">
        <v>173.85000600000001</v>
      </c>
      <c r="F910" s="6">
        <v>137.990005</v>
      </c>
      <c r="G910" s="6">
        <v>47.110000999999997</v>
      </c>
      <c r="H910" s="6">
        <v>134.5</v>
      </c>
      <c r="I910" s="6">
        <v>224.41999799999999</v>
      </c>
      <c r="J910" s="6">
        <v>29.32</v>
      </c>
      <c r="K910" s="6">
        <v>14.02</v>
      </c>
      <c r="N910" s="18">
        <v>906</v>
      </c>
      <c r="O910" s="1">
        <v>44781</v>
      </c>
      <c r="P910" s="5">
        <f t="shared" si="342"/>
        <v>2.0973376473349768E-3</v>
      </c>
      <c r="Q910" s="5">
        <f t="shared" si="343"/>
        <v>-5.9488946337964291E-3</v>
      </c>
      <c r="R910" s="5">
        <f t="shared" si="344"/>
        <v>-2.1570417890408079E-2</v>
      </c>
      <c r="S910" s="5">
        <f t="shared" si="345"/>
        <v>-4.0183577717166517E-3</v>
      </c>
      <c r="T910" s="5">
        <f t="shared" si="346"/>
        <v>5.1586265427022247E-3</v>
      </c>
      <c r="U910" s="5">
        <f t="shared" si="347"/>
        <v>7.4572201065979836E-3</v>
      </c>
      <c r="V910" s="5">
        <f t="shared" si="348"/>
        <v>3.5005510125047544E-3</v>
      </c>
      <c r="W910" s="5">
        <f t="shared" si="349"/>
        <v>6.3475158647397735E-3</v>
      </c>
      <c r="X910" s="5">
        <f t="shared" si="350"/>
        <v>1.0284629562408878E-2</v>
      </c>
      <c r="Y910" s="5">
        <f t="shared" si="351"/>
        <v>-3.9851480928250305E-2</v>
      </c>
      <c r="Z910" s="33">
        <v>906</v>
      </c>
      <c r="AE910" s="20" t="str">
        <f t="shared" si="352"/>
        <v/>
      </c>
      <c r="AF910" s="22" t="str">
        <f t="shared" si="353"/>
        <v/>
      </c>
      <c r="AG910" s="9" t="str">
        <f t="shared" ca="1" si="332"/>
        <v/>
      </c>
      <c r="AH910" s="9" t="str">
        <f t="shared" ca="1" si="333"/>
        <v/>
      </c>
      <c r="AI910" s="9" t="str">
        <f t="shared" ca="1" si="334"/>
        <v/>
      </c>
      <c r="AJ910" s="9" t="str">
        <f t="shared" ca="1" si="335"/>
        <v/>
      </c>
      <c r="AK910" s="9" t="str">
        <f t="shared" ca="1" si="336"/>
        <v/>
      </c>
      <c r="AL910" s="9" t="str">
        <f t="shared" ca="1" si="337"/>
        <v/>
      </c>
      <c r="AM910" s="9" t="str">
        <f t="shared" ca="1" si="338"/>
        <v/>
      </c>
      <c r="AN910" s="9" t="str">
        <f t="shared" ca="1" si="339"/>
        <v/>
      </c>
      <c r="AO910" s="9" t="str">
        <f t="shared" ca="1" si="340"/>
        <v/>
      </c>
      <c r="AP910" s="9" t="str">
        <f t="shared" ca="1" si="341"/>
        <v/>
      </c>
      <c r="AQ910" s="9"/>
      <c r="AR910" s="9"/>
      <c r="AS910" s="9"/>
      <c r="AT910" s="9"/>
      <c r="AU910" s="9"/>
    </row>
    <row r="911" spans="1:47" x14ac:dyDescent="0.3">
      <c r="A911" s="1">
        <v>44782</v>
      </c>
      <c r="B911" s="6">
        <v>426.57000699999998</v>
      </c>
      <c r="C911" s="6">
        <v>372.60998499999999</v>
      </c>
      <c r="D911" s="6">
        <v>44.404998999999997</v>
      </c>
      <c r="E911" s="6">
        <v>174.5</v>
      </c>
      <c r="F911" s="6">
        <v>140.91000399999999</v>
      </c>
      <c r="G911" s="6">
        <v>47.990001999999997</v>
      </c>
      <c r="H911" s="6">
        <v>131.85000600000001</v>
      </c>
      <c r="I911" s="6">
        <v>221.470001</v>
      </c>
      <c r="J911" s="6">
        <v>29.049999</v>
      </c>
      <c r="K911" s="6">
        <v>13.1</v>
      </c>
      <c r="N911" s="19">
        <v>907</v>
      </c>
      <c r="O911" s="1">
        <v>44782</v>
      </c>
      <c r="P911" s="5">
        <f t="shared" si="342"/>
        <v>-1.8051131837369401E-2</v>
      </c>
      <c r="Q911" s="5">
        <f t="shared" si="343"/>
        <v>1.4502285557271369E-3</v>
      </c>
      <c r="R911" s="5">
        <f t="shared" si="344"/>
        <v>-6.956962607663944E-3</v>
      </c>
      <c r="S911" s="5">
        <f t="shared" si="345"/>
        <v>3.7318486761012304E-3</v>
      </c>
      <c r="T911" s="5">
        <f t="shared" si="346"/>
        <v>2.0940162095954527E-2</v>
      </c>
      <c r="U911" s="5">
        <f t="shared" si="347"/>
        <v>1.8507383606637017E-2</v>
      </c>
      <c r="V911" s="5">
        <f t="shared" si="348"/>
        <v>-1.989924073634192E-2</v>
      </c>
      <c r="W911" s="5">
        <f t="shared" si="349"/>
        <v>-1.3232142677820351E-2</v>
      </c>
      <c r="X911" s="5">
        <f t="shared" si="350"/>
        <v>-9.2514281439390108E-3</v>
      </c>
      <c r="Y911" s="5">
        <f t="shared" si="351"/>
        <v>-6.7872651399338152E-2</v>
      </c>
      <c r="Z911" s="33">
        <v>907</v>
      </c>
      <c r="AE911" s="20" t="str">
        <f t="shared" si="352"/>
        <v/>
      </c>
      <c r="AF911" s="22" t="str">
        <f t="shared" si="353"/>
        <v/>
      </c>
      <c r="AG911" s="9" t="str">
        <f t="shared" ca="1" si="332"/>
        <v/>
      </c>
      <c r="AH911" s="9" t="str">
        <f t="shared" ca="1" si="333"/>
        <v/>
      </c>
      <c r="AI911" s="9" t="str">
        <f t="shared" ca="1" si="334"/>
        <v/>
      </c>
      <c r="AJ911" s="9" t="str">
        <f t="shared" ca="1" si="335"/>
        <v/>
      </c>
      <c r="AK911" s="9" t="str">
        <f t="shared" ca="1" si="336"/>
        <v/>
      </c>
      <c r="AL911" s="9" t="str">
        <f t="shared" ca="1" si="337"/>
        <v/>
      </c>
      <c r="AM911" s="9" t="str">
        <f t="shared" ca="1" si="338"/>
        <v/>
      </c>
      <c r="AN911" s="9" t="str">
        <f t="shared" ca="1" si="339"/>
        <v/>
      </c>
      <c r="AO911" s="9" t="str">
        <f t="shared" ca="1" si="340"/>
        <v/>
      </c>
      <c r="AP911" s="9" t="str">
        <f t="shared" ca="1" si="341"/>
        <v/>
      </c>
      <c r="AQ911" s="9"/>
      <c r="AR911" s="9"/>
      <c r="AS911" s="9"/>
      <c r="AT911" s="9"/>
      <c r="AU911" s="9"/>
    </row>
    <row r="912" spans="1:47" x14ac:dyDescent="0.3">
      <c r="A912" s="1">
        <v>44783</v>
      </c>
      <c r="B912" s="6">
        <v>438.39999399999999</v>
      </c>
      <c r="C912" s="6">
        <v>375.709991</v>
      </c>
      <c r="D912" s="6">
        <v>44.91</v>
      </c>
      <c r="E912" s="6">
        <v>175.94000199999999</v>
      </c>
      <c r="F912" s="6">
        <v>143.35000600000001</v>
      </c>
      <c r="G912" s="6">
        <v>49.18</v>
      </c>
      <c r="H912" s="6">
        <v>135.83000200000001</v>
      </c>
      <c r="I912" s="6">
        <v>226.78999300000001</v>
      </c>
      <c r="J912" s="6">
        <v>29.77</v>
      </c>
      <c r="K912" s="6">
        <v>13.1</v>
      </c>
      <c r="N912" s="18">
        <v>908</v>
      </c>
      <c r="O912" s="1">
        <v>44783</v>
      </c>
      <c r="P912" s="5">
        <f t="shared" si="342"/>
        <v>2.7355225461313807E-2</v>
      </c>
      <c r="Q912" s="5">
        <f t="shared" si="343"/>
        <v>8.2852892692757748E-3</v>
      </c>
      <c r="R912" s="5">
        <f t="shared" si="344"/>
        <v>1.130843390916606E-2</v>
      </c>
      <c r="S912" s="5">
        <f t="shared" si="345"/>
        <v>8.2182975495581605E-3</v>
      </c>
      <c r="T912" s="5">
        <f t="shared" si="346"/>
        <v>1.7167817091049711E-2</v>
      </c>
      <c r="U912" s="5">
        <f t="shared" si="347"/>
        <v>2.4494339242544145E-2</v>
      </c>
      <c r="V912" s="5">
        <f t="shared" si="348"/>
        <v>2.9739160253135215E-2</v>
      </c>
      <c r="W912" s="5">
        <f t="shared" si="349"/>
        <v>2.3737303658173663E-2</v>
      </c>
      <c r="X912" s="5">
        <f t="shared" si="350"/>
        <v>2.4482726153173196E-2</v>
      </c>
      <c r="Y912" s="5">
        <f t="shared" si="351"/>
        <v>0</v>
      </c>
      <c r="Z912" s="33">
        <v>908</v>
      </c>
      <c r="AE912" s="20" t="str">
        <f t="shared" si="352"/>
        <v/>
      </c>
      <c r="AF912" s="22" t="str">
        <f t="shared" si="353"/>
        <v/>
      </c>
      <c r="AG912" s="9" t="str">
        <f t="shared" ca="1" si="332"/>
        <v/>
      </c>
      <c r="AH912" s="9" t="str">
        <f t="shared" ca="1" si="333"/>
        <v/>
      </c>
      <c r="AI912" s="9" t="str">
        <f t="shared" ca="1" si="334"/>
        <v/>
      </c>
      <c r="AJ912" s="9" t="str">
        <f t="shared" ca="1" si="335"/>
        <v/>
      </c>
      <c r="AK912" s="9" t="str">
        <f t="shared" ca="1" si="336"/>
        <v/>
      </c>
      <c r="AL912" s="9" t="str">
        <f t="shared" ca="1" si="337"/>
        <v/>
      </c>
      <c r="AM912" s="9" t="str">
        <f t="shared" ca="1" si="338"/>
        <v/>
      </c>
      <c r="AN912" s="9" t="str">
        <f t="shared" ca="1" si="339"/>
        <v/>
      </c>
      <c r="AO912" s="9" t="str">
        <f t="shared" ca="1" si="340"/>
        <v/>
      </c>
      <c r="AP912" s="9" t="str">
        <f t="shared" ca="1" si="341"/>
        <v/>
      </c>
      <c r="AQ912" s="9"/>
      <c r="AR912" s="9"/>
      <c r="AS912" s="9"/>
      <c r="AT912" s="9"/>
      <c r="AU912" s="9"/>
    </row>
    <row r="913" spans="1:47" x14ac:dyDescent="0.3">
      <c r="A913" s="1">
        <v>44784</v>
      </c>
      <c r="B913" s="6">
        <v>434.89001500000001</v>
      </c>
      <c r="C913" s="6">
        <v>377.01001000000002</v>
      </c>
      <c r="D913" s="6">
        <v>44.650002000000001</v>
      </c>
      <c r="E913" s="6">
        <v>175.03999300000001</v>
      </c>
      <c r="F913" s="6">
        <v>143.36000100000001</v>
      </c>
      <c r="G913" s="6">
        <v>49.189999</v>
      </c>
      <c r="H913" s="6">
        <v>136.479996</v>
      </c>
      <c r="I913" s="6">
        <v>228.740005</v>
      </c>
      <c r="J913" s="6">
        <v>30.370000999999998</v>
      </c>
      <c r="K913" s="6">
        <v>13.68</v>
      </c>
      <c r="N913" s="19">
        <v>909</v>
      </c>
      <c r="O913" s="1">
        <v>44784</v>
      </c>
      <c r="P913" s="5">
        <f t="shared" si="342"/>
        <v>-8.0385619086391011E-3</v>
      </c>
      <c r="Q913" s="5">
        <f t="shared" si="343"/>
        <v>3.4541935669723028E-3</v>
      </c>
      <c r="R913" s="5">
        <f t="shared" si="344"/>
        <v>-5.8061349843063987E-3</v>
      </c>
      <c r="S913" s="5">
        <f t="shared" si="345"/>
        <v>-5.1285599492835949E-3</v>
      </c>
      <c r="T913" s="5">
        <f t="shared" si="346"/>
        <v>6.9722017090692462E-5</v>
      </c>
      <c r="U913" s="5">
        <f t="shared" si="347"/>
        <v>2.0329368986643517E-4</v>
      </c>
      <c r="V913" s="5">
        <f t="shared" si="348"/>
        <v>4.7739358763579046E-3</v>
      </c>
      <c r="W913" s="5">
        <f t="shared" si="349"/>
        <v>8.5615609067376964E-3</v>
      </c>
      <c r="X913" s="5">
        <f t="shared" si="350"/>
        <v>1.9954136957202724E-2</v>
      </c>
      <c r="Y913" s="5">
        <f t="shared" si="351"/>
        <v>4.332268198729855E-2</v>
      </c>
      <c r="Z913" s="33">
        <v>909</v>
      </c>
      <c r="AE913" s="20" t="str">
        <f t="shared" si="352"/>
        <v/>
      </c>
      <c r="AF913" s="22" t="str">
        <f t="shared" si="353"/>
        <v/>
      </c>
      <c r="AG913" s="9" t="str">
        <f t="shared" ca="1" si="332"/>
        <v/>
      </c>
      <c r="AH913" s="9" t="str">
        <f t="shared" ca="1" si="333"/>
        <v/>
      </c>
      <c r="AI913" s="9" t="str">
        <f t="shared" ca="1" si="334"/>
        <v/>
      </c>
      <c r="AJ913" s="9" t="str">
        <f t="shared" ca="1" si="335"/>
        <v/>
      </c>
      <c r="AK913" s="9" t="str">
        <f t="shared" ca="1" si="336"/>
        <v/>
      </c>
      <c r="AL913" s="9" t="str">
        <f t="shared" ca="1" si="337"/>
        <v/>
      </c>
      <c r="AM913" s="9" t="str">
        <f t="shared" ca="1" si="338"/>
        <v/>
      </c>
      <c r="AN913" s="9" t="str">
        <f t="shared" ca="1" si="339"/>
        <v/>
      </c>
      <c r="AO913" s="9" t="str">
        <f t="shared" ca="1" si="340"/>
        <v/>
      </c>
      <c r="AP913" s="9" t="str">
        <f t="shared" ca="1" si="341"/>
        <v/>
      </c>
      <c r="AQ913" s="9"/>
      <c r="AR913" s="9"/>
      <c r="AS913" s="9"/>
      <c r="AT913" s="9"/>
      <c r="AU913" s="9"/>
    </row>
    <row r="914" spans="1:47" x14ac:dyDescent="0.3">
      <c r="A914" s="1">
        <v>44785</v>
      </c>
      <c r="B914" s="6">
        <v>445.67001299999998</v>
      </c>
      <c r="C914" s="6">
        <v>385.44000199999999</v>
      </c>
      <c r="D914" s="6">
        <v>45.009998000000003</v>
      </c>
      <c r="E914" s="6">
        <v>177.33000200000001</v>
      </c>
      <c r="F914" s="6">
        <v>145.720001</v>
      </c>
      <c r="G914" s="6">
        <v>50.130001</v>
      </c>
      <c r="H914" s="6">
        <v>139.479996</v>
      </c>
      <c r="I914" s="6">
        <v>231.36000100000001</v>
      </c>
      <c r="J914" s="6">
        <v>30.34</v>
      </c>
      <c r="K914" s="6">
        <v>13.68</v>
      </c>
      <c r="N914" s="18">
        <v>910</v>
      </c>
      <c r="O914" s="1">
        <v>44785</v>
      </c>
      <c r="P914" s="5">
        <f t="shared" si="342"/>
        <v>2.4485636967955124E-2</v>
      </c>
      <c r="Q914" s="5">
        <f t="shared" si="343"/>
        <v>2.2113805235778244E-2</v>
      </c>
      <c r="R914" s="5">
        <f t="shared" si="344"/>
        <v>8.0302907549300168E-3</v>
      </c>
      <c r="S914" s="5">
        <f t="shared" si="345"/>
        <v>1.2997935540038842E-2</v>
      </c>
      <c r="T914" s="5">
        <f t="shared" si="346"/>
        <v>1.6328022800772099E-2</v>
      </c>
      <c r="U914" s="5">
        <f t="shared" si="347"/>
        <v>1.8929320745633579E-2</v>
      </c>
      <c r="V914" s="5">
        <f t="shared" si="348"/>
        <v>2.1743138694458299E-2</v>
      </c>
      <c r="W914" s="5">
        <f t="shared" si="349"/>
        <v>1.1388934080718813E-2</v>
      </c>
      <c r="X914" s="5">
        <f t="shared" si="350"/>
        <v>-9.8833806450140905E-4</v>
      </c>
      <c r="Y914" s="5">
        <f t="shared" si="351"/>
        <v>0</v>
      </c>
      <c r="Z914" s="33">
        <v>910</v>
      </c>
      <c r="AE914" s="20" t="str">
        <f t="shared" si="352"/>
        <v/>
      </c>
      <c r="AF914" s="22" t="str">
        <f t="shared" si="353"/>
        <v/>
      </c>
      <c r="AG914" s="9" t="str">
        <f t="shared" ca="1" si="332"/>
        <v/>
      </c>
      <c r="AH914" s="9" t="str">
        <f t="shared" ca="1" si="333"/>
        <v/>
      </c>
      <c r="AI914" s="9" t="str">
        <f t="shared" ca="1" si="334"/>
        <v/>
      </c>
      <c r="AJ914" s="9" t="str">
        <f t="shared" ca="1" si="335"/>
        <v/>
      </c>
      <c r="AK914" s="9" t="str">
        <f t="shared" ca="1" si="336"/>
        <v/>
      </c>
      <c r="AL914" s="9" t="str">
        <f t="shared" ca="1" si="337"/>
        <v/>
      </c>
      <c r="AM914" s="9" t="str">
        <f t="shared" ca="1" si="338"/>
        <v/>
      </c>
      <c r="AN914" s="9" t="str">
        <f t="shared" ca="1" si="339"/>
        <v/>
      </c>
      <c r="AO914" s="9" t="str">
        <f t="shared" ca="1" si="340"/>
        <v/>
      </c>
      <c r="AP914" s="9" t="str">
        <f t="shared" ca="1" si="341"/>
        <v/>
      </c>
      <c r="AQ914" s="9"/>
      <c r="AR914" s="9"/>
      <c r="AS914" s="9"/>
      <c r="AT914" s="9"/>
      <c r="AU914" s="9"/>
    </row>
    <row r="915" spans="1:47" x14ac:dyDescent="0.3">
      <c r="A915" s="1">
        <v>44788</v>
      </c>
      <c r="B915" s="6">
        <v>451.01998900000001</v>
      </c>
      <c r="C915" s="6">
        <v>390.45001200000002</v>
      </c>
      <c r="D915" s="6">
        <v>45.895000000000003</v>
      </c>
      <c r="E915" s="6">
        <v>179.279999</v>
      </c>
      <c r="F915" s="6">
        <v>146.229996</v>
      </c>
      <c r="G915" s="6">
        <v>50.029998999999997</v>
      </c>
      <c r="H915" s="6">
        <v>140.279999</v>
      </c>
      <c r="I915" s="6">
        <v>230.570007</v>
      </c>
      <c r="J915" s="6">
        <v>30.540001</v>
      </c>
      <c r="K915" s="6">
        <v>13.12</v>
      </c>
      <c r="N915" s="19">
        <v>911</v>
      </c>
      <c r="O915" s="1">
        <v>44788</v>
      </c>
      <c r="P915" s="5">
        <f t="shared" si="342"/>
        <v>1.1932863021279506E-2</v>
      </c>
      <c r="Q915" s="5">
        <f t="shared" si="343"/>
        <v>1.2914406787016016E-2</v>
      </c>
      <c r="R915" s="5">
        <f t="shared" si="344"/>
        <v>1.9471535800784069E-2</v>
      </c>
      <c r="S915" s="5">
        <f t="shared" si="345"/>
        <v>1.0936409132009354E-2</v>
      </c>
      <c r="T915" s="5">
        <f t="shared" si="346"/>
        <v>3.493718266780303E-3</v>
      </c>
      <c r="U915" s="5">
        <f t="shared" si="347"/>
        <v>-1.9968457114405143E-3</v>
      </c>
      <c r="V915" s="5">
        <f t="shared" si="348"/>
        <v>5.7192250138741706E-3</v>
      </c>
      <c r="W915" s="5">
        <f t="shared" si="349"/>
        <v>-3.420408964603053E-3</v>
      </c>
      <c r="X915" s="5">
        <f t="shared" si="350"/>
        <v>6.5703586140420057E-3</v>
      </c>
      <c r="Y915" s="5">
        <f t="shared" si="351"/>
        <v>-4.1797128678461477E-2</v>
      </c>
      <c r="Z915" s="33">
        <v>911</v>
      </c>
      <c r="AE915" s="20" t="str">
        <f t="shared" si="352"/>
        <v/>
      </c>
      <c r="AF915" s="22" t="str">
        <f t="shared" si="353"/>
        <v/>
      </c>
      <c r="AG915" s="9" t="str">
        <f t="shared" ca="1" si="332"/>
        <v/>
      </c>
      <c r="AH915" s="9" t="str">
        <f t="shared" ca="1" si="333"/>
        <v/>
      </c>
      <c r="AI915" s="9" t="str">
        <f t="shared" ca="1" si="334"/>
        <v/>
      </c>
      <c r="AJ915" s="9" t="str">
        <f t="shared" ca="1" si="335"/>
        <v/>
      </c>
      <c r="AK915" s="9" t="str">
        <f t="shared" ca="1" si="336"/>
        <v/>
      </c>
      <c r="AL915" s="9" t="str">
        <f t="shared" ca="1" si="337"/>
        <v/>
      </c>
      <c r="AM915" s="9" t="str">
        <f t="shared" ca="1" si="338"/>
        <v/>
      </c>
      <c r="AN915" s="9" t="str">
        <f t="shared" ca="1" si="339"/>
        <v/>
      </c>
      <c r="AO915" s="9" t="str">
        <f t="shared" ca="1" si="340"/>
        <v/>
      </c>
      <c r="AP915" s="9" t="str">
        <f t="shared" ca="1" si="341"/>
        <v/>
      </c>
      <c r="AQ915" s="9"/>
      <c r="AR915" s="9"/>
      <c r="AS915" s="9"/>
      <c r="AT915" s="9"/>
      <c r="AU915" s="9"/>
    </row>
    <row r="916" spans="1:47" x14ac:dyDescent="0.3">
      <c r="A916" s="1">
        <v>44789</v>
      </c>
      <c r="B916" s="6">
        <v>447.55999800000001</v>
      </c>
      <c r="C916" s="6">
        <v>385.67001299999998</v>
      </c>
      <c r="D916" s="6">
        <v>46.139999000000003</v>
      </c>
      <c r="E916" s="6">
        <v>180.320007</v>
      </c>
      <c r="F916" s="6">
        <v>146.71000699999999</v>
      </c>
      <c r="G916" s="6">
        <v>50.389999000000003</v>
      </c>
      <c r="H916" s="6">
        <v>141.33000200000001</v>
      </c>
      <c r="I916" s="6">
        <v>233.35000600000001</v>
      </c>
      <c r="J916" s="6">
        <v>30.700001</v>
      </c>
      <c r="K916" s="6">
        <v>13.69</v>
      </c>
      <c r="N916" s="18">
        <v>912</v>
      </c>
      <c r="O916" s="1">
        <v>44789</v>
      </c>
      <c r="P916" s="5">
        <f t="shared" si="342"/>
        <v>-7.70105755742402E-3</v>
      </c>
      <c r="Q916" s="5">
        <f t="shared" si="343"/>
        <v>-1.2317835604312285E-2</v>
      </c>
      <c r="R916" s="5">
        <f t="shared" si="344"/>
        <v>5.3240524013844831E-3</v>
      </c>
      <c r="S916" s="5">
        <f t="shared" si="345"/>
        <v>5.7842651965367411E-3</v>
      </c>
      <c r="T916" s="5">
        <f t="shared" si="346"/>
        <v>3.2771995951078776E-3</v>
      </c>
      <c r="U916" s="5">
        <f t="shared" si="347"/>
        <v>7.1699173351929529E-3</v>
      </c>
      <c r="V916" s="5">
        <f t="shared" si="348"/>
        <v>7.457177387959037E-3</v>
      </c>
      <c r="W916" s="5">
        <f t="shared" si="349"/>
        <v>1.1984963780208214E-2</v>
      </c>
      <c r="X916" s="5">
        <f t="shared" si="350"/>
        <v>5.2253546320125289E-3</v>
      </c>
      <c r="Y916" s="5">
        <f t="shared" si="351"/>
        <v>4.252785578441455E-2</v>
      </c>
      <c r="Z916" s="33">
        <v>912</v>
      </c>
      <c r="AE916" s="20" t="str">
        <f t="shared" si="352"/>
        <v/>
      </c>
      <c r="AF916" s="22" t="str">
        <f t="shared" si="353"/>
        <v/>
      </c>
      <c r="AG916" s="9" t="str">
        <f t="shared" ca="1" si="332"/>
        <v/>
      </c>
      <c r="AH916" s="9" t="str">
        <f t="shared" ca="1" si="333"/>
        <v/>
      </c>
      <c r="AI916" s="9" t="str">
        <f t="shared" ca="1" si="334"/>
        <v/>
      </c>
      <c r="AJ916" s="9" t="str">
        <f t="shared" ca="1" si="335"/>
        <v/>
      </c>
      <c r="AK916" s="9" t="str">
        <f t="shared" ca="1" si="336"/>
        <v/>
      </c>
      <c r="AL916" s="9" t="str">
        <f t="shared" ca="1" si="337"/>
        <v/>
      </c>
      <c r="AM916" s="9" t="str">
        <f t="shared" ca="1" si="338"/>
        <v/>
      </c>
      <c r="AN916" s="9" t="str">
        <f t="shared" ca="1" si="339"/>
        <v/>
      </c>
      <c r="AO916" s="9" t="str">
        <f t="shared" ca="1" si="340"/>
        <v/>
      </c>
      <c r="AP916" s="9" t="str">
        <f t="shared" ca="1" si="341"/>
        <v/>
      </c>
      <c r="AQ916" s="9"/>
      <c r="AR916" s="9"/>
      <c r="AS916" s="9"/>
      <c r="AT916" s="9"/>
      <c r="AU916" s="9"/>
    </row>
    <row r="917" spans="1:47" x14ac:dyDescent="0.3">
      <c r="A917" s="1">
        <v>44790</v>
      </c>
      <c r="B917" s="6">
        <v>437.82000699999998</v>
      </c>
      <c r="C917" s="6">
        <v>381</v>
      </c>
      <c r="D917" s="6">
        <v>45.755001</v>
      </c>
      <c r="E917" s="6">
        <v>180.220001</v>
      </c>
      <c r="F917" s="6">
        <v>146.55999800000001</v>
      </c>
      <c r="G917" s="6">
        <v>50.299999</v>
      </c>
      <c r="H917" s="6">
        <v>139.08999600000001</v>
      </c>
      <c r="I917" s="6">
        <v>231.58000200000001</v>
      </c>
      <c r="J917" s="6">
        <v>29.940000999999999</v>
      </c>
      <c r="K917" s="6">
        <v>13.26</v>
      </c>
      <c r="N917" s="19">
        <v>913</v>
      </c>
      <c r="O917" s="1">
        <v>44790</v>
      </c>
      <c r="P917" s="5">
        <f t="shared" si="342"/>
        <v>-2.2002719476956537E-2</v>
      </c>
      <c r="Q917" s="5">
        <f t="shared" si="343"/>
        <v>-1.2182740111439159E-2</v>
      </c>
      <c r="R917" s="5">
        <f t="shared" si="344"/>
        <v>-8.3791338495626463E-3</v>
      </c>
      <c r="S917" s="5">
        <f t="shared" si="345"/>
        <v>-5.5475675567620889E-4</v>
      </c>
      <c r="T917" s="5">
        <f t="shared" si="346"/>
        <v>-1.0230095851952766E-3</v>
      </c>
      <c r="U917" s="5">
        <f t="shared" si="347"/>
        <v>-1.7876656223216091E-3</v>
      </c>
      <c r="V917" s="5">
        <f t="shared" si="348"/>
        <v>-1.5976418670655974E-2</v>
      </c>
      <c r="W917" s="5">
        <f t="shared" si="349"/>
        <v>-7.6141032878221191E-3</v>
      </c>
      <c r="X917" s="5">
        <f t="shared" si="350"/>
        <v>-2.506727477482559E-2</v>
      </c>
      <c r="Y917" s="5">
        <f t="shared" si="351"/>
        <v>-3.1913654542641084E-2</v>
      </c>
      <c r="Z917" s="33">
        <v>913</v>
      </c>
      <c r="AE917" s="20" t="str">
        <f t="shared" si="352"/>
        <v/>
      </c>
      <c r="AF917" s="22" t="str">
        <f t="shared" si="353"/>
        <v/>
      </c>
      <c r="AG917" s="9" t="str">
        <f t="shared" ca="1" si="332"/>
        <v/>
      </c>
      <c r="AH917" s="9" t="str">
        <f t="shared" ca="1" si="333"/>
        <v/>
      </c>
      <c r="AI917" s="9" t="str">
        <f t="shared" ca="1" si="334"/>
        <v/>
      </c>
      <c r="AJ917" s="9" t="str">
        <f t="shared" ca="1" si="335"/>
        <v/>
      </c>
      <c r="AK917" s="9" t="str">
        <f t="shared" ca="1" si="336"/>
        <v/>
      </c>
      <c r="AL917" s="9" t="str">
        <f t="shared" ca="1" si="337"/>
        <v/>
      </c>
      <c r="AM917" s="9" t="str">
        <f t="shared" ca="1" si="338"/>
        <v/>
      </c>
      <c r="AN917" s="9" t="str">
        <f t="shared" ca="1" si="339"/>
        <v/>
      </c>
      <c r="AO917" s="9" t="str">
        <f t="shared" ca="1" si="340"/>
        <v/>
      </c>
      <c r="AP917" s="9" t="str">
        <f t="shared" ca="1" si="341"/>
        <v/>
      </c>
      <c r="AQ917" s="9"/>
      <c r="AR917" s="9"/>
      <c r="AS917" s="9"/>
      <c r="AT917" s="9"/>
      <c r="AU917" s="9"/>
    </row>
    <row r="918" spans="1:47" x14ac:dyDescent="0.3">
      <c r="A918" s="1">
        <v>44791</v>
      </c>
      <c r="B918" s="6">
        <v>439.02999899999998</v>
      </c>
      <c r="C918" s="6">
        <v>373.32000699999998</v>
      </c>
      <c r="D918" s="6">
        <v>45.630001</v>
      </c>
      <c r="E918" s="6">
        <v>180.39999399999999</v>
      </c>
      <c r="F918" s="6">
        <v>143.820007</v>
      </c>
      <c r="G918" s="6">
        <v>49.41</v>
      </c>
      <c r="H918" s="6">
        <v>140.449997</v>
      </c>
      <c r="I918" s="6">
        <v>231.91000399999999</v>
      </c>
      <c r="J918" s="6">
        <v>30.040001</v>
      </c>
      <c r="K918" s="6">
        <v>13.19</v>
      </c>
      <c r="N918" s="18">
        <v>914</v>
      </c>
      <c r="O918" s="1">
        <v>44791</v>
      </c>
      <c r="P918" s="5">
        <f t="shared" si="342"/>
        <v>2.759862598498598E-3</v>
      </c>
      <c r="Q918" s="5">
        <f t="shared" si="343"/>
        <v>-2.0363395678485611E-2</v>
      </c>
      <c r="R918" s="5">
        <f t="shared" si="344"/>
        <v>-2.7356803681586714E-3</v>
      </c>
      <c r="S918" s="5">
        <f t="shared" si="345"/>
        <v>9.9824201343425879E-4</v>
      </c>
      <c r="T918" s="5">
        <f t="shared" si="346"/>
        <v>-1.8872320933233946E-2</v>
      </c>
      <c r="U918" s="5">
        <f t="shared" si="347"/>
        <v>-1.7852224367319015E-2</v>
      </c>
      <c r="V918" s="5">
        <f t="shared" si="348"/>
        <v>9.7303553296573669E-3</v>
      </c>
      <c r="W918" s="5">
        <f t="shared" si="349"/>
        <v>1.4239877947367101E-3</v>
      </c>
      <c r="X918" s="5">
        <f t="shared" si="350"/>
        <v>3.3344477932662603E-3</v>
      </c>
      <c r="Y918" s="5">
        <f t="shared" si="351"/>
        <v>-5.2930180284932E-3</v>
      </c>
      <c r="Z918" s="33">
        <v>914</v>
      </c>
      <c r="AE918" s="20" t="str">
        <f t="shared" si="352"/>
        <v/>
      </c>
      <c r="AF918" s="22" t="str">
        <f t="shared" si="353"/>
        <v/>
      </c>
      <c r="AG918" s="9" t="str">
        <f t="shared" ca="1" si="332"/>
        <v/>
      </c>
      <c r="AH918" s="9" t="str">
        <f t="shared" ca="1" si="333"/>
        <v/>
      </c>
      <c r="AI918" s="9" t="str">
        <f t="shared" ca="1" si="334"/>
        <v/>
      </c>
      <c r="AJ918" s="9" t="str">
        <f t="shared" ca="1" si="335"/>
        <v/>
      </c>
      <c r="AK918" s="9" t="str">
        <f t="shared" ca="1" si="336"/>
        <v/>
      </c>
      <c r="AL918" s="9" t="str">
        <f t="shared" ca="1" si="337"/>
        <v/>
      </c>
      <c r="AM918" s="9" t="str">
        <f t="shared" ca="1" si="338"/>
        <v/>
      </c>
      <c r="AN918" s="9" t="str">
        <f t="shared" ca="1" si="339"/>
        <v/>
      </c>
      <c r="AO918" s="9" t="str">
        <f t="shared" ca="1" si="340"/>
        <v/>
      </c>
      <c r="AP918" s="9" t="str">
        <f t="shared" ca="1" si="341"/>
        <v/>
      </c>
      <c r="AQ918" s="9"/>
      <c r="AR918" s="9"/>
      <c r="AS918" s="9"/>
      <c r="AT918" s="9"/>
      <c r="AU918" s="9"/>
    </row>
    <row r="919" spans="1:47" x14ac:dyDescent="0.3">
      <c r="A919" s="1">
        <v>44792</v>
      </c>
      <c r="B919" s="6">
        <v>425.05999800000001</v>
      </c>
      <c r="C919" s="6">
        <v>363</v>
      </c>
      <c r="D919" s="6">
        <v>45.294998</v>
      </c>
      <c r="E919" s="6">
        <v>180.16999799999999</v>
      </c>
      <c r="F919" s="6">
        <v>142.300003</v>
      </c>
      <c r="G919" s="6">
        <v>48.830002</v>
      </c>
      <c r="H919" s="6">
        <v>137.86999499999999</v>
      </c>
      <c r="I919" s="6">
        <v>230.13000500000001</v>
      </c>
      <c r="J919" s="6">
        <v>30.17</v>
      </c>
      <c r="K919" s="6">
        <v>13.73</v>
      </c>
      <c r="N919" s="19">
        <v>915</v>
      </c>
      <c r="O919" s="1">
        <v>44792</v>
      </c>
      <c r="P919" s="5">
        <f t="shared" si="342"/>
        <v>-3.2337414867061029E-2</v>
      </c>
      <c r="Q919" s="5">
        <f t="shared" si="343"/>
        <v>-2.8033145183364635E-2</v>
      </c>
      <c r="R919" s="5">
        <f t="shared" si="344"/>
        <v>-7.3688098884513347E-3</v>
      </c>
      <c r="S919" s="5">
        <f t="shared" si="345"/>
        <v>-1.2757358421177252E-3</v>
      </c>
      <c r="T919" s="5">
        <f t="shared" si="346"/>
        <v>-1.0625040168270698E-2</v>
      </c>
      <c r="U919" s="5">
        <f t="shared" si="347"/>
        <v>-1.1807913825663378E-2</v>
      </c>
      <c r="V919" s="5">
        <f t="shared" si="348"/>
        <v>-1.8540356272848713E-2</v>
      </c>
      <c r="W919" s="5">
        <f t="shared" si="349"/>
        <v>-7.7049942490235107E-3</v>
      </c>
      <c r="X919" s="5">
        <f t="shared" si="350"/>
        <v>4.3181929860882469E-3</v>
      </c>
      <c r="Y919" s="5">
        <f t="shared" si="351"/>
        <v>4.0124253050656485E-2</v>
      </c>
      <c r="Z919" s="33">
        <v>915</v>
      </c>
      <c r="AE919" s="20" t="str">
        <f t="shared" si="352"/>
        <v/>
      </c>
      <c r="AF919" s="22" t="str">
        <f t="shared" si="353"/>
        <v/>
      </c>
      <c r="AG919" s="9" t="str">
        <f t="shared" ca="1" si="332"/>
        <v/>
      </c>
      <c r="AH919" s="9" t="str">
        <f t="shared" ca="1" si="333"/>
        <v/>
      </c>
      <c r="AI919" s="9" t="str">
        <f t="shared" ca="1" si="334"/>
        <v/>
      </c>
      <c r="AJ919" s="9" t="str">
        <f t="shared" ca="1" si="335"/>
        <v/>
      </c>
      <c r="AK919" s="9" t="str">
        <f t="shared" ca="1" si="336"/>
        <v/>
      </c>
      <c r="AL919" s="9" t="str">
        <f t="shared" ca="1" si="337"/>
        <v/>
      </c>
      <c r="AM919" s="9" t="str">
        <f t="shared" ca="1" si="338"/>
        <v/>
      </c>
      <c r="AN919" s="9" t="str">
        <f t="shared" ca="1" si="339"/>
        <v/>
      </c>
      <c r="AO919" s="9" t="str">
        <f t="shared" ca="1" si="340"/>
        <v/>
      </c>
      <c r="AP919" s="9" t="str">
        <f t="shared" ca="1" si="341"/>
        <v/>
      </c>
      <c r="AQ919" s="9"/>
      <c r="AR919" s="9"/>
      <c r="AS919" s="9"/>
      <c r="AT919" s="9"/>
      <c r="AU919" s="9"/>
    </row>
    <row r="920" spans="1:47" x14ac:dyDescent="0.3">
      <c r="A920" s="1">
        <v>44795</v>
      </c>
      <c r="B920" s="6">
        <v>411.35000600000001</v>
      </c>
      <c r="C920" s="6">
        <v>358.10000600000001</v>
      </c>
      <c r="D920" s="6">
        <v>44.794998</v>
      </c>
      <c r="E920" s="6">
        <v>178.449997</v>
      </c>
      <c r="F920" s="6">
        <v>139.199997</v>
      </c>
      <c r="G920" s="6">
        <v>47.740001999999997</v>
      </c>
      <c r="H920" s="6">
        <v>133.83999600000001</v>
      </c>
      <c r="I920" s="6">
        <v>223.64999399999999</v>
      </c>
      <c r="J920" s="6">
        <v>28.73</v>
      </c>
      <c r="K920" s="6">
        <v>12.71</v>
      </c>
      <c r="N920" s="18">
        <v>916</v>
      </c>
      <c r="O920" s="1">
        <v>44795</v>
      </c>
      <c r="P920" s="5">
        <f t="shared" si="342"/>
        <v>-3.278588252426879E-2</v>
      </c>
      <c r="Q920" s="5">
        <f t="shared" si="343"/>
        <v>-1.3590540505367545E-2</v>
      </c>
      <c r="R920" s="5">
        <f t="shared" si="344"/>
        <v>-1.1100125564565548E-2</v>
      </c>
      <c r="S920" s="5">
        <f t="shared" si="345"/>
        <v>-9.5924054022440645E-3</v>
      </c>
      <c r="T920" s="5">
        <f t="shared" si="346"/>
        <v>-2.202579982943223E-2</v>
      </c>
      <c r="U920" s="5">
        <f t="shared" si="347"/>
        <v>-2.2575256227721927E-2</v>
      </c>
      <c r="V920" s="5">
        <f t="shared" si="348"/>
        <v>-2.9666149125352551E-2</v>
      </c>
      <c r="W920" s="5">
        <f t="shared" si="349"/>
        <v>-2.8562085314940248E-2</v>
      </c>
      <c r="X920" s="5">
        <f t="shared" si="350"/>
        <v>-4.8906180179771636E-2</v>
      </c>
      <c r="Y920" s="5">
        <f t="shared" si="351"/>
        <v>-7.7194134578516968E-2</v>
      </c>
      <c r="Z920" s="33">
        <v>916</v>
      </c>
      <c r="AE920" s="20" t="str">
        <f t="shared" si="352"/>
        <v/>
      </c>
      <c r="AF920" s="22" t="str">
        <f t="shared" si="353"/>
        <v/>
      </c>
      <c r="AG920" s="9" t="str">
        <f t="shared" ca="1" si="332"/>
        <v/>
      </c>
      <c r="AH920" s="9" t="str">
        <f t="shared" ca="1" si="333"/>
        <v/>
      </c>
      <c r="AI920" s="9" t="str">
        <f t="shared" ca="1" si="334"/>
        <v/>
      </c>
      <c r="AJ920" s="9" t="str">
        <f t="shared" ca="1" si="335"/>
        <v/>
      </c>
      <c r="AK920" s="9" t="str">
        <f t="shared" ca="1" si="336"/>
        <v/>
      </c>
      <c r="AL920" s="9" t="str">
        <f t="shared" ca="1" si="337"/>
        <v/>
      </c>
      <c r="AM920" s="9" t="str">
        <f t="shared" ca="1" si="338"/>
        <v/>
      </c>
      <c r="AN920" s="9" t="str">
        <f t="shared" ca="1" si="339"/>
        <v/>
      </c>
      <c r="AO920" s="9" t="str">
        <f t="shared" ca="1" si="340"/>
        <v/>
      </c>
      <c r="AP920" s="9" t="str">
        <f t="shared" ca="1" si="341"/>
        <v/>
      </c>
      <c r="AQ920" s="9"/>
      <c r="AR920" s="9"/>
      <c r="AS920" s="9"/>
      <c r="AT920" s="9"/>
      <c r="AU920" s="9"/>
    </row>
    <row r="921" spans="1:47" x14ac:dyDescent="0.3">
      <c r="A921" s="1">
        <v>44796</v>
      </c>
      <c r="B921" s="6">
        <v>410.41000400000001</v>
      </c>
      <c r="C921" s="6">
        <v>359</v>
      </c>
      <c r="D921" s="6">
        <v>45.080002</v>
      </c>
      <c r="E921" s="6">
        <v>178.36999499999999</v>
      </c>
      <c r="F921" s="6">
        <v>136.03999300000001</v>
      </c>
      <c r="G921" s="6">
        <v>46.650002000000001</v>
      </c>
      <c r="H921" s="6">
        <v>133.13999899999999</v>
      </c>
      <c r="I921" s="6">
        <v>223.10000600000001</v>
      </c>
      <c r="J921" s="6">
        <v>28.799999</v>
      </c>
      <c r="K921" s="6">
        <v>12.79</v>
      </c>
      <c r="N921" s="19">
        <v>917</v>
      </c>
      <c r="O921" s="1">
        <v>44796</v>
      </c>
      <c r="P921" s="5">
        <f t="shared" si="342"/>
        <v>-2.2877784232699151E-3</v>
      </c>
      <c r="Q921" s="5">
        <f t="shared" si="343"/>
        <v>2.5100947287956844E-3</v>
      </c>
      <c r="R921" s="5">
        <f t="shared" si="344"/>
        <v>6.3422521354463577E-3</v>
      </c>
      <c r="S921" s="5">
        <f t="shared" si="345"/>
        <v>-4.4841658614551953E-4</v>
      </c>
      <c r="T921" s="5">
        <f t="shared" si="346"/>
        <v>-2.2962817665055677E-2</v>
      </c>
      <c r="U921" s="5">
        <f t="shared" si="347"/>
        <v>-2.3096692638467042E-2</v>
      </c>
      <c r="V921" s="5">
        <f t="shared" si="348"/>
        <v>-5.2438281304700313E-3</v>
      </c>
      <c r="W921" s="5">
        <f t="shared" si="349"/>
        <v>-2.4621747189681842E-3</v>
      </c>
      <c r="X921" s="5">
        <f t="shared" si="350"/>
        <v>2.4334794284793077E-3</v>
      </c>
      <c r="Y921" s="5">
        <f t="shared" si="351"/>
        <v>6.274530389388468E-3</v>
      </c>
      <c r="Z921" s="33">
        <v>917</v>
      </c>
      <c r="AE921" s="20" t="str">
        <f t="shared" si="352"/>
        <v/>
      </c>
      <c r="AF921" s="22" t="str">
        <f t="shared" si="353"/>
        <v/>
      </c>
      <c r="AG921" s="9" t="str">
        <f t="shared" ca="1" si="332"/>
        <v/>
      </c>
      <c r="AH921" s="9" t="str">
        <f t="shared" ca="1" si="333"/>
        <v/>
      </c>
      <c r="AI921" s="9" t="str">
        <f t="shared" ca="1" si="334"/>
        <v/>
      </c>
      <c r="AJ921" s="9" t="str">
        <f t="shared" ca="1" si="335"/>
        <v/>
      </c>
      <c r="AK921" s="9" t="str">
        <f t="shared" ca="1" si="336"/>
        <v/>
      </c>
      <c r="AL921" s="9" t="str">
        <f t="shared" ca="1" si="337"/>
        <v/>
      </c>
      <c r="AM921" s="9" t="str">
        <f t="shared" ca="1" si="338"/>
        <v/>
      </c>
      <c r="AN921" s="9" t="str">
        <f t="shared" ca="1" si="339"/>
        <v/>
      </c>
      <c r="AO921" s="9" t="str">
        <f t="shared" ca="1" si="340"/>
        <v/>
      </c>
      <c r="AP921" s="9" t="str">
        <f t="shared" ca="1" si="341"/>
        <v/>
      </c>
      <c r="AQ921" s="9"/>
      <c r="AR921" s="9"/>
      <c r="AS921" s="9"/>
      <c r="AT921" s="9"/>
      <c r="AU921" s="9"/>
    </row>
    <row r="922" spans="1:47" x14ac:dyDescent="0.3">
      <c r="A922" s="1">
        <v>44797</v>
      </c>
      <c r="B922" s="6">
        <v>405.64999399999999</v>
      </c>
      <c r="C922" s="6">
        <v>358.75</v>
      </c>
      <c r="D922" s="6">
        <v>45.215000000000003</v>
      </c>
      <c r="E922" s="6">
        <v>179.259995</v>
      </c>
      <c r="F922" s="6">
        <v>136.720001</v>
      </c>
      <c r="G922" s="6">
        <v>47.200001</v>
      </c>
      <c r="H922" s="6">
        <v>132.979996</v>
      </c>
      <c r="I922" s="6">
        <v>223.949997</v>
      </c>
      <c r="J922" s="6">
        <v>28.790001</v>
      </c>
      <c r="K922" s="6">
        <v>13.52</v>
      </c>
      <c r="N922" s="18">
        <v>918</v>
      </c>
      <c r="O922" s="1">
        <v>44797</v>
      </c>
      <c r="P922" s="5">
        <f t="shared" si="342"/>
        <v>-1.1665965727790351E-2</v>
      </c>
      <c r="Q922" s="5">
        <f t="shared" si="343"/>
        <v>-6.9662141444799775E-4</v>
      </c>
      <c r="R922" s="5">
        <f t="shared" si="344"/>
        <v>2.990156655296615E-3</v>
      </c>
      <c r="S922" s="5">
        <f t="shared" si="345"/>
        <v>4.977221498176569E-3</v>
      </c>
      <c r="T922" s="5">
        <f t="shared" si="346"/>
        <v>4.9861374380149644E-3</v>
      </c>
      <c r="U922" s="5">
        <f t="shared" si="347"/>
        <v>1.1720943612143767E-2</v>
      </c>
      <c r="V922" s="5">
        <f t="shared" si="348"/>
        <v>-1.2024877670693914E-3</v>
      </c>
      <c r="W922" s="5">
        <f t="shared" si="349"/>
        <v>3.8026709252056375E-3</v>
      </c>
      <c r="X922" s="5">
        <f t="shared" si="350"/>
        <v>-3.4721306131075072E-4</v>
      </c>
      <c r="Y922" s="5">
        <f t="shared" si="351"/>
        <v>5.5506455024066821E-2</v>
      </c>
      <c r="Z922" s="33">
        <v>918</v>
      </c>
      <c r="AE922" s="20" t="str">
        <f t="shared" si="352"/>
        <v/>
      </c>
      <c r="AF922" s="22" t="str">
        <f t="shared" si="353"/>
        <v/>
      </c>
      <c r="AG922" s="9" t="str">
        <f t="shared" ca="1" si="332"/>
        <v/>
      </c>
      <c r="AH922" s="9" t="str">
        <f t="shared" ca="1" si="333"/>
        <v/>
      </c>
      <c r="AI922" s="9" t="str">
        <f t="shared" ca="1" si="334"/>
        <v/>
      </c>
      <c r="AJ922" s="9" t="str">
        <f t="shared" ca="1" si="335"/>
        <v/>
      </c>
      <c r="AK922" s="9" t="str">
        <f t="shared" ca="1" si="336"/>
        <v/>
      </c>
      <c r="AL922" s="9" t="str">
        <f t="shared" ca="1" si="337"/>
        <v/>
      </c>
      <c r="AM922" s="9" t="str">
        <f t="shared" ca="1" si="338"/>
        <v/>
      </c>
      <c r="AN922" s="9" t="str">
        <f t="shared" ca="1" si="339"/>
        <v/>
      </c>
      <c r="AO922" s="9" t="str">
        <f t="shared" ca="1" si="340"/>
        <v/>
      </c>
      <c r="AP922" s="9" t="str">
        <f t="shared" ca="1" si="341"/>
        <v/>
      </c>
      <c r="AQ922" s="9"/>
      <c r="AR922" s="9"/>
      <c r="AS922" s="9"/>
      <c r="AT922" s="9"/>
      <c r="AU922" s="9"/>
    </row>
    <row r="923" spans="1:47" x14ac:dyDescent="0.3">
      <c r="A923" s="1">
        <v>44798</v>
      </c>
      <c r="B923" s="6">
        <v>403.92999300000002</v>
      </c>
      <c r="C923" s="6">
        <v>363.26001000000002</v>
      </c>
      <c r="D923" s="6">
        <v>45.59</v>
      </c>
      <c r="E923" s="6">
        <v>179.270004</v>
      </c>
      <c r="F923" s="6">
        <v>138.19000199999999</v>
      </c>
      <c r="G923" s="6">
        <v>47.68</v>
      </c>
      <c r="H923" s="6">
        <v>134.970001</v>
      </c>
      <c r="I923" s="6">
        <v>227.929993</v>
      </c>
      <c r="J923" s="6">
        <v>29.32</v>
      </c>
      <c r="K923" s="6">
        <v>13.56</v>
      </c>
      <c r="N923" s="19">
        <v>919</v>
      </c>
      <c r="O923" s="1">
        <v>44798</v>
      </c>
      <c r="P923" s="5">
        <f t="shared" si="342"/>
        <v>-4.249125757833319E-3</v>
      </c>
      <c r="Q923" s="5">
        <f t="shared" si="343"/>
        <v>1.2493091775958209E-2</v>
      </c>
      <c r="R923" s="5">
        <f t="shared" si="344"/>
        <v>8.259504032906562E-3</v>
      </c>
      <c r="S923" s="5">
        <f t="shared" si="345"/>
        <v>5.5833542691128342E-5</v>
      </c>
      <c r="T923" s="5">
        <f t="shared" si="346"/>
        <v>1.0694518166666082E-2</v>
      </c>
      <c r="U923" s="5">
        <f t="shared" si="347"/>
        <v>1.0118108979144197E-2</v>
      </c>
      <c r="V923" s="5">
        <f t="shared" si="348"/>
        <v>1.4853828035647151E-2</v>
      </c>
      <c r="W923" s="5">
        <f t="shared" si="349"/>
        <v>1.7615734302400807E-2</v>
      </c>
      <c r="X923" s="5">
        <f t="shared" si="350"/>
        <v>1.8241737660084051E-2</v>
      </c>
      <c r="Y923" s="5">
        <f t="shared" si="351"/>
        <v>2.9542118974316043E-3</v>
      </c>
      <c r="Z923" s="33">
        <v>919</v>
      </c>
      <c r="AE923" s="20" t="str">
        <f t="shared" si="352"/>
        <v/>
      </c>
      <c r="AF923" s="22" t="str">
        <f t="shared" si="353"/>
        <v/>
      </c>
      <c r="AG923" s="9" t="str">
        <f t="shared" ca="1" si="332"/>
        <v/>
      </c>
      <c r="AH923" s="9" t="str">
        <f t="shared" ca="1" si="333"/>
        <v/>
      </c>
      <c r="AI923" s="9" t="str">
        <f t="shared" ca="1" si="334"/>
        <v/>
      </c>
      <c r="AJ923" s="9" t="str">
        <f t="shared" ca="1" si="335"/>
        <v/>
      </c>
      <c r="AK923" s="9" t="str">
        <f t="shared" ca="1" si="336"/>
        <v/>
      </c>
      <c r="AL923" s="9" t="str">
        <f t="shared" ca="1" si="337"/>
        <v/>
      </c>
      <c r="AM923" s="9" t="str">
        <f t="shared" ca="1" si="338"/>
        <v/>
      </c>
      <c r="AN923" s="9" t="str">
        <f t="shared" ca="1" si="339"/>
        <v/>
      </c>
      <c r="AO923" s="9" t="str">
        <f t="shared" ca="1" si="340"/>
        <v/>
      </c>
      <c r="AP923" s="9" t="str">
        <f t="shared" ca="1" si="341"/>
        <v/>
      </c>
      <c r="AQ923" s="9"/>
      <c r="AR923" s="9"/>
      <c r="AS923" s="9"/>
      <c r="AT923" s="9"/>
      <c r="AU923" s="9"/>
    </row>
    <row r="924" spans="1:47" x14ac:dyDescent="0.3">
      <c r="A924" s="1">
        <v>44799</v>
      </c>
      <c r="B924" s="6">
        <v>381.01998900000001</v>
      </c>
      <c r="C924" s="6">
        <v>355</v>
      </c>
      <c r="D924" s="6">
        <v>44.575001</v>
      </c>
      <c r="E924" s="6">
        <v>175.03999300000001</v>
      </c>
      <c r="F924" s="6">
        <v>134.699997</v>
      </c>
      <c r="G924" s="6">
        <v>46.360000999999997</v>
      </c>
      <c r="H924" s="6">
        <v>127.989998</v>
      </c>
      <c r="I924" s="6">
        <v>220.25</v>
      </c>
      <c r="J924" s="6">
        <v>28.540001</v>
      </c>
      <c r="K924" s="6">
        <v>13.16</v>
      </c>
      <c r="N924" s="18">
        <v>920</v>
      </c>
      <c r="O924" s="1">
        <v>44799</v>
      </c>
      <c r="P924" s="5">
        <f t="shared" si="342"/>
        <v>-5.8389739974751671E-2</v>
      </c>
      <c r="Q924" s="5">
        <f t="shared" si="343"/>
        <v>-2.3001069374373257E-2</v>
      </c>
      <c r="R924" s="5">
        <f t="shared" si="344"/>
        <v>-2.2515208042046389E-2</v>
      </c>
      <c r="S924" s="5">
        <f t="shared" si="345"/>
        <v>-2.3878592336703194E-2</v>
      </c>
      <c r="T924" s="5">
        <f t="shared" si="346"/>
        <v>-2.557950314361733E-2</v>
      </c>
      <c r="U924" s="5">
        <f t="shared" si="347"/>
        <v>-2.8074982715224364E-2</v>
      </c>
      <c r="V924" s="5">
        <f t="shared" si="348"/>
        <v>-5.3100418688764951E-2</v>
      </c>
      <c r="W924" s="5">
        <f t="shared" si="349"/>
        <v>-3.4275268743573652E-2</v>
      </c>
      <c r="X924" s="5">
        <f t="shared" si="350"/>
        <v>-2.6963229931218628E-2</v>
      </c>
      <c r="Y924" s="5">
        <f t="shared" si="351"/>
        <v>-2.9942356615078339E-2</v>
      </c>
      <c r="Z924" s="33">
        <v>920</v>
      </c>
      <c r="AE924" s="20" t="str">
        <f t="shared" si="352"/>
        <v/>
      </c>
      <c r="AF924" s="22" t="str">
        <f t="shared" si="353"/>
        <v/>
      </c>
      <c r="AG924" s="9" t="str">
        <f t="shared" ca="1" si="332"/>
        <v/>
      </c>
      <c r="AH924" s="9" t="str">
        <f t="shared" ca="1" si="333"/>
        <v/>
      </c>
      <c r="AI924" s="9" t="str">
        <f t="shared" ca="1" si="334"/>
        <v/>
      </c>
      <c r="AJ924" s="9" t="str">
        <f t="shared" ca="1" si="335"/>
        <v/>
      </c>
      <c r="AK924" s="9" t="str">
        <f t="shared" ca="1" si="336"/>
        <v/>
      </c>
      <c r="AL924" s="9" t="str">
        <f t="shared" ca="1" si="337"/>
        <v/>
      </c>
      <c r="AM924" s="9" t="str">
        <f t="shared" ca="1" si="338"/>
        <v/>
      </c>
      <c r="AN924" s="9" t="str">
        <f t="shared" ca="1" si="339"/>
        <v/>
      </c>
      <c r="AO924" s="9" t="str">
        <f t="shared" ca="1" si="340"/>
        <v/>
      </c>
      <c r="AP924" s="9" t="str">
        <f t="shared" ca="1" si="341"/>
        <v/>
      </c>
      <c r="AQ924" s="9"/>
      <c r="AR924" s="9"/>
      <c r="AS924" s="9"/>
      <c r="AT924" s="9"/>
      <c r="AU924" s="9"/>
    </row>
    <row r="925" spans="1:47" x14ac:dyDescent="0.3">
      <c r="A925" s="1">
        <v>44802</v>
      </c>
      <c r="B925" s="6">
        <v>375.26001000000002</v>
      </c>
      <c r="C925" s="6">
        <v>347.48998999999998</v>
      </c>
      <c r="D925" s="6">
        <v>44.294998</v>
      </c>
      <c r="E925" s="6">
        <v>174.490005</v>
      </c>
      <c r="F925" s="6">
        <v>132.490005</v>
      </c>
      <c r="G925" s="6">
        <v>45.5</v>
      </c>
      <c r="H925" s="6">
        <v>127.43</v>
      </c>
      <c r="I925" s="6">
        <v>221.41999799999999</v>
      </c>
      <c r="J925" s="6">
        <v>28.33</v>
      </c>
      <c r="K925" s="6">
        <v>13.2</v>
      </c>
      <c r="N925" s="19">
        <v>921</v>
      </c>
      <c r="O925" s="1">
        <v>44802</v>
      </c>
      <c r="P925" s="5">
        <f t="shared" si="342"/>
        <v>-1.5232692609994098E-2</v>
      </c>
      <c r="Q925" s="5">
        <f t="shared" si="343"/>
        <v>-2.1381930640858433E-2</v>
      </c>
      <c r="R925" s="5">
        <f t="shared" si="344"/>
        <v>-6.3014274711320258E-3</v>
      </c>
      <c r="S925" s="5">
        <f t="shared" si="345"/>
        <v>-3.14701717768096E-3</v>
      </c>
      <c r="T925" s="5">
        <f t="shared" si="346"/>
        <v>-1.654285252587483E-2</v>
      </c>
      <c r="U925" s="5">
        <f t="shared" si="347"/>
        <v>-1.8724714084965167E-2</v>
      </c>
      <c r="V925" s="5">
        <f t="shared" si="348"/>
        <v>-4.3849260172916056E-3</v>
      </c>
      <c r="W925" s="5">
        <f t="shared" si="349"/>
        <v>5.2980765824240401E-3</v>
      </c>
      <c r="X925" s="5">
        <f t="shared" si="350"/>
        <v>-7.3853332448070149E-3</v>
      </c>
      <c r="Y925" s="5">
        <f t="shared" si="351"/>
        <v>3.0349036951538896E-3</v>
      </c>
      <c r="Z925" s="33">
        <v>921</v>
      </c>
      <c r="AE925" s="20" t="str">
        <f t="shared" si="352"/>
        <v/>
      </c>
      <c r="AF925" s="22" t="str">
        <f t="shared" si="353"/>
        <v/>
      </c>
      <c r="AG925" s="9" t="str">
        <f t="shared" ca="1" si="332"/>
        <v/>
      </c>
      <c r="AH925" s="9" t="str">
        <f t="shared" ca="1" si="333"/>
        <v/>
      </c>
      <c r="AI925" s="9" t="str">
        <f t="shared" ca="1" si="334"/>
        <v/>
      </c>
      <c r="AJ925" s="9" t="str">
        <f t="shared" ca="1" si="335"/>
        <v/>
      </c>
      <c r="AK925" s="9" t="str">
        <f t="shared" ca="1" si="336"/>
        <v/>
      </c>
      <c r="AL925" s="9" t="str">
        <f t="shared" ca="1" si="337"/>
        <v/>
      </c>
      <c r="AM925" s="9" t="str">
        <f t="shared" ca="1" si="338"/>
        <v/>
      </c>
      <c r="AN925" s="9" t="str">
        <f t="shared" ca="1" si="339"/>
        <v/>
      </c>
      <c r="AO925" s="9" t="str">
        <f t="shared" ca="1" si="340"/>
        <v/>
      </c>
      <c r="AP925" s="9" t="str">
        <f t="shared" ca="1" si="341"/>
        <v/>
      </c>
      <c r="AQ925" s="9"/>
      <c r="AR925" s="9"/>
      <c r="AS925" s="9"/>
      <c r="AT925" s="9"/>
      <c r="AU925" s="9"/>
    </row>
    <row r="926" spans="1:47" x14ac:dyDescent="0.3">
      <c r="A926" s="1">
        <v>44803</v>
      </c>
      <c r="B926" s="6">
        <v>375.07000699999998</v>
      </c>
      <c r="C926" s="6">
        <v>346</v>
      </c>
      <c r="D926" s="6">
        <v>44.264999000000003</v>
      </c>
      <c r="E926" s="6">
        <v>172.990005</v>
      </c>
      <c r="F926" s="6">
        <v>130.38999899999999</v>
      </c>
      <c r="G926" s="6">
        <v>44.860000999999997</v>
      </c>
      <c r="H926" s="6">
        <v>126.029999</v>
      </c>
      <c r="I926" s="6">
        <v>218.259995</v>
      </c>
      <c r="J926" s="6">
        <v>28.27</v>
      </c>
      <c r="K926" s="6">
        <v>13.29</v>
      </c>
      <c r="N926" s="18">
        <v>922</v>
      </c>
      <c r="O926" s="1">
        <v>44803</v>
      </c>
      <c r="P926" s="5">
        <f t="shared" si="342"/>
        <v>-5.0645182721310617E-4</v>
      </c>
      <c r="Q926" s="5">
        <f t="shared" si="343"/>
        <v>-4.2970837768330295E-3</v>
      </c>
      <c r="R926" s="5">
        <f t="shared" si="344"/>
        <v>-6.7748424037148108E-4</v>
      </c>
      <c r="S926" s="5">
        <f t="shared" si="345"/>
        <v>-8.6336438027850536E-3</v>
      </c>
      <c r="T926" s="5">
        <f t="shared" si="346"/>
        <v>-1.5977256852647337E-2</v>
      </c>
      <c r="U926" s="5">
        <f t="shared" si="347"/>
        <v>-1.4165774573269041E-2</v>
      </c>
      <c r="V926" s="5">
        <f t="shared" si="348"/>
        <v>-1.1047228309406238E-2</v>
      </c>
      <c r="W926" s="5">
        <f t="shared" si="349"/>
        <v>-1.4374351622227216E-2</v>
      </c>
      <c r="X926" s="5">
        <f t="shared" si="350"/>
        <v>-2.1201421369261429E-3</v>
      </c>
      <c r="Y926" s="5">
        <f t="shared" si="351"/>
        <v>6.7950431328288076E-3</v>
      </c>
      <c r="Z926" s="33">
        <v>922</v>
      </c>
      <c r="AE926" s="20" t="str">
        <f t="shared" si="352"/>
        <v/>
      </c>
      <c r="AF926" s="22" t="str">
        <f t="shared" si="353"/>
        <v/>
      </c>
      <c r="AG926" s="9" t="str">
        <f t="shared" ca="1" si="332"/>
        <v/>
      </c>
      <c r="AH926" s="9" t="str">
        <f t="shared" ca="1" si="333"/>
        <v/>
      </c>
      <c r="AI926" s="9" t="str">
        <f t="shared" ca="1" si="334"/>
        <v/>
      </c>
      <c r="AJ926" s="9" t="str">
        <f t="shared" ca="1" si="335"/>
        <v/>
      </c>
      <c r="AK926" s="9" t="str">
        <f t="shared" ca="1" si="336"/>
        <v/>
      </c>
      <c r="AL926" s="9" t="str">
        <f t="shared" ca="1" si="337"/>
        <v/>
      </c>
      <c r="AM926" s="9" t="str">
        <f t="shared" ca="1" si="338"/>
        <v/>
      </c>
      <c r="AN926" s="9" t="str">
        <f t="shared" ca="1" si="339"/>
        <v/>
      </c>
      <c r="AO926" s="9" t="str">
        <f t="shared" ca="1" si="340"/>
        <v/>
      </c>
      <c r="AP926" s="9" t="str">
        <f t="shared" ca="1" si="341"/>
        <v/>
      </c>
      <c r="AQ926" s="9"/>
      <c r="AR926" s="9"/>
      <c r="AS926" s="9"/>
      <c r="AT926" s="9"/>
      <c r="AU926" s="9"/>
    </row>
    <row r="927" spans="1:47" x14ac:dyDescent="0.3">
      <c r="A927" s="1">
        <v>44804</v>
      </c>
      <c r="B927" s="6">
        <v>373.44000199999999</v>
      </c>
      <c r="C927" s="6">
        <v>346.01998900000001</v>
      </c>
      <c r="D927" s="6">
        <v>44.415000999999997</v>
      </c>
      <c r="E927" s="6">
        <v>172.270004</v>
      </c>
      <c r="F927" s="6">
        <v>128.509995</v>
      </c>
      <c r="G927" s="6">
        <v>44.869999</v>
      </c>
      <c r="H927" s="6">
        <v>124.959999</v>
      </c>
      <c r="I927" s="6">
        <v>217.86000100000001</v>
      </c>
      <c r="J927" s="6">
        <v>27.639999</v>
      </c>
      <c r="K927" s="6">
        <v>13.24</v>
      </c>
      <c r="N927" s="19">
        <v>923</v>
      </c>
      <c r="O927" s="1">
        <v>44804</v>
      </c>
      <c r="P927" s="5">
        <f t="shared" si="342"/>
        <v>-4.3553394264018806E-3</v>
      </c>
      <c r="Q927" s="5">
        <f t="shared" si="343"/>
        <v>5.7770007581589061E-5</v>
      </c>
      <c r="R927" s="5">
        <f t="shared" si="344"/>
        <v>3.3829982647798876E-3</v>
      </c>
      <c r="S927" s="5">
        <f t="shared" si="345"/>
        <v>-4.1707815846478502E-3</v>
      </c>
      <c r="T927" s="5">
        <f t="shared" si="346"/>
        <v>-1.4523268354509893E-2</v>
      </c>
      <c r="U927" s="5">
        <f t="shared" si="347"/>
        <v>2.2284631765021366E-4</v>
      </c>
      <c r="V927" s="5">
        <f t="shared" si="348"/>
        <v>-8.5262878259666375E-3</v>
      </c>
      <c r="W927" s="5">
        <f t="shared" si="349"/>
        <v>-1.8343305320825173E-3</v>
      </c>
      <c r="X927" s="5">
        <f t="shared" si="350"/>
        <v>-2.2537208985480547E-2</v>
      </c>
      <c r="Y927" s="5">
        <f t="shared" si="351"/>
        <v>-3.7693222162917535E-3</v>
      </c>
      <c r="Z927" s="33">
        <v>923</v>
      </c>
      <c r="AE927" s="20" t="str">
        <f t="shared" si="352"/>
        <v/>
      </c>
      <c r="AF927" s="22" t="str">
        <f t="shared" si="353"/>
        <v/>
      </c>
      <c r="AG927" s="9" t="str">
        <f t="shared" ca="1" si="332"/>
        <v/>
      </c>
      <c r="AH927" s="9" t="str">
        <f t="shared" ca="1" si="333"/>
        <v/>
      </c>
      <c r="AI927" s="9" t="str">
        <f t="shared" ca="1" si="334"/>
        <v/>
      </c>
      <c r="AJ927" s="9" t="str">
        <f t="shared" ca="1" si="335"/>
        <v/>
      </c>
      <c r="AK927" s="9" t="str">
        <f t="shared" ca="1" si="336"/>
        <v/>
      </c>
      <c r="AL927" s="9" t="str">
        <f t="shared" ca="1" si="337"/>
        <v/>
      </c>
      <c r="AM927" s="9" t="str">
        <f t="shared" ca="1" si="338"/>
        <v/>
      </c>
      <c r="AN927" s="9" t="str">
        <f t="shared" ca="1" si="339"/>
        <v/>
      </c>
      <c r="AO927" s="9" t="str">
        <f t="shared" ca="1" si="340"/>
        <v/>
      </c>
      <c r="AP927" s="9" t="str">
        <f t="shared" ca="1" si="341"/>
        <v/>
      </c>
      <c r="AQ927" s="9"/>
      <c r="AR927" s="9"/>
      <c r="AS927" s="9"/>
      <c r="AT927" s="9"/>
      <c r="AU927" s="9"/>
    </row>
    <row r="928" spans="1:47" x14ac:dyDescent="0.3">
      <c r="A928" s="1">
        <v>44805</v>
      </c>
      <c r="B928" s="6">
        <v>370.52999899999998</v>
      </c>
      <c r="C928" s="6">
        <v>332.48998999999998</v>
      </c>
      <c r="D928" s="6">
        <v>44.5</v>
      </c>
      <c r="E928" s="6">
        <v>172.85000600000001</v>
      </c>
      <c r="F928" s="6">
        <v>129.10000600000001</v>
      </c>
      <c r="G928" s="6">
        <v>45.529998999999997</v>
      </c>
      <c r="H928" s="6">
        <v>129.05999800000001</v>
      </c>
      <c r="I928" s="6">
        <v>215</v>
      </c>
      <c r="J928" s="6">
        <v>27.469999000000001</v>
      </c>
      <c r="K928" s="6">
        <v>13.19</v>
      </c>
      <c r="N928" s="18">
        <v>924</v>
      </c>
      <c r="O928" s="1">
        <v>44805</v>
      </c>
      <c r="P928" s="5">
        <f t="shared" si="342"/>
        <v>-7.8229440346079364E-3</v>
      </c>
      <c r="Q928" s="5">
        <f t="shared" si="343"/>
        <v>-3.988679068572748E-2</v>
      </c>
      <c r="R928" s="5">
        <f t="shared" si="344"/>
        <v>1.9119164356143864E-3</v>
      </c>
      <c r="S928" s="5">
        <f t="shared" si="345"/>
        <v>3.3611644021687408E-3</v>
      </c>
      <c r="T928" s="5">
        <f t="shared" si="346"/>
        <v>4.5806609166249854E-3</v>
      </c>
      <c r="U928" s="5">
        <f t="shared" si="347"/>
        <v>1.4602029681863946E-2</v>
      </c>
      <c r="V928" s="5">
        <f t="shared" si="348"/>
        <v>3.2283718922210519E-2</v>
      </c>
      <c r="W928" s="5">
        <f t="shared" si="349"/>
        <v>-1.321463111674045E-2</v>
      </c>
      <c r="X928" s="5">
        <f t="shared" si="350"/>
        <v>-6.1694990161855999E-3</v>
      </c>
      <c r="Y928" s="5">
        <f t="shared" si="351"/>
        <v>-3.7835837796390288E-3</v>
      </c>
      <c r="Z928" s="33">
        <v>924</v>
      </c>
      <c r="AE928" s="20" t="str">
        <f t="shared" si="352"/>
        <v/>
      </c>
      <c r="AF928" s="22" t="str">
        <f t="shared" si="353"/>
        <v/>
      </c>
      <c r="AG928" s="9" t="str">
        <f t="shared" ca="1" si="332"/>
        <v/>
      </c>
      <c r="AH928" s="9" t="str">
        <f t="shared" ca="1" si="333"/>
        <v/>
      </c>
      <c r="AI928" s="9" t="str">
        <f t="shared" ca="1" si="334"/>
        <v/>
      </c>
      <c r="AJ928" s="9" t="str">
        <f t="shared" ca="1" si="335"/>
        <v/>
      </c>
      <c r="AK928" s="9" t="str">
        <f t="shared" ca="1" si="336"/>
        <v/>
      </c>
      <c r="AL928" s="9" t="str">
        <f t="shared" ca="1" si="337"/>
        <v/>
      </c>
      <c r="AM928" s="9" t="str">
        <f t="shared" ca="1" si="338"/>
        <v/>
      </c>
      <c r="AN928" s="9" t="str">
        <f t="shared" ca="1" si="339"/>
        <v/>
      </c>
      <c r="AO928" s="9" t="str">
        <f t="shared" ca="1" si="340"/>
        <v/>
      </c>
      <c r="AP928" s="9" t="str">
        <f t="shared" ca="1" si="341"/>
        <v/>
      </c>
      <c r="AQ928" s="9"/>
      <c r="AR928" s="9"/>
      <c r="AS928" s="9"/>
      <c r="AT928" s="9"/>
      <c r="AU928" s="9"/>
    </row>
    <row r="929" spans="1:47" x14ac:dyDescent="0.3">
      <c r="A929" s="1">
        <v>44806</v>
      </c>
      <c r="B929" s="6">
        <v>368.14001500000001</v>
      </c>
      <c r="C929" s="6">
        <v>330.55999800000001</v>
      </c>
      <c r="D929" s="6">
        <v>44.195</v>
      </c>
      <c r="E929" s="6">
        <v>170.66000399999999</v>
      </c>
      <c r="F929" s="6">
        <v>126.69000200000001</v>
      </c>
      <c r="G929" s="6">
        <v>45.32</v>
      </c>
      <c r="H929" s="6">
        <v>127.970001</v>
      </c>
      <c r="I929" s="6">
        <v>213.41000399999999</v>
      </c>
      <c r="J929" s="6">
        <v>27.23</v>
      </c>
      <c r="K929" s="6">
        <v>13.06</v>
      </c>
      <c r="N929" s="19">
        <v>925</v>
      </c>
      <c r="O929" s="1">
        <v>44806</v>
      </c>
      <c r="P929" s="5">
        <f t="shared" si="342"/>
        <v>-6.4710690692520523E-3</v>
      </c>
      <c r="Q929" s="5">
        <f t="shared" si="343"/>
        <v>-5.8215744986434411E-3</v>
      </c>
      <c r="R929" s="5">
        <f t="shared" si="344"/>
        <v>-6.8775286592832824E-3</v>
      </c>
      <c r="S929" s="5">
        <f t="shared" si="345"/>
        <v>-1.2750904532957153E-2</v>
      </c>
      <c r="T929" s="5">
        <f t="shared" si="346"/>
        <v>-1.8844170927668637E-2</v>
      </c>
      <c r="U929" s="5">
        <f t="shared" si="347"/>
        <v>-4.6229912233443308E-3</v>
      </c>
      <c r="V929" s="5">
        <f t="shared" si="348"/>
        <v>-8.4815277471893807E-3</v>
      </c>
      <c r="W929" s="5">
        <f t="shared" si="349"/>
        <v>-7.4228112585194156E-3</v>
      </c>
      <c r="X929" s="5">
        <f t="shared" si="350"/>
        <v>-8.7751570181644877E-3</v>
      </c>
      <c r="Y929" s="5">
        <f t="shared" si="351"/>
        <v>-9.9048428809381944E-3</v>
      </c>
      <c r="Z929" s="33">
        <v>925</v>
      </c>
      <c r="AE929" s="20" t="str">
        <f t="shared" si="352"/>
        <v/>
      </c>
      <c r="AF929" s="22" t="str">
        <f t="shared" si="353"/>
        <v/>
      </c>
      <c r="AG929" s="9" t="str">
        <f t="shared" ca="1" si="332"/>
        <v/>
      </c>
      <c r="AH929" s="9" t="str">
        <f t="shared" ca="1" si="333"/>
        <v/>
      </c>
      <c r="AI929" s="9" t="str">
        <f t="shared" ca="1" si="334"/>
        <v/>
      </c>
      <c r="AJ929" s="9" t="str">
        <f t="shared" ca="1" si="335"/>
        <v/>
      </c>
      <c r="AK929" s="9" t="str">
        <f t="shared" ca="1" si="336"/>
        <v/>
      </c>
      <c r="AL929" s="9" t="str">
        <f t="shared" ca="1" si="337"/>
        <v/>
      </c>
      <c r="AM929" s="9" t="str">
        <f t="shared" ca="1" si="338"/>
        <v/>
      </c>
      <c r="AN929" s="9" t="str">
        <f t="shared" ca="1" si="339"/>
        <v/>
      </c>
      <c r="AO929" s="9" t="str">
        <f t="shared" ca="1" si="340"/>
        <v/>
      </c>
      <c r="AP929" s="9" t="str">
        <f t="shared" ca="1" si="341"/>
        <v/>
      </c>
      <c r="AQ929" s="9"/>
      <c r="AR929" s="9"/>
      <c r="AS929" s="9"/>
      <c r="AT929" s="9"/>
      <c r="AU929" s="9"/>
    </row>
    <row r="930" spans="1:47" x14ac:dyDescent="0.3">
      <c r="A930" s="1">
        <v>44810</v>
      </c>
      <c r="B930" s="6">
        <v>368.29998799999998</v>
      </c>
      <c r="C930" s="6">
        <v>326.82998700000002</v>
      </c>
      <c r="D930" s="6">
        <v>44.294998</v>
      </c>
      <c r="E930" s="6">
        <v>169.509995</v>
      </c>
      <c r="F930" s="6">
        <v>130.08999600000001</v>
      </c>
      <c r="G930" s="6">
        <v>46.080002</v>
      </c>
      <c r="H930" s="6">
        <v>128.30999800000001</v>
      </c>
      <c r="I930" s="6">
        <v>217.11000100000001</v>
      </c>
      <c r="J930" s="6">
        <v>27</v>
      </c>
      <c r="K930" s="6">
        <v>12.63</v>
      </c>
      <c r="N930" s="18">
        <v>926</v>
      </c>
      <c r="O930" s="1">
        <v>44810</v>
      </c>
      <c r="P930" s="5">
        <f t="shared" si="342"/>
        <v>4.3444951894101977E-4</v>
      </c>
      <c r="Q930" s="5">
        <f t="shared" si="343"/>
        <v>-1.1348061618807061E-2</v>
      </c>
      <c r="R930" s="5">
        <f t="shared" si="344"/>
        <v>2.2600981992603204E-3</v>
      </c>
      <c r="S930" s="5">
        <f t="shared" si="345"/>
        <v>-6.7614039132442832E-3</v>
      </c>
      <c r="T930" s="5">
        <f t="shared" si="346"/>
        <v>2.6483314464996167E-2</v>
      </c>
      <c r="U930" s="5">
        <f t="shared" si="347"/>
        <v>1.6630623630607036E-2</v>
      </c>
      <c r="V930" s="5">
        <f t="shared" si="348"/>
        <v>2.6533260558413612E-3</v>
      </c>
      <c r="W930" s="5">
        <f t="shared" si="349"/>
        <v>1.7188925282962852E-2</v>
      </c>
      <c r="X930" s="5">
        <f t="shared" si="350"/>
        <v>-8.4824406813392237E-3</v>
      </c>
      <c r="Y930" s="5">
        <f t="shared" si="351"/>
        <v>-3.3479187485885263E-2</v>
      </c>
      <c r="Z930" s="33">
        <v>926</v>
      </c>
      <c r="AE930" s="20" t="str">
        <f t="shared" si="352"/>
        <v/>
      </c>
      <c r="AF930" s="22" t="str">
        <f t="shared" si="353"/>
        <v/>
      </c>
      <c r="AG930" s="9" t="str">
        <f t="shared" ca="1" si="332"/>
        <v/>
      </c>
      <c r="AH930" s="9" t="str">
        <f t="shared" ca="1" si="333"/>
        <v/>
      </c>
      <c r="AI930" s="9" t="str">
        <f t="shared" ca="1" si="334"/>
        <v/>
      </c>
      <c r="AJ930" s="9" t="str">
        <f t="shared" ca="1" si="335"/>
        <v/>
      </c>
      <c r="AK930" s="9" t="str">
        <f t="shared" ca="1" si="336"/>
        <v/>
      </c>
      <c r="AL930" s="9" t="str">
        <f t="shared" ca="1" si="337"/>
        <v/>
      </c>
      <c r="AM930" s="9" t="str">
        <f t="shared" ca="1" si="338"/>
        <v/>
      </c>
      <c r="AN930" s="9" t="str">
        <f t="shared" ca="1" si="339"/>
        <v/>
      </c>
      <c r="AO930" s="9" t="str">
        <f t="shared" ca="1" si="340"/>
        <v/>
      </c>
      <c r="AP930" s="9" t="str">
        <f t="shared" ca="1" si="341"/>
        <v/>
      </c>
      <c r="AQ930" s="9"/>
      <c r="AR930" s="9"/>
      <c r="AS930" s="9"/>
      <c r="AT930" s="9"/>
      <c r="AU930" s="9"/>
    </row>
    <row r="931" spans="1:47" x14ac:dyDescent="0.3">
      <c r="A931" s="1">
        <v>44811</v>
      </c>
      <c r="B931" s="6">
        <v>379.72000100000002</v>
      </c>
      <c r="C931" s="6">
        <v>332.040009</v>
      </c>
      <c r="D931" s="6">
        <v>45.224997999999999</v>
      </c>
      <c r="E931" s="6">
        <v>173.25</v>
      </c>
      <c r="F931" s="6">
        <v>130.929993</v>
      </c>
      <c r="G931" s="6">
        <v>46.900002000000001</v>
      </c>
      <c r="H931" s="6">
        <v>129.5</v>
      </c>
      <c r="I931" s="6">
        <v>223.470001</v>
      </c>
      <c r="J931" s="6">
        <v>27.76</v>
      </c>
      <c r="K931" s="6">
        <v>12.68</v>
      </c>
      <c r="N931" s="19">
        <v>927</v>
      </c>
      <c r="O931" s="1">
        <v>44811</v>
      </c>
      <c r="P931" s="5">
        <f t="shared" si="342"/>
        <v>3.0536350778232368E-2</v>
      </c>
      <c r="Q931" s="5">
        <f t="shared" si="343"/>
        <v>1.5815352429874707E-2</v>
      </c>
      <c r="R931" s="5">
        <f t="shared" si="344"/>
        <v>2.077822834585839E-2</v>
      </c>
      <c r="S931" s="5">
        <f t="shared" si="345"/>
        <v>2.182374543640301E-2</v>
      </c>
      <c r="T931" s="5">
        <f t="shared" si="346"/>
        <v>6.4362879104539507E-3</v>
      </c>
      <c r="U931" s="5">
        <f t="shared" si="347"/>
        <v>1.7638658305743352E-2</v>
      </c>
      <c r="V931" s="5">
        <f t="shared" si="348"/>
        <v>9.2316858199152901E-3</v>
      </c>
      <c r="W931" s="5">
        <f t="shared" si="349"/>
        <v>2.8873039179062063E-2</v>
      </c>
      <c r="X931" s="5">
        <f t="shared" si="350"/>
        <v>2.7759269634274782E-2</v>
      </c>
      <c r="Y931" s="5">
        <f t="shared" si="351"/>
        <v>3.9510126466799893E-3</v>
      </c>
      <c r="Z931" s="33">
        <v>927</v>
      </c>
      <c r="AE931" s="20" t="str">
        <f t="shared" si="352"/>
        <v/>
      </c>
      <c r="AF931" s="22" t="str">
        <f t="shared" si="353"/>
        <v/>
      </c>
      <c r="AG931" s="9" t="str">
        <f t="shared" ca="1" si="332"/>
        <v/>
      </c>
      <c r="AH931" s="9" t="str">
        <f t="shared" ca="1" si="333"/>
        <v/>
      </c>
      <c r="AI931" s="9" t="str">
        <f t="shared" ca="1" si="334"/>
        <v/>
      </c>
      <c r="AJ931" s="9" t="str">
        <f t="shared" ca="1" si="335"/>
        <v/>
      </c>
      <c r="AK931" s="9" t="str">
        <f t="shared" ca="1" si="336"/>
        <v/>
      </c>
      <c r="AL931" s="9" t="str">
        <f t="shared" ca="1" si="337"/>
        <v/>
      </c>
      <c r="AM931" s="9" t="str">
        <f t="shared" ca="1" si="338"/>
        <v/>
      </c>
      <c r="AN931" s="9" t="str">
        <f t="shared" ca="1" si="339"/>
        <v/>
      </c>
      <c r="AO931" s="9" t="str">
        <f t="shared" ca="1" si="340"/>
        <v/>
      </c>
      <c r="AP931" s="9" t="str">
        <f t="shared" ca="1" si="341"/>
        <v/>
      </c>
      <c r="AQ931" s="9"/>
      <c r="AR931" s="9"/>
      <c r="AS931" s="9"/>
      <c r="AT931" s="9"/>
      <c r="AU931" s="9"/>
    </row>
    <row r="932" spans="1:47" x14ac:dyDescent="0.3">
      <c r="A932" s="1">
        <v>44812</v>
      </c>
      <c r="B932" s="6">
        <v>383.63000499999998</v>
      </c>
      <c r="C932" s="6">
        <v>333.76001000000002</v>
      </c>
      <c r="D932" s="6">
        <v>45.709999000000003</v>
      </c>
      <c r="E932" s="6">
        <v>172.66999799999999</v>
      </c>
      <c r="F932" s="6">
        <v>133.13999899999999</v>
      </c>
      <c r="G932" s="6">
        <v>47.16</v>
      </c>
      <c r="H932" s="6">
        <v>127.849998</v>
      </c>
      <c r="I932" s="6">
        <v>222.35000600000001</v>
      </c>
      <c r="J932" s="6">
        <v>27.709999</v>
      </c>
      <c r="K932" s="6">
        <v>12.54</v>
      </c>
      <c r="N932" s="18">
        <v>928</v>
      </c>
      <c r="O932" s="1">
        <v>44812</v>
      </c>
      <c r="P932" s="5">
        <f t="shared" si="342"/>
        <v>1.0244417802659028E-2</v>
      </c>
      <c r="Q932" s="5">
        <f t="shared" si="343"/>
        <v>5.1667310820537526E-3</v>
      </c>
      <c r="R932" s="5">
        <f t="shared" si="344"/>
        <v>1.0667083408571721E-2</v>
      </c>
      <c r="S932" s="5">
        <f t="shared" si="345"/>
        <v>-3.3533912284618231E-3</v>
      </c>
      <c r="T932" s="5">
        <f t="shared" si="346"/>
        <v>1.6738422885688994E-2</v>
      </c>
      <c r="U932" s="5">
        <f t="shared" si="347"/>
        <v>5.5283575730141286E-3</v>
      </c>
      <c r="V932" s="5">
        <f t="shared" si="348"/>
        <v>-1.2823195045728918E-2</v>
      </c>
      <c r="W932" s="5">
        <f t="shared" si="349"/>
        <v>-5.0244373899790955E-3</v>
      </c>
      <c r="X932" s="5">
        <f t="shared" si="350"/>
        <v>-1.8028128517722215E-3</v>
      </c>
      <c r="Y932" s="5">
        <f t="shared" si="351"/>
        <v>-1.110241380430527E-2</v>
      </c>
      <c r="Z932" s="33">
        <v>928</v>
      </c>
      <c r="AE932" s="20" t="str">
        <f t="shared" si="352"/>
        <v/>
      </c>
      <c r="AF932" s="22" t="str">
        <f t="shared" si="353"/>
        <v/>
      </c>
      <c r="AG932" s="9" t="str">
        <f t="shared" ca="1" si="332"/>
        <v/>
      </c>
      <c r="AH932" s="9" t="str">
        <f t="shared" ca="1" si="333"/>
        <v/>
      </c>
      <c r="AI932" s="9" t="str">
        <f t="shared" ca="1" si="334"/>
        <v/>
      </c>
      <c r="AJ932" s="9" t="str">
        <f t="shared" ca="1" si="335"/>
        <v/>
      </c>
      <c r="AK932" s="9" t="str">
        <f t="shared" ca="1" si="336"/>
        <v/>
      </c>
      <c r="AL932" s="9" t="str">
        <f t="shared" ca="1" si="337"/>
        <v/>
      </c>
      <c r="AM932" s="9" t="str">
        <f t="shared" ca="1" si="338"/>
        <v/>
      </c>
      <c r="AN932" s="9" t="str">
        <f t="shared" ca="1" si="339"/>
        <v/>
      </c>
      <c r="AO932" s="9" t="str">
        <f t="shared" ca="1" si="340"/>
        <v/>
      </c>
      <c r="AP932" s="9" t="str">
        <f t="shared" ca="1" si="341"/>
        <v/>
      </c>
      <c r="AQ932" s="9"/>
      <c r="AR932" s="9"/>
      <c r="AS932" s="9"/>
      <c r="AT932" s="9"/>
      <c r="AU932" s="9"/>
    </row>
    <row r="933" spans="1:47" x14ac:dyDescent="0.3">
      <c r="A933" s="1">
        <v>44813</v>
      </c>
      <c r="B933" s="6">
        <v>394.77999899999998</v>
      </c>
      <c r="C933" s="6">
        <v>340.17999300000002</v>
      </c>
      <c r="D933" s="6">
        <v>46.215000000000003</v>
      </c>
      <c r="E933" s="6">
        <v>173.220001</v>
      </c>
      <c r="F933" s="6">
        <v>134.83999600000001</v>
      </c>
      <c r="G933" s="6">
        <v>47.98</v>
      </c>
      <c r="H933" s="6">
        <v>129.470001</v>
      </c>
      <c r="I933" s="6">
        <v>223.429993</v>
      </c>
      <c r="J933" s="6">
        <v>28.549999</v>
      </c>
      <c r="K933" s="6">
        <v>13.03</v>
      </c>
      <c r="N933" s="19">
        <v>929</v>
      </c>
      <c r="O933" s="1">
        <v>44813</v>
      </c>
      <c r="P933" s="5">
        <f t="shared" si="342"/>
        <v>2.8650085732008841E-2</v>
      </c>
      <c r="Q933" s="5">
        <f t="shared" si="343"/>
        <v>1.9052666934547862E-2</v>
      </c>
      <c r="R933" s="5">
        <f t="shared" si="344"/>
        <v>1.0987350250139152E-2</v>
      </c>
      <c r="S933" s="5">
        <f t="shared" si="345"/>
        <v>3.1802218343533763E-3</v>
      </c>
      <c r="T933" s="5">
        <f t="shared" si="346"/>
        <v>1.2687662039405183E-2</v>
      </c>
      <c r="U933" s="5">
        <f t="shared" si="347"/>
        <v>1.7238181742378407E-2</v>
      </c>
      <c r="V933" s="5">
        <f t="shared" si="348"/>
        <v>1.2591515700489449E-2</v>
      </c>
      <c r="W933" s="5">
        <f t="shared" si="349"/>
        <v>4.8453906204824647E-3</v>
      </c>
      <c r="X933" s="5">
        <f t="shared" si="350"/>
        <v>2.9863578288917315E-2</v>
      </c>
      <c r="Y933" s="5">
        <f t="shared" si="351"/>
        <v>3.8330855931979116E-2</v>
      </c>
      <c r="Z933" s="33">
        <v>929</v>
      </c>
      <c r="AE933" s="20" t="str">
        <f t="shared" si="352"/>
        <v/>
      </c>
      <c r="AF933" s="22" t="str">
        <f t="shared" si="353"/>
        <v/>
      </c>
      <c r="AG933" s="9" t="str">
        <f t="shared" ca="1" si="332"/>
        <v/>
      </c>
      <c r="AH933" s="9" t="str">
        <f t="shared" ca="1" si="333"/>
        <v/>
      </c>
      <c r="AI933" s="9" t="str">
        <f t="shared" ca="1" si="334"/>
        <v/>
      </c>
      <c r="AJ933" s="9" t="str">
        <f t="shared" ca="1" si="335"/>
        <v/>
      </c>
      <c r="AK933" s="9" t="str">
        <f t="shared" ca="1" si="336"/>
        <v/>
      </c>
      <c r="AL933" s="9" t="str">
        <f t="shared" ca="1" si="337"/>
        <v/>
      </c>
      <c r="AM933" s="9" t="str">
        <f t="shared" ca="1" si="338"/>
        <v/>
      </c>
      <c r="AN933" s="9" t="str">
        <f t="shared" ca="1" si="339"/>
        <v/>
      </c>
      <c r="AO933" s="9" t="str">
        <f t="shared" ca="1" si="340"/>
        <v/>
      </c>
      <c r="AP933" s="9" t="str">
        <f t="shared" ca="1" si="341"/>
        <v/>
      </c>
      <c r="AQ933" s="9"/>
      <c r="AR933" s="9"/>
      <c r="AS933" s="9"/>
      <c r="AT933" s="9"/>
      <c r="AU933" s="9"/>
    </row>
    <row r="934" spans="1:47" x14ac:dyDescent="0.3">
      <c r="A934" s="1">
        <v>44816</v>
      </c>
      <c r="B934" s="6">
        <v>396.35998499999999</v>
      </c>
      <c r="C934" s="6">
        <v>339.55999800000001</v>
      </c>
      <c r="D934" s="6">
        <v>46.779998999999997</v>
      </c>
      <c r="E934" s="6">
        <v>173.89999399999999</v>
      </c>
      <c r="F934" s="6">
        <v>135.05999800000001</v>
      </c>
      <c r="G934" s="6">
        <v>47.799999</v>
      </c>
      <c r="H934" s="6">
        <v>130.479996</v>
      </c>
      <c r="I934" s="6">
        <v>224.85000600000001</v>
      </c>
      <c r="J934" s="6">
        <v>29.18</v>
      </c>
      <c r="K934" s="6">
        <v>13.31</v>
      </c>
      <c r="N934" s="18">
        <v>930</v>
      </c>
      <c r="O934" s="1">
        <v>44816</v>
      </c>
      <c r="P934" s="5">
        <f t="shared" si="342"/>
        <v>3.9942061645289097E-3</v>
      </c>
      <c r="Q934" s="5">
        <f t="shared" si="343"/>
        <v>-1.8242127288123234E-3</v>
      </c>
      <c r="R934" s="5">
        <f t="shared" si="344"/>
        <v>1.2151319062634929E-2</v>
      </c>
      <c r="S934" s="5">
        <f t="shared" si="345"/>
        <v>3.9179181817449319E-3</v>
      </c>
      <c r="T934" s="5">
        <f t="shared" si="346"/>
        <v>1.6302486373906099E-3</v>
      </c>
      <c r="U934" s="5">
        <f t="shared" si="347"/>
        <v>-3.7586388346405107E-3</v>
      </c>
      <c r="V934" s="5">
        <f t="shared" si="348"/>
        <v>7.7707258623659625E-3</v>
      </c>
      <c r="W934" s="5">
        <f t="shared" si="349"/>
        <v>6.3354053395007432E-3</v>
      </c>
      <c r="X934" s="5">
        <f t="shared" si="350"/>
        <v>2.1826642018890709E-2</v>
      </c>
      <c r="Y934" s="5">
        <f t="shared" si="351"/>
        <v>2.1261241270266573E-2</v>
      </c>
      <c r="Z934" s="33">
        <v>930</v>
      </c>
      <c r="AE934" s="20" t="str">
        <f t="shared" si="352"/>
        <v/>
      </c>
      <c r="AF934" s="22" t="str">
        <f t="shared" si="353"/>
        <v/>
      </c>
      <c r="AG934" s="9" t="str">
        <f t="shared" ca="1" si="332"/>
        <v/>
      </c>
      <c r="AH934" s="9" t="str">
        <f t="shared" ca="1" si="333"/>
        <v/>
      </c>
      <c r="AI934" s="9" t="str">
        <f t="shared" ca="1" si="334"/>
        <v/>
      </c>
      <c r="AJ934" s="9" t="str">
        <f t="shared" ca="1" si="335"/>
        <v/>
      </c>
      <c r="AK934" s="9" t="str">
        <f t="shared" ca="1" si="336"/>
        <v/>
      </c>
      <c r="AL934" s="9" t="str">
        <f t="shared" ca="1" si="337"/>
        <v/>
      </c>
      <c r="AM934" s="9" t="str">
        <f t="shared" ca="1" si="338"/>
        <v/>
      </c>
      <c r="AN934" s="9" t="str">
        <f t="shared" ca="1" si="339"/>
        <v/>
      </c>
      <c r="AO934" s="9" t="str">
        <f t="shared" ca="1" si="340"/>
        <v/>
      </c>
      <c r="AP934" s="9" t="str">
        <f t="shared" ca="1" si="341"/>
        <v/>
      </c>
      <c r="AQ934" s="9"/>
      <c r="AR934" s="9"/>
      <c r="AS934" s="9"/>
      <c r="AT934" s="9"/>
      <c r="AU934" s="9"/>
    </row>
    <row r="935" spans="1:47" x14ac:dyDescent="0.3">
      <c r="A935" s="1">
        <v>44817</v>
      </c>
      <c r="B935" s="6">
        <v>368.39001500000001</v>
      </c>
      <c r="C935" s="6">
        <v>323.60998499999999</v>
      </c>
      <c r="D935" s="6">
        <v>44.764999000000003</v>
      </c>
      <c r="E935" s="6">
        <v>167.41000399999999</v>
      </c>
      <c r="F935" s="6">
        <v>132.320007</v>
      </c>
      <c r="G935" s="6">
        <v>46.169998</v>
      </c>
      <c r="H935" s="6">
        <v>126.83000199999999</v>
      </c>
      <c r="I935" s="6">
        <v>217.21000699999999</v>
      </c>
      <c r="J935" s="6">
        <v>27.799999</v>
      </c>
      <c r="K935" s="6">
        <v>12.95</v>
      </c>
      <c r="N935" s="19">
        <v>931</v>
      </c>
      <c r="O935" s="1">
        <v>44817</v>
      </c>
      <c r="P935" s="5">
        <f t="shared" si="342"/>
        <v>-7.3180651024113419E-2</v>
      </c>
      <c r="Q935" s="5">
        <f t="shared" si="343"/>
        <v>-4.8111615276435961E-2</v>
      </c>
      <c r="R935" s="5">
        <f t="shared" si="344"/>
        <v>-4.4029178032137711E-2</v>
      </c>
      <c r="S935" s="5">
        <f t="shared" si="345"/>
        <v>-3.803446953652069E-2</v>
      </c>
      <c r="T935" s="5">
        <f t="shared" si="346"/>
        <v>-2.0495825161027003E-2</v>
      </c>
      <c r="U935" s="5">
        <f t="shared" si="347"/>
        <v>-3.4695425376183392E-2</v>
      </c>
      <c r="V935" s="5">
        <f t="shared" si="348"/>
        <v>-2.837230480824085E-2</v>
      </c>
      <c r="W935" s="5">
        <f t="shared" si="349"/>
        <v>-3.4568880158693631E-2</v>
      </c>
      <c r="X935" s="5">
        <f t="shared" si="350"/>
        <v>-4.8447558369271823E-2</v>
      </c>
      <c r="Y935" s="5">
        <f t="shared" si="351"/>
        <v>-2.7419844261473571E-2</v>
      </c>
      <c r="Z935" s="33">
        <v>931</v>
      </c>
      <c r="AE935" s="20" t="str">
        <f t="shared" si="352"/>
        <v/>
      </c>
      <c r="AF935" s="22" t="str">
        <f t="shared" si="353"/>
        <v/>
      </c>
      <c r="AG935" s="9" t="str">
        <f t="shared" ca="1" si="332"/>
        <v/>
      </c>
      <c r="AH935" s="9" t="str">
        <f t="shared" ca="1" si="333"/>
        <v/>
      </c>
      <c r="AI935" s="9" t="str">
        <f t="shared" ca="1" si="334"/>
        <v/>
      </c>
      <c r="AJ935" s="9" t="str">
        <f t="shared" ca="1" si="335"/>
        <v/>
      </c>
      <c r="AK935" s="9" t="str">
        <f t="shared" ca="1" si="336"/>
        <v/>
      </c>
      <c r="AL935" s="9" t="str">
        <f t="shared" ca="1" si="337"/>
        <v/>
      </c>
      <c r="AM935" s="9" t="str">
        <f t="shared" ca="1" si="338"/>
        <v/>
      </c>
      <c r="AN935" s="9" t="str">
        <f t="shared" ca="1" si="339"/>
        <v/>
      </c>
      <c r="AO935" s="9" t="str">
        <f t="shared" ca="1" si="340"/>
        <v/>
      </c>
      <c r="AP935" s="9" t="str">
        <f t="shared" ca="1" si="341"/>
        <v/>
      </c>
      <c r="AQ935" s="9"/>
      <c r="AR935" s="9"/>
      <c r="AS935" s="9"/>
      <c r="AT935" s="9"/>
      <c r="AU935" s="9"/>
    </row>
    <row r="936" spans="1:47" x14ac:dyDescent="0.3">
      <c r="A936" s="1">
        <v>44818</v>
      </c>
      <c r="B936" s="6">
        <v>371.51998900000001</v>
      </c>
      <c r="C936" s="6">
        <v>323.36999500000002</v>
      </c>
      <c r="D936" s="6">
        <v>44.465000000000003</v>
      </c>
      <c r="E936" s="6">
        <v>168.679993</v>
      </c>
      <c r="F936" s="6">
        <v>130.759995</v>
      </c>
      <c r="G936" s="6">
        <v>45.669998</v>
      </c>
      <c r="H936" s="6">
        <v>127.05999799999999</v>
      </c>
      <c r="I936" s="6">
        <v>216.729996</v>
      </c>
      <c r="J936" s="6">
        <v>27.59</v>
      </c>
      <c r="K936" s="6">
        <v>12.71</v>
      </c>
      <c r="N936" s="18">
        <v>932</v>
      </c>
      <c r="O936" s="1">
        <v>44818</v>
      </c>
      <c r="P936" s="5">
        <f t="shared" si="342"/>
        <v>8.4604685792291096E-3</v>
      </c>
      <c r="Q936" s="5">
        <f t="shared" si="343"/>
        <v>-7.4187770387320945E-4</v>
      </c>
      <c r="R936" s="5">
        <f t="shared" si="344"/>
        <v>-6.7241988956348673E-3</v>
      </c>
      <c r="S936" s="5">
        <f t="shared" si="345"/>
        <v>7.5574700585342375E-3</v>
      </c>
      <c r="T936" s="5">
        <f t="shared" si="346"/>
        <v>-1.1859740559419529E-2</v>
      </c>
      <c r="U936" s="5">
        <f t="shared" si="347"/>
        <v>-1.0888609796241925E-2</v>
      </c>
      <c r="V936" s="5">
        <f t="shared" si="348"/>
        <v>1.8117772493142583E-3</v>
      </c>
      <c r="W936" s="5">
        <f t="shared" si="349"/>
        <v>-2.2123389983117647E-3</v>
      </c>
      <c r="X936" s="5">
        <f t="shared" si="350"/>
        <v>-7.5825964961730337E-3</v>
      </c>
      <c r="Y936" s="5">
        <f t="shared" si="351"/>
        <v>-1.8706702944183945E-2</v>
      </c>
      <c r="Z936" s="33">
        <v>932</v>
      </c>
      <c r="AE936" s="20" t="str">
        <f t="shared" si="352"/>
        <v/>
      </c>
      <c r="AF936" s="22" t="str">
        <f t="shared" si="353"/>
        <v/>
      </c>
      <c r="AG936" s="9" t="str">
        <f t="shared" ca="1" si="332"/>
        <v/>
      </c>
      <c r="AH936" s="9" t="str">
        <f t="shared" ca="1" si="333"/>
        <v/>
      </c>
      <c r="AI936" s="9" t="str">
        <f t="shared" ca="1" si="334"/>
        <v/>
      </c>
      <c r="AJ936" s="9" t="str">
        <f t="shared" ca="1" si="335"/>
        <v/>
      </c>
      <c r="AK936" s="9" t="str">
        <f t="shared" ca="1" si="336"/>
        <v/>
      </c>
      <c r="AL936" s="9" t="str">
        <f t="shared" ca="1" si="337"/>
        <v/>
      </c>
      <c r="AM936" s="9" t="str">
        <f t="shared" ca="1" si="338"/>
        <v/>
      </c>
      <c r="AN936" s="9" t="str">
        <f t="shared" ca="1" si="339"/>
        <v/>
      </c>
      <c r="AO936" s="9" t="str">
        <f t="shared" ca="1" si="340"/>
        <v/>
      </c>
      <c r="AP936" s="9" t="str">
        <f t="shared" ca="1" si="341"/>
        <v/>
      </c>
      <c r="AQ936" s="9"/>
      <c r="AR936" s="9"/>
      <c r="AS936" s="9"/>
      <c r="AT936" s="9"/>
      <c r="AU936" s="9"/>
    </row>
    <row r="937" spans="1:47" x14ac:dyDescent="0.3">
      <c r="A937" s="1">
        <v>44819</v>
      </c>
      <c r="B937" s="6">
        <v>309.13000499999998</v>
      </c>
      <c r="C937" s="6">
        <v>315.94000199999999</v>
      </c>
      <c r="D937" s="6">
        <v>43.685001</v>
      </c>
      <c r="E937" s="6">
        <v>165.88000500000001</v>
      </c>
      <c r="F937" s="6">
        <v>129.13000500000001</v>
      </c>
      <c r="G937" s="6">
        <v>44.880001</v>
      </c>
      <c r="H937" s="6">
        <v>122.5</v>
      </c>
      <c r="I937" s="6">
        <v>214.83000200000001</v>
      </c>
      <c r="J937" s="6">
        <v>27.82</v>
      </c>
      <c r="K937" s="6">
        <v>13.17</v>
      </c>
      <c r="N937" s="19">
        <v>933</v>
      </c>
      <c r="O937" s="1">
        <v>44819</v>
      </c>
      <c r="P937" s="5">
        <f t="shared" si="342"/>
        <v>-0.18384075232961802</v>
      </c>
      <c r="Q937" s="5">
        <f t="shared" si="343"/>
        <v>-2.3244834528215626E-2</v>
      </c>
      <c r="R937" s="5">
        <f t="shared" si="344"/>
        <v>-1.7697546210393236E-2</v>
      </c>
      <c r="S937" s="5">
        <f t="shared" si="345"/>
        <v>-1.6738721859210742E-2</v>
      </c>
      <c r="T937" s="5">
        <f t="shared" si="346"/>
        <v>-1.2543856038787183E-2</v>
      </c>
      <c r="U937" s="5">
        <f t="shared" si="347"/>
        <v>-1.7449299908402209E-2</v>
      </c>
      <c r="V937" s="5">
        <f t="shared" si="348"/>
        <v>-3.6548370113010292E-2</v>
      </c>
      <c r="W937" s="5">
        <f t="shared" si="349"/>
        <v>-8.8052937475222165E-3</v>
      </c>
      <c r="X937" s="5">
        <f t="shared" si="350"/>
        <v>8.301798266102162E-3</v>
      </c>
      <c r="Y937" s="5">
        <f t="shared" si="351"/>
        <v>3.5552430553826939E-2</v>
      </c>
      <c r="Z937" s="33">
        <v>933</v>
      </c>
      <c r="AE937" s="20" t="str">
        <f t="shared" si="352"/>
        <v/>
      </c>
      <c r="AF937" s="22" t="str">
        <f t="shared" si="353"/>
        <v/>
      </c>
      <c r="AG937" s="9" t="str">
        <f t="shared" ca="1" si="332"/>
        <v/>
      </c>
      <c r="AH937" s="9" t="str">
        <f t="shared" ca="1" si="333"/>
        <v/>
      </c>
      <c r="AI937" s="9" t="str">
        <f t="shared" ca="1" si="334"/>
        <v/>
      </c>
      <c r="AJ937" s="9" t="str">
        <f t="shared" ca="1" si="335"/>
        <v/>
      </c>
      <c r="AK937" s="9" t="str">
        <f t="shared" ca="1" si="336"/>
        <v/>
      </c>
      <c r="AL937" s="9" t="str">
        <f t="shared" ca="1" si="337"/>
        <v/>
      </c>
      <c r="AM937" s="9" t="str">
        <f t="shared" ca="1" si="338"/>
        <v/>
      </c>
      <c r="AN937" s="9" t="str">
        <f t="shared" ca="1" si="339"/>
        <v/>
      </c>
      <c r="AO937" s="9" t="str">
        <f t="shared" ca="1" si="340"/>
        <v/>
      </c>
      <c r="AP937" s="9" t="str">
        <f t="shared" ca="1" si="341"/>
        <v/>
      </c>
      <c r="AQ937" s="9"/>
      <c r="AR937" s="9"/>
      <c r="AS937" s="9"/>
      <c r="AT937" s="9"/>
      <c r="AU937" s="9"/>
    </row>
    <row r="938" spans="1:47" x14ac:dyDescent="0.3">
      <c r="A938" s="1">
        <v>44820</v>
      </c>
      <c r="B938" s="6">
        <v>299.5</v>
      </c>
      <c r="C938" s="6">
        <v>314.209991</v>
      </c>
      <c r="D938" s="6">
        <v>43.619999</v>
      </c>
      <c r="E938" s="6">
        <v>166.970001</v>
      </c>
      <c r="F938" s="6">
        <v>129</v>
      </c>
      <c r="G938" s="6">
        <v>44.639999000000003</v>
      </c>
      <c r="H938" s="6">
        <v>120.910004</v>
      </c>
      <c r="I938" s="6">
        <v>215.46000699999999</v>
      </c>
      <c r="J938" s="6">
        <v>27.299999</v>
      </c>
      <c r="K938" s="6">
        <v>12.74</v>
      </c>
      <c r="N938" s="18">
        <v>934</v>
      </c>
      <c r="O938" s="1">
        <v>44820</v>
      </c>
      <c r="P938" s="5">
        <f t="shared" si="342"/>
        <v>-3.1647499016307624E-2</v>
      </c>
      <c r="Q938" s="5">
        <f t="shared" si="343"/>
        <v>-5.490804937603083E-3</v>
      </c>
      <c r="R938" s="5">
        <f t="shared" si="344"/>
        <v>-1.4890787929910823E-3</v>
      </c>
      <c r="S938" s="5">
        <f t="shared" si="345"/>
        <v>6.5494960295139105E-3</v>
      </c>
      <c r="T938" s="5">
        <f t="shared" si="346"/>
        <v>-1.0072832175566039E-3</v>
      </c>
      <c r="U938" s="5">
        <f t="shared" si="347"/>
        <v>-5.3619878244589112E-3</v>
      </c>
      <c r="V938" s="5">
        <f t="shared" si="348"/>
        <v>-1.3064529716168791E-2</v>
      </c>
      <c r="W938" s="5">
        <f t="shared" si="349"/>
        <v>2.9282829580301577E-3</v>
      </c>
      <c r="X938" s="5">
        <f t="shared" si="350"/>
        <v>-1.8868520934420076E-2</v>
      </c>
      <c r="Y938" s="5">
        <f t="shared" si="351"/>
        <v>-3.3194865611172387E-2</v>
      </c>
      <c r="Z938" s="33">
        <v>934</v>
      </c>
      <c r="AE938" s="20" t="str">
        <f t="shared" si="352"/>
        <v/>
      </c>
      <c r="AF938" s="22" t="str">
        <f t="shared" si="353"/>
        <v/>
      </c>
      <c r="AG938" s="9" t="str">
        <f t="shared" ca="1" si="332"/>
        <v/>
      </c>
      <c r="AH938" s="9" t="str">
        <f t="shared" ca="1" si="333"/>
        <v/>
      </c>
      <c r="AI938" s="9" t="str">
        <f t="shared" ca="1" si="334"/>
        <v/>
      </c>
      <c r="AJ938" s="9" t="str">
        <f t="shared" ca="1" si="335"/>
        <v/>
      </c>
      <c r="AK938" s="9" t="str">
        <f t="shared" ca="1" si="336"/>
        <v/>
      </c>
      <c r="AL938" s="9" t="str">
        <f t="shared" ca="1" si="337"/>
        <v/>
      </c>
      <c r="AM938" s="9" t="str">
        <f t="shared" ca="1" si="338"/>
        <v/>
      </c>
      <c r="AN938" s="9" t="str">
        <f t="shared" ca="1" si="339"/>
        <v/>
      </c>
      <c r="AO938" s="9" t="str">
        <f t="shared" ca="1" si="340"/>
        <v/>
      </c>
      <c r="AP938" s="9" t="str">
        <f t="shared" ca="1" si="341"/>
        <v/>
      </c>
      <c r="AQ938" s="9"/>
      <c r="AR938" s="9"/>
      <c r="AS938" s="9"/>
      <c r="AT938" s="9"/>
      <c r="AU938" s="9"/>
    </row>
    <row r="939" spans="1:47" x14ac:dyDescent="0.3">
      <c r="A939" s="1">
        <v>44823</v>
      </c>
      <c r="B939" s="6">
        <v>296.05999800000001</v>
      </c>
      <c r="C939" s="6">
        <v>317.32000699999998</v>
      </c>
      <c r="D939" s="6">
        <v>43.924999</v>
      </c>
      <c r="E939" s="6">
        <v>168.729996</v>
      </c>
      <c r="F939" s="6">
        <v>127.889999</v>
      </c>
      <c r="G939" s="6">
        <v>43.75</v>
      </c>
      <c r="H939" s="6">
        <v>125.019997</v>
      </c>
      <c r="I939" s="6">
        <v>220.720001</v>
      </c>
      <c r="J939" s="6">
        <v>27.690000999999999</v>
      </c>
      <c r="K939" s="6">
        <v>13.16</v>
      </c>
      <c r="N939" s="19">
        <v>935</v>
      </c>
      <c r="O939" s="1">
        <v>44823</v>
      </c>
      <c r="P939" s="5">
        <f t="shared" si="342"/>
        <v>-1.1552287825545402E-2</v>
      </c>
      <c r="Q939" s="5">
        <f t="shared" si="343"/>
        <v>9.8492269598884456E-3</v>
      </c>
      <c r="R939" s="5">
        <f t="shared" si="344"/>
        <v>6.9678734588629974E-3</v>
      </c>
      <c r="S939" s="5">
        <f t="shared" si="345"/>
        <v>1.0485618953766925E-2</v>
      </c>
      <c r="T939" s="5">
        <f t="shared" si="346"/>
        <v>-8.6418927356630652E-3</v>
      </c>
      <c r="U939" s="5">
        <f t="shared" si="347"/>
        <v>-2.0138682867998216E-2</v>
      </c>
      <c r="V939" s="5">
        <f t="shared" si="348"/>
        <v>3.342720023889266E-2</v>
      </c>
      <c r="W939" s="5">
        <f t="shared" si="349"/>
        <v>2.4119624484982775E-2</v>
      </c>
      <c r="X939" s="5">
        <f t="shared" si="350"/>
        <v>1.418470773611376E-2</v>
      </c>
      <c r="Y939" s="5">
        <f t="shared" si="351"/>
        <v>3.243527575315374E-2</v>
      </c>
      <c r="Z939" s="33">
        <v>935</v>
      </c>
      <c r="AE939" s="20" t="str">
        <f t="shared" si="352"/>
        <v/>
      </c>
      <c r="AF939" s="22" t="str">
        <f t="shared" si="353"/>
        <v/>
      </c>
      <c r="AG939" s="9" t="str">
        <f t="shared" ca="1" si="332"/>
        <v/>
      </c>
      <c r="AH939" s="9" t="str">
        <f t="shared" ca="1" si="333"/>
        <v/>
      </c>
      <c r="AI939" s="9" t="str">
        <f t="shared" ca="1" si="334"/>
        <v/>
      </c>
      <c r="AJ939" s="9" t="str">
        <f t="shared" ca="1" si="335"/>
        <v/>
      </c>
      <c r="AK939" s="9" t="str">
        <f t="shared" ca="1" si="336"/>
        <v/>
      </c>
      <c r="AL939" s="9" t="str">
        <f t="shared" ca="1" si="337"/>
        <v/>
      </c>
      <c r="AM939" s="9" t="str">
        <f t="shared" ca="1" si="338"/>
        <v/>
      </c>
      <c r="AN939" s="9" t="str">
        <f t="shared" ca="1" si="339"/>
        <v/>
      </c>
      <c r="AO939" s="9" t="str">
        <f t="shared" ca="1" si="340"/>
        <v/>
      </c>
      <c r="AP939" s="9" t="str">
        <f t="shared" ca="1" si="341"/>
        <v/>
      </c>
      <c r="AQ939" s="9"/>
      <c r="AR939" s="9"/>
      <c r="AS939" s="9"/>
      <c r="AT939" s="9"/>
      <c r="AU939" s="9"/>
    </row>
    <row r="940" spans="1:47" x14ac:dyDescent="0.3">
      <c r="A940" s="1">
        <v>44824</v>
      </c>
      <c r="B940" s="6">
        <v>291.05999800000001</v>
      </c>
      <c r="C940" s="6">
        <v>316.26001000000002</v>
      </c>
      <c r="D940" s="6">
        <v>43.849997999999999</v>
      </c>
      <c r="E940" s="6">
        <v>168.91999799999999</v>
      </c>
      <c r="F940" s="6">
        <v>124.110001</v>
      </c>
      <c r="G940" s="6">
        <v>42.299999</v>
      </c>
      <c r="H940" s="6">
        <v>122.69000200000001</v>
      </c>
      <c r="I940" s="6">
        <v>217.240005</v>
      </c>
      <c r="J940" s="6">
        <v>26.879999000000002</v>
      </c>
      <c r="K940" s="6">
        <v>13.21</v>
      </c>
      <c r="N940" s="18">
        <v>936</v>
      </c>
      <c r="O940" s="1">
        <v>44824</v>
      </c>
      <c r="P940" s="5">
        <f t="shared" si="342"/>
        <v>-1.703270511621393E-2</v>
      </c>
      <c r="Q940" s="5">
        <f t="shared" si="343"/>
        <v>-3.3460587788286074E-3</v>
      </c>
      <c r="R940" s="5">
        <f t="shared" si="344"/>
        <v>-1.7089380989253301E-3</v>
      </c>
      <c r="S940" s="5">
        <f t="shared" si="345"/>
        <v>1.1254377220860257E-3</v>
      </c>
      <c r="T940" s="5">
        <f t="shared" si="346"/>
        <v>-3.0002234427210738E-2</v>
      </c>
      <c r="U940" s="5">
        <f t="shared" si="347"/>
        <v>-3.3704550392053355E-2</v>
      </c>
      <c r="V940" s="5">
        <f t="shared" si="348"/>
        <v>-1.8812835403166986E-2</v>
      </c>
      <c r="W940" s="5">
        <f t="shared" si="349"/>
        <v>-1.5892178256994276E-2</v>
      </c>
      <c r="X940" s="5">
        <f t="shared" si="350"/>
        <v>-2.9688894844423212E-2</v>
      </c>
      <c r="Y940" s="5">
        <f t="shared" si="351"/>
        <v>3.7921926370629122E-3</v>
      </c>
      <c r="Z940" s="33">
        <v>936</v>
      </c>
      <c r="AE940" s="20" t="str">
        <f t="shared" si="352"/>
        <v/>
      </c>
      <c r="AF940" s="22" t="str">
        <f t="shared" si="353"/>
        <v/>
      </c>
      <c r="AG940" s="9" t="str">
        <f t="shared" ca="1" si="332"/>
        <v/>
      </c>
      <c r="AH940" s="9" t="str">
        <f t="shared" ca="1" si="333"/>
        <v/>
      </c>
      <c r="AI940" s="9" t="str">
        <f t="shared" ca="1" si="334"/>
        <v/>
      </c>
      <c r="AJ940" s="9" t="str">
        <f t="shared" ca="1" si="335"/>
        <v/>
      </c>
      <c r="AK940" s="9" t="str">
        <f t="shared" ca="1" si="336"/>
        <v/>
      </c>
      <c r="AL940" s="9" t="str">
        <f t="shared" ca="1" si="337"/>
        <v/>
      </c>
      <c r="AM940" s="9" t="str">
        <f t="shared" ca="1" si="338"/>
        <v/>
      </c>
      <c r="AN940" s="9" t="str">
        <f t="shared" ca="1" si="339"/>
        <v/>
      </c>
      <c r="AO940" s="9" t="str">
        <f t="shared" ca="1" si="340"/>
        <v/>
      </c>
      <c r="AP940" s="9" t="str">
        <f t="shared" ca="1" si="341"/>
        <v/>
      </c>
      <c r="AQ940" s="9"/>
      <c r="AR940" s="9"/>
      <c r="AS940" s="9"/>
      <c r="AT940" s="9"/>
      <c r="AU940" s="9"/>
    </row>
    <row r="941" spans="1:47" x14ac:dyDescent="0.3">
      <c r="A941" s="1">
        <v>44825</v>
      </c>
      <c r="B941" s="6">
        <v>286.29998799999998</v>
      </c>
      <c r="C941" s="6">
        <v>313.10998499999999</v>
      </c>
      <c r="D941" s="6">
        <v>43.52</v>
      </c>
      <c r="E941" s="6">
        <v>168.44000199999999</v>
      </c>
      <c r="F941" s="6">
        <v>122.449997</v>
      </c>
      <c r="G941" s="6">
        <v>42</v>
      </c>
      <c r="H941" s="6">
        <v>122.110001</v>
      </c>
      <c r="I941" s="6">
        <v>215.78999300000001</v>
      </c>
      <c r="J941" s="6">
        <v>26.57</v>
      </c>
      <c r="K941" s="6">
        <v>12.22</v>
      </c>
      <c r="N941" s="19">
        <v>937</v>
      </c>
      <c r="O941" s="1">
        <v>44825</v>
      </c>
      <c r="P941" s="5">
        <f t="shared" si="342"/>
        <v>-1.6489254423752431E-2</v>
      </c>
      <c r="Q941" s="5">
        <f t="shared" si="343"/>
        <v>-1.0010173121141329E-2</v>
      </c>
      <c r="R941" s="5">
        <f t="shared" si="344"/>
        <v>-7.5540706604695475E-3</v>
      </c>
      <c r="S941" s="5">
        <f t="shared" si="345"/>
        <v>-2.8456030584273202E-3</v>
      </c>
      <c r="T941" s="5">
        <f t="shared" si="346"/>
        <v>-1.3465518300417704E-2</v>
      </c>
      <c r="U941" s="5">
        <f t="shared" si="347"/>
        <v>-7.1174441282017848E-3</v>
      </c>
      <c r="V941" s="5">
        <f t="shared" si="348"/>
        <v>-4.7385790700705237E-3</v>
      </c>
      <c r="W941" s="5">
        <f t="shared" si="349"/>
        <v>-6.6970760742345644E-3</v>
      </c>
      <c r="X941" s="5">
        <f t="shared" si="350"/>
        <v>-1.1599718680845018E-2</v>
      </c>
      <c r="Y941" s="5">
        <f t="shared" si="351"/>
        <v>-7.7900164790784723E-2</v>
      </c>
      <c r="Z941" s="33">
        <v>937</v>
      </c>
      <c r="AE941" s="20" t="str">
        <f t="shared" si="352"/>
        <v/>
      </c>
      <c r="AF941" s="22" t="str">
        <f t="shared" si="353"/>
        <v/>
      </c>
      <c r="AG941" s="9" t="str">
        <f t="shared" ca="1" si="332"/>
        <v/>
      </c>
      <c r="AH941" s="9" t="str">
        <f t="shared" ca="1" si="333"/>
        <v/>
      </c>
      <c r="AI941" s="9" t="str">
        <f t="shared" ca="1" si="334"/>
        <v/>
      </c>
      <c r="AJ941" s="9" t="str">
        <f t="shared" ca="1" si="335"/>
        <v/>
      </c>
      <c r="AK941" s="9" t="str">
        <f t="shared" ca="1" si="336"/>
        <v/>
      </c>
      <c r="AL941" s="9" t="str">
        <f t="shared" ca="1" si="337"/>
        <v/>
      </c>
      <c r="AM941" s="9" t="str">
        <f t="shared" ca="1" si="338"/>
        <v/>
      </c>
      <c r="AN941" s="9" t="str">
        <f t="shared" ca="1" si="339"/>
        <v/>
      </c>
      <c r="AO941" s="9" t="str">
        <f t="shared" ca="1" si="340"/>
        <v/>
      </c>
      <c r="AP941" s="9" t="str">
        <f t="shared" ca="1" si="341"/>
        <v/>
      </c>
      <c r="AQ941" s="9"/>
      <c r="AR941" s="9"/>
      <c r="AS941" s="9"/>
      <c r="AT941" s="9"/>
      <c r="AU941" s="9"/>
    </row>
    <row r="942" spans="1:47" x14ac:dyDescent="0.3">
      <c r="A942" s="1">
        <v>44826</v>
      </c>
      <c r="B942" s="6">
        <v>287.05999800000001</v>
      </c>
      <c r="C942" s="6">
        <v>306.97000100000002</v>
      </c>
      <c r="D942" s="6">
        <v>43.384998000000003</v>
      </c>
      <c r="E942" s="6">
        <v>168.60000600000001</v>
      </c>
      <c r="F942" s="6">
        <v>122.769997</v>
      </c>
      <c r="G942" s="6">
        <v>42.009998000000003</v>
      </c>
      <c r="H942" s="6">
        <v>120.150002</v>
      </c>
      <c r="I942" s="6">
        <v>210.91999799999999</v>
      </c>
      <c r="J942" s="6">
        <v>26.26</v>
      </c>
      <c r="K942" s="6">
        <v>12.01</v>
      </c>
      <c r="N942" s="18">
        <v>938</v>
      </c>
      <c r="O942" s="1">
        <v>44826</v>
      </c>
      <c r="P942" s="5">
        <f t="shared" si="342"/>
        <v>2.6510759860573305E-3</v>
      </c>
      <c r="Q942" s="5">
        <f t="shared" si="343"/>
        <v>-1.9804492393342126E-2</v>
      </c>
      <c r="R942" s="5">
        <f t="shared" si="344"/>
        <v>-3.1068894011173562E-3</v>
      </c>
      <c r="S942" s="5">
        <f t="shared" si="345"/>
        <v>9.4946598755193197E-4</v>
      </c>
      <c r="T942" s="5">
        <f t="shared" si="346"/>
        <v>2.609902858430521E-3</v>
      </c>
      <c r="U942" s="5">
        <f t="shared" si="347"/>
        <v>2.3801929020896191E-4</v>
      </c>
      <c r="V942" s="5">
        <f t="shared" si="348"/>
        <v>-1.6181307205930806E-2</v>
      </c>
      <c r="W942" s="5">
        <f t="shared" si="349"/>
        <v>-2.2826774928427971E-2</v>
      </c>
      <c r="X942" s="5">
        <f t="shared" si="350"/>
        <v>-1.173589089707191E-2</v>
      </c>
      <c r="Y942" s="5">
        <f t="shared" si="351"/>
        <v>-1.7334317651557147E-2</v>
      </c>
      <c r="Z942" s="33">
        <v>938</v>
      </c>
      <c r="AE942" s="20" t="str">
        <f t="shared" si="352"/>
        <v/>
      </c>
      <c r="AF942" s="22" t="str">
        <f t="shared" si="353"/>
        <v/>
      </c>
      <c r="AG942" s="9" t="str">
        <f t="shared" ca="1" si="332"/>
        <v/>
      </c>
      <c r="AH942" s="9" t="str">
        <f t="shared" ca="1" si="333"/>
        <v/>
      </c>
      <c r="AI942" s="9" t="str">
        <f t="shared" ca="1" si="334"/>
        <v/>
      </c>
      <c r="AJ942" s="9" t="str">
        <f t="shared" ca="1" si="335"/>
        <v/>
      </c>
      <c r="AK942" s="9" t="str">
        <f t="shared" ca="1" si="336"/>
        <v/>
      </c>
      <c r="AL942" s="9" t="str">
        <f t="shared" ca="1" si="337"/>
        <v/>
      </c>
      <c r="AM942" s="9" t="str">
        <f t="shared" ca="1" si="338"/>
        <v/>
      </c>
      <c r="AN942" s="9" t="str">
        <f t="shared" ca="1" si="339"/>
        <v/>
      </c>
      <c r="AO942" s="9" t="str">
        <f t="shared" ca="1" si="340"/>
        <v/>
      </c>
      <c r="AP942" s="9" t="str">
        <f t="shared" ca="1" si="341"/>
        <v/>
      </c>
      <c r="AQ942" s="9"/>
      <c r="AR942" s="9"/>
      <c r="AS942" s="9"/>
      <c r="AT942" s="9"/>
      <c r="AU942" s="9"/>
    </row>
    <row r="943" spans="1:47" x14ac:dyDescent="0.3">
      <c r="A943" s="1">
        <v>44827</v>
      </c>
      <c r="B943" s="6">
        <v>284.55999800000001</v>
      </c>
      <c r="C943" s="6">
        <v>303.27999899999998</v>
      </c>
      <c r="D943" s="6">
        <v>43.544998</v>
      </c>
      <c r="E943" s="6">
        <v>168.520004</v>
      </c>
      <c r="F943" s="6">
        <v>121.949997</v>
      </c>
      <c r="G943" s="6">
        <v>42.369999</v>
      </c>
      <c r="H943" s="6">
        <v>119.75</v>
      </c>
      <c r="I943" s="6">
        <v>206.449997</v>
      </c>
      <c r="J943" s="6">
        <v>25.809999000000001</v>
      </c>
      <c r="K943" s="6">
        <v>11.79</v>
      </c>
      <c r="N943" s="19">
        <v>939</v>
      </c>
      <c r="O943" s="1">
        <v>44827</v>
      </c>
      <c r="P943" s="5">
        <f t="shared" si="342"/>
        <v>-8.7471255642447045E-3</v>
      </c>
      <c r="Q943" s="5">
        <f t="shared" si="343"/>
        <v>-1.2093558289443914E-2</v>
      </c>
      <c r="R943" s="5">
        <f t="shared" si="344"/>
        <v>3.6811270686337946E-3</v>
      </c>
      <c r="S943" s="5">
        <f t="shared" si="345"/>
        <v>-4.7462030807254114E-4</v>
      </c>
      <c r="T943" s="5">
        <f t="shared" si="346"/>
        <v>-6.7015616951282622E-3</v>
      </c>
      <c r="U943" s="5">
        <f t="shared" si="347"/>
        <v>8.5329034632855381E-3</v>
      </c>
      <c r="V943" s="5">
        <f t="shared" si="348"/>
        <v>-3.3347425373124692E-3</v>
      </c>
      <c r="W943" s="5">
        <f t="shared" si="349"/>
        <v>-2.1420667379265197E-2</v>
      </c>
      <c r="X943" s="5">
        <f t="shared" si="350"/>
        <v>-1.7284893888800987E-2</v>
      </c>
      <c r="Y943" s="5">
        <f t="shared" si="351"/>
        <v>-1.848792154261265E-2</v>
      </c>
      <c r="Z943" s="33">
        <v>939</v>
      </c>
      <c r="AE943" s="20" t="str">
        <f t="shared" si="352"/>
        <v/>
      </c>
      <c r="AF943" s="22" t="str">
        <f t="shared" si="353"/>
        <v/>
      </c>
      <c r="AG943" s="9" t="str">
        <f t="shared" ca="1" si="332"/>
        <v/>
      </c>
      <c r="AH943" s="9" t="str">
        <f t="shared" ca="1" si="333"/>
        <v/>
      </c>
      <c r="AI943" s="9" t="str">
        <f t="shared" ca="1" si="334"/>
        <v/>
      </c>
      <c r="AJ943" s="9" t="str">
        <f t="shared" ca="1" si="335"/>
        <v/>
      </c>
      <c r="AK943" s="9" t="str">
        <f t="shared" ca="1" si="336"/>
        <v/>
      </c>
      <c r="AL943" s="9" t="str">
        <f t="shared" ca="1" si="337"/>
        <v/>
      </c>
      <c r="AM943" s="9" t="str">
        <f t="shared" ca="1" si="338"/>
        <v/>
      </c>
      <c r="AN943" s="9" t="str">
        <f t="shared" ca="1" si="339"/>
        <v/>
      </c>
      <c r="AO943" s="9" t="str">
        <f t="shared" ca="1" si="340"/>
        <v/>
      </c>
      <c r="AP943" s="9" t="str">
        <f t="shared" ca="1" si="341"/>
        <v/>
      </c>
      <c r="AQ943" s="9"/>
      <c r="AR943" s="9"/>
      <c r="AS943" s="9"/>
      <c r="AT943" s="9"/>
      <c r="AU943" s="9"/>
    </row>
    <row r="944" spans="1:47" x14ac:dyDescent="0.3">
      <c r="A944" s="1">
        <v>44830</v>
      </c>
      <c r="B944" s="6">
        <v>276.959991</v>
      </c>
      <c r="C944" s="6">
        <v>303.33999599999999</v>
      </c>
      <c r="D944" s="6">
        <v>43.955002</v>
      </c>
      <c r="E944" s="6">
        <v>168.449997</v>
      </c>
      <c r="F944" s="6">
        <v>118.720001</v>
      </c>
      <c r="G944" s="6">
        <v>40.900002000000001</v>
      </c>
      <c r="H944" s="6">
        <v>117.949997</v>
      </c>
      <c r="I944" s="6">
        <v>206.63999899999999</v>
      </c>
      <c r="J944" s="6">
        <v>25.32</v>
      </c>
      <c r="K944" s="6">
        <v>11.41</v>
      </c>
      <c r="N944" s="18">
        <v>940</v>
      </c>
      <c r="O944" s="1">
        <v>44830</v>
      </c>
      <c r="P944" s="5">
        <f t="shared" si="342"/>
        <v>-2.7071061679573696E-2</v>
      </c>
      <c r="Q944" s="5">
        <f t="shared" si="343"/>
        <v>1.9780752593112559E-4</v>
      </c>
      <c r="R944" s="5">
        <f t="shared" si="344"/>
        <v>9.3715885890179353E-3</v>
      </c>
      <c r="S944" s="5">
        <f t="shared" si="345"/>
        <v>-4.1550880374786637E-4</v>
      </c>
      <c r="T944" s="5">
        <f t="shared" si="346"/>
        <v>-2.6843312219432147E-2</v>
      </c>
      <c r="U944" s="5">
        <f t="shared" si="347"/>
        <v>-3.5310429088352323E-2</v>
      </c>
      <c r="V944" s="5">
        <f t="shared" si="348"/>
        <v>-1.5145455871847074E-2</v>
      </c>
      <c r="W944" s="5">
        <f t="shared" si="349"/>
        <v>9.1990614751519229E-4</v>
      </c>
      <c r="X944" s="5">
        <f t="shared" si="350"/>
        <v>-1.9167377709873708E-2</v>
      </c>
      <c r="Y944" s="5">
        <f t="shared" si="351"/>
        <v>-3.2761550675295244E-2</v>
      </c>
      <c r="Z944" s="33">
        <v>940</v>
      </c>
      <c r="AE944" s="20" t="str">
        <f t="shared" si="352"/>
        <v/>
      </c>
      <c r="AF944" s="22" t="str">
        <f t="shared" si="353"/>
        <v/>
      </c>
      <c r="AG944" s="9" t="str">
        <f t="shared" ca="1" si="332"/>
        <v/>
      </c>
      <c r="AH944" s="9" t="str">
        <f t="shared" ca="1" si="333"/>
        <v/>
      </c>
      <c r="AI944" s="9" t="str">
        <f t="shared" ca="1" si="334"/>
        <v/>
      </c>
      <c r="AJ944" s="9" t="str">
        <f t="shared" ca="1" si="335"/>
        <v/>
      </c>
      <c r="AK944" s="9" t="str">
        <f t="shared" ca="1" si="336"/>
        <v/>
      </c>
      <c r="AL944" s="9" t="str">
        <f t="shared" ca="1" si="337"/>
        <v/>
      </c>
      <c r="AM944" s="9" t="str">
        <f t="shared" ca="1" si="338"/>
        <v/>
      </c>
      <c r="AN944" s="9" t="str">
        <f t="shared" ca="1" si="339"/>
        <v/>
      </c>
      <c r="AO944" s="9" t="str">
        <f t="shared" ca="1" si="340"/>
        <v/>
      </c>
      <c r="AP944" s="9" t="str">
        <f t="shared" ca="1" si="341"/>
        <v/>
      </c>
      <c r="AQ944" s="9"/>
      <c r="AR944" s="9"/>
      <c r="AS944" s="9"/>
      <c r="AT944" s="9"/>
      <c r="AU944" s="9"/>
    </row>
    <row r="945" spans="1:47" x14ac:dyDescent="0.3">
      <c r="A945" s="1">
        <v>44831</v>
      </c>
      <c r="B945" s="6">
        <v>277.57000699999998</v>
      </c>
      <c r="C945" s="6">
        <v>306.08999599999999</v>
      </c>
      <c r="D945" s="6">
        <v>43.674999</v>
      </c>
      <c r="E945" s="6">
        <v>166.009995</v>
      </c>
      <c r="F945" s="6">
        <v>117.32</v>
      </c>
      <c r="G945" s="6">
        <v>40.549999</v>
      </c>
      <c r="H945" s="6">
        <v>116.66999800000001</v>
      </c>
      <c r="I945" s="6">
        <v>204.320007</v>
      </c>
      <c r="J945" s="6">
        <v>25.440000999999999</v>
      </c>
      <c r="K945" s="6">
        <v>11.32</v>
      </c>
      <c r="N945" s="19">
        <v>941</v>
      </c>
      <c r="O945" s="1">
        <v>44831</v>
      </c>
      <c r="P945" s="5">
        <f t="shared" si="342"/>
        <v>2.2001199151234097E-3</v>
      </c>
      <c r="Q945" s="5">
        <f t="shared" si="343"/>
        <v>9.0248878505441582E-3</v>
      </c>
      <c r="R945" s="5">
        <f t="shared" si="344"/>
        <v>-6.3905956804953656E-3</v>
      </c>
      <c r="S945" s="5">
        <f t="shared" si="345"/>
        <v>-1.459095465580598E-2</v>
      </c>
      <c r="T945" s="5">
        <f t="shared" si="346"/>
        <v>-1.186254373300066E-2</v>
      </c>
      <c r="U945" s="5">
        <f t="shared" si="347"/>
        <v>-8.5943560480011907E-3</v>
      </c>
      <c r="V945" s="5">
        <f t="shared" si="348"/>
        <v>-1.091136072577932E-2</v>
      </c>
      <c r="W945" s="5">
        <f t="shared" si="349"/>
        <v>-1.1290717404037904E-2</v>
      </c>
      <c r="X945" s="5">
        <f t="shared" si="350"/>
        <v>4.7281805041212545E-3</v>
      </c>
      <c r="Y945" s="5">
        <f t="shared" si="351"/>
        <v>-7.9190910989473343E-3</v>
      </c>
      <c r="Z945" s="33">
        <v>941</v>
      </c>
      <c r="AE945" s="20" t="str">
        <f t="shared" si="352"/>
        <v/>
      </c>
      <c r="AF945" s="22" t="str">
        <f t="shared" si="353"/>
        <v/>
      </c>
      <c r="AG945" s="9" t="str">
        <f t="shared" ca="1" si="332"/>
        <v/>
      </c>
      <c r="AH945" s="9" t="str">
        <f t="shared" ca="1" si="333"/>
        <v/>
      </c>
      <c r="AI945" s="9" t="str">
        <f t="shared" ca="1" si="334"/>
        <v/>
      </c>
      <c r="AJ945" s="9" t="str">
        <f t="shared" ca="1" si="335"/>
        <v/>
      </c>
      <c r="AK945" s="9" t="str">
        <f t="shared" ca="1" si="336"/>
        <v/>
      </c>
      <c r="AL945" s="9" t="str">
        <f t="shared" ca="1" si="337"/>
        <v/>
      </c>
      <c r="AM945" s="9" t="str">
        <f t="shared" ca="1" si="338"/>
        <v/>
      </c>
      <c r="AN945" s="9" t="str">
        <f t="shared" ca="1" si="339"/>
        <v/>
      </c>
      <c r="AO945" s="9" t="str">
        <f t="shared" ca="1" si="340"/>
        <v/>
      </c>
      <c r="AP945" s="9" t="str">
        <f t="shared" ca="1" si="341"/>
        <v/>
      </c>
      <c r="AQ945" s="9"/>
      <c r="AR945" s="9"/>
      <c r="AS945" s="9"/>
      <c r="AT945" s="9"/>
      <c r="AU945" s="9"/>
    </row>
    <row r="946" spans="1:47" x14ac:dyDescent="0.3">
      <c r="A946" s="1">
        <v>44832</v>
      </c>
      <c r="B946" s="6">
        <v>281.39999399999999</v>
      </c>
      <c r="C946" s="6">
        <v>313.16000400000001</v>
      </c>
      <c r="D946" s="6">
        <v>44.700001</v>
      </c>
      <c r="E946" s="6">
        <v>168.66999799999999</v>
      </c>
      <c r="F946" s="6">
        <v>120.360001</v>
      </c>
      <c r="G946" s="6">
        <v>41.700001</v>
      </c>
      <c r="H946" s="6">
        <v>119.82</v>
      </c>
      <c r="I946" s="6">
        <v>208.08000200000001</v>
      </c>
      <c r="J946" s="6">
        <v>26.209999</v>
      </c>
      <c r="K946" s="6">
        <v>11.79</v>
      </c>
      <c r="N946" s="18">
        <v>942</v>
      </c>
      <c r="O946" s="1">
        <v>44832</v>
      </c>
      <c r="P946" s="5">
        <f t="shared" si="342"/>
        <v>1.370394451097212E-2</v>
      </c>
      <c r="Q946" s="5">
        <f t="shared" si="343"/>
        <v>2.2835091525465364E-2</v>
      </c>
      <c r="R946" s="5">
        <f t="shared" si="344"/>
        <v>2.3197690867161381E-2</v>
      </c>
      <c r="S946" s="5">
        <f t="shared" si="345"/>
        <v>1.5896134025133134E-2</v>
      </c>
      <c r="T946" s="5">
        <f t="shared" si="346"/>
        <v>2.5582015961002198E-2</v>
      </c>
      <c r="U946" s="5">
        <f t="shared" si="347"/>
        <v>2.7965396885061652E-2</v>
      </c>
      <c r="V946" s="5">
        <f t="shared" si="348"/>
        <v>2.6641196962380639E-2</v>
      </c>
      <c r="W946" s="5">
        <f t="shared" si="349"/>
        <v>1.8235204207871041E-2</v>
      </c>
      <c r="X946" s="5">
        <f t="shared" si="350"/>
        <v>2.9818201401840948E-2</v>
      </c>
      <c r="Y946" s="5">
        <f t="shared" si="351"/>
        <v>4.0680641774242542E-2</v>
      </c>
      <c r="Z946" s="33">
        <v>942</v>
      </c>
      <c r="AE946" s="20" t="str">
        <f t="shared" si="352"/>
        <v/>
      </c>
      <c r="AF946" s="22" t="str">
        <f t="shared" si="353"/>
        <v/>
      </c>
      <c r="AG946" s="9" t="str">
        <f t="shared" ca="1" si="332"/>
        <v/>
      </c>
      <c r="AH946" s="9" t="str">
        <f t="shared" ca="1" si="333"/>
        <v/>
      </c>
      <c r="AI946" s="9" t="str">
        <f t="shared" ca="1" si="334"/>
        <v/>
      </c>
      <c r="AJ946" s="9" t="str">
        <f t="shared" ca="1" si="335"/>
        <v/>
      </c>
      <c r="AK946" s="9" t="str">
        <f t="shared" ca="1" si="336"/>
        <v/>
      </c>
      <c r="AL946" s="9" t="str">
        <f t="shared" ca="1" si="337"/>
        <v/>
      </c>
      <c r="AM946" s="9" t="str">
        <f t="shared" ca="1" si="338"/>
        <v/>
      </c>
      <c r="AN946" s="9" t="str">
        <f t="shared" ca="1" si="339"/>
        <v/>
      </c>
      <c r="AO946" s="9" t="str">
        <f t="shared" ca="1" si="340"/>
        <v/>
      </c>
      <c r="AP946" s="9" t="str">
        <f t="shared" ca="1" si="341"/>
        <v/>
      </c>
      <c r="AQ946" s="9"/>
      <c r="AR946" s="9"/>
      <c r="AS946" s="9"/>
      <c r="AT946" s="9"/>
      <c r="AU946" s="9"/>
    </row>
    <row r="947" spans="1:47" x14ac:dyDescent="0.3">
      <c r="A947" s="1">
        <v>44833</v>
      </c>
      <c r="B947" s="6">
        <v>278.25</v>
      </c>
      <c r="C947" s="6">
        <v>309.22000100000002</v>
      </c>
      <c r="D947" s="6">
        <v>44.005001</v>
      </c>
      <c r="E947" s="6">
        <v>166.61000100000001</v>
      </c>
      <c r="F947" s="6">
        <v>118.220001</v>
      </c>
      <c r="G947" s="6">
        <v>41.080002</v>
      </c>
      <c r="H947" s="6">
        <v>117.900002</v>
      </c>
      <c r="I947" s="6">
        <v>202.759995</v>
      </c>
      <c r="J947" s="6">
        <v>25.65</v>
      </c>
      <c r="K947" s="6">
        <v>11.66</v>
      </c>
      <c r="N947" s="19">
        <v>943</v>
      </c>
      <c r="O947" s="1">
        <v>44833</v>
      </c>
      <c r="P947" s="5">
        <f t="shared" si="342"/>
        <v>-1.1257133202672541E-2</v>
      </c>
      <c r="Q947" s="5">
        <f t="shared" si="343"/>
        <v>-1.2661253904344744E-2</v>
      </c>
      <c r="R947" s="5">
        <f t="shared" si="344"/>
        <v>-1.5670237440422383E-2</v>
      </c>
      <c r="S947" s="5">
        <f t="shared" si="345"/>
        <v>-1.2288373469431827E-2</v>
      </c>
      <c r="T947" s="5">
        <f t="shared" si="346"/>
        <v>-1.7939956215223589E-2</v>
      </c>
      <c r="U947" s="5">
        <f t="shared" si="347"/>
        <v>-1.4979719039722802E-2</v>
      </c>
      <c r="V947" s="5">
        <f t="shared" si="348"/>
        <v>-1.6153792148925289E-2</v>
      </c>
      <c r="W947" s="5">
        <f t="shared" si="349"/>
        <v>-2.589964180763174E-2</v>
      </c>
      <c r="X947" s="5">
        <f t="shared" si="350"/>
        <v>-2.1597407565159158E-2</v>
      </c>
      <c r="Y947" s="5">
        <f t="shared" si="351"/>
        <v>-1.108753362693317E-2</v>
      </c>
      <c r="Z947" s="33">
        <v>943</v>
      </c>
      <c r="AE947" s="20" t="str">
        <f t="shared" si="352"/>
        <v/>
      </c>
      <c r="AF947" s="22" t="str">
        <f t="shared" si="353"/>
        <v/>
      </c>
      <c r="AG947" s="9" t="str">
        <f t="shared" ca="1" si="332"/>
        <v/>
      </c>
      <c r="AH947" s="9" t="str">
        <f t="shared" ca="1" si="333"/>
        <v/>
      </c>
      <c r="AI947" s="9" t="str">
        <f t="shared" ca="1" si="334"/>
        <v/>
      </c>
      <c r="AJ947" s="9" t="str">
        <f t="shared" ca="1" si="335"/>
        <v/>
      </c>
      <c r="AK947" s="9" t="str">
        <f t="shared" ca="1" si="336"/>
        <v/>
      </c>
      <c r="AL947" s="9" t="str">
        <f t="shared" ca="1" si="337"/>
        <v/>
      </c>
      <c r="AM947" s="9" t="str">
        <f t="shared" ca="1" si="338"/>
        <v/>
      </c>
      <c r="AN947" s="9" t="str">
        <f t="shared" ca="1" si="339"/>
        <v/>
      </c>
      <c r="AO947" s="9" t="str">
        <f t="shared" ca="1" si="340"/>
        <v/>
      </c>
      <c r="AP947" s="9" t="str">
        <f t="shared" ca="1" si="341"/>
        <v/>
      </c>
      <c r="AQ947" s="9"/>
      <c r="AR947" s="9"/>
      <c r="AS947" s="9"/>
      <c r="AT947" s="9"/>
      <c r="AU947" s="9"/>
    </row>
    <row r="948" spans="1:47" x14ac:dyDescent="0.3">
      <c r="A948" s="1">
        <v>44834</v>
      </c>
      <c r="B948" s="6">
        <v>275.20001200000002</v>
      </c>
      <c r="C948" s="6">
        <v>305.51001000000002</v>
      </c>
      <c r="D948" s="6">
        <v>43.48</v>
      </c>
      <c r="E948" s="6">
        <v>163.259995</v>
      </c>
      <c r="F948" s="6">
        <v>119.449997</v>
      </c>
      <c r="G948" s="6">
        <v>41.709999000000003</v>
      </c>
      <c r="H948" s="6">
        <v>116.58000199999999</v>
      </c>
      <c r="I948" s="6">
        <v>201.35000600000001</v>
      </c>
      <c r="J948" s="6">
        <v>25.6</v>
      </c>
      <c r="K948" s="6">
        <v>11.5</v>
      </c>
      <c r="N948" s="18">
        <v>944</v>
      </c>
      <c r="O948" s="1">
        <v>44834</v>
      </c>
      <c r="P948" s="5">
        <f t="shared" si="342"/>
        <v>-1.1021840491815385E-2</v>
      </c>
      <c r="Q948" s="5">
        <f t="shared" si="343"/>
        <v>-1.2070456876087463E-2</v>
      </c>
      <c r="R948" s="5">
        <f t="shared" si="344"/>
        <v>-1.200222429745652E-2</v>
      </c>
      <c r="S948" s="5">
        <f t="shared" si="345"/>
        <v>-2.0311766545803994E-2</v>
      </c>
      <c r="T948" s="5">
        <f t="shared" si="346"/>
        <v>1.0350544801678322E-2</v>
      </c>
      <c r="U948" s="5">
        <f t="shared" si="347"/>
        <v>1.5219450487939797E-2</v>
      </c>
      <c r="V948" s="5">
        <f t="shared" si="348"/>
        <v>-1.1259074733848667E-2</v>
      </c>
      <c r="W948" s="5">
        <f t="shared" si="349"/>
        <v>-6.9782718481316008E-3</v>
      </c>
      <c r="X948" s="5">
        <f t="shared" si="350"/>
        <v>-1.9512201312616936E-3</v>
      </c>
      <c r="Y948" s="5">
        <f t="shared" si="351"/>
        <v>-1.3817145553141955E-2</v>
      </c>
      <c r="Z948" s="33">
        <v>944</v>
      </c>
      <c r="AE948" s="20" t="str">
        <f t="shared" si="352"/>
        <v/>
      </c>
      <c r="AF948" s="22" t="str">
        <f t="shared" si="353"/>
        <v/>
      </c>
      <c r="AG948" s="9" t="str">
        <f t="shared" ca="1" si="332"/>
        <v/>
      </c>
      <c r="AH948" s="9" t="str">
        <f t="shared" ca="1" si="333"/>
        <v/>
      </c>
      <c r="AI948" s="9" t="str">
        <f t="shared" ca="1" si="334"/>
        <v/>
      </c>
      <c r="AJ948" s="9" t="str">
        <f t="shared" ca="1" si="335"/>
        <v/>
      </c>
      <c r="AK948" s="9" t="str">
        <f t="shared" ca="1" si="336"/>
        <v/>
      </c>
      <c r="AL948" s="9" t="str">
        <f t="shared" ca="1" si="337"/>
        <v/>
      </c>
      <c r="AM948" s="9" t="str">
        <f t="shared" ca="1" si="338"/>
        <v/>
      </c>
      <c r="AN948" s="9" t="str">
        <f t="shared" ca="1" si="339"/>
        <v/>
      </c>
      <c r="AO948" s="9" t="str">
        <f t="shared" ca="1" si="340"/>
        <v/>
      </c>
      <c r="AP948" s="9" t="str">
        <f t="shared" ca="1" si="341"/>
        <v/>
      </c>
      <c r="AQ948" s="9"/>
      <c r="AR948" s="9"/>
      <c r="AS948" s="9"/>
      <c r="AT948" s="9"/>
      <c r="AU948" s="9"/>
    </row>
    <row r="949" spans="1:47" x14ac:dyDescent="0.3">
      <c r="A949" s="1">
        <v>44837</v>
      </c>
      <c r="B949" s="6">
        <v>285.23998999999998</v>
      </c>
      <c r="C949" s="6">
        <v>316.98001099999999</v>
      </c>
      <c r="D949" s="6">
        <v>44.534999999999997</v>
      </c>
      <c r="E949" s="6">
        <v>165.25</v>
      </c>
      <c r="F949" s="6">
        <v>122.120003</v>
      </c>
      <c r="G949" s="6">
        <v>42.16</v>
      </c>
      <c r="H949" s="6">
        <v>120.089996</v>
      </c>
      <c r="I949" s="6">
        <v>206.96000699999999</v>
      </c>
      <c r="J949" s="6">
        <v>26.1</v>
      </c>
      <c r="K949" s="6">
        <v>11.95</v>
      </c>
      <c r="N949" s="19">
        <v>945</v>
      </c>
      <c r="O949" s="1">
        <v>44837</v>
      </c>
      <c r="P949" s="5">
        <f t="shared" si="342"/>
        <v>3.583274643806663E-2</v>
      </c>
      <c r="Q949" s="5">
        <f t="shared" si="343"/>
        <v>3.6856171074478992E-2</v>
      </c>
      <c r="R949" s="5">
        <f t="shared" si="344"/>
        <v>2.3974334630824011E-2</v>
      </c>
      <c r="S949" s="5">
        <f t="shared" si="345"/>
        <v>1.2115487334581508E-2</v>
      </c>
      <c r="T949" s="5">
        <f t="shared" si="346"/>
        <v>2.2106343775970067E-2</v>
      </c>
      <c r="U949" s="5">
        <f t="shared" si="347"/>
        <v>1.0731019999318992E-2</v>
      </c>
      <c r="V949" s="5">
        <f t="shared" si="348"/>
        <v>2.966367859123448E-2</v>
      </c>
      <c r="W949" s="5">
        <f t="shared" si="349"/>
        <v>2.7480854604413584E-2</v>
      </c>
      <c r="X949" s="5">
        <f t="shared" si="350"/>
        <v>1.9342962843130935E-2</v>
      </c>
      <c r="Y949" s="5">
        <f t="shared" si="351"/>
        <v>3.8384243008315291E-2</v>
      </c>
      <c r="Z949" s="33">
        <v>945</v>
      </c>
      <c r="AE949" s="20" t="str">
        <f t="shared" si="352"/>
        <v/>
      </c>
      <c r="AF949" s="22" t="str">
        <f t="shared" si="353"/>
        <v/>
      </c>
      <c r="AG949" s="9" t="str">
        <f t="shared" ca="1" si="332"/>
        <v/>
      </c>
      <c r="AH949" s="9" t="str">
        <f t="shared" ca="1" si="333"/>
        <v/>
      </c>
      <c r="AI949" s="9" t="str">
        <f t="shared" ca="1" si="334"/>
        <v/>
      </c>
      <c r="AJ949" s="9" t="str">
        <f t="shared" ca="1" si="335"/>
        <v/>
      </c>
      <c r="AK949" s="9" t="str">
        <f t="shared" ca="1" si="336"/>
        <v/>
      </c>
      <c r="AL949" s="9" t="str">
        <f t="shared" ca="1" si="337"/>
        <v/>
      </c>
      <c r="AM949" s="9" t="str">
        <f t="shared" ca="1" si="338"/>
        <v/>
      </c>
      <c r="AN949" s="9" t="str">
        <f t="shared" ca="1" si="339"/>
        <v/>
      </c>
      <c r="AO949" s="9" t="str">
        <f t="shared" ca="1" si="340"/>
        <v/>
      </c>
      <c r="AP949" s="9" t="str">
        <f t="shared" ca="1" si="341"/>
        <v/>
      </c>
      <c r="AQ949" s="9"/>
      <c r="AR949" s="9"/>
      <c r="AS949" s="9"/>
      <c r="AT949" s="9"/>
      <c r="AU949" s="9"/>
    </row>
    <row r="950" spans="1:47" x14ac:dyDescent="0.3">
      <c r="A950" s="1">
        <v>44838</v>
      </c>
      <c r="B950" s="6">
        <v>294.97000100000002</v>
      </c>
      <c r="C950" s="6">
        <v>321.70001200000002</v>
      </c>
      <c r="D950" s="6">
        <v>45.825001</v>
      </c>
      <c r="E950" s="6">
        <v>167.11000100000001</v>
      </c>
      <c r="F950" s="6">
        <v>123.139999</v>
      </c>
      <c r="G950" s="6">
        <v>42.389999000000003</v>
      </c>
      <c r="H950" s="6">
        <v>124.41999800000001</v>
      </c>
      <c r="I950" s="6">
        <v>214.41999799999999</v>
      </c>
      <c r="J950" s="6">
        <v>27.190000999999999</v>
      </c>
      <c r="K950" s="6">
        <v>12.36</v>
      </c>
      <c r="N950" s="18">
        <v>946</v>
      </c>
      <c r="O950" s="1">
        <v>44838</v>
      </c>
      <c r="P950" s="5">
        <f t="shared" si="342"/>
        <v>3.3542763541556844E-2</v>
      </c>
      <c r="Q950" s="5">
        <f t="shared" si="343"/>
        <v>1.4780756440030303E-2</v>
      </c>
      <c r="R950" s="5">
        <f t="shared" si="344"/>
        <v>2.8554418664085313E-2</v>
      </c>
      <c r="S950" s="5">
        <f t="shared" si="345"/>
        <v>1.119280546757803E-2</v>
      </c>
      <c r="T950" s="5">
        <f t="shared" si="346"/>
        <v>8.3177189295486759E-3</v>
      </c>
      <c r="U950" s="5">
        <f t="shared" si="347"/>
        <v>5.4405575409693019E-3</v>
      </c>
      <c r="V950" s="5">
        <f t="shared" si="348"/>
        <v>3.5421494648048168E-2</v>
      </c>
      <c r="W950" s="5">
        <f t="shared" si="349"/>
        <v>3.5411127399871442E-2</v>
      </c>
      <c r="X950" s="5">
        <f t="shared" si="350"/>
        <v>4.0913981093958045E-2</v>
      </c>
      <c r="Y950" s="5">
        <f t="shared" si="351"/>
        <v>3.373417365202503E-2</v>
      </c>
      <c r="Z950" s="33">
        <v>946</v>
      </c>
      <c r="AE950" s="20" t="str">
        <f t="shared" si="352"/>
        <v/>
      </c>
      <c r="AF950" s="22" t="str">
        <f t="shared" si="353"/>
        <v/>
      </c>
      <c r="AG950" s="9" t="str">
        <f t="shared" ca="1" si="332"/>
        <v/>
      </c>
      <c r="AH950" s="9" t="str">
        <f t="shared" ca="1" si="333"/>
        <v/>
      </c>
      <c r="AI950" s="9" t="str">
        <f t="shared" ca="1" si="334"/>
        <v/>
      </c>
      <c r="AJ950" s="9" t="str">
        <f t="shared" ca="1" si="335"/>
        <v/>
      </c>
      <c r="AK950" s="9" t="str">
        <f t="shared" ca="1" si="336"/>
        <v/>
      </c>
      <c r="AL950" s="9" t="str">
        <f t="shared" ca="1" si="337"/>
        <v/>
      </c>
      <c r="AM950" s="9" t="str">
        <f t="shared" ca="1" si="338"/>
        <v/>
      </c>
      <c r="AN950" s="9" t="str">
        <f t="shared" ca="1" si="339"/>
        <v/>
      </c>
      <c r="AO950" s="9" t="str">
        <f t="shared" ca="1" si="340"/>
        <v/>
      </c>
      <c r="AP950" s="9" t="str">
        <f t="shared" ca="1" si="341"/>
        <v/>
      </c>
      <c r="AQ950" s="9"/>
      <c r="AR950" s="9"/>
      <c r="AS950" s="9"/>
      <c r="AT950" s="9"/>
      <c r="AU950" s="9"/>
    </row>
    <row r="951" spans="1:47" x14ac:dyDescent="0.3">
      <c r="A951" s="1">
        <v>44839</v>
      </c>
      <c r="B951" s="6">
        <v>297.38000499999998</v>
      </c>
      <c r="C951" s="6">
        <v>321.36999500000002</v>
      </c>
      <c r="D951" s="6">
        <v>46.09</v>
      </c>
      <c r="E951" s="6">
        <v>166</v>
      </c>
      <c r="F951" s="6">
        <v>119.41999800000001</v>
      </c>
      <c r="G951" s="6">
        <v>41.080002</v>
      </c>
      <c r="H951" s="6">
        <v>124.08000199999999</v>
      </c>
      <c r="I951" s="6">
        <v>214</v>
      </c>
      <c r="J951" s="6">
        <v>27.24</v>
      </c>
      <c r="K951" s="6">
        <v>12.22</v>
      </c>
      <c r="N951" s="19">
        <v>947</v>
      </c>
      <c r="O951" s="1">
        <v>44839</v>
      </c>
      <c r="P951" s="5">
        <f t="shared" si="342"/>
        <v>8.1371394391191627E-3</v>
      </c>
      <c r="Q951" s="5">
        <f t="shared" si="343"/>
        <v>-1.0263797887606991E-3</v>
      </c>
      <c r="R951" s="5">
        <f t="shared" si="344"/>
        <v>5.7661911844991143E-3</v>
      </c>
      <c r="S951" s="5">
        <f t="shared" si="345"/>
        <v>-6.6644958428304282E-3</v>
      </c>
      <c r="T951" s="5">
        <f t="shared" si="346"/>
        <v>-3.0675236990993192E-2</v>
      </c>
      <c r="U951" s="5">
        <f t="shared" si="347"/>
        <v>-3.1391028028228074E-2</v>
      </c>
      <c r="V951" s="5">
        <f t="shared" si="348"/>
        <v>-2.7363880253711897E-3</v>
      </c>
      <c r="W951" s="5">
        <f t="shared" si="349"/>
        <v>-1.9606840787540782E-3</v>
      </c>
      <c r="X951" s="5">
        <f t="shared" si="350"/>
        <v>1.8371858587056804E-3</v>
      </c>
      <c r="Y951" s="5">
        <f t="shared" si="351"/>
        <v>-1.139149828609537E-2</v>
      </c>
      <c r="Z951" s="33">
        <v>947</v>
      </c>
      <c r="AE951" s="20" t="str">
        <f t="shared" si="352"/>
        <v/>
      </c>
      <c r="AF951" s="22" t="str">
        <f t="shared" si="353"/>
        <v/>
      </c>
      <c r="AG951" s="9" t="str">
        <f t="shared" ca="1" si="332"/>
        <v/>
      </c>
      <c r="AH951" s="9" t="str">
        <f t="shared" ca="1" si="333"/>
        <v/>
      </c>
      <c r="AI951" s="9" t="str">
        <f t="shared" ca="1" si="334"/>
        <v/>
      </c>
      <c r="AJ951" s="9" t="str">
        <f t="shared" ca="1" si="335"/>
        <v/>
      </c>
      <c r="AK951" s="9" t="str">
        <f t="shared" ca="1" si="336"/>
        <v/>
      </c>
      <c r="AL951" s="9" t="str">
        <f t="shared" ca="1" si="337"/>
        <v/>
      </c>
      <c r="AM951" s="9" t="str">
        <f t="shared" ca="1" si="338"/>
        <v/>
      </c>
      <c r="AN951" s="9" t="str">
        <f t="shared" ca="1" si="339"/>
        <v/>
      </c>
      <c r="AO951" s="9" t="str">
        <f t="shared" ca="1" si="340"/>
        <v/>
      </c>
      <c r="AP951" s="9" t="str">
        <f t="shared" ca="1" si="341"/>
        <v/>
      </c>
      <c r="AQ951" s="9"/>
      <c r="AR951" s="9"/>
      <c r="AS951" s="9"/>
      <c r="AT951" s="9"/>
      <c r="AU951" s="9"/>
    </row>
    <row r="952" spans="1:47" x14ac:dyDescent="0.3">
      <c r="A952" s="1">
        <v>44840</v>
      </c>
      <c r="B952" s="6">
        <v>298.41000400000001</v>
      </c>
      <c r="C952" s="6">
        <v>321.92999300000002</v>
      </c>
      <c r="D952" s="6">
        <v>45.869999</v>
      </c>
      <c r="E952" s="6">
        <v>162.800003</v>
      </c>
      <c r="F952" s="6">
        <v>116.370003</v>
      </c>
      <c r="G952" s="6">
        <v>39.790000999999997</v>
      </c>
      <c r="H952" s="6">
        <v>123.5</v>
      </c>
      <c r="I952" s="6">
        <v>213.80999800000001</v>
      </c>
      <c r="J952" s="6">
        <v>26.93</v>
      </c>
      <c r="K952" s="6">
        <v>12.49</v>
      </c>
      <c r="N952" s="18">
        <v>948</v>
      </c>
      <c r="O952" s="1">
        <v>44840</v>
      </c>
      <c r="P952" s="5">
        <f t="shared" si="342"/>
        <v>3.4575941542270526E-3</v>
      </c>
      <c r="Q952" s="5">
        <f t="shared" si="343"/>
        <v>1.7410171052349357E-3</v>
      </c>
      <c r="R952" s="5">
        <f t="shared" si="344"/>
        <v>-4.7847199240777776E-3</v>
      </c>
      <c r="S952" s="5">
        <f t="shared" si="345"/>
        <v>-1.9465316360585027E-2</v>
      </c>
      <c r="T952" s="5">
        <f t="shared" si="346"/>
        <v>-2.5871878471407501E-2</v>
      </c>
      <c r="U952" s="5">
        <f t="shared" si="347"/>
        <v>-3.1905784175068445E-2</v>
      </c>
      <c r="V952" s="5">
        <f t="shared" si="348"/>
        <v>-4.6853789188844143E-3</v>
      </c>
      <c r="W952" s="5">
        <f t="shared" si="349"/>
        <v>-8.8825419406184081E-4</v>
      </c>
      <c r="X952" s="5">
        <f t="shared" si="350"/>
        <v>-1.1445574457803998E-2</v>
      </c>
      <c r="Y952" s="5">
        <f t="shared" si="351"/>
        <v>2.1854370394037002E-2</v>
      </c>
      <c r="Z952" s="33">
        <v>948</v>
      </c>
      <c r="AE952" s="20" t="str">
        <f t="shared" si="352"/>
        <v/>
      </c>
      <c r="AF952" s="22" t="str">
        <f t="shared" si="353"/>
        <v/>
      </c>
      <c r="AG952" s="9" t="str">
        <f t="shared" ca="1" si="332"/>
        <v/>
      </c>
      <c r="AH952" s="9" t="str">
        <f t="shared" ca="1" si="333"/>
        <v/>
      </c>
      <c r="AI952" s="9" t="str">
        <f t="shared" ca="1" si="334"/>
        <v/>
      </c>
      <c r="AJ952" s="9" t="str">
        <f t="shared" ca="1" si="335"/>
        <v/>
      </c>
      <c r="AK952" s="9" t="str">
        <f t="shared" ca="1" si="336"/>
        <v/>
      </c>
      <c r="AL952" s="9" t="str">
        <f t="shared" ca="1" si="337"/>
        <v/>
      </c>
      <c r="AM952" s="9" t="str">
        <f t="shared" ca="1" si="338"/>
        <v/>
      </c>
      <c r="AN952" s="9" t="str">
        <f t="shared" ca="1" si="339"/>
        <v/>
      </c>
      <c r="AO952" s="9" t="str">
        <f t="shared" ca="1" si="340"/>
        <v/>
      </c>
      <c r="AP952" s="9" t="str">
        <f t="shared" ca="1" si="341"/>
        <v/>
      </c>
      <c r="AQ952" s="9"/>
      <c r="AR952" s="9"/>
      <c r="AS952" s="9"/>
      <c r="AT952" s="9"/>
      <c r="AU952" s="9"/>
    </row>
    <row r="953" spans="1:47" x14ac:dyDescent="0.3">
      <c r="A953" s="1">
        <v>44841</v>
      </c>
      <c r="B953" s="6">
        <v>288.76998900000001</v>
      </c>
      <c r="C953" s="6">
        <v>307.01001000000002</v>
      </c>
      <c r="D953" s="6">
        <v>45.145000000000003</v>
      </c>
      <c r="E953" s="6">
        <v>161.61000100000001</v>
      </c>
      <c r="F953" s="6">
        <v>113</v>
      </c>
      <c r="G953" s="6">
        <v>38.040000999999997</v>
      </c>
      <c r="H953" s="6">
        <v>120.720001</v>
      </c>
      <c r="I953" s="6">
        <v>209.550003</v>
      </c>
      <c r="J953" s="6">
        <v>26.469999000000001</v>
      </c>
      <c r="K953" s="6">
        <v>11.98</v>
      </c>
      <c r="N953" s="19">
        <v>949</v>
      </c>
      <c r="O953" s="1">
        <v>44841</v>
      </c>
      <c r="P953" s="5">
        <f t="shared" si="342"/>
        <v>-3.2837907822786672E-2</v>
      </c>
      <c r="Q953" s="5">
        <f t="shared" si="343"/>
        <v>-4.7453755944458456E-2</v>
      </c>
      <c r="R953" s="5">
        <f t="shared" si="344"/>
        <v>-1.5931755048896608E-2</v>
      </c>
      <c r="S953" s="5">
        <f t="shared" si="345"/>
        <v>-7.3364404476701792E-3</v>
      </c>
      <c r="T953" s="5">
        <f t="shared" si="346"/>
        <v>-2.9386977187484765E-2</v>
      </c>
      <c r="U953" s="5">
        <f t="shared" si="347"/>
        <v>-4.4977385605472653E-2</v>
      </c>
      <c r="V953" s="5">
        <f t="shared" si="348"/>
        <v>-2.276733332480697E-2</v>
      </c>
      <c r="W953" s="5">
        <f t="shared" si="349"/>
        <v>-2.0125372140316889E-2</v>
      </c>
      <c r="X953" s="5">
        <f t="shared" si="350"/>
        <v>-1.7228928363115625E-2</v>
      </c>
      <c r="Y953" s="5">
        <f t="shared" si="351"/>
        <v>-4.1689731450182947E-2</v>
      </c>
      <c r="Z953" s="33">
        <v>949</v>
      </c>
      <c r="AE953" s="20" t="str">
        <f t="shared" si="352"/>
        <v/>
      </c>
      <c r="AF953" s="22" t="str">
        <f t="shared" si="353"/>
        <v/>
      </c>
      <c r="AG953" s="9" t="str">
        <f t="shared" ca="1" si="332"/>
        <v/>
      </c>
      <c r="AH953" s="9" t="str">
        <f t="shared" ca="1" si="333"/>
        <v/>
      </c>
      <c r="AI953" s="9" t="str">
        <f t="shared" ca="1" si="334"/>
        <v/>
      </c>
      <c r="AJ953" s="9" t="str">
        <f t="shared" ca="1" si="335"/>
        <v/>
      </c>
      <c r="AK953" s="9" t="str">
        <f t="shared" ca="1" si="336"/>
        <v/>
      </c>
      <c r="AL953" s="9" t="str">
        <f t="shared" ca="1" si="337"/>
        <v/>
      </c>
      <c r="AM953" s="9" t="str">
        <f t="shared" ca="1" si="338"/>
        <v/>
      </c>
      <c r="AN953" s="9" t="str">
        <f t="shared" ca="1" si="339"/>
        <v/>
      </c>
      <c r="AO953" s="9" t="str">
        <f t="shared" ca="1" si="340"/>
        <v/>
      </c>
      <c r="AP953" s="9" t="str">
        <f t="shared" ca="1" si="341"/>
        <v/>
      </c>
      <c r="AQ953" s="9"/>
      <c r="AR953" s="9"/>
      <c r="AS953" s="9"/>
      <c r="AT953" s="9"/>
      <c r="AU953" s="9"/>
    </row>
    <row r="954" spans="1:47" x14ac:dyDescent="0.3">
      <c r="A954" s="1">
        <v>44844</v>
      </c>
      <c r="B954" s="6">
        <v>285.72000100000002</v>
      </c>
      <c r="C954" s="6">
        <v>292.98001099999999</v>
      </c>
      <c r="D954" s="6">
        <v>45.509998000000003</v>
      </c>
      <c r="E954" s="6">
        <v>161.820007</v>
      </c>
      <c r="F954" s="6">
        <v>111.980003</v>
      </c>
      <c r="G954" s="6">
        <v>37.840000000000003</v>
      </c>
      <c r="H954" s="6">
        <v>120.620003</v>
      </c>
      <c r="I954" s="6">
        <v>209.28999300000001</v>
      </c>
      <c r="J954" s="6">
        <v>26.389999</v>
      </c>
      <c r="K954" s="6">
        <v>12.02</v>
      </c>
      <c r="N954" s="18">
        <v>950</v>
      </c>
      <c r="O954" s="1">
        <v>44844</v>
      </c>
      <c r="P954" s="5">
        <f t="shared" si="342"/>
        <v>-1.0618171627320379E-2</v>
      </c>
      <c r="Q954" s="5">
        <f t="shared" si="343"/>
        <v>-4.6775968071981769E-2</v>
      </c>
      <c r="R954" s="5">
        <f t="shared" si="344"/>
        <v>8.0525063227216871E-3</v>
      </c>
      <c r="S954" s="5">
        <f t="shared" si="345"/>
        <v>1.2986180893455311E-3</v>
      </c>
      <c r="T954" s="5">
        <f t="shared" si="346"/>
        <v>-9.0675080010954676E-3</v>
      </c>
      <c r="U954" s="5">
        <f t="shared" si="347"/>
        <v>-5.2715197816292731E-3</v>
      </c>
      <c r="V954" s="5">
        <f t="shared" si="348"/>
        <v>-8.2868984888728714E-4</v>
      </c>
      <c r="W954" s="5">
        <f t="shared" si="349"/>
        <v>-1.241572132000853E-3</v>
      </c>
      <c r="X954" s="5">
        <f t="shared" si="350"/>
        <v>-3.0268658383013529E-3</v>
      </c>
      <c r="Y954" s="5">
        <f t="shared" si="351"/>
        <v>3.333336419758217E-3</v>
      </c>
      <c r="Z954" s="33">
        <v>950</v>
      </c>
      <c r="AE954" s="20" t="str">
        <f t="shared" si="352"/>
        <v/>
      </c>
      <c r="AF954" s="22" t="str">
        <f t="shared" si="353"/>
        <v/>
      </c>
      <c r="AG954" s="9" t="str">
        <f t="shared" ca="1" si="332"/>
        <v/>
      </c>
      <c r="AH954" s="9" t="str">
        <f t="shared" ca="1" si="333"/>
        <v/>
      </c>
      <c r="AI954" s="9" t="str">
        <f t="shared" ca="1" si="334"/>
        <v/>
      </c>
      <c r="AJ954" s="9" t="str">
        <f t="shared" ca="1" si="335"/>
        <v/>
      </c>
      <c r="AK954" s="9" t="str">
        <f t="shared" ca="1" si="336"/>
        <v/>
      </c>
      <c r="AL954" s="9" t="str">
        <f t="shared" ca="1" si="337"/>
        <v/>
      </c>
      <c r="AM954" s="9" t="str">
        <f t="shared" ca="1" si="338"/>
        <v/>
      </c>
      <c r="AN954" s="9" t="str">
        <f t="shared" ca="1" si="339"/>
        <v/>
      </c>
      <c r="AO954" s="9" t="str">
        <f t="shared" ca="1" si="340"/>
        <v/>
      </c>
      <c r="AP954" s="9" t="str">
        <f t="shared" ca="1" si="341"/>
        <v/>
      </c>
      <c r="AQ954" s="9"/>
      <c r="AR954" s="9"/>
      <c r="AS954" s="9"/>
      <c r="AT954" s="9"/>
      <c r="AU954" s="9"/>
    </row>
    <row r="955" spans="1:47" x14ac:dyDescent="0.3">
      <c r="A955" s="1">
        <v>44845</v>
      </c>
      <c r="B955" s="6">
        <v>284.82998700000002</v>
      </c>
      <c r="C955" s="6">
        <v>277.33999599999999</v>
      </c>
      <c r="D955" s="6">
        <v>44.73</v>
      </c>
      <c r="E955" s="6">
        <v>162.58999600000001</v>
      </c>
      <c r="F955" s="6">
        <v>113.459999</v>
      </c>
      <c r="G955" s="6">
        <v>38.560001</v>
      </c>
      <c r="H955" s="6">
        <v>119.57</v>
      </c>
      <c r="I955" s="6">
        <v>209.03999300000001</v>
      </c>
      <c r="J955" s="6">
        <v>26.17</v>
      </c>
      <c r="K955" s="6">
        <v>11.6</v>
      </c>
      <c r="N955" s="19">
        <v>951</v>
      </c>
      <c r="O955" s="1">
        <v>44845</v>
      </c>
      <c r="P955" s="5">
        <f t="shared" si="342"/>
        <v>-3.1198483590506396E-3</v>
      </c>
      <c r="Q955" s="5">
        <f t="shared" si="343"/>
        <v>-5.4860208943860254E-2</v>
      </c>
      <c r="R955" s="5">
        <f t="shared" si="344"/>
        <v>-1.7287620637407623E-2</v>
      </c>
      <c r="S955" s="5">
        <f t="shared" si="345"/>
        <v>4.7470203680707408E-3</v>
      </c>
      <c r="T955" s="5">
        <f t="shared" si="346"/>
        <v>1.3130032373497112E-2</v>
      </c>
      <c r="U955" s="5">
        <f t="shared" si="347"/>
        <v>1.8848751492276852E-2</v>
      </c>
      <c r="V955" s="5">
        <f t="shared" si="348"/>
        <v>-8.7431589628490774E-3</v>
      </c>
      <c r="W955" s="5">
        <f t="shared" si="349"/>
        <v>-1.1952288295294198E-3</v>
      </c>
      <c r="X955" s="5">
        <f t="shared" si="350"/>
        <v>-8.371396080036125E-3</v>
      </c>
      <c r="Y955" s="5">
        <f t="shared" si="351"/>
        <v>-3.5566830994742525E-2</v>
      </c>
      <c r="Z955" s="33">
        <v>951</v>
      </c>
      <c r="AE955" s="20" t="str">
        <f t="shared" si="352"/>
        <v/>
      </c>
      <c r="AF955" s="22" t="str">
        <f t="shared" si="353"/>
        <v/>
      </c>
      <c r="AG955" s="9" t="str">
        <f t="shared" ca="1" si="332"/>
        <v/>
      </c>
      <c r="AH955" s="9" t="str">
        <f t="shared" ca="1" si="333"/>
        <v/>
      </c>
      <c r="AI955" s="9" t="str">
        <f t="shared" ca="1" si="334"/>
        <v/>
      </c>
      <c r="AJ955" s="9" t="str">
        <f t="shared" ca="1" si="335"/>
        <v/>
      </c>
      <c r="AK955" s="9" t="str">
        <f t="shared" ca="1" si="336"/>
        <v/>
      </c>
      <c r="AL955" s="9" t="str">
        <f t="shared" ca="1" si="337"/>
        <v/>
      </c>
      <c r="AM955" s="9" t="str">
        <f t="shared" ca="1" si="338"/>
        <v/>
      </c>
      <c r="AN955" s="9" t="str">
        <f t="shared" ca="1" si="339"/>
        <v/>
      </c>
      <c r="AO955" s="9" t="str">
        <f t="shared" ca="1" si="340"/>
        <v/>
      </c>
      <c r="AP955" s="9" t="str">
        <f t="shared" ca="1" si="341"/>
        <v/>
      </c>
      <c r="AQ955" s="9"/>
      <c r="AR955" s="9"/>
      <c r="AS955" s="9"/>
      <c r="AT955" s="9"/>
      <c r="AU955" s="9"/>
    </row>
    <row r="956" spans="1:47" x14ac:dyDescent="0.3">
      <c r="A956" s="1">
        <v>44846</v>
      </c>
      <c r="B956" s="6">
        <v>286.14999399999999</v>
      </c>
      <c r="C956" s="6">
        <v>276.19000199999999</v>
      </c>
      <c r="D956" s="6">
        <v>44.784999999999997</v>
      </c>
      <c r="E956" s="6">
        <v>169.38999899999999</v>
      </c>
      <c r="F956" s="6">
        <v>112.139999</v>
      </c>
      <c r="G956" s="6">
        <v>38.159999999999997</v>
      </c>
      <c r="H956" s="6">
        <v>117.370003</v>
      </c>
      <c r="I956" s="6">
        <v>207.78999300000001</v>
      </c>
      <c r="J956" s="6">
        <v>26.49</v>
      </c>
      <c r="K956" s="6">
        <v>11.66</v>
      </c>
      <c r="N956" s="18">
        <v>952</v>
      </c>
      <c r="O956" s="1">
        <v>44846</v>
      </c>
      <c r="P956" s="5">
        <f t="shared" si="342"/>
        <v>4.6236624594361373E-3</v>
      </c>
      <c r="Q956" s="5">
        <f t="shared" si="343"/>
        <v>-4.1551339899257344E-3</v>
      </c>
      <c r="R956" s="5">
        <f t="shared" si="344"/>
        <v>1.2288444824018895E-3</v>
      </c>
      <c r="S956" s="5">
        <f t="shared" si="345"/>
        <v>4.0972072689049822E-2</v>
      </c>
      <c r="T956" s="5">
        <f t="shared" si="346"/>
        <v>-1.1702261306640387E-2</v>
      </c>
      <c r="U956" s="5">
        <f t="shared" si="347"/>
        <v>-1.0427649095868796E-2</v>
      </c>
      <c r="V956" s="5">
        <f t="shared" si="348"/>
        <v>-1.8570610259262144E-2</v>
      </c>
      <c r="W956" s="5">
        <f t="shared" si="349"/>
        <v>-5.9976671020122215E-3</v>
      </c>
      <c r="X956" s="5">
        <f t="shared" si="350"/>
        <v>1.2153586741923713E-2</v>
      </c>
      <c r="Y956" s="5">
        <f t="shared" si="351"/>
        <v>5.1590828100274233E-3</v>
      </c>
      <c r="Z956" s="33">
        <v>952</v>
      </c>
      <c r="AE956" s="20" t="str">
        <f t="shared" si="352"/>
        <v/>
      </c>
      <c r="AF956" s="22" t="str">
        <f t="shared" si="353"/>
        <v/>
      </c>
      <c r="AG956" s="9" t="str">
        <f t="shared" ca="1" si="332"/>
        <v/>
      </c>
      <c r="AH956" s="9" t="str">
        <f t="shared" ca="1" si="333"/>
        <v/>
      </c>
      <c r="AI956" s="9" t="str">
        <f t="shared" ca="1" si="334"/>
        <v/>
      </c>
      <c r="AJ956" s="9" t="str">
        <f t="shared" ca="1" si="335"/>
        <v/>
      </c>
      <c r="AK956" s="9" t="str">
        <f t="shared" ca="1" si="336"/>
        <v/>
      </c>
      <c r="AL956" s="9" t="str">
        <f t="shared" ca="1" si="337"/>
        <v/>
      </c>
      <c r="AM956" s="9" t="str">
        <f t="shared" ca="1" si="338"/>
        <v/>
      </c>
      <c r="AN956" s="9" t="str">
        <f t="shared" ca="1" si="339"/>
        <v/>
      </c>
      <c r="AO956" s="9" t="str">
        <f t="shared" ca="1" si="340"/>
        <v/>
      </c>
      <c r="AP956" s="9" t="str">
        <f t="shared" ca="1" si="341"/>
        <v/>
      </c>
      <c r="AQ956" s="9"/>
      <c r="AR956" s="9"/>
      <c r="AS956" s="9"/>
      <c r="AT956" s="9"/>
      <c r="AU956" s="9"/>
    </row>
    <row r="957" spans="1:47" x14ac:dyDescent="0.3">
      <c r="A957" s="1">
        <v>44847</v>
      </c>
      <c r="B957" s="6">
        <v>294.73998999999998</v>
      </c>
      <c r="C957" s="6">
        <v>287.42999300000002</v>
      </c>
      <c r="D957" s="6">
        <v>45.040000999999997</v>
      </c>
      <c r="E957" s="6">
        <v>174.61000100000001</v>
      </c>
      <c r="F957" s="6">
        <v>114.410004</v>
      </c>
      <c r="G957" s="6">
        <v>39.040000999999997</v>
      </c>
      <c r="H957" s="6">
        <v>121.68</v>
      </c>
      <c r="I957" s="6">
        <v>212.36999499999999</v>
      </c>
      <c r="J957" s="6">
        <v>27.360001</v>
      </c>
      <c r="K957" s="6">
        <v>12.5</v>
      </c>
      <c r="N957" s="19">
        <v>953</v>
      </c>
      <c r="O957" s="1">
        <v>44847</v>
      </c>
      <c r="P957" s="5">
        <f t="shared" si="342"/>
        <v>2.9577449969820969E-2</v>
      </c>
      <c r="Q957" s="5">
        <f t="shared" si="343"/>
        <v>3.9890286064073757E-2</v>
      </c>
      <c r="R957" s="5">
        <f t="shared" si="344"/>
        <v>5.6777441067628409E-3</v>
      </c>
      <c r="S957" s="5">
        <f t="shared" si="345"/>
        <v>3.0351178566330832E-2</v>
      </c>
      <c r="T957" s="5">
        <f t="shared" si="346"/>
        <v>2.0040440896728885E-2</v>
      </c>
      <c r="U957" s="5">
        <f t="shared" si="347"/>
        <v>2.2798940579559761E-2</v>
      </c>
      <c r="V957" s="5">
        <f t="shared" si="348"/>
        <v>3.6063284278811107E-2</v>
      </c>
      <c r="W957" s="5">
        <f t="shared" si="349"/>
        <v>2.1802092286461926E-2</v>
      </c>
      <c r="X957" s="5">
        <f t="shared" si="350"/>
        <v>3.2314826020078347E-2</v>
      </c>
      <c r="Y957" s="5">
        <f t="shared" si="351"/>
        <v>6.9564463385909048E-2</v>
      </c>
      <c r="Z957" s="33">
        <v>953</v>
      </c>
      <c r="AE957" s="20" t="str">
        <f t="shared" si="352"/>
        <v/>
      </c>
      <c r="AF957" s="22" t="str">
        <f t="shared" si="353"/>
        <v/>
      </c>
      <c r="AG957" s="9" t="str">
        <f t="shared" ca="1" si="332"/>
        <v/>
      </c>
      <c r="AH957" s="9" t="str">
        <f t="shared" ca="1" si="333"/>
        <v/>
      </c>
      <c r="AI957" s="9" t="str">
        <f t="shared" ca="1" si="334"/>
        <v/>
      </c>
      <c r="AJ957" s="9" t="str">
        <f t="shared" ca="1" si="335"/>
        <v/>
      </c>
      <c r="AK957" s="9" t="str">
        <f t="shared" ca="1" si="336"/>
        <v/>
      </c>
      <c r="AL957" s="9" t="str">
        <f t="shared" ca="1" si="337"/>
        <v/>
      </c>
      <c r="AM957" s="9" t="str">
        <f t="shared" ca="1" si="338"/>
        <v/>
      </c>
      <c r="AN957" s="9" t="str">
        <f t="shared" ca="1" si="339"/>
        <v/>
      </c>
      <c r="AO957" s="9" t="str">
        <f t="shared" ca="1" si="340"/>
        <v/>
      </c>
      <c r="AP957" s="9" t="str">
        <f t="shared" ca="1" si="341"/>
        <v/>
      </c>
      <c r="AQ957" s="9"/>
      <c r="AR957" s="9"/>
      <c r="AS957" s="9"/>
      <c r="AT957" s="9"/>
      <c r="AU957" s="9"/>
    </row>
    <row r="958" spans="1:47" x14ac:dyDescent="0.3">
      <c r="A958" s="1">
        <v>44848</v>
      </c>
      <c r="B958" s="6">
        <v>287.94000199999999</v>
      </c>
      <c r="C958" s="6">
        <v>277.60998499999999</v>
      </c>
      <c r="D958" s="6">
        <v>43.700001</v>
      </c>
      <c r="E958" s="6">
        <v>170.19000199999999</v>
      </c>
      <c r="F958" s="6">
        <v>110.68</v>
      </c>
      <c r="G958" s="6">
        <v>37.650002000000001</v>
      </c>
      <c r="H958" s="6">
        <v>119.58000199999999</v>
      </c>
      <c r="I958" s="6">
        <v>209.60000600000001</v>
      </c>
      <c r="J958" s="6">
        <v>27.469999000000001</v>
      </c>
      <c r="K958" s="6">
        <v>12.43</v>
      </c>
      <c r="N958" s="18">
        <v>954</v>
      </c>
      <c r="O958" s="1">
        <v>44848</v>
      </c>
      <c r="P958" s="5">
        <f t="shared" si="342"/>
        <v>-2.3341445812807754E-2</v>
      </c>
      <c r="Q958" s="5">
        <f t="shared" si="343"/>
        <v>-3.4762130971183108E-2</v>
      </c>
      <c r="R958" s="5">
        <f t="shared" si="344"/>
        <v>-3.0202881049081861E-2</v>
      </c>
      <c r="S958" s="5">
        <f t="shared" si="345"/>
        <v>-2.5639449502927899E-2</v>
      </c>
      <c r="T958" s="5">
        <f t="shared" si="346"/>
        <v>-3.3145367756105583E-2</v>
      </c>
      <c r="U958" s="5">
        <f t="shared" si="347"/>
        <v>-3.6253779792894333E-2</v>
      </c>
      <c r="V958" s="5">
        <f t="shared" si="348"/>
        <v>-1.740902777307447E-2</v>
      </c>
      <c r="W958" s="5">
        <f t="shared" si="349"/>
        <v>-1.3129031837551224E-2</v>
      </c>
      <c r="X958" s="5">
        <f t="shared" si="350"/>
        <v>4.012334399776221E-3</v>
      </c>
      <c r="Y958" s="5">
        <f t="shared" si="351"/>
        <v>-5.6157387856357452E-3</v>
      </c>
      <c r="Z958" s="33">
        <v>954</v>
      </c>
      <c r="AE958" s="20" t="str">
        <f t="shared" si="352"/>
        <v/>
      </c>
      <c r="AF958" s="22" t="str">
        <f t="shared" si="353"/>
        <v/>
      </c>
      <c r="AG958" s="9" t="str">
        <f t="shared" ca="1" si="332"/>
        <v/>
      </c>
      <c r="AH958" s="9" t="str">
        <f t="shared" ca="1" si="333"/>
        <v/>
      </c>
      <c r="AI958" s="9" t="str">
        <f t="shared" ca="1" si="334"/>
        <v/>
      </c>
      <c r="AJ958" s="9" t="str">
        <f t="shared" ca="1" si="335"/>
        <v/>
      </c>
      <c r="AK958" s="9" t="str">
        <f t="shared" ca="1" si="336"/>
        <v/>
      </c>
      <c r="AL958" s="9" t="str">
        <f t="shared" ca="1" si="337"/>
        <v/>
      </c>
      <c r="AM958" s="9" t="str">
        <f t="shared" ca="1" si="338"/>
        <v/>
      </c>
      <c r="AN958" s="9" t="str">
        <f t="shared" ca="1" si="339"/>
        <v/>
      </c>
      <c r="AO958" s="9" t="str">
        <f t="shared" ca="1" si="340"/>
        <v/>
      </c>
      <c r="AP958" s="9" t="str">
        <f t="shared" ca="1" si="341"/>
        <v/>
      </c>
      <c r="AQ958" s="9"/>
      <c r="AR958" s="9"/>
      <c r="AS958" s="9"/>
      <c r="AT958" s="9"/>
      <c r="AU958" s="9"/>
    </row>
    <row r="959" spans="1:47" x14ac:dyDescent="0.3">
      <c r="A959" s="1">
        <v>44851</v>
      </c>
      <c r="B959" s="6">
        <v>293.5</v>
      </c>
      <c r="C959" s="6">
        <v>289.26001000000002</v>
      </c>
      <c r="D959" s="6">
        <v>44.689999</v>
      </c>
      <c r="E959" s="6">
        <v>172.729996</v>
      </c>
      <c r="F959" s="6">
        <v>115.410004</v>
      </c>
      <c r="G959" s="6">
        <v>39.400002000000001</v>
      </c>
      <c r="H959" s="6">
        <v>121.550003</v>
      </c>
      <c r="I959" s="6">
        <v>212.5</v>
      </c>
      <c r="J959" s="6">
        <v>28.299999</v>
      </c>
      <c r="K959" s="6">
        <v>12.32</v>
      </c>
      <c r="N959" s="19">
        <v>955</v>
      </c>
      <c r="O959" s="1">
        <v>44851</v>
      </c>
      <c r="P959" s="5">
        <f t="shared" si="342"/>
        <v>1.9125507224050611E-2</v>
      </c>
      <c r="Q959" s="5">
        <f t="shared" si="343"/>
        <v>4.1108775210606963E-2</v>
      </c>
      <c r="R959" s="5">
        <f t="shared" si="344"/>
        <v>2.2401615584149871E-2</v>
      </c>
      <c r="S959" s="5">
        <f t="shared" si="345"/>
        <v>1.4814186789506519E-2</v>
      </c>
      <c r="T959" s="5">
        <f t="shared" si="346"/>
        <v>4.1847885172629377E-2</v>
      </c>
      <c r="U959" s="5">
        <f t="shared" si="347"/>
        <v>4.5432859698557017E-2</v>
      </c>
      <c r="V959" s="5">
        <f t="shared" si="348"/>
        <v>1.6340105265370206E-2</v>
      </c>
      <c r="W959" s="5">
        <f t="shared" si="349"/>
        <v>1.3741007291630547E-2</v>
      </c>
      <c r="X959" s="5">
        <f t="shared" si="350"/>
        <v>2.9767305609669552E-2</v>
      </c>
      <c r="Y959" s="5">
        <f t="shared" si="351"/>
        <v>-8.8889474172459283E-3</v>
      </c>
      <c r="Z959" s="33">
        <v>955</v>
      </c>
      <c r="AE959" s="20" t="str">
        <f t="shared" si="352"/>
        <v/>
      </c>
      <c r="AF959" s="22" t="str">
        <f t="shared" si="353"/>
        <v/>
      </c>
      <c r="AG959" s="9" t="str">
        <f t="shared" ca="1" si="332"/>
        <v/>
      </c>
      <c r="AH959" s="9" t="str">
        <f t="shared" ca="1" si="333"/>
        <v/>
      </c>
      <c r="AI959" s="9" t="str">
        <f t="shared" ca="1" si="334"/>
        <v/>
      </c>
      <c r="AJ959" s="9" t="str">
        <f t="shared" ca="1" si="335"/>
        <v/>
      </c>
      <c r="AK959" s="9" t="str">
        <f t="shared" ca="1" si="336"/>
        <v/>
      </c>
      <c r="AL959" s="9" t="str">
        <f t="shared" ca="1" si="337"/>
        <v/>
      </c>
      <c r="AM959" s="9" t="str">
        <f t="shared" ca="1" si="338"/>
        <v/>
      </c>
      <c r="AN959" s="9" t="str">
        <f t="shared" ca="1" si="339"/>
        <v/>
      </c>
      <c r="AO959" s="9" t="str">
        <f t="shared" ca="1" si="340"/>
        <v/>
      </c>
      <c r="AP959" s="9" t="str">
        <f t="shared" ca="1" si="341"/>
        <v/>
      </c>
      <c r="AQ959" s="9"/>
      <c r="AR959" s="9"/>
      <c r="AS959" s="9"/>
      <c r="AT959" s="9"/>
      <c r="AU959" s="9"/>
    </row>
    <row r="960" spans="1:47" x14ac:dyDescent="0.3">
      <c r="A960" s="1">
        <v>44852</v>
      </c>
      <c r="B960" s="6">
        <v>292.98001099999999</v>
      </c>
      <c r="C960" s="6">
        <v>292.26998900000001</v>
      </c>
      <c r="D960" s="6">
        <v>45.240001999999997</v>
      </c>
      <c r="E960" s="6">
        <v>175.05999800000001</v>
      </c>
      <c r="F960" s="6">
        <v>115.459999</v>
      </c>
      <c r="G960" s="6">
        <v>39.990001999999997</v>
      </c>
      <c r="H960" s="6">
        <v>123.410004</v>
      </c>
      <c r="I960" s="6">
        <v>216.63999899999999</v>
      </c>
      <c r="J960" s="6">
        <v>29.299999</v>
      </c>
      <c r="K960" s="6">
        <v>12.88</v>
      </c>
      <c r="N960" s="18">
        <v>956</v>
      </c>
      <c r="O960" s="1">
        <v>44852</v>
      </c>
      <c r="P960" s="5">
        <f t="shared" si="342"/>
        <v>-1.7732544213030458E-3</v>
      </c>
      <c r="Q960" s="5">
        <f t="shared" si="343"/>
        <v>1.0352022717100303E-2</v>
      </c>
      <c r="R960" s="5">
        <f t="shared" si="344"/>
        <v>1.2231954887594125E-2</v>
      </c>
      <c r="S960" s="5">
        <f t="shared" si="345"/>
        <v>1.3399102331973837E-2</v>
      </c>
      <c r="T960" s="5">
        <f t="shared" si="346"/>
        <v>4.3310088042483288E-4</v>
      </c>
      <c r="U960" s="5">
        <f t="shared" si="347"/>
        <v>1.4863605805920532E-2</v>
      </c>
      <c r="V960" s="5">
        <f t="shared" si="348"/>
        <v>1.5186452434042753E-2</v>
      </c>
      <c r="W960" s="5">
        <f t="shared" si="349"/>
        <v>1.9294996743485945E-2</v>
      </c>
      <c r="X960" s="5">
        <f t="shared" si="350"/>
        <v>3.4725712579825992E-2</v>
      </c>
      <c r="Y960" s="5">
        <f t="shared" si="351"/>
        <v>4.4451762570833796E-2</v>
      </c>
      <c r="Z960" s="33">
        <v>956</v>
      </c>
      <c r="AE960" s="20" t="str">
        <f t="shared" si="352"/>
        <v/>
      </c>
      <c r="AF960" s="22" t="str">
        <f t="shared" si="353"/>
        <v/>
      </c>
      <c r="AG960" s="9" t="str">
        <f t="shared" ca="1" si="332"/>
        <v/>
      </c>
      <c r="AH960" s="9" t="str">
        <f t="shared" ca="1" si="333"/>
        <v/>
      </c>
      <c r="AI960" s="9" t="str">
        <f t="shared" ca="1" si="334"/>
        <v/>
      </c>
      <c r="AJ960" s="9" t="str">
        <f t="shared" ca="1" si="335"/>
        <v/>
      </c>
      <c r="AK960" s="9" t="str">
        <f t="shared" ca="1" si="336"/>
        <v/>
      </c>
      <c r="AL960" s="9" t="str">
        <f t="shared" ca="1" si="337"/>
        <v/>
      </c>
      <c r="AM960" s="9" t="str">
        <f t="shared" ca="1" si="338"/>
        <v/>
      </c>
      <c r="AN960" s="9" t="str">
        <f t="shared" ca="1" si="339"/>
        <v/>
      </c>
      <c r="AO960" s="9" t="str">
        <f t="shared" ca="1" si="340"/>
        <v/>
      </c>
      <c r="AP960" s="9" t="str">
        <f t="shared" ca="1" si="341"/>
        <v/>
      </c>
      <c r="AQ960" s="9"/>
      <c r="AR960" s="9"/>
      <c r="AS960" s="9"/>
      <c r="AT960" s="9"/>
      <c r="AU960" s="9"/>
    </row>
    <row r="961" spans="1:47" x14ac:dyDescent="0.3">
      <c r="A961" s="1">
        <v>44853</v>
      </c>
      <c r="B961" s="6">
        <v>299.82998700000002</v>
      </c>
      <c r="C961" s="6">
        <v>288.959991</v>
      </c>
      <c r="D961" s="6">
        <v>44.119999</v>
      </c>
      <c r="E961" s="6">
        <v>173.36000100000001</v>
      </c>
      <c r="F961" s="6">
        <v>112.730003</v>
      </c>
      <c r="G961" s="6">
        <v>38.860000999999997</v>
      </c>
      <c r="H961" s="6">
        <v>121.360001</v>
      </c>
      <c r="I961" s="6">
        <v>213.699997</v>
      </c>
      <c r="J961" s="6">
        <v>28.49</v>
      </c>
      <c r="K961" s="6">
        <v>12.61</v>
      </c>
      <c r="N961" s="19">
        <v>957</v>
      </c>
      <c r="O961" s="1">
        <v>44853</v>
      </c>
      <c r="P961" s="5">
        <f t="shared" si="342"/>
        <v>2.3111219168546991E-2</v>
      </c>
      <c r="Q961" s="5">
        <f t="shared" si="343"/>
        <v>-1.1389755851219244E-2</v>
      </c>
      <c r="R961" s="5">
        <f t="shared" si="344"/>
        <v>-2.5068523736739956E-2</v>
      </c>
      <c r="S961" s="5">
        <f t="shared" si="345"/>
        <v>-9.7583978831904689E-3</v>
      </c>
      <c r="T961" s="5">
        <f t="shared" si="346"/>
        <v>-2.3928535303080398E-2</v>
      </c>
      <c r="U961" s="5">
        <f t="shared" si="347"/>
        <v>-2.8664003188533238E-2</v>
      </c>
      <c r="V961" s="5">
        <f t="shared" si="348"/>
        <v>-1.6750834597151907E-2</v>
      </c>
      <c r="W961" s="5">
        <f t="shared" si="349"/>
        <v>-1.3663836821227118E-2</v>
      </c>
      <c r="X961" s="5">
        <f t="shared" si="350"/>
        <v>-2.803433338351128E-2</v>
      </c>
      <c r="Y961" s="5">
        <f t="shared" si="351"/>
        <v>-2.1185570699379479E-2</v>
      </c>
      <c r="Z961" s="33">
        <v>957</v>
      </c>
      <c r="AE961" s="20" t="str">
        <f t="shared" si="352"/>
        <v/>
      </c>
      <c r="AF961" s="22" t="str">
        <f t="shared" si="353"/>
        <v/>
      </c>
      <c r="AG961" s="9" t="str">
        <f t="shared" ca="1" si="332"/>
        <v/>
      </c>
      <c r="AH961" s="9" t="str">
        <f t="shared" ca="1" si="333"/>
        <v/>
      </c>
      <c r="AI961" s="9" t="str">
        <f t="shared" ca="1" si="334"/>
        <v/>
      </c>
      <c r="AJ961" s="9" t="str">
        <f t="shared" ca="1" si="335"/>
        <v/>
      </c>
      <c r="AK961" s="9" t="str">
        <f t="shared" ca="1" si="336"/>
        <v/>
      </c>
      <c r="AL961" s="9" t="str">
        <f t="shared" ca="1" si="337"/>
        <v/>
      </c>
      <c r="AM961" s="9" t="str">
        <f t="shared" ca="1" si="338"/>
        <v/>
      </c>
      <c r="AN961" s="9" t="str">
        <f t="shared" ca="1" si="339"/>
        <v/>
      </c>
      <c r="AO961" s="9" t="str">
        <f t="shared" ca="1" si="340"/>
        <v/>
      </c>
      <c r="AP961" s="9" t="str">
        <f t="shared" ca="1" si="341"/>
        <v/>
      </c>
      <c r="AQ961" s="9"/>
      <c r="AR961" s="9"/>
      <c r="AS961" s="9"/>
      <c r="AT961" s="9"/>
      <c r="AU961" s="9"/>
    </row>
    <row r="962" spans="1:47" x14ac:dyDescent="0.3">
      <c r="A962" s="1">
        <v>44854</v>
      </c>
      <c r="B962" s="6">
        <v>302.38000499999998</v>
      </c>
      <c r="C962" s="6">
        <v>289.709991</v>
      </c>
      <c r="D962" s="6">
        <v>43.505001</v>
      </c>
      <c r="E962" s="6">
        <v>171.46000699999999</v>
      </c>
      <c r="F962" s="6">
        <v>112.269997</v>
      </c>
      <c r="G962" s="6">
        <v>38.889999000000003</v>
      </c>
      <c r="H962" s="6">
        <v>119.099998</v>
      </c>
      <c r="I962" s="6">
        <v>203.13999899999999</v>
      </c>
      <c r="J962" s="6">
        <v>28.15</v>
      </c>
      <c r="K962" s="6">
        <v>12.92</v>
      </c>
      <c r="N962" s="18">
        <v>958</v>
      </c>
      <c r="O962" s="1">
        <v>44854</v>
      </c>
      <c r="P962" s="5">
        <f t="shared" si="342"/>
        <v>8.4689170721451261E-3</v>
      </c>
      <c r="Q962" s="5">
        <f t="shared" si="343"/>
        <v>2.5921524989465992E-3</v>
      </c>
      <c r="R962" s="5">
        <f t="shared" si="344"/>
        <v>-1.4037274715992455E-2</v>
      </c>
      <c r="S962" s="5">
        <f t="shared" si="345"/>
        <v>-1.1020318919989393E-2</v>
      </c>
      <c r="T962" s="5">
        <f t="shared" si="346"/>
        <v>-4.0889479193080645E-3</v>
      </c>
      <c r="U962" s="5">
        <f t="shared" si="347"/>
        <v>7.7165277140897332E-4</v>
      </c>
      <c r="V962" s="5">
        <f t="shared" si="348"/>
        <v>-1.8797883711580983E-2</v>
      </c>
      <c r="W962" s="5">
        <f t="shared" si="349"/>
        <v>-5.0677756698088654E-2</v>
      </c>
      <c r="X962" s="5">
        <f t="shared" si="350"/>
        <v>-1.2005793924117492E-2</v>
      </c>
      <c r="Y962" s="5">
        <f t="shared" si="351"/>
        <v>2.4286348377627734E-2</v>
      </c>
      <c r="Z962" s="33">
        <v>958</v>
      </c>
      <c r="AE962" s="20" t="str">
        <f t="shared" si="352"/>
        <v/>
      </c>
      <c r="AF962" s="22" t="str">
        <f t="shared" si="353"/>
        <v/>
      </c>
      <c r="AG962" s="9" t="str">
        <f t="shared" ca="1" si="332"/>
        <v/>
      </c>
      <c r="AH962" s="9" t="str">
        <f t="shared" ca="1" si="333"/>
        <v/>
      </c>
      <c r="AI962" s="9" t="str">
        <f t="shared" ca="1" si="334"/>
        <v/>
      </c>
      <c r="AJ962" s="9" t="str">
        <f t="shared" ca="1" si="335"/>
        <v/>
      </c>
      <c r="AK962" s="9" t="str">
        <f t="shared" ca="1" si="336"/>
        <v/>
      </c>
      <c r="AL962" s="9" t="str">
        <f t="shared" ca="1" si="337"/>
        <v/>
      </c>
      <c r="AM962" s="9" t="str">
        <f t="shared" ca="1" si="338"/>
        <v/>
      </c>
      <c r="AN962" s="9" t="str">
        <f t="shared" ca="1" si="339"/>
        <v/>
      </c>
      <c r="AO962" s="9" t="str">
        <f t="shared" ca="1" si="340"/>
        <v/>
      </c>
      <c r="AP962" s="9" t="str">
        <f t="shared" ca="1" si="341"/>
        <v/>
      </c>
      <c r="AQ962" s="9"/>
      <c r="AR962" s="9"/>
      <c r="AS962" s="9"/>
      <c r="AT962" s="9"/>
      <c r="AU962" s="9"/>
    </row>
    <row r="963" spans="1:47" x14ac:dyDescent="0.3">
      <c r="A963" s="1">
        <v>44855</v>
      </c>
      <c r="B963" s="6">
        <v>306.36999500000002</v>
      </c>
      <c r="C963" s="6">
        <v>296.5</v>
      </c>
      <c r="D963" s="6">
        <v>43.794998</v>
      </c>
      <c r="E963" s="6">
        <v>173.05999800000001</v>
      </c>
      <c r="F963" s="6">
        <v>113.889999</v>
      </c>
      <c r="G963" s="6">
        <v>39.200001</v>
      </c>
      <c r="H963" s="6">
        <v>124.849998</v>
      </c>
      <c r="I963" s="6">
        <v>207.75</v>
      </c>
      <c r="J963" s="6">
        <v>28.24</v>
      </c>
      <c r="K963" s="6">
        <v>13.49</v>
      </c>
      <c r="N963" s="19">
        <v>959</v>
      </c>
      <c r="O963" s="1">
        <v>44855</v>
      </c>
      <c r="P963" s="5">
        <f t="shared" si="342"/>
        <v>1.3108984437989211E-2</v>
      </c>
      <c r="Q963" s="5">
        <f t="shared" si="343"/>
        <v>2.3166826856392691E-2</v>
      </c>
      <c r="R963" s="5">
        <f t="shared" si="344"/>
        <v>6.6437129438865665E-3</v>
      </c>
      <c r="S963" s="5">
        <f t="shared" si="345"/>
        <v>9.288299545449524E-3</v>
      </c>
      <c r="T963" s="5">
        <f t="shared" si="346"/>
        <v>1.4326403756466601E-2</v>
      </c>
      <c r="U963" s="5">
        <f t="shared" si="347"/>
        <v>7.9396498525160716E-3</v>
      </c>
      <c r="V963" s="5">
        <f t="shared" si="348"/>
        <v>4.7149541137916098E-2</v>
      </c>
      <c r="W963" s="5">
        <f t="shared" si="349"/>
        <v>2.2440042146915938E-2</v>
      </c>
      <c r="X963" s="5">
        <f t="shared" si="350"/>
        <v>3.1920580393419639E-3</v>
      </c>
      <c r="Y963" s="5">
        <f t="shared" si="351"/>
        <v>4.3172171865208782E-2</v>
      </c>
      <c r="Z963" s="33">
        <v>959</v>
      </c>
      <c r="AE963" s="20" t="str">
        <f t="shared" si="352"/>
        <v/>
      </c>
      <c r="AF963" s="22" t="str">
        <f t="shared" si="353"/>
        <v/>
      </c>
      <c r="AG963" s="9" t="str">
        <f t="shared" ca="1" si="332"/>
        <v/>
      </c>
      <c r="AH963" s="9" t="str">
        <f t="shared" ca="1" si="333"/>
        <v/>
      </c>
      <c r="AI963" s="9" t="str">
        <f t="shared" ca="1" si="334"/>
        <v/>
      </c>
      <c r="AJ963" s="9" t="str">
        <f t="shared" ca="1" si="335"/>
        <v/>
      </c>
      <c r="AK963" s="9" t="str">
        <f t="shared" ca="1" si="336"/>
        <v/>
      </c>
      <c r="AL963" s="9" t="str">
        <f t="shared" ca="1" si="337"/>
        <v/>
      </c>
      <c r="AM963" s="9" t="str">
        <f t="shared" ca="1" si="338"/>
        <v/>
      </c>
      <c r="AN963" s="9" t="str">
        <f t="shared" ca="1" si="339"/>
        <v/>
      </c>
      <c r="AO963" s="9" t="str">
        <f t="shared" ca="1" si="340"/>
        <v/>
      </c>
      <c r="AP963" s="9" t="str">
        <f t="shared" ca="1" si="341"/>
        <v/>
      </c>
      <c r="AQ963" s="9"/>
      <c r="AR963" s="9"/>
      <c r="AS963" s="9"/>
      <c r="AT963" s="9"/>
      <c r="AU963" s="9"/>
    </row>
    <row r="964" spans="1:47" x14ac:dyDescent="0.3">
      <c r="A964" s="1">
        <v>44858</v>
      </c>
      <c r="B964" s="6">
        <v>316.22000100000002</v>
      </c>
      <c r="C964" s="6">
        <v>301.67999300000002</v>
      </c>
      <c r="D964" s="6">
        <v>45.055</v>
      </c>
      <c r="E964" s="6">
        <v>177.679993</v>
      </c>
      <c r="F964" s="6">
        <v>113</v>
      </c>
      <c r="G964" s="6">
        <v>39.020000000000003</v>
      </c>
      <c r="H964" s="6">
        <v>126.150002</v>
      </c>
      <c r="I964" s="6">
        <v>212.720001</v>
      </c>
      <c r="J964" s="6">
        <v>29.15</v>
      </c>
      <c r="K964" s="6">
        <v>13.18</v>
      </c>
      <c r="N964" s="18">
        <v>960</v>
      </c>
      <c r="O964" s="1">
        <v>44858</v>
      </c>
      <c r="P964" s="5">
        <f t="shared" si="342"/>
        <v>3.164467151882519E-2</v>
      </c>
      <c r="Q964" s="5">
        <f t="shared" si="343"/>
        <v>1.7319611308926921E-2</v>
      </c>
      <c r="R964" s="5">
        <f t="shared" si="344"/>
        <v>2.8364355739263103E-2</v>
      </c>
      <c r="S964" s="5">
        <f t="shared" si="345"/>
        <v>2.6345796567595791E-2</v>
      </c>
      <c r="T964" s="5">
        <f t="shared" si="346"/>
        <v>-7.8452427935170529E-3</v>
      </c>
      <c r="U964" s="5">
        <f t="shared" si="347"/>
        <v>-4.6024371116553664E-3</v>
      </c>
      <c r="V964" s="5">
        <f t="shared" si="348"/>
        <v>1.0358690234649432E-2</v>
      </c>
      <c r="W964" s="5">
        <f t="shared" si="349"/>
        <v>2.3641317900222177E-2</v>
      </c>
      <c r="X964" s="5">
        <f t="shared" si="350"/>
        <v>3.1715500171460111E-2</v>
      </c>
      <c r="Y964" s="5">
        <f t="shared" si="351"/>
        <v>-2.3248141145303429E-2</v>
      </c>
      <c r="Z964" s="33">
        <v>960</v>
      </c>
      <c r="AE964" s="20" t="str">
        <f t="shared" si="352"/>
        <v/>
      </c>
      <c r="AF964" s="22" t="str">
        <f t="shared" si="353"/>
        <v/>
      </c>
      <c r="AG964" s="9" t="str">
        <f t="shared" ca="1" si="332"/>
        <v/>
      </c>
      <c r="AH964" s="9" t="str">
        <f t="shared" ca="1" si="333"/>
        <v/>
      </c>
      <c r="AI964" s="9" t="str">
        <f t="shared" ca="1" si="334"/>
        <v/>
      </c>
      <c r="AJ964" s="9" t="str">
        <f t="shared" ca="1" si="335"/>
        <v/>
      </c>
      <c r="AK964" s="9" t="str">
        <f t="shared" ca="1" si="336"/>
        <v/>
      </c>
      <c r="AL964" s="9" t="str">
        <f t="shared" ca="1" si="337"/>
        <v/>
      </c>
      <c r="AM964" s="9" t="str">
        <f t="shared" ca="1" si="338"/>
        <v/>
      </c>
      <c r="AN964" s="9" t="str">
        <f t="shared" ca="1" si="339"/>
        <v/>
      </c>
      <c r="AO964" s="9" t="str">
        <f t="shared" ca="1" si="340"/>
        <v/>
      </c>
      <c r="AP964" s="9" t="str">
        <f t="shared" ca="1" si="341"/>
        <v/>
      </c>
      <c r="AQ964" s="9"/>
      <c r="AR964" s="9"/>
      <c r="AS964" s="9"/>
      <c r="AT964" s="9"/>
      <c r="AU964" s="9"/>
    </row>
    <row r="965" spans="1:47" x14ac:dyDescent="0.3">
      <c r="A965" s="1">
        <v>44859</v>
      </c>
      <c r="B965" s="6">
        <v>323.790009</v>
      </c>
      <c r="C965" s="6">
        <v>294.73001099999999</v>
      </c>
      <c r="D965" s="6">
        <v>45.830002</v>
      </c>
      <c r="E965" s="6">
        <v>178.270004</v>
      </c>
      <c r="F965" s="6">
        <v>116.769997</v>
      </c>
      <c r="G965" s="6">
        <v>40.57</v>
      </c>
      <c r="H965" s="6">
        <v>127.290001</v>
      </c>
      <c r="I965" s="6">
        <v>218.240005</v>
      </c>
      <c r="J965" s="6">
        <v>30.07</v>
      </c>
      <c r="K965" s="6">
        <v>13.57</v>
      </c>
      <c r="N965" s="19">
        <v>961</v>
      </c>
      <c r="O965" s="1">
        <v>44859</v>
      </c>
      <c r="P965" s="5">
        <f t="shared" si="342"/>
        <v>2.3657008256803291E-2</v>
      </c>
      <c r="Q965" s="5">
        <f t="shared" si="343"/>
        <v>-2.3307109422782791E-2</v>
      </c>
      <c r="R965" s="5">
        <f t="shared" si="344"/>
        <v>1.7054976473568448E-2</v>
      </c>
      <c r="S965" s="5">
        <f t="shared" si="345"/>
        <v>3.3151372121420818E-3</v>
      </c>
      <c r="T965" s="5">
        <f t="shared" si="346"/>
        <v>3.2818343683752318E-2</v>
      </c>
      <c r="U965" s="5">
        <f t="shared" si="347"/>
        <v>3.8954542023390659E-2</v>
      </c>
      <c r="V965" s="5">
        <f t="shared" si="348"/>
        <v>8.9962647972112661E-3</v>
      </c>
      <c r="W965" s="5">
        <f t="shared" si="349"/>
        <v>2.5618645929874447E-2</v>
      </c>
      <c r="X965" s="5">
        <f t="shared" si="350"/>
        <v>3.1073084203936289E-2</v>
      </c>
      <c r="Y965" s="5">
        <f t="shared" si="351"/>
        <v>2.9160944772416687E-2</v>
      </c>
      <c r="Z965" s="33">
        <v>961</v>
      </c>
      <c r="AE965" s="20" t="str">
        <f t="shared" si="352"/>
        <v/>
      </c>
      <c r="AF965" s="22" t="str">
        <f t="shared" si="353"/>
        <v/>
      </c>
      <c r="AG965" s="9" t="str">
        <f t="shared" ref="AG965:AG1028" ca="1" si="354">IF($AE965="","",OFFSET(P$4,$AE965,0))</f>
        <v/>
      </c>
      <c r="AH965" s="9" t="str">
        <f t="shared" ref="AH965:AH1028" ca="1" si="355">IF($AE965="","",OFFSET(Q$4,$AE965,0))</f>
        <v/>
      </c>
      <c r="AI965" s="9" t="str">
        <f t="shared" ref="AI965:AI1028" ca="1" si="356">IF($AE965="","",OFFSET(R$4,$AE965,0))</f>
        <v/>
      </c>
      <c r="AJ965" s="9" t="str">
        <f t="shared" ref="AJ965:AJ1028" ca="1" si="357">IF($AE965="","",OFFSET(S$4,$AE965,0))</f>
        <v/>
      </c>
      <c r="AK965" s="9" t="str">
        <f t="shared" ref="AK965:AK1028" ca="1" si="358">IF($AE965="","",OFFSET(T$4,$AE965,0))</f>
        <v/>
      </c>
      <c r="AL965" s="9" t="str">
        <f t="shared" ref="AL965:AL1028" ca="1" si="359">IF($AE965="","",OFFSET(U$4,$AE965,0))</f>
        <v/>
      </c>
      <c r="AM965" s="9" t="str">
        <f t="shared" ref="AM965:AM1028" ca="1" si="360">IF($AE965="","",OFFSET(V$4,$AE965,0))</f>
        <v/>
      </c>
      <c r="AN965" s="9" t="str">
        <f t="shared" ref="AN965:AN1028" ca="1" si="361">IF($AE965="","",OFFSET(W$4,$AE965,0))</f>
        <v/>
      </c>
      <c r="AO965" s="9" t="str">
        <f t="shared" ref="AO965:AO1028" ca="1" si="362">IF($AE965="","",OFFSET(X$4,$AE965,0))</f>
        <v/>
      </c>
      <c r="AP965" s="9" t="str">
        <f t="shared" ref="AP965:AP1028" ca="1" si="363">IF($AE965="","",OFFSET(Y$4,$AE965,0))</f>
        <v/>
      </c>
      <c r="AQ965" s="9"/>
      <c r="AR965" s="9"/>
      <c r="AS965" s="9"/>
      <c r="AT965" s="9"/>
      <c r="AU965" s="9"/>
    </row>
    <row r="966" spans="1:47" x14ac:dyDescent="0.3">
      <c r="A966" s="1">
        <v>44860</v>
      </c>
      <c r="B966" s="6">
        <v>320.48001099999999</v>
      </c>
      <c r="C966" s="6">
        <v>292.73001099999999</v>
      </c>
      <c r="D966" s="6">
        <v>46.005001</v>
      </c>
      <c r="E966" s="6">
        <v>179.070007</v>
      </c>
      <c r="F966" s="6">
        <v>115.05999799999999</v>
      </c>
      <c r="G966" s="6">
        <v>39.529998999999997</v>
      </c>
      <c r="H966" s="6">
        <v>127.55999799999999</v>
      </c>
      <c r="I966" s="6">
        <v>216.25</v>
      </c>
      <c r="J966" s="6">
        <v>30.15</v>
      </c>
      <c r="K966" s="6">
        <v>13</v>
      </c>
      <c r="N966" s="18">
        <v>962</v>
      </c>
      <c r="O966" s="1">
        <v>44860</v>
      </c>
      <c r="P966" s="5">
        <f t="shared" ref="P966:P1029" si="364">LN(B966/B965)</f>
        <v>-1.0275279060135619E-2</v>
      </c>
      <c r="Q966" s="5">
        <f t="shared" ref="Q966:Q1029" si="365">LN(C966/C965)</f>
        <v>-6.809000279766571E-3</v>
      </c>
      <c r="R966" s="5">
        <f t="shared" ref="R966:R1029" si="366">LN(D966/D965)</f>
        <v>3.8111658105229578E-3</v>
      </c>
      <c r="S966" s="5">
        <f t="shared" ref="S966:S1029" si="367">LN(E966/E965)</f>
        <v>4.4775525378808016E-3</v>
      </c>
      <c r="T966" s="5">
        <f t="shared" ref="T966:T1029" si="368">LN(F966/F965)</f>
        <v>-1.4752448343181086E-2</v>
      </c>
      <c r="U966" s="5">
        <f t="shared" ref="U966:U1029" si="369">LN(G966/G965)</f>
        <v>-2.5969025207004767E-2</v>
      </c>
      <c r="V966" s="5">
        <f t="shared" ref="V966:V1029" si="370">LN(H966/H965)</f>
        <v>2.1188707245407136E-3</v>
      </c>
      <c r="W966" s="5">
        <f t="shared" ref="W966:W1029" si="371">LN(I966/I965)</f>
        <v>-9.1602517536655374E-3</v>
      </c>
      <c r="X966" s="5">
        <f t="shared" ref="X966:X1029" si="372">LN(J966/J965)</f>
        <v>2.6569261727566896E-3</v>
      </c>
      <c r="Y966" s="5">
        <f t="shared" ref="Y966:Y1029" si="373">LN(K966/K965)</f>
        <v>-4.2912116385241006E-2</v>
      </c>
      <c r="Z966" s="33">
        <v>962</v>
      </c>
      <c r="AE966" s="20" t="str">
        <f t="shared" ref="AE966:AE1029" si="374">IF(AE965="","",IF(AE965+1&lt;=$AC$5,AE965+1,""))</f>
        <v/>
      </c>
      <c r="AF966" s="22" t="str">
        <f t="shared" ref="AF966:AF1029" si="375">IF(AE966="","",VLOOKUP(AE966,N965:O2222,2))</f>
        <v/>
      </c>
      <c r="AG966" s="9" t="str">
        <f t="shared" ca="1" si="354"/>
        <v/>
      </c>
      <c r="AH966" s="9" t="str">
        <f t="shared" ca="1" si="355"/>
        <v/>
      </c>
      <c r="AI966" s="9" t="str">
        <f t="shared" ca="1" si="356"/>
        <v/>
      </c>
      <c r="AJ966" s="9" t="str">
        <f t="shared" ca="1" si="357"/>
        <v/>
      </c>
      <c r="AK966" s="9" t="str">
        <f t="shared" ca="1" si="358"/>
        <v/>
      </c>
      <c r="AL966" s="9" t="str">
        <f t="shared" ca="1" si="359"/>
        <v/>
      </c>
      <c r="AM966" s="9" t="str">
        <f t="shared" ca="1" si="360"/>
        <v/>
      </c>
      <c r="AN966" s="9" t="str">
        <f t="shared" ca="1" si="361"/>
        <v/>
      </c>
      <c r="AO966" s="9" t="str">
        <f t="shared" ca="1" si="362"/>
        <v/>
      </c>
      <c r="AP966" s="9" t="str">
        <f t="shared" ca="1" si="363"/>
        <v/>
      </c>
      <c r="AQ966" s="9"/>
      <c r="AR966" s="9"/>
      <c r="AS966" s="9"/>
      <c r="AT966" s="9"/>
      <c r="AU966" s="9"/>
    </row>
    <row r="967" spans="1:47" x14ac:dyDescent="0.3">
      <c r="A967" s="1">
        <v>44861</v>
      </c>
      <c r="B967" s="6">
        <v>318.64999399999999</v>
      </c>
      <c r="C967" s="6">
        <v>289.19000199999999</v>
      </c>
      <c r="D967" s="6">
        <v>45.865001999999997</v>
      </c>
      <c r="E967" s="6">
        <v>178.88000500000001</v>
      </c>
      <c r="F967" s="6">
        <v>114.900002</v>
      </c>
      <c r="G967" s="6">
        <v>39.270000000000003</v>
      </c>
      <c r="H967" s="6">
        <v>128.029999</v>
      </c>
      <c r="I967" s="6">
        <v>214.970001</v>
      </c>
      <c r="J967" s="6">
        <v>29.52</v>
      </c>
      <c r="K967" s="6">
        <v>12.49</v>
      </c>
      <c r="N967" s="19">
        <v>963</v>
      </c>
      <c r="O967" s="1">
        <v>44861</v>
      </c>
      <c r="P967" s="5">
        <f t="shared" si="364"/>
        <v>-5.7266033101559463E-3</v>
      </c>
      <c r="Q967" s="5">
        <f t="shared" si="365"/>
        <v>-1.2166801588129068E-2</v>
      </c>
      <c r="R967" s="5">
        <f t="shared" si="366"/>
        <v>-3.0477654032384457E-3</v>
      </c>
      <c r="S967" s="5">
        <f t="shared" si="367"/>
        <v>-1.0616120210922514E-3</v>
      </c>
      <c r="T967" s="5">
        <f t="shared" si="368"/>
        <v>-1.3915117917615845E-3</v>
      </c>
      <c r="U967" s="5">
        <f t="shared" si="369"/>
        <v>-6.5989834214327846E-3</v>
      </c>
      <c r="V967" s="5">
        <f t="shared" si="370"/>
        <v>3.6777771844577504E-3</v>
      </c>
      <c r="W967" s="5">
        <f t="shared" si="371"/>
        <v>-5.9366576521325317E-3</v>
      </c>
      <c r="X967" s="5">
        <f t="shared" si="372"/>
        <v>-2.1116923440922697E-2</v>
      </c>
      <c r="Y967" s="5">
        <f t="shared" si="373"/>
        <v>-4.0021033324050374E-2</v>
      </c>
      <c r="Z967" s="33">
        <v>963</v>
      </c>
      <c r="AE967" s="20" t="str">
        <f t="shared" si="374"/>
        <v/>
      </c>
      <c r="AF967" s="22" t="str">
        <f t="shared" si="375"/>
        <v/>
      </c>
      <c r="AG967" s="9" t="str">
        <f t="shared" ca="1" si="354"/>
        <v/>
      </c>
      <c r="AH967" s="9" t="str">
        <f t="shared" ca="1" si="355"/>
        <v/>
      </c>
      <c r="AI967" s="9" t="str">
        <f t="shared" ca="1" si="356"/>
        <v/>
      </c>
      <c r="AJ967" s="9" t="str">
        <f t="shared" ca="1" si="357"/>
        <v/>
      </c>
      <c r="AK967" s="9" t="str">
        <f t="shared" ca="1" si="358"/>
        <v/>
      </c>
      <c r="AL967" s="9" t="str">
        <f t="shared" ca="1" si="359"/>
        <v/>
      </c>
      <c r="AM967" s="9" t="str">
        <f t="shared" ca="1" si="360"/>
        <v/>
      </c>
      <c r="AN967" s="9" t="str">
        <f t="shared" ca="1" si="361"/>
        <v/>
      </c>
      <c r="AO967" s="9" t="str">
        <f t="shared" ca="1" si="362"/>
        <v/>
      </c>
      <c r="AP967" s="9" t="str">
        <f t="shared" ca="1" si="363"/>
        <v/>
      </c>
      <c r="AQ967" s="9"/>
      <c r="AR967" s="9"/>
      <c r="AS967" s="9"/>
      <c r="AT967" s="9"/>
      <c r="AU967" s="9"/>
    </row>
    <row r="968" spans="1:47" x14ac:dyDescent="0.3">
      <c r="A968" s="1">
        <v>44862</v>
      </c>
      <c r="B968" s="6">
        <v>325.67999300000002</v>
      </c>
      <c r="C968" s="6">
        <v>295.83999599999999</v>
      </c>
      <c r="D968" s="6">
        <v>46.77</v>
      </c>
      <c r="E968" s="6">
        <v>182.229996</v>
      </c>
      <c r="F968" s="6">
        <v>114.980003</v>
      </c>
      <c r="G968" s="6">
        <v>39.580002</v>
      </c>
      <c r="H968" s="6">
        <v>131.88999899999999</v>
      </c>
      <c r="I968" s="6">
        <v>219.550003</v>
      </c>
      <c r="J968" s="6">
        <v>30.24</v>
      </c>
      <c r="K968" s="6">
        <v>12.95</v>
      </c>
      <c r="N968" s="18">
        <v>964</v>
      </c>
      <c r="O968" s="1">
        <v>44862</v>
      </c>
      <c r="P968" s="5">
        <f t="shared" si="364"/>
        <v>2.1821979770366561E-2</v>
      </c>
      <c r="Q968" s="5">
        <f t="shared" si="365"/>
        <v>2.273483566196375E-2</v>
      </c>
      <c r="R968" s="5">
        <f t="shared" si="366"/>
        <v>1.953962916994131E-2</v>
      </c>
      <c r="S968" s="5">
        <f t="shared" si="367"/>
        <v>1.8554385629247511E-2</v>
      </c>
      <c r="T968" s="5">
        <f t="shared" si="368"/>
        <v>6.960240254883965E-4</v>
      </c>
      <c r="U968" s="5">
        <f t="shared" si="369"/>
        <v>7.8631221150711403E-3</v>
      </c>
      <c r="V968" s="5">
        <f t="shared" si="370"/>
        <v>2.9703630608299184E-2</v>
      </c>
      <c r="W968" s="5">
        <f t="shared" si="371"/>
        <v>2.1081522512183596E-2</v>
      </c>
      <c r="X968" s="5">
        <f t="shared" si="372"/>
        <v>2.4097551579060524E-2</v>
      </c>
      <c r="Y968" s="5">
        <f t="shared" si="373"/>
        <v>3.6167464008060354E-2</v>
      </c>
      <c r="Z968" s="33">
        <v>964</v>
      </c>
      <c r="AE968" s="20" t="str">
        <f t="shared" si="374"/>
        <v/>
      </c>
      <c r="AF968" s="22" t="str">
        <f t="shared" si="375"/>
        <v/>
      </c>
      <c r="AG968" s="9" t="str">
        <f t="shared" ca="1" si="354"/>
        <v/>
      </c>
      <c r="AH968" s="9" t="str">
        <f t="shared" ca="1" si="355"/>
        <v/>
      </c>
      <c r="AI968" s="9" t="str">
        <f t="shared" ca="1" si="356"/>
        <v/>
      </c>
      <c r="AJ968" s="9" t="str">
        <f t="shared" ca="1" si="357"/>
        <v/>
      </c>
      <c r="AK968" s="9" t="str">
        <f t="shared" ca="1" si="358"/>
        <v/>
      </c>
      <c r="AL968" s="9" t="str">
        <f t="shared" ca="1" si="359"/>
        <v/>
      </c>
      <c r="AM968" s="9" t="str">
        <f t="shared" ca="1" si="360"/>
        <v/>
      </c>
      <c r="AN968" s="9" t="str">
        <f t="shared" ca="1" si="361"/>
        <v/>
      </c>
      <c r="AO968" s="9" t="str">
        <f t="shared" ca="1" si="362"/>
        <v/>
      </c>
      <c r="AP968" s="9" t="str">
        <f t="shared" ca="1" si="363"/>
        <v/>
      </c>
      <c r="AQ968" s="9"/>
      <c r="AR968" s="9"/>
      <c r="AS968" s="9"/>
      <c r="AT968" s="9"/>
      <c r="AU968" s="9"/>
    </row>
    <row r="969" spans="1:47" x14ac:dyDescent="0.3">
      <c r="A969" s="1">
        <v>44865</v>
      </c>
      <c r="B969" s="6">
        <v>318.5</v>
      </c>
      <c r="C969" s="6">
        <v>292.54998799999998</v>
      </c>
      <c r="D969" s="6">
        <v>46.860000999999997</v>
      </c>
      <c r="E969" s="6">
        <v>181.58000200000001</v>
      </c>
      <c r="F969" s="6">
        <v>115.550003</v>
      </c>
      <c r="G969" s="6">
        <v>39.759998000000003</v>
      </c>
      <c r="H969" s="6">
        <v>130.69000199999999</v>
      </c>
      <c r="I969" s="6">
        <v>222.050003</v>
      </c>
      <c r="J969" s="6">
        <v>29.790001</v>
      </c>
      <c r="K969" s="6">
        <v>13</v>
      </c>
      <c r="N969" s="19">
        <v>965</v>
      </c>
      <c r="O969" s="1">
        <v>44865</v>
      </c>
      <c r="P969" s="5">
        <f t="shared" si="364"/>
        <v>-2.2292807689014711E-2</v>
      </c>
      <c r="Q969" s="5">
        <f t="shared" si="365"/>
        <v>-1.1183202902377622E-2</v>
      </c>
      <c r="R969" s="5">
        <f t="shared" si="366"/>
        <v>1.922482682016598E-3</v>
      </c>
      <c r="S969" s="5">
        <f t="shared" si="367"/>
        <v>-3.5732645896409225E-3</v>
      </c>
      <c r="T969" s="5">
        <f t="shared" si="368"/>
        <v>4.94513639653752E-3</v>
      </c>
      <c r="U969" s="5">
        <f t="shared" si="369"/>
        <v>4.5373407815718463E-3</v>
      </c>
      <c r="V969" s="5">
        <f t="shared" si="370"/>
        <v>-9.1401123433832304E-3</v>
      </c>
      <c r="W969" s="5">
        <f t="shared" si="371"/>
        <v>1.1322584576542156E-2</v>
      </c>
      <c r="X969" s="5">
        <f t="shared" si="372"/>
        <v>-1.4992751017830354E-2</v>
      </c>
      <c r="Y969" s="5">
        <f t="shared" si="373"/>
        <v>3.8535693159899723E-3</v>
      </c>
      <c r="Z969" s="33">
        <v>965</v>
      </c>
      <c r="AE969" s="20" t="str">
        <f t="shared" si="374"/>
        <v/>
      </c>
      <c r="AF969" s="22" t="str">
        <f t="shared" si="375"/>
        <v/>
      </c>
      <c r="AG969" s="9" t="str">
        <f t="shared" ca="1" si="354"/>
        <v/>
      </c>
      <c r="AH969" s="9" t="str">
        <f t="shared" ca="1" si="355"/>
        <v/>
      </c>
      <c r="AI969" s="9" t="str">
        <f t="shared" ca="1" si="356"/>
        <v/>
      </c>
      <c r="AJ969" s="9" t="str">
        <f t="shared" ca="1" si="357"/>
        <v/>
      </c>
      <c r="AK969" s="9" t="str">
        <f t="shared" ca="1" si="358"/>
        <v/>
      </c>
      <c r="AL969" s="9" t="str">
        <f t="shared" ca="1" si="359"/>
        <v/>
      </c>
      <c r="AM969" s="9" t="str">
        <f t="shared" ca="1" si="360"/>
        <v/>
      </c>
      <c r="AN969" s="9" t="str">
        <f t="shared" ca="1" si="361"/>
        <v/>
      </c>
      <c r="AO969" s="9" t="str">
        <f t="shared" ca="1" si="362"/>
        <v/>
      </c>
      <c r="AP969" s="9" t="str">
        <f t="shared" ca="1" si="363"/>
        <v/>
      </c>
      <c r="AQ969" s="9"/>
      <c r="AR969" s="9"/>
      <c r="AS969" s="9"/>
      <c r="AT969" s="9"/>
      <c r="AU969" s="9"/>
    </row>
    <row r="970" spans="1:47" x14ac:dyDescent="0.3">
      <c r="A970" s="1">
        <v>44866</v>
      </c>
      <c r="B970" s="6">
        <v>316.01998900000001</v>
      </c>
      <c r="C970" s="6">
        <v>291.17001299999998</v>
      </c>
      <c r="D970" s="6">
        <v>47.174999</v>
      </c>
      <c r="E970" s="6">
        <v>180.759995</v>
      </c>
      <c r="F970" s="6">
        <v>115.400002</v>
      </c>
      <c r="G970" s="6">
        <v>39.840000000000003</v>
      </c>
      <c r="H970" s="6">
        <v>132.699997</v>
      </c>
      <c r="I970" s="6">
        <v>221.86999499999999</v>
      </c>
      <c r="J970" s="6">
        <v>29.82</v>
      </c>
      <c r="K970" s="6">
        <v>13.35</v>
      </c>
      <c r="N970" s="18">
        <v>966</v>
      </c>
      <c r="O970" s="1">
        <v>44866</v>
      </c>
      <c r="P970" s="5">
        <f t="shared" si="364"/>
        <v>-7.8170070967891504E-3</v>
      </c>
      <c r="Q970" s="5">
        <f t="shared" si="365"/>
        <v>-4.7282175307786943E-3</v>
      </c>
      <c r="R970" s="5">
        <f t="shared" si="366"/>
        <v>6.6996156371338352E-3</v>
      </c>
      <c r="S970" s="5">
        <f t="shared" si="367"/>
        <v>-4.5261820759483285E-3</v>
      </c>
      <c r="T970" s="5">
        <f t="shared" si="368"/>
        <v>-1.2989912781544914E-3</v>
      </c>
      <c r="U970" s="5">
        <f t="shared" si="369"/>
        <v>2.0101012298363633E-3</v>
      </c>
      <c r="V970" s="5">
        <f t="shared" si="370"/>
        <v>1.5262796818442321E-2</v>
      </c>
      <c r="W970" s="5">
        <f t="shared" si="371"/>
        <v>-8.1099301981024077E-4</v>
      </c>
      <c r="X970" s="5">
        <f t="shared" si="372"/>
        <v>1.0065090430905414E-3</v>
      </c>
      <c r="Y970" s="5">
        <f t="shared" si="373"/>
        <v>2.6567027384721706E-2</v>
      </c>
      <c r="Z970" s="33">
        <v>966</v>
      </c>
      <c r="AE970" s="20" t="str">
        <f t="shared" si="374"/>
        <v/>
      </c>
      <c r="AF970" s="22" t="str">
        <f t="shared" si="375"/>
        <v/>
      </c>
      <c r="AG970" s="9" t="str">
        <f t="shared" ca="1" si="354"/>
        <v/>
      </c>
      <c r="AH970" s="9" t="str">
        <f t="shared" ca="1" si="355"/>
        <v/>
      </c>
      <c r="AI970" s="9" t="str">
        <f t="shared" ca="1" si="356"/>
        <v/>
      </c>
      <c r="AJ970" s="9" t="str">
        <f t="shared" ca="1" si="357"/>
        <v/>
      </c>
      <c r="AK970" s="9" t="str">
        <f t="shared" ca="1" si="358"/>
        <v/>
      </c>
      <c r="AL970" s="9" t="str">
        <f t="shared" ca="1" si="359"/>
        <v/>
      </c>
      <c r="AM970" s="9" t="str">
        <f t="shared" ca="1" si="360"/>
        <v/>
      </c>
      <c r="AN970" s="9" t="str">
        <f t="shared" ca="1" si="361"/>
        <v/>
      </c>
      <c r="AO970" s="9" t="str">
        <f t="shared" ca="1" si="362"/>
        <v/>
      </c>
      <c r="AP970" s="9" t="str">
        <f t="shared" ca="1" si="363"/>
        <v/>
      </c>
      <c r="AQ970" s="9"/>
      <c r="AR970" s="9"/>
      <c r="AS970" s="9"/>
      <c r="AT970" s="9"/>
      <c r="AU970" s="9"/>
    </row>
    <row r="971" spans="1:47" x14ac:dyDescent="0.3">
      <c r="A971" s="1">
        <v>44867</v>
      </c>
      <c r="B971" s="6">
        <v>301.22000100000002</v>
      </c>
      <c r="C971" s="6">
        <v>281.10998499999999</v>
      </c>
      <c r="D971" s="6">
        <v>45.854999999999997</v>
      </c>
      <c r="E971" s="6">
        <v>178.240005</v>
      </c>
      <c r="F971" s="6">
        <v>111.889999</v>
      </c>
      <c r="G971" s="6">
        <v>38.840000000000003</v>
      </c>
      <c r="H971" s="6">
        <v>130.779999</v>
      </c>
      <c r="I971" s="6">
        <v>220.029999</v>
      </c>
      <c r="J971" s="6">
        <v>29.08</v>
      </c>
      <c r="K971" s="6">
        <v>12.68</v>
      </c>
      <c r="N971" s="19">
        <v>967</v>
      </c>
      <c r="O971" s="1">
        <v>44867</v>
      </c>
      <c r="P971" s="5">
        <f t="shared" si="364"/>
        <v>-4.7964569811893544E-2</v>
      </c>
      <c r="Q971" s="5">
        <f t="shared" si="365"/>
        <v>-3.5161335236367254E-2</v>
      </c>
      <c r="R971" s="5">
        <f t="shared" si="366"/>
        <v>-2.8379826046038021E-2</v>
      </c>
      <c r="S971" s="5">
        <f t="shared" si="367"/>
        <v>-1.4039172091108216E-2</v>
      </c>
      <c r="T971" s="5">
        <f t="shared" si="368"/>
        <v>-3.0888134522741015E-2</v>
      </c>
      <c r="U971" s="5">
        <f t="shared" si="369"/>
        <v>-2.5420789293273301E-2</v>
      </c>
      <c r="V971" s="5">
        <f t="shared" si="370"/>
        <v>-1.4574404244075688E-2</v>
      </c>
      <c r="W971" s="5">
        <f t="shared" si="371"/>
        <v>-8.3277060815566111E-3</v>
      </c>
      <c r="X971" s="5">
        <f t="shared" si="372"/>
        <v>-2.5128656671273834E-2</v>
      </c>
      <c r="Y971" s="5">
        <f t="shared" si="373"/>
        <v>-5.1490435837178709E-2</v>
      </c>
      <c r="Z971" s="33">
        <v>967</v>
      </c>
      <c r="AE971" s="20" t="str">
        <f t="shared" si="374"/>
        <v/>
      </c>
      <c r="AF971" s="22" t="str">
        <f t="shared" si="375"/>
        <v/>
      </c>
      <c r="AG971" s="9" t="str">
        <f t="shared" ca="1" si="354"/>
        <v/>
      </c>
      <c r="AH971" s="9" t="str">
        <f t="shared" ca="1" si="355"/>
        <v/>
      </c>
      <c r="AI971" s="9" t="str">
        <f t="shared" ca="1" si="356"/>
        <v/>
      </c>
      <c r="AJ971" s="9" t="str">
        <f t="shared" ca="1" si="357"/>
        <v/>
      </c>
      <c r="AK971" s="9" t="str">
        <f t="shared" ca="1" si="358"/>
        <v/>
      </c>
      <c r="AL971" s="9" t="str">
        <f t="shared" ca="1" si="359"/>
        <v/>
      </c>
      <c r="AM971" s="9" t="str">
        <f t="shared" ca="1" si="360"/>
        <v/>
      </c>
      <c r="AN971" s="9" t="str">
        <f t="shared" ca="1" si="361"/>
        <v/>
      </c>
      <c r="AO971" s="9" t="str">
        <f t="shared" ca="1" si="362"/>
        <v/>
      </c>
      <c r="AP971" s="9" t="str">
        <f t="shared" ca="1" si="363"/>
        <v/>
      </c>
      <c r="AQ971" s="9"/>
      <c r="AR971" s="9"/>
      <c r="AS971" s="9"/>
      <c r="AT971" s="9"/>
      <c r="AU971" s="9"/>
    </row>
    <row r="972" spans="1:47" x14ac:dyDescent="0.3">
      <c r="A972" s="1">
        <v>44868</v>
      </c>
      <c r="B972" s="6">
        <v>285.92999300000002</v>
      </c>
      <c r="C972" s="6">
        <v>279.290009</v>
      </c>
      <c r="D972" s="6">
        <v>45.544998</v>
      </c>
      <c r="E972" s="6">
        <v>177.779999</v>
      </c>
      <c r="F972" s="6">
        <v>110.08000199999999</v>
      </c>
      <c r="G972" s="6">
        <v>38.580002</v>
      </c>
      <c r="H972" s="6">
        <v>130.300003</v>
      </c>
      <c r="I972" s="6">
        <v>220.679993</v>
      </c>
      <c r="J972" s="6">
        <v>28.74</v>
      </c>
      <c r="K972" s="6">
        <v>11.97</v>
      </c>
      <c r="N972" s="18">
        <v>968</v>
      </c>
      <c r="O972" s="1">
        <v>44868</v>
      </c>
      <c r="P972" s="5">
        <f t="shared" si="364"/>
        <v>-5.2093896967407773E-2</v>
      </c>
      <c r="Q972" s="5">
        <f t="shared" si="365"/>
        <v>-6.4952977089424617E-3</v>
      </c>
      <c r="R972" s="5">
        <f t="shared" si="366"/>
        <v>-6.7834397267491561E-3</v>
      </c>
      <c r="S972" s="5">
        <f t="shared" si="367"/>
        <v>-2.5841596023842379E-3</v>
      </c>
      <c r="T972" s="5">
        <f t="shared" si="368"/>
        <v>-1.630884452864265E-2</v>
      </c>
      <c r="U972" s="5">
        <f t="shared" si="369"/>
        <v>-6.716584105210829E-3</v>
      </c>
      <c r="V972" s="5">
        <f t="shared" si="370"/>
        <v>-3.6770073321102832E-3</v>
      </c>
      <c r="W972" s="5">
        <f t="shared" si="371"/>
        <v>2.9497605368769084E-3</v>
      </c>
      <c r="X972" s="5">
        <f t="shared" si="372"/>
        <v>-1.1760772014439739E-2</v>
      </c>
      <c r="Y972" s="5">
        <f t="shared" si="373"/>
        <v>-5.7622429439197952E-2</v>
      </c>
      <c r="Z972" s="33">
        <v>968</v>
      </c>
      <c r="AE972" s="20" t="str">
        <f t="shared" si="374"/>
        <v/>
      </c>
      <c r="AF972" s="22" t="str">
        <f t="shared" si="375"/>
        <v/>
      </c>
      <c r="AG972" s="9" t="str">
        <f t="shared" ca="1" si="354"/>
        <v/>
      </c>
      <c r="AH972" s="9" t="str">
        <f t="shared" ca="1" si="355"/>
        <v/>
      </c>
      <c r="AI972" s="9" t="str">
        <f t="shared" ca="1" si="356"/>
        <v/>
      </c>
      <c r="AJ972" s="9" t="str">
        <f t="shared" ca="1" si="357"/>
        <v/>
      </c>
      <c r="AK972" s="9" t="str">
        <f t="shared" ca="1" si="358"/>
        <v/>
      </c>
      <c r="AL972" s="9" t="str">
        <f t="shared" ca="1" si="359"/>
        <v/>
      </c>
      <c r="AM972" s="9" t="str">
        <f t="shared" ca="1" si="360"/>
        <v/>
      </c>
      <c r="AN972" s="9" t="str">
        <f t="shared" ca="1" si="361"/>
        <v/>
      </c>
      <c r="AO972" s="9" t="str">
        <f t="shared" ca="1" si="362"/>
        <v/>
      </c>
      <c r="AP972" s="9" t="str">
        <f t="shared" ca="1" si="363"/>
        <v/>
      </c>
      <c r="AQ972" s="9"/>
      <c r="AR972" s="9"/>
      <c r="AS972" s="9"/>
      <c r="AT972" s="9"/>
      <c r="AU972" s="9"/>
    </row>
    <row r="973" spans="1:47" x14ac:dyDescent="0.3">
      <c r="A973" s="1">
        <v>44869</v>
      </c>
      <c r="B973" s="6">
        <v>285.75</v>
      </c>
      <c r="C973" s="6">
        <v>276.57000699999998</v>
      </c>
      <c r="D973" s="6">
        <v>48.970001000000003</v>
      </c>
      <c r="E973" s="6">
        <v>178.779999</v>
      </c>
      <c r="F973" s="6">
        <v>111.5</v>
      </c>
      <c r="G973" s="6">
        <v>38.439999</v>
      </c>
      <c r="H973" s="6">
        <v>133.05999800000001</v>
      </c>
      <c r="I973" s="6">
        <v>229.13999899999999</v>
      </c>
      <c r="J973" s="6">
        <v>29.5</v>
      </c>
      <c r="K973" s="6">
        <v>10.43</v>
      </c>
      <c r="N973" s="19">
        <v>969</v>
      </c>
      <c r="O973" s="1">
        <v>44869</v>
      </c>
      <c r="P973" s="5">
        <f t="shared" si="364"/>
        <v>-6.2969846120744131E-4</v>
      </c>
      <c r="Q973" s="5">
        <f t="shared" si="365"/>
        <v>-9.7867219508661809E-3</v>
      </c>
      <c r="R973" s="5">
        <f t="shared" si="366"/>
        <v>7.2507081850733235E-2</v>
      </c>
      <c r="S973" s="5">
        <f t="shared" si="367"/>
        <v>5.6091688776406141E-3</v>
      </c>
      <c r="T973" s="5">
        <f t="shared" si="368"/>
        <v>1.2817198546535388E-2</v>
      </c>
      <c r="U973" s="5">
        <f t="shared" si="369"/>
        <v>-3.6355012303901858E-3</v>
      </c>
      <c r="V973" s="5">
        <f t="shared" si="370"/>
        <v>2.0960632128337771E-2</v>
      </c>
      <c r="W973" s="5">
        <f t="shared" si="371"/>
        <v>3.7619509417243763E-2</v>
      </c>
      <c r="X973" s="5">
        <f t="shared" si="372"/>
        <v>2.6100382694895428E-2</v>
      </c>
      <c r="Y973" s="5">
        <f t="shared" si="373"/>
        <v>-0.13771725055720083</v>
      </c>
      <c r="Z973" s="33">
        <v>969</v>
      </c>
      <c r="AE973" s="20" t="str">
        <f t="shared" si="374"/>
        <v/>
      </c>
      <c r="AF973" s="22" t="str">
        <f t="shared" si="375"/>
        <v/>
      </c>
      <c r="AG973" s="9" t="str">
        <f t="shared" ca="1" si="354"/>
        <v/>
      </c>
      <c r="AH973" s="9" t="str">
        <f t="shared" ca="1" si="355"/>
        <v/>
      </c>
      <c r="AI973" s="9" t="str">
        <f t="shared" ca="1" si="356"/>
        <v/>
      </c>
      <c r="AJ973" s="9" t="str">
        <f t="shared" ca="1" si="357"/>
        <v/>
      </c>
      <c r="AK973" s="9" t="str">
        <f t="shared" ca="1" si="358"/>
        <v/>
      </c>
      <c r="AL973" s="9" t="str">
        <f t="shared" ca="1" si="359"/>
        <v/>
      </c>
      <c r="AM973" s="9" t="str">
        <f t="shared" ca="1" si="360"/>
        <v/>
      </c>
      <c r="AN973" s="9" t="str">
        <f t="shared" ca="1" si="361"/>
        <v/>
      </c>
      <c r="AO973" s="9" t="str">
        <f t="shared" ca="1" si="362"/>
        <v/>
      </c>
      <c r="AP973" s="9" t="str">
        <f t="shared" ca="1" si="363"/>
        <v/>
      </c>
      <c r="AQ973" s="9"/>
      <c r="AR973" s="9"/>
      <c r="AS973" s="9"/>
      <c r="AT973" s="9"/>
      <c r="AU973" s="9"/>
    </row>
    <row r="974" spans="1:47" x14ac:dyDescent="0.3">
      <c r="A974" s="1">
        <v>44872</v>
      </c>
      <c r="B974" s="6">
        <v>299.540009</v>
      </c>
      <c r="C974" s="6">
        <v>280.52999899999998</v>
      </c>
      <c r="D974" s="6">
        <v>49.450001</v>
      </c>
      <c r="E974" s="6">
        <v>180.21000699999999</v>
      </c>
      <c r="F974" s="6">
        <v>109.639999</v>
      </c>
      <c r="G974" s="6">
        <v>37.790000999999997</v>
      </c>
      <c r="H974" s="6">
        <v>134.41000399999999</v>
      </c>
      <c r="I974" s="6">
        <v>229.08999600000001</v>
      </c>
      <c r="J974" s="6">
        <v>29.860001</v>
      </c>
      <c r="K974" s="6">
        <v>10.27</v>
      </c>
      <c r="N974" s="18">
        <v>970</v>
      </c>
      <c r="O974" s="1">
        <v>44872</v>
      </c>
      <c r="P974" s="5">
        <f t="shared" si="364"/>
        <v>4.7130691935399767E-2</v>
      </c>
      <c r="Q974" s="5">
        <f t="shared" si="365"/>
        <v>1.4216688762123441E-2</v>
      </c>
      <c r="R974" s="5">
        <f t="shared" si="366"/>
        <v>9.7541921562762073E-3</v>
      </c>
      <c r="S974" s="5">
        <f t="shared" si="367"/>
        <v>7.9668823075107111E-3</v>
      </c>
      <c r="T974" s="5">
        <f t="shared" si="368"/>
        <v>-1.6822328586347274E-2</v>
      </c>
      <c r="U974" s="5">
        <f t="shared" si="369"/>
        <v>-1.7054014264099131E-2</v>
      </c>
      <c r="V974" s="5">
        <f t="shared" si="370"/>
        <v>1.0094720559818596E-2</v>
      </c>
      <c r="W974" s="5">
        <f t="shared" si="371"/>
        <v>-2.1824411646581229E-4</v>
      </c>
      <c r="X974" s="5">
        <f t="shared" si="372"/>
        <v>1.212956225488784E-2</v>
      </c>
      <c r="Y974" s="5">
        <f t="shared" si="373"/>
        <v>-1.5459245072214226E-2</v>
      </c>
      <c r="Z974" s="33">
        <v>970</v>
      </c>
      <c r="AE974" s="20" t="str">
        <f t="shared" si="374"/>
        <v/>
      </c>
      <c r="AF974" s="22" t="str">
        <f t="shared" si="375"/>
        <v/>
      </c>
      <c r="AG974" s="9" t="str">
        <f t="shared" ca="1" si="354"/>
        <v/>
      </c>
      <c r="AH974" s="9" t="str">
        <f t="shared" ca="1" si="355"/>
        <v/>
      </c>
      <c r="AI974" s="9" t="str">
        <f t="shared" ca="1" si="356"/>
        <v/>
      </c>
      <c r="AJ974" s="9" t="str">
        <f t="shared" ca="1" si="357"/>
        <v/>
      </c>
      <c r="AK974" s="9" t="str">
        <f t="shared" ca="1" si="358"/>
        <v/>
      </c>
      <c r="AL974" s="9" t="str">
        <f t="shared" ca="1" si="359"/>
        <v/>
      </c>
      <c r="AM974" s="9" t="str">
        <f t="shared" ca="1" si="360"/>
        <v/>
      </c>
      <c r="AN974" s="9" t="str">
        <f t="shared" ca="1" si="361"/>
        <v/>
      </c>
      <c r="AO974" s="9" t="str">
        <f t="shared" ca="1" si="362"/>
        <v/>
      </c>
      <c r="AP974" s="9" t="str">
        <f t="shared" ca="1" si="363"/>
        <v/>
      </c>
      <c r="AQ974" s="9"/>
      <c r="AR974" s="9"/>
      <c r="AS974" s="9"/>
      <c r="AT974" s="9"/>
      <c r="AU974" s="9"/>
    </row>
    <row r="975" spans="1:47" x14ac:dyDescent="0.3">
      <c r="A975" s="1">
        <v>44873</v>
      </c>
      <c r="B975" s="6">
        <v>302.17001299999998</v>
      </c>
      <c r="C975" s="6">
        <v>291.57998700000002</v>
      </c>
      <c r="D975" s="6">
        <v>48.93</v>
      </c>
      <c r="E975" s="6">
        <v>180.71000699999999</v>
      </c>
      <c r="F975" s="6">
        <v>109.849998</v>
      </c>
      <c r="G975" s="6">
        <v>37.610000999999997</v>
      </c>
      <c r="H975" s="6">
        <v>131.86000100000001</v>
      </c>
      <c r="I975" s="6">
        <v>228.55999800000001</v>
      </c>
      <c r="J975" s="6">
        <v>30.370000999999998</v>
      </c>
      <c r="K975" s="6">
        <v>10.06</v>
      </c>
      <c r="N975" s="19">
        <v>971</v>
      </c>
      <c r="O975" s="1">
        <v>44873</v>
      </c>
      <c r="P975" s="5">
        <f t="shared" si="364"/>
        <v>8.7418213173722434E-3</v>
      </c>
      <c r="Q975" s="5">
        <f t="shared" si="365"/>
        <v>3.8633698541214567E-2</v>
      </c>
      <c r="R975" s="5">
        <f t="shared" si="366"/>
        <v>-1.0571372990135705E-2</v>
      </c>
      <c r="S975" s="5">
        <f t="shared" si="367"/>
        <v>2.7706987724179671E-3</v>
      </c>
      <c r="T975" s="5">
        <f t="shared" si="368"/>
        <v>1.913518310147497E-3</v>
      </c>
      <c r="U975" s="5">
        <f t="shared" si="369"/>
        <v>-4.7745447525063224E-3</v>
      </c>
      <c r="V975" s="5">
        <f t="shared" si="370"/>
        <v>-1.915409857379222E-2</v>
      </c>
      <c r="W975" s="5">
        <f t="shared" si="371"/>
        <v>-2.31617281278975E-3</v>
      </c>
      <c r="X975" s="5">
        <f t="shared" si="372"/>
        <v>1.6935486384225731E-2</v>
      </c>
      <c r="Y975" s="5">
        <f t="shared" si="373"/>
        <v>-2.0659859268873572E-2</v>
      </c>
      <c r="Z975" s="33">
        <v>971</v>
      </c>
      <c r="AE975" s="20" t="str">
        <f t="shared" si="374"/>
        <v/>
      </c>
      <c r="AF975" s="22" t="str">
        <f t="shared" si="375"/>
        <v/>
      </c>
      <c r="AG975" s="9" t="str">
        <f t="shared" ca="1" si="354"/>
        <v/>
      </c>
      <c r="AH975" s="9" t="str">
        <f t="shared" ca="1" si="355"/>
        <v/>
      </c>
      <c r="AI975" s="9" t="str">
        <f t="shared" ca="1" si="356"/>
        <v/>
      </c>
      <c r="AJ975" s="9" t="str">
        <f t="shared" ca="1" si="357"/>
        <v/>
      </c>
      <c r="AK975" s="9" t="str">
        <f t="shared" ca="1" si="358"/>
        <v/>
      </c>
      <c r="AL975" s="9" t="str">
        <f t="shared" ca="1" si="359"/>
        <v/>
      </c>
      <c r="AM975" s="9" t="str">
        <f t="shared" ca="1" si="360"/>
        <v/>
      </c>
      <c r="AN975" s="9" t="str">
        <f t="shared" ca="1" si="361"/>
        <v/>
      </c>
      <c r="AO975" s="9" t="str">
        <f t="shared" ca="1" si="362"/>
        <v/>
      </c>
      <c r="AP975" s="9" t="str">
        <f t="shared" ca="1" si="363"/>
        <v/>
      </c>
      <c r="AQ975" s="9"/>
      <c r="AR975" s="9"/>
      <c r="AS975" s="9"/>
      <c r="AT975" s="9"/>
      <c r="AU975" s="9"/>
    </row>
    <row r="976" spans="1:47" x14ac:dyDescent="0.3">
      <c r="A976" s="1">
        <v>44874</v>
      </c>
      <c r="B976" s="6">
        <v>298.86999500000002</v>
      </c>
      <c r="C976" s="6">
        <v>290.07998700000002</v>
      </c>
      <c r="D976" s="6">
        <v>48.115001999999997</v>
      </c>
      <c r="E976" s="6">
        <v>178.550003</v>
      </c>
      <c r="F976" s="6">
        <v>109.370003</v>
      </c>
      <c r="G976" s="6">
        <v>37.560001</v>
      </c>
      <c r="H976" s="6">
        <v>130.21000699999999</v>
      </c>
      <c r="I976" s="6">
        <v>227.36999499999999</v>
      </c>
      <c r="J976" s="6">
        <v>29.9</v>
      </c>
      <c r="K976" s="6">
        <v>9.84</v>
      </c>
      <c r="N976" s="18">
        <v>972</v>
      </c>
      <c r="O976" s="1">
        <v>44874</v>
      </c>
      <c r="P976" s="5">
        <f t="shared" si="364"/>
        <v>-1.0981136420746858E-2</v>
      </c>
      <c r="Q976" s="5">
        <f t="shared" si="365"/>
        <v>-5.1576639006817564E-3</v>
      </c>
      <c r="R976" s="5">
        <f t="shared" si="366"/>
        <v>-1.6796684925590104E-2</v>
      </c>
      <c r="S976" s="5">
        <f t="shared" si="367"/>
        <v>-1.2024884303694758E-2</v>
      </c>
      <c r="T976" s="5">
        <f t="shared" si="368"/>
        <v>-4.3791238470142846E-3</v>
      </c>
      <c r="U976" s="5">
        <f t="shared" si="369"/>
        <v>-1.3303181067878186E-3</v>
      </c>
      <c r="V976" s="5">
        <f t="shared" si="370"/>
        <v>-1.2592175769007287E-2</v>
      </c>
      <c r="W976" s="5">
        <f t="shared" si="371"/>
        <v>-5.220124670620995E-3</v>
      </c>
      <c r="X976" s="5">
        <f t="shared" si="372"/>
        <v>-1.5596831588246964E-2</v>
      </c>
      <c r="Y976" s="5">
        <f t="shared" si="373"/>
        <v>-2.211145360743115E-2</v>
      </c>
      <c r="Z976" s="33">
        <v>972</v>
      </c>
      <c r="AE976" s="20" t="str">
        <f t="shared" si="374"/>
        <v/>
      </c>
      <c r="AF976" s="22" t="str">
        <f t="shared" si="375"/>
        <v/>
      </c>
      <c r="AG976" s="9" t="str">
        <f t="shared" ca="1" si="354"/>
        <v/>
      </c>
      <c r="AH976" s="9" t="str">
        <f t="shared" ca="1" si="355"/>
        <v/>
      </c>
      <c r="AI976" s="9" t="str">
        <f t="shared" ca="1" si="356"/>
        <v/>
      </c>
      <c r="AJ976" s="9" t="str">
        <f t="shared" ca="1" si="357"/>
        <v/>
      </c>
      <c r="AK976" s="9" t="str">
        <f t="shared" ca="1" si="358"/>
        <v/>
      </c>
      <c r="AL976" s="9" t="str">
        <f t="shared" ca="1" si="359"/>
        <v/>
      </c>
      <c r="AM976" s="9" t="str">
        <f t="shared" ca="1" si="360"/>
        <v/>
      </c>
      <c r="AN976" s="9" t="str">
        <f t="shared" ca="1" si="361"/>
        <v/>
      </c>
      <c r="AO976" s="9" t="str">
        <f t="shared" ca="1" si="362"/>
        <v/>
      </c>
      <c r="AP976" s="9" t="str">
        <f t="shared" ca="1" si="363"/>
        <v/>
      </c>
      <c r="AQ976" s="9"/>
      <c r="AR976" s="9"/>
      <c r="AS976" s="9"/>
      <c r="AT976" s="9"/>
      <c r="AU976" s="9"/>
    </row>
    <row r="977" spans="1:47" x14ac:dyDescent="0.3">
      <c r="A977" s="1">
        <v>44875</v>
      </c>
      <c r="B977" s="6">
        <v>329.95001200000002</v>
      </c>
      <c r="C977" s="6">
        <v>318.76001000000002</v>
      </c>
      <c r="D977" s="6">
        <v>49.650002000000001</v>
      </c>
      <c r="E977" s="6">
        <v>181.699997</v>
      </c>
      <c r="F977" s="6">
        <v>116.199997</v>
      </c>
      <c r="G977" s="6">
        <v>40.689999</v>
      </c>
      <c r="H977" s="6">
        <v>137.35000600000001</v>
      </c>
      <c r="I977" s="6">
        <v>236.029999</v>
      </c>
      <c r="J977" s="6">
        <v>31.07</v>
      </c>
      <c r="K977" s="6">
        <v>10.8</v>
      </c>
      <c r="N977" s="19">
        <v>973</v>
      </c>
      <c r="O977" s="1">
        <v>44875</v>
      </c>
      <c r="P977" s="5">
        <f t="shared" si="364"/>
        <v>9.8932484691631864E-2</v>
      </c>
      <c r="Q977" s="5">
        <f t="shared" si="365"/>
        <v>9.4281797709795154E-2</v>
      </c>
      <c r="R977" s="5">
        <f t="shared" si="366"/>
        <v>3.1404410397712426E-2</v>
      </c>
      <c r="S977" s="5">
        <f t="shared" si="367"/>
        <v>1.7488268048919689E-2</v>
      </c>
      <c r="T977" s="5">
        <f t="shared" si="368"/>
        <v>6.0576161823295234E-2</v>
      </c>
      <c r="U977" s="5">
        <f t="shared" si="369"/>
        <v>8.0042656473405374E-2</v>
      </c>
      <c r="V977" s="5">
        <f t="shared" si="370"/>
        <v>5.3383870725353492E-2</v>
      </c>
      <c r="W977" s="5">
        <f t="shared" si="371"/>
        <v>3.7380286852579082E-2</v>
      </c>
      <c r="X977" s="5">
        <f t="shared" si="372"/>
        <v>3.8384243008315291E-2</v>
      </c>
      <c r="Y977" s="5">
        <f t="shared" si="373"/>
        <v>9.3090423066012035E-2</v>
      </c>
      <c r="Z977" s="33">
        <v>973</v>
      </c>
      <c r="AE977" s="20" t="str">
        <f t="shared" si="374"/>
        <v/>
      </c>
      <c r="AF977" s="22" t="str">
        <f t="shared" si="375"/>
        <v/>
      </c>
      <c r="AG977" s="9" t="str">
        <f t="shared" ca="1" si="354"/>
        <v/>
      </c>
      <c r="AH977" s="9" t="str">
        <f t="shared" ca="1" si="355"/>
        <v/>
      </c>
      <c r="AI977" s="9" t="str">
        <f t="shared" ca="1" si="356"/>
        <v/>
      </c>
      <c r="AJ977" s="9" t="str">
        <f t="shared" ca="1" si="357"/>
        <v/>
      </c>
      <c r="AK977" s="9" t="str">
        <f t="shared" ca="1" si="358"/>
        <v/>
      </c>
      <c r="AL977" s="9" t="str">
        <f t="shared" ca="1" si="359"/>
        <v/>
      </c>
      <c r="AM977" s="9" t="str">
        <f t="shared" ca="1" si="360"/>
        <v/>
      </c>
      <c r="AN977" s="9" t="str">
        <f t="shared" ca="1" si="361"/>
        <v/>
      </c>
      <c r="AO977" s="9" t="str">
        <f t="shared" ca="1" si="362"/>
        <v/>
      </c>
      <c r="AP977" s="9" t="str">
        <f t="shared" ca="1" si="363"/>
        <v/>
      </c>
      <c r="AQ977" s="9"/>
      <c r="AR977" s="9"/>
      <c r="AS977" s="9"/>
      <c r="AT977" s="9"/>
      <c r="AU977" s="9"/>
    </row>
    <row r="978" spans="1:47" x14ac:dyDescent="0.3">
      <c r="A978" s="1">
        <v>44876</v>
      </c>
      <c r="B978" s="6">
        <v>341.14999399999999</v>
      </c>
      <c r="C978" s="6">
        <v>331.39999399999999</v>
      </c>
      <c r="D978" s="6">
        <v>49.060001</v>
      </c>
      <c r="E978" s="6">
        <v>178.050003</v>
      </c>
      <c r="F978" s="6">
        <v>115.230003</v>
      </c>
      <c r="G978" s="6">
        <v>40.110000999999997</v>
      </c>
      <c r="H978" s="6">
        <v>140.94000199999999</v>
      </c>
      <c r="I978" s="6">
        <v>234.30999800000001</v>
      </c>
      <c r="J978" s="6">
        <v>32.490001999999997</v>
      </c>
      <c r="K978" s="6">
        <v>11.84</v>
      </c>
      <c r="N978" s="18">
        <v>974</v>
      </c>
      <c r="O978" s="1">
        <v>44876</v>
      </c>
      <c r="P978" s="5">
        <f t="shared" si="364"/>
        <v>3.3381081475284201E-2</v>
      </c>
      <c r="Q978" s="5">
        <f t="shared" si="365"/>
        <v>3.8887586986341566E-2</v>
      </c>
      <c r="R978" s="5">
        <f t="shared" si="366"/>
        <v>-1.1954371559607392E-2</v>
      </c>
      <c r="S978" s="5">
        <f t="shared" si="367"/>
        <v>-2.0292532318407126E-2</v>
      </c>
      <c r="T978" s="5">
        <f t="shared" si="368"/>
        <v>-8.3826615394450837E-3</v>
      </c>
      <c r="U978" s="5">
        <f t="shared" si="369"/>
        <v>-1.4356632724135667E-2</v>
      </c>
      <c r="V978" s="5">
        <f t="shared" si="370"/>
        <v>2.5801825864011092E-2</v>
      </c>
      <c r="W978" s="5">
        <f t="shared" si="371"/>
        <v>-7.3138949623974131E-3</v>
      </c>
      <c r="X978" s="5">
        <f t="shared" si="372"/>
        <v>4.4689687833453243E-2</v>
      </c>
      <c r="Y978" s="5">
        <f t="shared" si="373"/>
        <v>9.1937495325685431E-2</v>
      </c>
      <c r="Z978" s="33">
        <v>974</v>
      </c>
      <c r="AE978" s="20" t="str">
        <f t="shared" si="374"/>
        <v/>
      </c>
      <c r="AF978" s="22" t="str">
        <f t="shared" si="375"/>
        <v/>
      </c>
      <c r="AG978" s="9" t="str">
        <f t="shared" ca="1" si="354"/>
        <v/>
      </c>
      <c r="AH978" s="9" t="str">
        <f t="shared" ca="1" si="355"/>
        <v/>
      </c>
      <c r="AI978" s="9" t="str">
        <f t="shared" ca="1" si="356"/>
        <v/>
      </c>
      <c r="AJ978" s="9" t="str">
        <f t="shared" ca="1" si="357"/>
        <v/>
      </c>
      <c r="AK978" s="9" t="str">
        <f t="shared" ca="1" si="358"/>
        <v/>
      </c>
      <c r="AL978" s="9" t="str">
        <f t="shared" ca="1" si="359"/>
        <v/>
      </c>
      <c r="AM978" s="9" t="str">
        <f t="shared" ca="1" si="360"/>
        <v/>
      </c>
      <c r="AN978" s="9" t="str">
        <f t="shared" ca="1" si="361"/>
        <v/>
      </c>
      <c r="AO978" s="9" t="str">
        <f t="shared" ca="1" si="362"/>
        <v/>
      </c>
      <c r="AP978" s="9" t="str">
        <f t="shared" ca="1" si="363"/>
        <v/>
      </c>
      <c r="AQ978" s="9"/>
      <c r="AR978" s="9"/>
      <c r="AS978" s="9"/>
      <c r="AT978" s="9"/>
      <c r="AU978" s="9"/>
    </row>
    <row r="979" spans="1:47" x14ac:dyDescent="0.3">
      <c r="A979" s="1">
        <v>44879</v>
      </c>
      <c r="B979" s="6">
        <v>340.36999500000002</v>
      </c>
      <c r="C979" s="6">
        <v>330.67999300000002</v>
      </c>
      <c r="D979" s="6">
        <v>48.459999000000003</v>
      </c>
      <c r="E979" s="6">
        <v>176.729996</v>
      </c>
      <c r="F979" s="6">
        <v>111.870003</v>
      </c>
      <c r="G979" s="6">
        <v>39.340000000000003</v>
      </c>
      <c r="H979" s="6">
        <v>141.259995</v>
      </c>
      <c r="I979" s="6">
        <v>233.75</v>
      </c>
      <c r="J979" s="6">
        <v>32.450001</v>
      </c>
      <c r="K979" s="6">
        <v>11.49</v>
      </c>
      <c r="N979" s="19">
        <v>975</v>
      </c>
      <c r="O979" s="1">
        <v>44879</v>
      </c>
      <c r="P979" s="5">
        <f t="shared" si="364"/>
        <v>-2.2889991582275876E-3</v>
      </c>
      <c r="Q979" s="5">
        <f t="shared" si="365"/>
        <v>-2.1749676714799093E-3</v>
      </c>
      <c r="R979" s="5">
        <f t="shared" si="366"/>
        <v>-1.2305364460743495E-2</v>
      </c>
      <c r="S979" s="5">
        <f t="shared" si="367"/>
        <v>-7.4413050046764672E-3</v>
      </c>
      <c r="T979" s="5">
        <f t="shared" si="368"/>
        <v>-2.9592647385129775E-2</v>
      </c>
      <c r="U979" s="5">
        <f t="shared" si="369"/>
        <v>-1.9383891752486594E-2</v>
      </c>
      <c r="V979" s="5">
        <f t="shared" si="370"/>
        <v>2.2678464957395566E-3</v>
      </c>
      <c r="W979" s="5">
        <f t="shared" si="371"/>
        <v>-2.3928482228443345E-3</v>
      </c>
      <c r="X979" s="5">
        <f t="shared" si="372"/>
        <v>-1.2319372716696987E-3</v>
      </c>
      <c r="Y979" s="5">
        <f t="shared" si="373"/>
        <v>-3.0006537595195244E-2</v>
      </c>
      <c r="Z979" s="33">
        <v>975</v>
      </c>
      <c r="AE979" s="20" t="str">
        <f t="shared" si="374"/>
        <v/>
      </c>
      <c r="AF979" s="22" t="str">
        <f t="shared" si="375"/>
        <v/>
      </c>
      <c r="AG979" s="9" t="str">
        <f t="shared" ca="1" si="354"/>
        <v/>
      </c>
      <c r="AH979" s="9" t="str">
        <f t="shared" ca="1" si="355"/>
        <v/>
      </c>
      <c r="AI979" s="9" t="str">
        <f t="shared" ca="1" si="356"/>
        <v/>
      </c>
      <c r="AJ979" s="9" t="str">
        <f t="shared" ca="1" si="357"/>
        <v/>
      </c>
      <c r="AK979" s="9" t="str">
        <f t="shared" ca="1" si="358"/>
        <v/>
      </c>
      <c r="AL979" s="9" t="str">
        <f t="shared" ca="1" si="359"/>
        <v/>
      </c>
      <c r="AM979" s="9" t="str">
        <f t="shared" ca="1" si="360"/>
        <v/>
      </c>
      <c r="AN979" s="9" t="str">
        <f t="shared" ca="1" si="361"/>
        <v/>
      </c>
      <c r="AO979" s="9" t="str">
        <f t="shared" ca="1" si="362"/>
        <v/>
      </c>
      <c r="AP979" s="9" t="str">
        <f t="shared" ca="1" si="363"/>
        <v/>
      </c>
      <c r="AQ979" s="9"/>
      <c r="AR979" s="9"/>
      <c r="AS979" s="9"/>
      <c r="AT979" s="9"/>
      <c r="AU979" s="9"/>
    </row>
    <row r="980" spans="1:47" x14ac:dyDescent="0.3">
      <c r="A980" s="1">
        <v>44880</v>
      </c>
      <c r="B980" s="6">
        <v>345.959991</v>
      </c>
      <c r="C980" s="6">
        <v>334.20001200000002</v>
      </c>
      <c r="D980" s="6">
        <v>49.07</v>
      </c>
      <c r="E980" s="6">
        <v>177.19000199999999</v>
      </c>
      <c r="F980" s="6">
        <v>114.629997</v>
      </c>
      <c r="G980" s="6">
        <v>39.770000000000003</v>
      </c>
      <c r="H980" s="6">
        <v>142.16000399999999</v>
      </c>
      <c r="I980" s="6">
        <v>236.30999800000001</v>
      </c>
      <c r="J980" s="6">
        <v>32.919998</v>
      </c>
      <c r="K980" s="6">
        <v>11.33</v>
      </c>
      <c r="N980" s="18">
        <v>976</v>
      </c>
      <c r="O980" s="1">
        <v>44880</v>
      </c>
      <c r="P980" s="5">
        <f t="shared" si="364"/>
        <v>1.6289888908109153E-2</v>
      </c>
      <c r="Q980" s="5">
        <f t="shared" si="365"/>
        <v>1.0588532851962068E-2</v>
      </c>
      <c r="R980" s="5">
        <f t="shared" si="366"/>
        <v>1.2509155349008226E-2</v>
      </c>
      <c r="S980" s="5">
        <f t="shared" si="367"/>
        <v>2.5994928889866934E-3</v>
      </c>
      <c r="T980" s="5">
        <f t="shared" si="368"/>
        <v>2.4372014280078968E-2</v>
      </c>
      <c r="U980" s="5">
        <f t="shared" si="369"/>
        <v>1.0871046258686299E-2</v>
      </c>
      <c r="V980" s="5">
        <f t="shared" si="370"/>
        <v>6.3510833986540442E-3</v>
      </c>
      <c r="W980" s="5">
        <f t="shared" si="371"/>
        <v>1.0892325751087275E-2</v>
      </c>
      <c r="X980" s="5">
        <f t="shared" si="372"/>
        <v>1.4379841088786257E-2</v>
      </c>
      <c r="Y980" s="5">
        <f t="shared" si="373"/>
        <v>-1.40230168207494E-2</v>
      </c>
      <c r="Z980" s="33">
        <v>976</v>
      </c>
      <c r="AE980" s="20" t="str">
        <f t="shared" si="374"/>
        <v/>
      </c>
      <c r="AF980" s="22" t="str">
        <f t="shared" si="375"/>
        <v/>
      </c>
      <c r="AG980" s="9" t="str">
        <f t="shared" ca="1" si="354"/>
        <v/>
      </c>
      <c r="AH980" s="9" t="str">
        <f t="shared" ca="1" si="355"/>
        <v/>
      </c>
      <c r="AI980" s="9" t="str">
        <f t="shared" ca="1" si="356"/>
        <v/>
      </c>
      <c r="AJ980" s="9" t="str">
        <f t="shared" ca="1" si="357"/>
        <v/>
      </c>
      <c r="AK980" s="9" t="str">
        <f t="shared" ca="1" si="358"/>
        <v/>
      </c>
      <c r="AL980" s="9" t="str">
        <f t="shared" ca="1" si="359"/>
        <v/>
      </c>
      <c r="AM980" s="9" t="str">
        <f t="shared" ca="1" si="360"/>
        <v/>
      </c>
      <c r="AN980" s="9" t="str">
        <f t="shared" ca="1" si="361"/>
        <v/>
      </c>
      <c r="AO980" s="9" t="str">
        <f t="shared" ca="1" si="362"/>
        <v/>
      </c>
      <c r="AP980" s="9" t="str">
        <f t="shared" ca="1" si="363"/>
        <v/>
      </c>
      <c r="AQ980" s="9"/>
      <c r="AR980" s="9"/>
      <c r="AS980" s="9"/>
      <c r="AT980" s="9"/>
      <c r="AU980" s="9"/>
    </row>
    <row r="981" spans="1:47" x14ac:dyDescent="0.3">
      <c r="A981" s="1">
        <v>44881</v>
      </c>
      <c r="B981" s="6">
        <v>338.41000400000001</v>
      </c>
      <c r="C981" s="6">
        <v>331.45001200000002</v>
      </c>
      <c r="D981" s="6">
        <v>49.595001000000003</v>
      </c>
      <c r="E981" s="6">
        <v>178.33000200000001</v>
      </c>
      <c r="F981" s="6">
        <v>114.30999799999999</v>
      </c>
      <c r="G981" s="6">
        <v>39.650002000000001</v>
      </c>
      <c r="H981" s="6">
        <v>141.33000200000001</v>
      </c>
      <c r="I981" s="6">
        <v>233.979996</v>
      </c>
      <c r="J981" s="6">
        <v>32.540000999999997</v>
      </c>
      <c r="K981" s="6">
        <v>10.91</v>
      </c>
      <c r="N981" s="19">
        <v>977</v>
      </c>
      <c r="O981" s="1">
        <v>44881</v>
      </c>
      <c r="P981" s="5">
        <f t="shared" si="364"/>
        <v>-2.2064945480886715E-2</v>
      </c>
      <c r="Q981" s="5">
        <f t="shared" si="365"/>
        <v>-8.2626471759797773E-3</v>
      </c>
      <c r="R981" s="5">
        <f t="shared" si="366"/>
        <v>1.0642192259467907E-2</v>
      </c>
      <c r="S981" s="5">
        <f t="shared" si="367"/>
        <v>6.4131632222881423E-3</v>
      </c>
      <c r="T981" s="5">
        <f t="shared" si="368"/>
        <v>-2.7954854143538124E-3</v>
      </c>
      <c r="U981" s="5">
        <f t="shared" si="369"/>
        <v>-3.0218606973816606E-3</v>
      </c>
      <c r="V981" s="5">
        <f t="shared" si="370"/>
        <v>-5.8556164523689488E-3</v>
      </c>
      <c r="W981" s="5">
        <f t="shared" si="371"/>
        <v>-9.9088693959065444E-3</v>
      </c>
      <c r="X981" s="5">
        <f t="shared" si="372"/>
        <v>-1.1610182533227147E-2</v>
      </c>
      <c r="Y981" s="5">
        <f t="shared" si="373"/>
        <v>-3.7774275194935501E-2</v>
      </c>
      <c r="Z981" s="33">
        <v>977</v>
      </c>
      <c r="AE981" s="20" t="str">
        <f t="shared" si="374"/>
        <v/>
      </c>
      <c r="AF981" s="22" t="str">
        <f t="shared" si="375"/>
        <v/>
      </c>
      <c r="AG981" s="9" t="str">
        <f t="shared" ca="1" si="354"/>
        <v/>
      </c>
      <c r="AH981" s="9" t="str">
        <f t="shared" ca="1" si="355"/>
        <v/>
      </c>
      <c r="AI981" s="9" t="str">
        <f t="shared" ca="1" si="356"/>
        <v/>
      </c>
      <c r="AJ981" s="9" t="str">
        <f t="shared" ca="1" si="357"/>
        <v/>
      </c>
      <c r="AK981" s="9" t="str">
        <f t="shared" ca="1" si="358"/>
        <v/>
      </c>
      <c r="AL981" s="9" t="str">
        <f t="shared" ca="1" si="359"/>
        <v/>
      </c>
      <c r="AM981" s="9" t="str">
        <f t="shared" ca="1" si="360"/>
        <v/>
      </c>
      <c r="AN981" s="9" t="str">
        <f t="shared" ca="1" si="361"/>
        <v/>
      </c>
      <c r="AO981" s="9" t="str">
        <f t="shared" ca="1" si="362"/>
        <v/>
      </c>
      <c r="AP981" s="9" t="str">
        <f t="shared" ca="1" si="363"/>
        <v/>
      </c>
      <c r="AQ981" s="9"/>
      <c r="AR981" s="9"/>
      <c r="AS981" s="9"/>
      <c r="AT981" s="9"/>
      <c r="AU981" s="9"/>
    </row>
    <row r="982" spans="1:47" x14ac:dyDescent="0.3">
      <c r="A982" s="1">
        <v>44882</v>
      </c>
      <c r="B982" s="6">
        <v>337.82998700000002</v>
      </c>
      <c r="C982" s="6">
        <v>324.26998900000001</v>
      </c>
      <c r="D982" s="6">
        <v>49.48</v>
      </c>
      <c r="E982" s="6">
        <v>180.029999</v>
      </c>
      <c r="F982" s="6">
        <v>113.519997</v>
      </c>
      <c r="G982" s="6">
        <v>39.450001</v>
      </c>
      <c r="H982" s="6">
        <v>138.979996</v>
      </c>
      <c r="I982" s="6">
        <v>234.36999499999999</v>
      </c>
      <c r="J982" s="6">
        <v>32.810001</v>
      </c>
      <c r="K982" s="6">
        <v>10.96</v>
      </c>
      <c r="N982" s="18">
        <v>978</v>
      </c>
      <c r="O982" s="1">
        <v>44882</v>
      </c>
      <c r="P982" s="5">
        <f t="shared" si="364"/>
        <v>-1.715418046705454E-3</v>
      </c>
      <c r="Q982" s="5">
        <f t="shared" si="365"/>
        <v>-2.1900536718083608E-2</v>
      </c>
      <c r="R982" s="5">
        <f t="shared" si="366"/>
        <v>-2.3214948369927775E-3</v>
      </c>
      <c r="S982" s="5">
        <f t="shared" si="367"/>
        <v>9.4877204353165743E-3</v>
      </c>
      <c r="T982" s="5">
        <f t="shared" si="368"/>
        <v>-6.935032116679154E-3</v>
      </c>
      <c r="U982" s="5">
        <f t="shared" si="369"/>
        <v>-5.056925881792307E-3</v>
      </c>
      <c r="V982" s="5">
        <f t="shared" si="370"/>
        <v>-1.6767586426275304E-2</v>
      </c>
      <c r="W982" s="5">
        <f t="shared" si="371"/>
        <v>1.6654173060173427E-3</v>
      </c>
      <c r="X982" s="5">
        <f t="shared" si="372"/>
        <v>8.2632449292238397E-3</v>
      </c>
      <c r="Y982" s="5">
        <f t="shared" si="373"/>
        <v>4.572481674890049E-3</v>
      </c>
      <c r="Z982" s="33">
        <v>978</v>
      </c>
      <c r="AE982" s="20" t="str">
        <f t="shared" si="374"/>
        <v/>
      </c>
      <c r="AF982" s="22" t="str">
        <f t="shared" si="375"/>
        <v/>
      </c>
      <c r="AG982" s="9" t="str">
        <f t="shared" ca="1" si="354"/>
        <v/>
      </c>
      <c r="AH982" s="9" t="str">
        <f t="shared" ca="1" si="355"/>
        <v/>
      </c>
      <c r="AI982" s="9" t="str">
        <f t="shared" ca="1" si="356"/>
        <v/>
      </c>
      <c r="AJ982" s="9" t="str">
        <f t="shared" ca="1" si="357"/>
        <v/>
      </c>
      <c r="AK982" s="9" t="str">
        <f t="shared" ca="1" si="358"/>
        <v/>
      </c>
      <c r="AL982" s="9" t="str">
        <f t="shared" ca="1" si="359"/>
        <v/>
      </c>
      <c r="AM982" s="9" t="str">
        <f t="shared" ca="1" si="360"/>
        <v/>
      </c>
      <c r="AN982" s="9" t="str">
        <f t="shared" ca="1" si="361"/>
        <v/>
      </c>
      <c r="AO982" s="9" t="str">
        <f t="shared" ca="1" si="362"/>
        <v/>
      </c>
      <c r="AP982" s="9" t="str">
        <f t="shared" ca="1" si="363"/>
        <v/>
      </c>
      <c r="AQ982" s="9"/>
      <c r="AR982" s="9"/>
      <c r="AS982" s="9"/>
      <c r="AT982" s="9"/>
      <c r="AU982" s="9"/>
    </row>
    <row r="983" spans="1:47" x14ac:dyDescent="0.3">
      <c r="A983" s="1">
        <v>44883</v>
      </c>
      <c r="B983" s="6">
        <v>330.85998499999999</v>
      </c>
      <c r="C983" s="6">
        <v>325.89001500000001</v>
      </c>
      <c r="D983" s="6">
        <v>49.849997999999999</v>
      </c>
      <c r="E983" s="6">
        <v>181.33000200000001</v>
      </c>
      <c r="F983" s="6">
        <v>114.82</v>
      </c>
      <c r="G983" s="6">
        <v>40.200001</v>
      </c>
      <c r="H983" s="6">
        <v>139.470001</v>
      </c>
      <c r="I983" s="6">
        <v>236.38000500000001</v>
      </c>
      <c r="J983" s="6">
        <v>33.099997999999999</v>
      </c>
      <c r="K983" s="6">
        <v>10.77</v>
      </c>
      <c r="N983" s="19">
        <v>979</v>
      </c>
      <c r="O983" s="1">
        <v>44883</v>
      </c>
      <c r="P983" s="5">
        <f t="shared" si="364"/>
        <v>-2.0847492053677568E-2</v>
      </c>
      <c r="Q983" s="5">
        <f t="shared" si="365"/>
        <v>4.9834789676968701E-3</v>
      </c>
      <c r="R983" s="5">
        <f t="shared" si="366"/>
        <v>7.4499087631983256E-3</v>
      </c>
      <c r="S983" s="5">
        <f t="shared" si="367"/>
        <v>7.1950885806473484E-3</v>
      </c>
      <c r="T983" s="5">
        <f t="shared" si="368"/>
        <v>1.1386678314765039E-2</v>
      </c>
      <c r="U983" s="5">
        <f t="shared" si="369"/>
        <v>1.8832947860171662E-2</v>
      </c>
      <c r="V983" s="5">
        <f t="shared" si="370"/>
        <v>3.5195224355423745E-3</v>
      </c>
      <c r="W983" s="5">
        <f t="shared" si="371"/>
        <v>8.5396589064817511E-3</v>
      </c>
      <c r="X983" s="5">
        <f t="shared" si="372"/>
        <v>8.799844508532103E-3</v>
      </c>
      <c r="Y983" s="5">
        <f t="shared" si="373"/>
        <v>-1.7487790351572385E-2</v>
      </c>
      <c r="Z983" s="33">
        <v>979</v>
      </c>
      <c r="AE983" s="20" t="str">
        <f t="shared" si="374"/>
        <v/>
      </c>
      <c r="AF983" s="22" t="str">
        <f t="shared" si="375"/>
        <v/>
      </c>
      <c r="AG983" s="9" t="str">
        <f t="shared" ca="1" si="354"/>
        <v/>
      </c>
      <c r="AH983" s="9" t="str">
        <f t="shared" ca="1" si="355"/>
        <v/>
      </c>
      <c r="AI983" s="9" t="str">
        <f t="shared" ca="1" si="356"/>
        <v/>
      </c>
      <c r="AJ983" s="9" t="str">
        <f t="shared" ca="1" si="357"/>
        <v/>
      </c>
      <c r="AK983" s="9" t="str">
        <f t="shared" ca="1" si="358"/>
        <v/>
      </c>
      <c r="AL983" s="9" t="str">
        <f t="shared" ca="1" si="359"/>
        <v/>
      </c>
      <c r="AM983" s="9" t="str">
        <f t="shared" ca="1" si="360"/>
        <v/>
      </c>
      <c r="AN983" s="9" t="str">
        <f t="shared" ca="1" si="361"/>
        <v/>
      </c>
      <c r="AO983" s="9" t="str">
        <f t="shared" ca="1" si="362"/>
        <v/>
      </c>
      <c r="AP983" s="9" t="str">
        <f t="shared" ca="1" si="363"/>
        <v/>
      </c>
      <c r="AQ983" s="9"/>
      <c r="AR983" s="9"/>
      <c r="AS983" s="9"/>
      <c r="AT983" s="9"/>
      <c r="AU983" s="9"/>
    </row>
    <row r="984" spans="1:47" x14ac:dyDescent="0.3">
      <c r="A984" s="1">
        <v>44886</v>
      </c>
      <c r="B984" s="6">
        <v>321.48998999999998</v>
      </c>
      <c r="C984" s="6">
        <v>324.82000699999998</v>
      </c>
      <c r="D984" s="6">
        <v>50.549999</v>
      </c>
      <c r="E984" s="6">
        <v>184.820007</v>
      </c>
      <c r="F984" s="6">
        <v>116.25</v>
      </c>
      <c r="G984" s="6">
        <v>40.310001</v>
      </c>
      <c r="H984" s="6">
        <v>140.30999800000001</v>
      </c>
      <c r="I984" s="6">
        <v>236.58999600000001</v>
      </c>
      <c r="J984" s="6">
        <v>32.799999</v>
      </c>
      <c r="K984" s="6">
        <v>10.56</v>
      </c>
      <c r="N984" s="18">
        <v>980</v>
      </c>
      <c r="O984" s="1">
        <v>44886</v>
      </c>
      <c r="P984" s="5">
        <f t="shared" si="364"/>
        <v>-2.8728871952778408E-2</v>
      </c>
      <c r="Q984" s="5">
        <f t="shared" si="365"/>
        <v>-3.2887428447153054E-3</v>
      </c>
      <c r="R984" s="5">
        <f t="shared" si="366"/>
        <v>1.3944469396601053E-2</v>
      </c>
      <c r="S984" s="5">
        <f t="shared" si="367"/>
        <v>1.9063829639033851E-2</v>
      </c>
      <c r="T984" s="5">
        <f t="shared" si="368"/>
        <v>1.2377359727974994E-2</v>
      </c>
      <c r="U984" s="5">
        <f t="shared" si="369"/>
        <v>2.7325814362171058E-3</v>
      </c>
      <c r="V984" s="5">
        <f t="shared" si="370"/>
        <v>6.0047146111493399E-3</v>
      </c>
      <c r="W984" s="5">
        <f t="shared" si="371"/>
        <v>8.8796758083563342E-4</v>
      </c>
      <c r="X984" s="5">
        <f t="shared" si="372"/>
        <v>-9.1047370577619739E-3</v>
      </c>
      <c r="Y984" s="5">
        <f t="shared" si="373"/>
        <v>-1.9691212890181709E-2</v>
      </c>
      <c r="Z984" s="33">
        <v>980</v>
      </c>
      <c r="AE984" s="20" t="str">
        <f t="shared" si="374"/>
        <v/>
      </c>
      <c r="AF984" s="22" t="str">
        <f t="shared" si="375"/>
        <v/>
      </c>
      <c r="AG984" s="9" t="str">
        <f t="shared" ca="1" si="354"/>
        <v/>
      </c>
      <c r="AH984" s="9" t="str">
        <f t="shared" ca="1" si="355"/>
        <v/>
      </c>
      <c r="AI984" s="9" t="str">
        <f t="shared" ca="1" si="356"/>
        <v/>
      </c>
      <c r="AJ984" s="9" t="str">
        <f t="shared" ca="1" si="357"/>
        <v/>
      </c>
      <c r="AK984" s="9" t="str">
        <f t="shared" ca="1" si="358"/>
        <v/>
      </c>
      <c r="AL984" s="9" t="str">
        <f t="shared" ca="1" si="359"/>
        <v/>
      </c>
      <c r="AM984" s="9" t="str">
        <f t="shared" ca="1" si="360"/>
        <v/>
      </c>
      <c r="AN984" s="9" t="str">
        <f t="shared" ca="1" si="361"/>
        <v/>
      </c>
      <c r="AO984" s="9" t="str">
        <f t="shared" ca="1" si="362"/>
        <v/>
      </c>
      <c r="AP984" s="9" t="str">
        <f t="shared" ca="1" si="363"/>
        <v/>
      </c>
      <c r="AQ984" s="9"/>
      <c r="AR984" s="9"/>
      <c r="AS984" s="9"/>
      <c r="AT984" s="9"/>
      <c r="AU984" s="9"/>
    </row>
    <row r="985" spans="1:47" x14ac:dyDescent="0.3">
      <c r="A985" s="1">
        <v>44887</v>
      </c>
      <c r="B985" s="6">
        <v>330.88000499999998</v>
      </c>
      <c r="C985" s="6">
        <v>326.959991</v>
      </c>
      <c r="D985" s="6">
        <v>51.580002</v>
      </c>
      <c r="E985" s="6">
        <v>184.83999600000001</v>
      </c>
      <c r="F985" s="6">
        <v>116.83000199999999</v>
      </c>
      <c r="G985" s="6">
        <v>40.419998</v>
      </c>
      <c r="H985" s="6">
        <v>142.14999399999999</v>
      </c>
      <c r="I985" s="6">
        <v>239.63999899999999</v>
      </c>
      <c r="J985" s="6">
        <v>33.82</v>
      </c>
      <c r="K985" s="6">
        <v>10.8</v>
      </c>
      <c r="N985" s="19">
        <v>981</v>
      </c>
      <c r="O985" s="1">
        <v>44887</v>
      </c>
      <c r="P985" s="5">
        <f t="shared" si="364"/>
        <v>2.8789379101533476E-2</v>
      </c>
      <c r="Q985" s="5">
        <f t="shared" si="365"/>
        <v>6.5666074328649083E-3</v>
      </c>
      <c r="R985" s="5">
        <f t="shared" si="366"/>
        <v>2.0171113543830319E-2</v>
      </c>
      <c r="S985" s="5">
        <f t="shared" si="367"/>
        <v>1.0814802714530133E-4</v>
      </c>
      <c r="T985" s="5">
        <f t="shared" si="368"/>
        <v>4.9768593804817487E-3</v>
      </c>
      <c r="U985" s="5">
        <f t="shared" si="369"/>
        <v>2.7250605582043916E-3</v>
      </c>
      <c r="V985" s="5">
        <f t="shared" si="370"/>
        <v>1.3028549736320684E-2</v>
      </c>
      <c r="W985" s="5">
        <f t="shared" si="371"/>
        <v>1.2809124725486284E-2</v>
      </c>
      <c r="X985" s="5">
        <f t="shared" si="372"/>
        <v>3.0623858568141569E-2</v>
      </c>
      <c r="Y985" s="5">
        <f t="shared" si="373"/>
        <v>2.2472855852058576E-2</v>
      </c>
      <c r="Z985" s="33">
        <v>981</v>
      </c>
      <c r="AE985" s="20" t="str">
        <f t="shared" si="374"/>
        <v/>
      </c>
      <c r="AF985" s="22" t="str">
        <f t="shared" si="375"/>
        <v/>
      </c>
      <c r="AG985" s="9" t="str">
        <f t="shared" ca="1" si="354"/>
        <v/>
      </c>
      <c r="AH985" s="9" t="str">
        <f t="shared" ca="1" si="355"/>
        <v/>
      </c>
      <c r="AI985" s="9" t="str">
        <f t="shared" ca="1" si="356"/>
        <v/>
      </c>
      <c r="AJ985" s="9" t="str">
        <f t="shared" ca="1" si="357"/>
        <v/>
      </c>
      <c r="AK985" s="9" t="str">
        <f t="shared" ca="1" si="358"/>
        <v/>
      </c>
      <c r="AL985" s="9" t="str">
        <f t="shared" ca="1" si="359"/>
        <v/>
      </c>
      <c r="AM985" s="9" t="str">
        <f t="shared" ca="1" si="360"/>
        <v/>
      </c>
      <c r="AN985" s="9" t="str">
        <f t="shared" ca="1" si="361"/>
        <v/>
      </c>
      <c r="AO985" s="9" t="str">
        <f t="shared" ca="1" si="362"/>
        <v/>
      </c>
      <c r="AP985" s="9" t="str">
        <f t="shared" ca="1" si="363"/>
        <v/>
      </c>
      <c r="AQ985" s="9"/>
      <c r="AR985" s="9"/>
      <c r="AS985" s="9"/>
      <c r="AT985" s="9"/>
      <c r="AU985" s="9"/>
    </row>
    <row r="986" spans="1:47" x14ac:dyDescent="0.3">
      <c r="A986" s="1">
        <v>44888</v>
      </c>
      <c r="B986" s="6">
        <v>335.77999899999998</v>
      </c>
      <c r="C986" s="6">
        <v>334.290009</v>
      </c>
      <c r="D986" s="6">
        <v>51.965000000000003</v>
      </c>
      <c r="E986" s="6">
        <v>185.08000200000001</v>
      </c>
      <c r="F986" s="6">
        <v>117.379997</v>
      </c>
      <c r="G986" s="6">
        <v>40.119999</v>
      </c>
      <c r="H986" s="6">
        <v>142.759995</v>
      </c>
      <c r="I986" s="6">
        <v>241.16999799999999</v>
      </c>
      <c r="J986" s="6">
        <v>34.220001000000003</v>
      </c>
      <c r="K986" s="6">
        <v>11.34</v>
      </c>
      <c r="N986" s="18">
        <v>982</v>
      </c>
      <c r="O986" s="1">
        <v>44888</v>
      </c>
      <c r="P986" s="5">
        <f t="shared" si="364"/>
        <v>1.4700393638883437E-2</v>
      </c>
      <c r="Q986" s="5">
        <f t="shared" si="365"/>
        <v>2.2171094920084952E-2</v>
      </c>
      <c r="R986" s="5">
        <f t="shared" si="366"/>
        <v>7.4363758124681191E-3</v>
      </c>
      <c r="S986" s="5">
        <f t="shared" si="367"/>
        <v>1.2976104832087684E-3</v>
      </c>
      <c r="T986" s="5">
        <f t="shared" si="368"/>
        <v>4.6966057242239694E-3</v>
      </c>
      <c r="U986" s="5">
        <f t="shared" si="369"/>
        <v>-7.4497243265084084E-3</v>
      </c>
      <c r="V986" s="5">
        <f t="shared" si="370"/>
        <v>4.2820677100691299E-3</v>
      </c>
      <c r="W986" s="5">
        <f t="shared" si="371"/>
        <v>6.3642776722755232E-3</v>
      </c>
      <c r="X986" s="5">
        <f t="shared" si="372"/>
        <v>1.1757954216289598E-2</v>
      </c>
      <c r="Y986" s="5">
        <f t="shared" si="373"/>
        <v>4.8790164169431834E-2</v>
      </c>
      <c r="Z986" s="33">
        <v>982</v>
      </c>
      <c r="AE986" s="20" t="str">
        <f t="shared" si="374"/>
        <v/>
      </c>
      <c r="AF986" s="22" t="str">
        <f t="shared" si="375"/>
        <v/>
      </c>
      <c r="AG986" s="9" t="str">
        <f t="shared" ca="1" si="354"/>
        <v/>
      </c>
      <c r="AH986" s="9" t="str">
        <f t="shared" ca="1" si="355"/>
        <v/>
      </c>
      <c r="AI986" s="9" t="str">
        <f t="shared" ca="1" si="356"/>
        <v/>
      </c>
      <c r="AJ986" s="9" t="str">
        <f t="shared" ca="1" si="357"/>
        <v/>
      </c>
      <c r="AK986" s="9" t="str">
        <f t="shared" ca="1" si="358"/>
        <v/>
      </c>
      <c r="AL986" s="9" t="str">
        <f t="shared" ca="1" si="359"/>
        <v/>
      </c>
      <c r="AM986" s="9" t="str">
        <f t="shared" ca="1" si="360"/>
        <v/>
      </c>
      <c r="AN986" s="9" t="str">
        <f t="shared" ca="1" si="361"/>
        <v/>
      </c>
      <c r="AO986" s="9" t="str">
        <f t="shared" ca="1" si="362"/>
        <v/>
      </c>
      <c r="AP986" s="9" t="str">
        <f t="shared" ca="1" si="363"/>
        <v/>
      </c>
      <c r="AQ986" s="9"/>
      <c r="AR986" s="9"/>
      <c r="AS986" s="9"/>
      <c r="AT986" s="9"/>
      <c r="AU986" s="9"/>
    </row>
    <row r="987" spans="1:47" x14ac:dyDescent="0.3">
      <c r="A987" s="1">
        <v>44890</v>
      </c>
      <c r="B987" s="6">
        <v>334.29998799999998</v>
      </c>
      <c r="C987" s="6">
        <v>332.64001500000001</v>
      </c>
      <c r="D987" s="6">
        <v>51.685001</v>
      </c>
      <c r="E987" s="6">
        <v>184.11000100000001</v>
      </c>
      <c r="F987" s="6">
        <v>118.129997</v>
      </c>
      <c r="G987" s="6">
        <v>40.729999999999997</v>
      </c>
      <c r="H987" s="6">
        <v>142.990005</v>
      </c>
      <c r="I987" s="6">
        <v>242.779999</v>
      </c>
      <c r="J987" s="6">
        <v>34.5</v>
      </c>
      <c r="K987" s="6">
        <v>11.47</v>
      </c>
      <c r="N987" s="19">
        <v>983</v>
      </c>
      <c r="O987" s="1">
        <v>44890</v>
      </c>
      <c r="P987" s="5">
        <f t="shared" si="364"/>
        <v>-4.4174230999611342E-3</v>
      </c>
      <c r="Q987" s="5">
        <f t="shared" si="365"/>
        <v>-4.948037446306717E-3</v>
      </c>
      <c r="R987" s="5">
        <f t="shared" si="366"/>
        <v>-5.4027916719638766E-3</v>
      </c>
      <c r="S987" s="5">
        <f t="shared" si="367"/>
        <v>-5.254764344285871E-3</v>
      </c>
      <c r="T987" s="5">
        <f t="shared" si="368"/>
        <v>6.3691779925063316E-3</v>
      </c>
      <c r="U987" s="5">
        <f t="shared" si="369"/>
        <v>1.5089983491810984E-2</v>
      </c>
      <c r="V987" s="5">
        <f t="shared" si="370"/>
        <v>1.6098691140926519E-3</v>
      </c>
      <c r="W987" s="5">
        <f t="shared" si="371"/>
        <v>6.6536086356285403E-3</v>
      </c>
      <c r="X987" s="5">
        <f t="shared" si="372"/>
        <v>8.1490263505902619E-3</v>
      </c>
      <c r="Y987" s="5">
        <f t="shared" si="373"/>
        <v>1.1398632841673391E-2</v>
      </c>
      <c r="Z987" s="33">
        <v>983</v>
      </c>
      <c r="AE987" s="20" t="str">
        <f t="shared" si="374"/>
        <v/>
      </c>
      <c r="AF987" s="22" t="str">
        <f t="shared" si="375"/>
        <v/>
      </c>
      <c r="AG987" s="9" t="str">
        <f t="shared" ca="1" si="354"/>
        <v/>
      </c>
      <c r="AH987" s="9" t="str">
        <f t="shared" ca="1" si="355"/>
        <v/>
      </c>
      <c r="AI987" s="9" t="str">
        <f t="shared" ca="1" si="356"/>
        <v/>
      </c>
      <c r="AJ987" s="9" t="str">
        <f t="shared" ca="1" si="357"/>
        <v/>
      </c>
      <c r="AK987" s="9" t="str">
        <f t="shared" ca="1" si="358"/>
        <v/>
      </c>
      <c r="AL987" s="9" t="str">
        <f t="shared" ca="1" si="359"/>
        <v/>
      </c>
      <c r="AM987" s="9" t="str">
        <f t="shared" ca="1" si="360"/>
        <v/>
      </c>
      <c r="AN987" s="9" t="str">
        <f t="shared" ca="1" si="361"/>
        <v/>
      </c>
      <c r="AO987" s="9" t="str">
        <f t="shared" ca="1" si="362"/>
        <v/>
      </c>
      <c r="AP987" s="9" t="str">
        <f t="shared" ca="1" si="363"/>
        <v/>
      </c>
      <c r="AQ987" s="9"/>
      <c r="AR987" s="9"/>
      <c r="AS987" s="9"/>
      <c r="AT987" s="9"/>
      <c r="AU987" s="9"/>
    </row>
    <row r="988" spans="1:47" x14ac:dyDescent="0.3">
      <c r="A988" s="1">
        <v>44893</v>
      </c>
      <c r="B988" s="6">
        <v>328.97000100000002</v>
      </c>
      <c r="C988" s="6">
        <v>329.11999500000002</v>
      </c>
      <c r="D988" s="6">
        <v>50.939999</v>
      </c>
      <c r="E988" s="6">
        <v>183.88999899999999</v>
      </c>
      <c r="F988" s="6">
        <v>115.209999</v>
      </c>
      <c r="G988" s="6">
        <v>39.919998</v>
      </c>
      <c r="H988" s="6">
        <v>139.33000200000001</v>
      </c>
      <c r="I988" s="6">
        <v>238.729996</v>
      </c>
      <c r="J988" s="6">
        <v>33.889999000000003</v>
      </c>
      <c r="K988" s="6">
        <v>10.92</v>
      </c>
      <c r="N988" s="18">
        <v>984</v>
      </c>
      <c r="O988" s="1">
        <v>44893</v>
      </c>
      <c r="P988" s="5">
        <f t="shared" si="364"/>
        <v>-1.6072193292964158E-2</v>
      </c>
      <c r="Q988" s="5">
        <f t="shared" si="365"/>
        <v>-1.063845849087717E-2</v>
      </c>
      <c r="R988" s="5">
        <f t="shared" si="366"/>
        <v>-1.4519173448048846E-2</v>
      </c>
      <c r="S988" s="5">
        <f t="shared" si="367"/>
        <v>-1.1956631859227536E-3</v>
      </c>
      <c r="T988" s="5">
        <f t="shared" si="368"/>
        <v>-2.5029146194517824E-2</v>
      </c>
      <c r="U988" s="5">
        <f t="shared" si="369"/>
        <v>-2.0087520317259539E-2</v>
      </c>
      <c r="V988" s="5">
        <f t="shared" si="370"/>
        <v>-2.5929498232324821E-2</v>
      </c>
      <c r="W988" s="5">
        <f t="shared" si="371"/>
        <v>-1.682248988757257E-2</v>
      </c>
      <c r="X988" s="5">
        <f t="shared" si="372"/>
        <v>-1.783936792558373E-2</v>
      </c>
      <c r="Y988" s="5">
        <f t="shared" si="373"/>
        <v>-4.9138960824520392E-2</v>
      </c>
      <c r="Z988" s="33">
        <v>984</v>
      </c>
      <c r="AE988" s="20" t="str">
        <f t="shared" si="374"/>
        <v/>
      </c>
      <c r="AF988" s="22" t="str">
        <f t="shared" si="375"/>
        <v/>
      </c>
      <c r="AG988" s="9" t="str">
        <f t="shared" ca="1" si="354"/>
        <v/>
      </c>
      <c r="AH988" s="9" t="str">
        <f t="shared" ca="1" si="355"/>
        <v/>
      </c>
      <c r="AI988" s="9" t="str">
        <f t="shared" ca="1" si="356"/>
        <v/>
      </c>
      <c r="AJ988" s="9" t="str">
        <f t="shared" ca="1" si="357"/>
        <v/>
      </c>
      <c r="AK988" s="9" t="str">
        <f t="shared" ca="1" si="358"/>
        <v/>
      </c>
      <c r="AL988" s="9" t="str">
        <f t="shared" ca="1" si="359"/>
        <v/>
      </c>
      <c r="AM988" s="9" t="str">
        <f t="shared" ca="1" si="360"/>
        <v/>
      </c>
      <c r="AN988" s="9" t="str">
        <f t="shared" ca="1" si="361"/>
        <v/>
      </c>
      <c r="AO988" s="9" t="str">
        <f t="shared" ca="1" si="362"/>
        <v/>
      </c>
      <c r="AP988" s="9" t="str">
        <f t="shared" ca="1" si="363"/>
        <v/>
      </c>
      <c r="AQ988" s="9"/>
      <c r="AR988" s="9"/>
      <c r="AS988" s="9"/>
      <c r="AT988" s="9"/>
      <c r="AU988" s="9"/>
    </row>
    <row r="989" spans="1:47" x14ac:dyDescent="0.3">
      <c r="A989" s="1">
        <v>44894</v>
      </c>
      <c r="B989" s="6">
        <v>326.77999899999998</v>
      </c>
      <c r="C989" s="6">
        <v>323.66000400000001</v>
      </c>
      <c r="D989" s="6">
        <v>49.895000000000003</v>
      </c>
      <c r="E989" s="6">
        <v>182.58999600000001</v>
      </c>
      <c r="F989" s="6">
        <v>117.75</v>
      </c>
      <c r="G989" s="6">
        <v>40.75</v>
      </c>
      <c r="H989" s="6">
        <v>139.36999499999999</v>
      </c>
      <c r="I989" s="6">
        <v>239.179993</v>
      </c>
      <c r="J989" s="6">
        <v>34.310001</v>
      </c>
      <c r="K989" s="6">
        <v>11.14</v>
      </c>
      <c r="N989" s="19">
        <v>985</v>
      </c>
      <c r="O989" s="1">
        <v>44894</v>
      </c>
      <c r="P989" s="5">
        <f t="shared" si="364"/>
        <v>-6.6794056946715887E-3</v>
      </c>
      <c r="Q989" s="5">
        <f t="shared" si="365"/>
        <v>-1.6728816265232472E-2</v>
      </c>
      <c r="R989" s="5">
        <f t="shared" si="366"/>
        <v>-2.0727652584096486E-2</v>
      </c>
      <c r="S989" s="5">
        <f t="shared" si="367"/>
        <v>-7.0945670730914292E-3</v>
      </c>
      <c r="T989" s="5">
        <f t="shared" si="368"/>
        <v>2.1807191526367148E-2</v>
      </c>
      <c r="U989" s="5">
        <f t="shared" si="369"/>
        <v>2.0578438343810224E-2</v>
      </c>
      <c r="V989" s="5">
        <f t="shared" si="370"/>
        <v>2.8699677578031247E-4</v>
      </c>
      <c r="W989" s="5">
        <f t="shared" si="371"/>
        <v>1.8831878108703051E-3</v>
      </c>
      <c r="X989" s="5">
        <f t="shared" si="372"/>
        <v>1.2316929904649117E-2</v>
      </c>
      <c r="Y989" s="5">
        <f t="shared" si="373"/>
        <v>1.9946264182379127E-2</v>
      </c>
      <c r="Z989" s="33">
        <v>985</v>
      </c>
      <c r="AE989" s="20" t="str">
        <f t="shared" si="374"/>
        <v/>
      </c>
      <c r="AF989" s="22" t="str">
        <f t="shared" si="375"/>
        <v/>
      </c>
      <c r="AG989" s="9" t="str">
        <f t="shared" ca="1" si="354"/>
        <v/>
      </c>
      <c r="AH989" s="9" t="str">
        <f t="shared" ca="1" si="355"/>
        <v/>
      </c>
      <c r="AI989" s="9" t="str">
        <f t="shared" ca="1" si="356"/>
        <v/>
      </c>
      <c r="AJ989" s="9" t="str">
        <f t="shared" ca="1" si="357"/>
        <v/>
      </c>
      <c r="AK989" s="9" t="str">
        <f t="shared" ca="1" si="358"/>
        <v/>
      </c>
      <c r="AL989" s="9" t="str">
        <f t="shared" ca="1" si="359"/>
        <v/>
      </c>
      <c r="AM989" s="9" t="str">
        <f t="shared" ca="1" si="360"/>
        <v/>
      </c>
      <c r="AN989" s="9" t="str">
        <f t="shared" ca="1" si="361"/>
        <v/>
      </c>
      <c r="AO989" s="9" t="str">
        <f t="shared" ca="1" si="362"/>
        <v/>
      </c>
      <c r="AP989" s="9" t="str">
        <f t="shared" ca="1" si="363"/>
        <v/>
      </c>
      <c r="AQ989" s="9"/>
      <c r="AR989" s="9"/>
      <c r="AS989" s="9"/>
      <c r="AT989" s="9"/>
      <c r="AU989" s="9"/>
    </row>
    <row r="990" spans="1:47" x14ac:dyDescent="0.3">
      <c r="A990" s="1">
        <v>44895</v>
      </c>
      <c r="B990" s="6">
        <v>344.92999300000002</v>
      </c>
      <c r="C990" s="6">
        <v>339.540009</v>
      </c>
      <c r="D990" s="6">
        <v>51.43</v>
      </c>
      <c r="E990" s="6">
        <v>185.509995</v>
      </c>
      <c r="F990" s="6">
        <v>120.33000199999999</v>
      </c>
      <c r="G990" s="6">
        <v>41.470001000000003</v>
      </c>
      <c r="H990" s="6">
        <v>141.949997</v>
      </c>
      <c r="I990" s="6">
        <v>240.60000600000001</v>
      </c>
      <c r="J990" s="6">
        <v>34.360000999999997</v>
      </c>
      <c r="K990" s="6">
        <v>11.4</v>
      </c>
      <c r="N990" s="18">
        <v>986</v>
      </c>
      <c r="O990" s="1">
        <v>44895</v>
      </c>
      <c r="P990" s="5">
        <f t="shared" si="364"/>
        <v>5.4054319057451998E-2</v>
      </c>
      <c r="Q990" s="5">
        <f t="shared" si="365"/>
        <v>4.7898192441549643E-2</v>
      </c>
      <c r="R990" s="5">
        <f t="shared" si="366"/>
        <v>3.0300862450548836E-2</v>
      </c>
      <c r="S990" s="5">
        <f t="shared" si="367"/>
        <v>1.586558175591983E-2</v>
      </c>
      <c r="T990" s="5">
        <f t="shared" si="368"/>
        <v>2.1674252174502823E-2</v>
      </c>
      <c r="U990" s="5">
        <f t="shared" si="369"/>
        <v>1.7514458685235167E-2</v>
      </c>
      <c r="V990" s="5">
        <f t="shared" si="370"/>
        <v>1.8342630529086738E-2</v>
      </c>
      <c r="W990" s="5">
        <f t="shared" si="371"/>
        <v>5.919451204234278E-3</v>
      </c>
      <c r="X990" s="5">
        <f t="shared" si="372"/>
        <v>1.4562402032835113E-3</v>
      </c>
      <c r="Y990" s="5">
        <f t="shared" si="373"/>
        <v>2.3071120901311835E-2</v>
      </c>
      <c r="Z990" s="33">
        <v>986</v>
      </c>
      <c r="AE990" s="20" t="str">
        <f t="shared" si="374"/>
        <v/>
      </c>
      <c r="AF990" s="22" t="str">
        <f t="shared" si="375"/>
        <v/>
      </c>
      <c r="AG990" s="9" t="str">
        <f t="shared" ca="1" si="354"/>
        <v/>
      </c>
      <c r="AH990" s="9" t="str">
        <f t="shared" ca="1" si="355"/>
        <v/>
      </c>
      <c r="AI990" s="9" t="str">
        <f t="shared" ca="1" si="356"/>
        <v/>
      </c>
      <c r="AJ990" s="9" t="str">
        <f t="shared" ca="1" si="357"/>
        <v/>
      </c>
      <c r="AK990" s="9" t="str">
        <f t="shared" ca="1" si="358"/>
        <v/>
      </c>
      <c r="AL990" s="9" t="str">
        <f t="shared" ca="1" si="359"/>
        <v/>
      </c>
      <c r="AM990" s="9" t="str">
        <f t="shared" ca="1" si="360"/>
        <v/>
      </c>
      <c r="AN990" s="9" t="str">
        <f t="shared" ca="1" si="361"/>
        <v/>
      </c>
      <c r="AO990" s="9" t="str">
        <f t="shared" ca="1" si="362"/>
        <v/>
      </c>
      <c r="AP990" s="9" t="str">
        <f t="shared" ca="1" si="363"/>
        <v/>
      </c>
      <c r="AQ990" s="9"/>
      <c r="AR990" s="9"/>
      <c r="AS990" s="9"/>
      <c r="AT990" s="9"/>
      <c r="AU990" s="9"/>
    </row>
    <row r="991" spans="1:47" x14ac:dyDescent="0.3">
      <c r="A991" s="1">
        <v>44896</v>
      </c>
      <c r="B991" s="6">
        <v>344.10998499999999</v>
      </c>
      <c r="C991" s="6">
        <v>357.83999599999999</v>
      </c>
      <c r="D991" s="6">
        <v>51.625</v>
      </c>
      <c r="E991" s="6">
        <v>185.89999399999999</v>
      </c>
      <c r="F991" s="6">
        <v>119.489998</v>
      </c>
      <c r="G991" s="6">
        <v>40.880001</v>
      </c>
      <c r="H991" s="6">
        <v>142.490005</v>
      </c>
      <c r="I991" s="6">
        <v>242.13999899999999</v>
      </c>
      <c r="J991" s="6">
        <v>34.459999000000003</v>
      </c>
      <c r="K991" s="6">
        <v>11.63</v>
      </c>
      <c r="N991" s="19">
        <v>987</v>
      </c>
      <c r="O991" s="1">
        <v>44896</v>
      </c>
      <c r="P991" s="5">
        <f t="shared" si="364"/>
        <v>-2.3801474901331949E-3</v>
      </c>
      <c r="Q991" s="5">
        <f t="shared" si="365"/>
        <v>5.2494161057475328E-2</v>
      </c>
      <c r="R991" s="5">
        <f t="shared" si="366"/>
        <v>3.7843914943719824E-3</v>
      </c>
      <c r="S991" s="5">
        <f t="shared" si="367"/>
        <v>2.1001004544243165E-3</v>
      </c>
      <c r="T991" s="5">
        <f t="shared" si="368"/>
        <v>-7.0053159471699837E-3</v>
      </c>
      <c r="U991" s="5">
        <f t="shared" si="369"/>
        <v>-1.4329328014818741E-2</v>
      </c>
      <c r="V991" s="5">
        <f t="shared" si="370"/>
        <v>3.7969951131007033E-3</v>
      </c>
      <c r="W991" s="5">
        <f t="shared" si="371"/>
        <v>6.3802386715178109E-3</v>
      </c>
      <c r="X991" s="5">
        <f t="shared" si="372"/>
        <v>2.9060758609676194E-3</v>
      </c>
      <c r="Y991" s="5">
        <f t="shared" si="373"/>
        <v>1.9974611130123231E-2</v>
      </c>
      <c r="Z991" s="33">
        <v>987</v>
      </c>
      <c r="AE991" s="20" t="str">
        <f t="shared" si="374"/>
        <v/>
      </c>
      <c r="AF991" s="22" t="str">
        <f t="shared" si="375"/>
        <v/>
      </c>
      <c r="AG991" s="9" t="str">
        <f t="shared" ca="1" si="354"/>
        <v/>
      </c>
      <c r="AH991" s="9" t="str">
        <f t="shared" ca="1" si="355"/>
        <v/>
      </c>
      <c r="AI991" s="9" t="str">
        <f t="shared" ca="1" si="356"/>
        <v/>
      </c>
      <c r="AJ991" s="9" t="str">
        <f t="shared" ca="1" si="357"/>
        <v/>
      </c>
      <c r="AK991" s="9" t="str">
        <f t="shared" ca="1" si="358"/>
        <v/>
      </c>
      <c r="AL991" s="9" t="str">
        <f t="shared" ca="1" si="359"/>
        <v/>
      </c>
      <c r="AM991" s="9" t="str">
        <f t="shared" ca="1" si="360"/>
        <v/>
      </c>
      <c r="AN991" s="9" t="str">
        <f t="shared" ca="1" si="361"/>
        <v/>
      </c>
      <c r="AO991" s="9" t="str">
        <f t="shared" ca="1" si="362"/>
        <v/>
      </c>
      <c r="AP991" s="9" t="str">
        <f t="shared" ca="1" si="363"/>
        <v/>
      </c>
      <c r="AQ991" s="9"/>
      <c r="AR991" s="9"/>
      <c r="AS991" s="9"/>
      <c r="AT991" s="9"/>
      <c r="AU991" s="9"/>
    </row>
    <row r="992" spans="1:47" x14ac:dyDescent="0.3">
      <c r="A992" s="1">
        <v>44897</v>
      </c>
      <c r="B992" s="6">
        <v>341.52999899999998</v>
      </c>
      <c r="C992" s="6">
        <v>348.17001299999998</v>
      </c>
      <c r="D992" s="6">
        <v>52.02</v>
      </c>
      <c r="E992" s="6">
        <v>185.69000199999999</v>
      </c>
      <c r="F992" s="6">
        <v>119.879997</v>
      </c>
      <c r="G992" s="6">
        <v>41</v>
      </c>
      <c r="H992" s="6">
        <v>143.490005</v>
      </c>
      <c r="I992" s="6">
        <v>244.96000699999999</v>
      </c>
      <c r="J992" s="6">
        <v>33.689999</v>
      </c>
      <c r="K992" s="6">
        <v>11.55</v>
      </c>
      <c r="N992" s="18">
        <v>988</v>
      </c>
      <c r="O992" s="1">
        <v>44897</v>
      </c>
      <c r="P992" s="5">
        <f t="shared" si="364"/>
        <v>-7.5258101547748075E-3</v>
      </c>
      <c r="Q992" s="5">
        <f t="shared" si="365"/>
        <v>-2.7395044366818389E-2</v>
      </c>
      <c r="R992" s="5">
        <f t="shared" si="366"/>
        <v>7.6222087393087896E-3</v>
      </c>
      <c r="S992" s="5">
        <f t="shared" si="367"/>
        <v>-1.1302350688375659E-3</v>
      </c>
      <c r="T992" s="5">
        <f t="shared" si="368"/>
        <v>3.2585482995770277E-3</v>
      </c>
      <c r="U992" s="5">
        <f t="shared" si="369"/>
        <v>2.9310963470195448E-3</v>
      </c>
      <c r="V992" s="5">
        <f t="shared" si="370"/>
        <v>6.9935243080698336E-3</v>
      </c>
      <c r="W992" s="5">
        <f t="shared" si="371"/>
        <v>1.157889333571523E-2</v>
      </c>
      <c r="X992" s="5">
        <f t="shared" si="372"/>
        <v>-2.2598174344567862E-2</v>
      </c>
      <c r="Y992" s="5">
        <f t="shared" si="373"/>
        <v>-6.9025295627704632E-3</v>
      </c>
      <c r="Z992" s="33">
        <v>988</v>
      </c>
      <c r="AE992" s="20" t="str">
        <f t="shared" si="374"/>
        <v/>
      </c>
      <c r="AF992" s="22" t="str">
        <f t="shared" si="375"/>
        <v/>
      </c>
      <c r="AG992" s="9" t="str">
        <f t="shared" ca="1" si="354"/>
        <v/>
      </c>
      <c r="AH992" s="9" t="str">
        <f t="shared" ca="1" si="355"/>
        <v/>
      </c>
      <c r="AI992" s="9" t="str">
        <f t="shared" ca="1" si="356"/>
        <v/>
      </c>
      <c r="AJ992" s="9" t="str">
        <f t="shared" ca="1" si="357"/>
        <v/>
      </c>
      <c r="AK992" s="9" t="str">
        <f t="shared" ca="1" si="358"/>
        <v/>
      </c>
      <c r="AL992" s="9" t="str">
        <f t="shared" ca="1" si="359"/>
        <v/>
      </c>
      <c r="AM992" s="9" t="str">
        <f t="shared" ca="1" si="360"/>
        <v/>
      </c>
      <c r="AN992" s="9" t="str">
        <f t="shared" ca="1" si="361"/>
        <v/>
      </c>
      <c r="AO992" s="9" t="str">
        <f t="shared" ca="1" si="362"/>
        <v/>
      </c>
      <c r="AP992" s="9" t="str">
        <f t="shared" ca="1" si="363"/>
        <v/>
      </c>
      <c r="AQ992" s="9"/>
      <c r="AR992" s="9"/>
      <c r="AS992" s="9"/>
      <c r="AT992" s="9"/>
      <c r="AU992" s="9"/>
    </row>
    <row r="993" spans="1:47" x14ac:dyDescent="0.3">
      <c r="A993" s="1">
        <v>44900</v>
      </c>
      <c r="B993" s="6">
        <v>334.08999599999999</v>
      </c>
      <c r="C993" s="6">
        <v>331.26998900000001</v>
      </c>
      <c r="D993" s="6">
        <v>51.084999000000003</v>
      </c>
      <c r="E993" s="6">
        <v>183.11999499999999</v>
      </c>
      <c r="F993" s="6">
        <v>116.389999</v>
      </c>
      <c r="G993" s="6">
        <v>40.25</v>
      </c>
      <c r="H993" s="6">
        <v>141.009995</v>
      </c>
      <c r="I993" s="6">
        <v>239.679993</v>
      </c>
      <c r="J993" s="6">
        <v>33.029998999999997</v>
      </c>
      <c r="K993" s="6">
        <v>11.15</v>
      </c>
      <c r="N993" s="19">
        <v>989</v>
      </c>
      <c r="O993" s="1">
        <v>44900</v>
      </c>
      <c r="P993" s="5">
        <f t="shared" si="364"/>
        <v>-2.2025114171451459E-2</v>
      </c>
      <c r="Q993" s="5">
        <f t="shared" si="365"/>
        <v>-4.9757183948853603E-2</v>
      </c>
      <c r="R993" s="5">
        <f t="shared" si="366"/>
        <v>-1.8137367552336449E-2</v>
      </c>
      <c r="S993" s="5">
        <f t="shared" si="367"/>
        <v>-1.3936979043332312E-2</v>
      </c>
      <c r="T993" s="5">
        <f t="shared" si="368"/>
        <v>-2.9544605061355627E-2</v>
      </c>
      <c r="U993" s="5">
        <f t="shared" si="369"/>
        <v>-1.8462062839735442E-2</v>
      </c>
      <c r="V993" s="5">
        <f t="shared" si="370"/>
        <v>-1.7434606815288359E-2</v>
      </c>
      <c r="W993" s="5">
        <f t="shared" si="371"/>
        <v>-2.1790289362220456E-2</v>
      </c>
      <c r="X993" s="5">
        <f t="shared" si="372"/>
        <v>-1.9784818608872098E-2</v>
      </c>
      <c r="Y993" s="5">
        <f t="shared" si="373"/>
        <v>-3.5245939061674829E-2</v>
      </c>
      <c r="Z993" s="33">
        <v>989</v>
      </c>
      <c r="AE993" s="20" t="str">
        <f t="shared" si="374"/>
        <v/>
      </c>
      <c r="AF993" s="22" t="str">
        <f t="shared" si="375"/>
        <v/>
      </c>
      <c r="AG993" s="9" t="str">
        <f t="shared" ca="1" si="354"/>
        <v/>
      </c>
      <c r="AH993" s="9" t="str">
        <f t="shared" ca="1" si="355"/>
        <v/>
      </c>
      <c r="AI993" s="9" t="str">
        <f t="shared" ca="1" si="356"/>
        <v/>
      </c>
      <c r="AJ993" s="9" t="str">
        <f t="shared" ca="1" si="357"/>
        <v/>
      </c>
      <c r="AK993" s="9" t="str">
        <f t="shared" ca="1" si="358"/>
        <v/>
      </c>
      <c r="AL993" s="9" t="str">
        <f t="shared" ca="1" si="359"/>
        <v/>
      </c>
      <c r="AM993" s="9" t="str">
        <f t="shared" ca="1" si="360"/>
        <v/>
      </c>
      <c r="AN993" s="9" t="str">
        <f t="shared" ca="1" si="361"/>
        <v/>
      </c>
      <c r="AO993" s="9" t="str">
        <f t="shared" ca="1" si="362"/>
        <v/>
      </c>
      <c r="AP993" s="9" t="str">
        <f t="shared" ca="1" si="363"/>
        <v/>
      </c>
      <c r="AQ993" s="9"/>
      <c r="AR993" s="9"/>
      <c r="AS993" s="9"/>
      <c r="AT993" s="9"/>
      <c r="AU993" s="9"/>
    </row>
    <row r="994" spans="1:47" x14ac:dyDescent="0.3">
      <c r="A994" s="1">
        <v>44901</v>
      </c>
      <c r="B994" s="6">
        <v>331.14999399999999</v>
      </c>
      <c r="C994" s="6">
        <v>328.01998900000001</v>
      </c>
      <c r="D994" s="6">
        <v>50.720001000000003</v>
      </c>
      <c r="E994" s="6">
        <v>181.63000500000001</v>
      </c>
      <c r="F994" s="6">
        <v>114.629997</v>
      </c>
      <c r="G994" s="6">
        <v>39.549999</v>
      </c>
      <c r="H994" s="6">
        <v>139.770004</v>
      </c>
      <c r="I994" s="6">
        <v>237.10000600000001</v>
      </c>
      <c r="J994" s="6">
        <v>32.68</v>
      </c>
      <c r="K994" s="6">
        <v>10.61</v>
      </c>
      <c r="N994" s="18">
        <v>990</v>
      </c>
      <c r="O994" s="1">
        <v>44901</v>
      </c>
      <c r="P994" s="5">
        <f t="shared" si="364"/>
        <v>-8.8389789712961866E-3</v>
      </c>
      <c r="Q994" s="5">
        <f t="shared" si="365"/>
        <v>-9.8591710303185063E-3</v>
      </c>
      <c r="R994" s="5">
        <f t="shared" si="366"/>
        <v>-7.170562623110428E-3</v>
      </c>
      <c r="S994" s="5">
        <f t="shared" si="367"/>
        <v>-8.1699700499672859E-3</v>
      </c>
      <c r="T994" s="5">
        <f t="shared" si="368"/>
        <v>-1.5237088406322968E-2</v>
      </c>
      <c r="U994" s="5">
        <f t="shared" si="369"/>
        <v>-1.7544334935359895E-2</v>
      </c>
      <c r="V994" s="5">
        <f t="shared" si="370"/>
        <v>-8.8325312754007554E-3</v>
      </c>
      <c r="W994" s="5">
        <f t="shared" si="371"/>
        <v>-1.082265274610905E-2</v>
      </c>
      <c r="X994" s="5">
        <f t="shared" si="372"/>
        <v>-1.065293913538852E-2</v>
      </c>
      <c r="Y994" s="5">
        <f t="shared" si="373"/>
        <v>-4.9642545280236053E-2</v>
      </c>
      <c r="Z994" s="33">
        <v>990</v>
      </c>
      <c r="AE994" s="20" t="str">
        <f t="shared" si="374"/>
        <v/>
      </c>
      <c r="AF994" s="22" t="str">
        <f t="shared" si="375"/>
        <v/>
      </c>
      <c r="AG994" s="9" t="str">
        <f t="shared" ca="1" si="354"/>
        <v/>
      </c>
      <c r="AH994" s="9" t="str">
        <f t="shared" ca="1" si="355"/>
        <v/>
      </c>
      <c r="AI994" s="9" t="str">
        <f t="shared" ca="1" si="356"/>
        <v/>
      </c>
      <c r="AJ994" s="9" t="str">
        <f t="shared" ca="1" si="357"/>
        <v/>
      </c>
      <c r="AK994" s="9" t="str">
        <f t="shared" ca="1" si="358"/>
        <v/>
      </c>
      <c r="AL994" s="9" t="str">
        <f t="shared" ca="1" si="359"/>
        <v/>
      </c>
      <c r="AM994" s="9" t="str">
        <f t="shared" ca="1" si="360"/>
        <v/>
      </c>
      <c r="AN994" s="9" t="str">
        <f t="shared" ca="1" si="361"/>
        <v/>
      </c>
      <c r="AO994" s="9" t="str">
        <f t="shared" ca="1" si="362"/>
        <v/>
      </c>
      <c r="AP994" s="9" t="str">
        <f t="shared" ca="1" si="363"/>
        <v/>
      </c>
      <c r="AQ994" s="9"/>
      <c r="AR994" s="9"/>
      <c r="AS994" s="9"/>
      <c r="AT994" s="9"/>
      <c r="AU994" s="9"/>
    </row>
    <row r="995" spans="1:47" x14ac:dyDescent="0.3">
      <c r="A995" s="1">
        <v>44902</v>
      </c>
      <c r="B995" s="6">
        <v>326.67999300000002</v>
      </c>
      <c r="C995" s="6">
        <v>323.79998799999998</v>
      </c>
      <c r="D995" s="6">
        <v>50.615001999999997</v>
      </c>
      <c r="E995" s="6">
        <v>182.179993</v>
      </c>
      <c r="F995" s="6">
        <v>114.279999</v>
      </c>
      <c r="G995" s="6">
        <v>39.409999999999997</v>
      </c>
      <c r="H995" s="6">
        <v>138.35000600000001</v>
      </c>
      <c r="I995" s="6">
        <v>236.229996</v>
      </c>
      <c r="J995" s="6">
        <v>32.099997999999999</v>
      </c>
      <c r="K995" s="6">
        <v>10.74</v>
      </c>
      <c r="N995" s="19">
        <v>991</v>
      </c>
      <c r="O995" s="1">
        <v>44902</v>
      </c>
      <c r="P995" s="5">
        <f t="shared" si="364"/>
        <v>-1.3590349749932971E-2</v>
      </c>
      <c r="Q995" s="5">
        <f t="shared" si="365"/>
        <v>-1.294854441680127E-2</v>
      </c>
      <c r="R995" s="5">
        <f t="shared" si="366"/>
        <v>-2.0723152803664522E-3</v>
      </c>
      <c r="S995" s="5">
        <f t="shared" si="367"/>
        <v>3.0234926032821478E-3</v>
      </c>
      <c r="T995" s="5">
        <f t="shared" si="368"/>
        <v>-3.0579553436237326E-3</v>
      </c>
      <c r="U995" s="5">
        <f t="shared" si="369"/>
        <v>-3.5460777223003006E-3</v>
      </c>
      <c r="V995" s="5">
        <f t="shared" si="370"/>
        <v>-1.0211493514056301E-2</v>
      </c>
      <c r="W995" s="5">
        <f t="shared" si="371"/>
        <v>-3.6761286041207481E-3</v>
      </c>
      <c r="X995" s="5">
        <f t="shared" si="372"/>
        <v>-1.7907302161129891E-2</v>
      </c>
      <c r="Y995" s="5">
        <f t="shared" si="373"/>
        <v>1.2178136454827041E-2</v>
      </c>
      <c r="Z995" s="33">
        <v>991</v>
      </c>
      <c r="AE995" s="20" t="str">
        <f t="shared" si="374"/>
        <v/>
      </c>
      <c r="AF995" s="22" t="str">
        <f t="shared" si="375"/>
        <v/>
      </c>
      <c r="AG995" s="9" t="str">
        <f t="shared" ca="1" si="354"/>
        <v/>
      </c>
      <c r="AH995" s="9" t="str">
        <f t="shared" ca="1" si="355"/>
        <v/>
      </c>
      <c r="AI995" s="9" t="str">
        <f t="shared" ca="1" si="356"/>
        <v/>
      </c>
      <c r="AJ995" s="9" t="str">
        <f t="shared" ca="1" si="357"/>
        <v/>
      </c>
      <c r="AK995" s="9" t="str">
        <f t="shared" ca="1" si="358"/>
        <v/>
      </c>
      <c r="AL995" s="9" t="str">
        <f t="shared" ca="1" si="359"/>
        <v/>
      </c>
      <c r="AM995" s="9" t="str">
        <f t="shared" ca="1" si="360"/>
        <v/>
      </c>
      <c r="AN995" s="9" t="str">
        <f t="shared" ca="1" si="361"/>
        <v/>
      </c>
      <c r="AO995" s="9" t="str">
        <f t="shared" ca="1" si="362"/>
        <v/>
      </c>
      <c r="AP995" s="9" t="str">
        <f t="shared" ca="1" si="363"/>
        <v/>
      </c>
      <c r="AQ995" s="9"/>
      <c r="AR995" s="9"/>
      <c r="AS995" s="9"/>
      <c r="AT995" s="9"/>
      <c r="AU995" s="9"/>
    </row>
    <row r="996" spans="1:47" x14ac:dyDescent="0.3">
      <c r="A996" s="1">
        <v>44903</v>
      </c>
      <c r="B996" s="6">
        <v>332.57998700000002</v>
      </c>
      <c r="C996" s="6">
        <v>330.60998499999999</v>
      </c>
      <c r="D996" s="6">
        <v>50.77</v>
      </c>
      <c r="E996" s="6">
        <v>183.779999</v>
      </c>
      <c r="F996" s="6">
        <v>116.209999</v>
      </c>
      <c r="G996" s="6">
        <v>40.150002000000001</v>
      </c>
      <c r="H996" s="6">
        <v>137.259995</v>
      </c>
      <c r="I996" s="6">
        <v>234.16000399999999</v>
      </c>
      <c r="J996" s="6">
        <v>32.150002000000001</v>
      </c>
      <c r="K996" s="6">
        <v>10.76</v>
      </c>
      <c r="N996" s="18">
        <v>992</v>
      </c>
      <c r="O996" s="1">
        <v>44903</v>
      </c>
      <c r="P996" s="5">
        <f t="shared" si="364"/>
        <v>1.7899316509050051E-2</v>
      </c>
      <c r="Q996" s="5">
        <f t="shared" si="365"/>
        <v>2.0813383409038998E-2</v>
      </c>
      <c r="R996" s="5">
        <f t="shared" si="366"/>
        <v>3.0576143946107535E-3</v>
      </c>
      <c r="S996" s="5">
        <f t="shared" si="367"/>
        <v>8.744213738324463E-3</v>
      </c>
      <c r="T996" s="5">
        <f t="shared" si="368"/>
        <v>1.6747322017536048E-2</v>
      </c>
      <c r="U996" s="5">
        <f t="shared" si="369"/>
        <v>1.8602898999057725E-2</v>
      </c>
      <c r="V996" s="5">
        <f t="shared" si="370"/>
        <v>-7.9098485479334162E-3</v>
      </c>
      <c r="W996" s="5">
        <f t="shared" si="371"/>
        <v>-8.801230307049844E-3</v>
      </c>
      <c r="X996" s="5">
        <f t="shared" si="372"/>
        <v>1.55654506135226E-3</v>
      </c>
      <c r="Y996" s="5">
        <f t="shared" si="373"/>
        <v>1.8604656529196708E-3</v>
      </c>
      <c r="Z996" s="33">
        <v>992</v>
      </c>
      <c r="AE996" s="20" t="str">
        <f t="shared" si="374"/>
        <v/>
      </c>
      <c r="AF996" s="22" t="str">
        <f t="shared" si="375"/>
        <v/>
      </c>
      <c r="AG996" s="9" t="str">
        <f t="shared" ca="1" si="354"/>
        <v/>
      </c>
      <c r="AH996" s="9" t="str">
        <f t="shared" ca="1" si="355"/>
        <v/>
      </c>
      <c r="AI996" s="9" t="str">
        <f t="shared" ca="1" si="356"/>
        <v/>
      </c>
      <c r="AJ996" s="9" t="str">
        <f t="shared" ca="1" si="357"/>
        <v/>
      </c>
      <c r="AK996" s="9" t="str">
        <f t="shared" ca="1" si="358"/>
        <v/>
      </c>
      <c r="AL996" s="9" t="str">
        <f t="shared" ca="1" si="359"/>
        <v/>
      </c>
      <c r="AM996" s="9" t="str">
        <f t="shared" ca="1" si="360"/>
        <v/>
      </c>
      <c r="AN996" s="9" t="str">
        <f t="shared" ca="1" si="361"/>
        <v/>
      </c>
      <c r="AO996" s="9" t="str">
        <f t="shared" ca="1" si="362"/>
        <v/>
      </c>
      <c r="AP996" s="9" t="str">
        <f t="shared" ca="1" si="363"/>
        <v/>
      </c>
      <c r="AQ996" s="9"/>
      <c r="AR996" s="9"/>
      <c r="AS996" s="9"/>
      <c r="AT996" s="9"/>
      <c r="AU996" s="9"/>
    </row>
    <row r="997" spans="1:47" x14ac:dyDescent="0.3">
      <c r="A997" s="1">
        <v>44904</v>
      </c>
      <c r="B997" s="6">
        <v>330.64001500000001</v>
      </c>
      <c r="C997" s="6">
        <v>325.75</v>
      </c>
      <c r="D997" s="6">
        <v>50.02</v>
      </c>
      <c r="E997" s="6">
        <v>183.10000600000001</v>
      </c>
      <c r="F997" s="6">
        <v>116</v>
      </c>
      <c r="G997" s="6">
        <v>39.889999000000003</v>
      </c>
      <c r="H997" s="6">
        <v>137.28999300000001</v>
      </c>
      <c r="I997" s="6">
        <v>233.83999600000001</v>
      </c>
      <c r="J997" s="6">
        <v>32.07</v>
      </c>
      <c r="K997" s="6">
        <v>11.09</v>
      </c>
      <c r="N997" s="19">
        <v>993</v>
      </c>
      <c r="O997" s="1">
        <v>44904</v>
      </c>
      <c r="P997" s="5">
        <f t="shared" si="364"/>
        <v>-5.8501780013902856E-3</v>
      </c>
      <c r="Q997" s="5">
        <f t="shared" si="365"/>
        <v>-1.4809171587705117E-2</v>
      </c>
      <c r="R997" s="5">
        <f t="shared" si="366"/>
        <v>-1.4882703509829993E-2</v>
      </c>
      <c r="S997" s="5">
        <f t="shared" si="367"/>
        <v>-3.7069001820071485E-3</v>
      </c>
      <c r="T997" s="5">
        <f t="shared" si="368"/>
        <v>-1.8086995233061811E-3</v>
      </c>
      <c r="U997" s="5">
        <f t="shared" si="369"/>
        <v>-6.4968493575945111E-3</v>
      </c>
      <c r="V997" s="5">
        <f t="shared" si="370"/>
        <v>2.1852486928087842E-4</v>
      </c>
      <c r="W997" s="5">
        <f t="shared" si="371"/>
        <v>-1.3675557686899822E-3</v>
      </c>
      <c r="X997" s="5">
        <f t="shared" si="372"/>
        <v>-2.4914991869610819E-3</v>
      </c>
      <c r="Y997" s="5">
        <f t="shared" si="373"/>
        <v>3.0208246628637379E-2</v>
      </c>
      <c r="Z997" s="33">
        <v>993</v>
      </c>
      <c r="AE997" s="20" t="str">
        <f t="shared" si="374"/>
        <v/>
      </c>
      <c r="AF997" s="22" t="str">
        <f t="shared" si="375"/>
        <v/>
      </c>
      <c r="AG997" s="9" t="str">
        <f t="shared" ca="1" si="354"/>
        <v/>
      </c>
      <c r="AH997" s="9" t="str">
        <f t="shared" ca="1" si="355"/>
        <v/>
      </c>
      <c r="AI997" s="9" t="str">
        <f t="shared" ca="1" si="356"/>
        <v/>
      </c>
      <c r="AJ997" s="9" t="str">
        <f t="shared" ca="1" si="357"/>
        <v/>
      </c>
      <c r="AK997" s="9" t="str">
        <f t="shared" ca="1" si="358"/>
        <v/>
      </c>
      <c r="AL997" s="9" t="str">
        <f t="shared" ca="1" si="359"/>
        <v/>
      </c>
      <c r="AM997" s="9" t="str">
        <f t="shared" ca="1" si="360"/>
        <v/>
      </c>
      <c r="AN997" s="9" t="str">
        <f t="shared" ca="1" si="361"/>
        <v/>
      </c>
      <c r="AO997" s="9" t="str">
        <f t="shared" ca="1" si="362"/>
        <v/>
      </c>
      <c r="AP997" s="9" t="str">
        <f t="shared" ca="1" si="363"/>
        <v/>
      </c>
      <c r="AQ997" s="9"/>
      <c r="AR997" s="9"/>
      <c r="AS997" s="9"/>
      <c r="AT997" s="9"/>
      <c r="AU997" s="9"/>
    </row>
    <row r="998" spans="1:47" x14ac:dyDescent="0.3">
      <c r="A998" s="1">
        <v>44907</v>
      </c>
      <c r="B998" s="6">
        <v>338.17001299999998</v>
      </c>
      <c r="C998" s="6">
        <v>334.33999599999999</v>
      </c>
      <c r="D998" s="6">
        <v>50.41</v>
      </c>
      <c r="E998" s="6">
        <v>183.970001</v>
      </c>
      <c r="F998" s="6">
        <v>116.290001</v>
      </c>
      <c r="G998" s="6">
        <v>40.299999</v>
      </c>
      <c r="H998" s="6">
        <v>140.300003</v>
      </c>
      <c r="I998" s="6">
        <v>235.679993</v>
      </c>
      <c r="J998" s="6">
        <v>32.860000999999997</v>
      </c>
      <c r="K998" s="6">
        <v>11.27</v>
      </c>
      <c r="N998" s="18">
        <v>994</v>
      </c>
      <c r="O998" s="1">
        <v>44907</v>
      </c>
      <c r="P998" s="5">
        <f t="shared" si="364"/>
        <v>2.2518550493793765E-2</v>
      </c>
      <c r="Q998" s="5">
        <f t="shared" si="365"/>
        <v>2.6028211305660895E-2</v>
      </c>
      <c r="R998" s="5">
        <f t="shared" si="366"/>
        <v>7.7666426450663682E-3</v>
      </c>
      <c r="S998" s="5">
        <f t="shared" si="367"/>
        <v>4.7402218239176088E-3</v>
      </c>
      <c r="T998" s="5">
        <f t="shared" si="368"/>
        <v>2.4968887977788469E-3</v>
      </c>
      <c r="U998" s="5">
        <f t="shared" si="369"/>
        <v>1.0225803290365749E-2</v>
      </c>
      <c r="V998" s="5">
        <f t="shared" si="370"/>
        <v>2.1687582568615884E-2</v>
      </c>
      <c r="W998" s="5">
        <f t="shared" si="371"/>
        <v>7.8378193157527219E-3</v>
      </c>
      <c r="X998" s="5">
        <f t="shared" si="372"/>
        <v>2.433512933619434E-2</v>
      </c>
      <c r="Y998" s="5">
        <f t="shared" si="373"/>
        <v>1.6100526689409138E-2</v>
      </c>
      <c r="Z998" s="33">
        <v>994</v>
      </c>
      <c r="AE998" s="20" t="str">
        <f t="shared" si="374"/>
        <v/>
      </c>
      <c r="AF998" s="22" t="str">
        <f t="shared" si="375"/>
        <v/>
      </c>
      <c r="AG998" s="9" t="str">
        <f t="shared" ca="1" si="354"/>
        <v/>
      </c>
      <c r="AH998" s="9" t="str">
        <f t="shared" ca="1" si="355"/>
        <v/>
      </c>
      <c r="AI998" s="9" t="str">
        <f t="shared" ca="1" si="356"/>
        <v/>
      </c>
      <c r="AJ998" s="9" t="str">
        <f t="shared" ca="1" si="357"/>
        <v/>
      </c>
      <c r="AK998" s="9" t="str">
        <f t="shared" ca="1" si="358"/>
        <v/>
      </c>
      <c r="AL998" s="9" t="str">
        <f t="shared" ca="1" si="359"/>
        <v/>
      </c>
      <c r="AM998" s="9" t="str">
        <f t="shared" ca="1" si="360"/>
        <v/>
      </c>
      <c r="AN998" s="9" t="str">
        <f t="shared" ca="1" si="361"/>
        <v/>
      </c>
      <c r="AO998" s="9" t="str">
        <f t="shared" ca="1" si="362"/>
        <v/>
      </c>
      <c r="AP998" s="9" t="str">
        <f t="shared" ca="1" si="363"/>
        <v/>
      </c>
      <c r="AQ998" s="9"/>
      <c r="AR998" s="9"/>
      <c r="AS998" s="9"/>
      <c r="AT998" s="9"/>
      <c r="AU998" s="9"/>
    </row>
    <row r="999" spans="1:47" x14ac:dyDescent="0.3">
      <c r="A999" s="1">
        <v>44908</v>
      </c>
      <c r="B999" s="6">
        <v>342.459991</v>
      </c>
      <c r="C999" s="6">
        <v>338.13000499999998</v>
      </c>
      <c r="D999" s="6">
        <v>50.220001000000003</v>
      </c>
      <c r="E999" s="6">
        <v>183.86999499999999</v>
      </c>
      <c r="F999" s="6">
        <v>118.44000200000001</v>
      </c>
      <c r="G999" s="6">
        <v>40.889999000000003</v>
      </c>
      <c r="H999" s="6">
        <v>142.58999600000001</v>
      </c>
      <c r="I999" s="6">
        <v>236.21000699999999</v>
      </c>
      <c r="J999" s="6">
        <v>33.479999999999997</v>
      </c>
      <c r="K999" s="6">
        <v>10.89</v>
      </c>
      <c r="N999" s="19">
        <v>995</v>
      </c>
      <c r="O999" s="1">
        <v>44908</v>
      </c>
      <c r="P999" s="5">
        <f t="shared" si="364"/>
        <v>1.2606070216551874E-2</v>
      </c>
      <c r="Q999" s="5">
        <f t="shared" si="365"/>
        <v>1.1272024398693323E-2</v>
      </c>
      <c r="R999" s="5">
        <f t="shared" si="366"/>
        <v>-3.7761944527150517E-3</v>
      </c>
      <c r="S999" s="5">
        <f t="shared" si="367"/>
        <v>-5.4374730073671268E-4</v>
      </c>
      <c r="T999" s="5">
        <f t="shared" si="368"/>
        <v>1.8319440215434048E-2</v>
      </c>
      <c r="U999" s="5">
        <f t="shared" si="369"/>
        <v>1.4534065781952304E-2</v>
      </c>
      <c r="V999" s="5">
        <f t="shared" si="370"/>
        <v>1.6190342750403059E-2</v>
      </c>
      <c r="W999" s="5">
        <f t="shared" si="371"/>
        <v>2.2463464912335206E-3</v>
      </c>
      <c r="X999" s="5">
        <f t="shared" si="372"/>
        <v>1.86921025800167E-2</v>
      </c>
      <c r="Y999" s="5">
        <f t="shared" si="373"/>
        <v>-3.4299391106815701E-2</v>
      </c>
      <c r="Z999" s="33">
        <v>995</v>
      </c>
      <c r="AE999" s="20" t="str">
        <f t="shared" si="374"/>
        <v/>
      </c>
      <c r="AF999" s="22" t="str">
        <f t="shared" si="375"/>
        <v/>
      </c>
      <c r="AG999" s="9" t="str">
        <f t="shared" ca="1" si="354"/>
        <v/>
      </c>
      <c r="AH999" s="9" t="str">
        <f t="shared" ca="1" si="355"/>
        <v/>
      </c>
      <c r="AI999" s="9" t="str">
        <f t="shared" ca="1" si="356"/>
        <v/>
      </c>
      <c r="AJ999" s="9" t="str">
        <f t="shared" ca="1" si="357"/>
        <v/>
      </c>
      <c r="AK999" s="9" t="str">
        <f t="shared" ca="1" si="358"/>
        <v/>
      </c>
      <c r="AL999" s="9" t="str">
        <f t="shared" ca="1" si="359"/>
        <v/>
      </c>
      <c r="AM999" s="9" t="str">
        <f t="shared" ca="1" si="360"/>
        <v/>
      </c>
      <c r="AN999" s="9" t="str">
        <f t="shared" ca="1" si="361"/>
        <v/>
      </c>
      <c r="AO999" s="9" t="str">
        <f t="shared" ca="1" si="362"/>
        <v/>
      </c>
      <c r="AP999" s="9" t="str">
        <f t="shared" ca="1" si="363"/>
        <v/>
      </c>
      <c r="AQ999" s="9"/>
      <c r="AR999" s="9"/>
      <c r="AS999" s="9"/>
      <c r="AT999" s="9"/>
      <c r="AU999" s="9"/>
    </row>
    <row r="1000" spans="1:47" x14ac:dyDescent="0.3">
      <c r="A1000" s="1">
        <v>44909</v>
      </c>
      <c r="B1000" s="6">
        <v>339.92001299999998</v>
      </c>
      <c r="C1000" s="6">
        <v>332.02999899999998</v>
      </c>
      <c r="D1000" s="6">
        <v>50.950001</v>
      </c>
      <c r="E1000" s="6">
        <v>183.36000100000001</v>
      </c>
      <c r="F1000" s="6">
        <v>116.779999</v>
      </c>
      <c r="G1000" s="6">
        <v>40.580002</v>
      </c>
      <c r="H1000" s="6">
        <v>140.699997</v>
      </c>
      <c r="I1000" s="6">
        <v>233</v>
      </c>
      <c r="J1000" s="6">
        <v>33.450001</v>
      </c>
      <c r="K1000" s="6">
        <v>10.98</v>
      </c>
      <c r="N1000" s="18">
        <v>996</v>
      </c>
      <c r="O1000" s="1">
        <v>44909</v>
      </c>
      <c r="P1000" s="5">
        <f t="shared" si="364"/>
        <v>-7.4445022295350693E-3</v>
      </c>
      <c r="Q1000" s="5">
        <f t="shared" si="365"/>
        <v>-1.8205128441162777E-2</v>
      </c>
      <c r="R1000" s="5">
        <f t="shared" si="366"/>
        <v>1.4431405653994788E-2</v>
      </c>
      <c r="S1000" s="5">
        <f t="shared" si="367"/>
        <v>-2.7775199924971465E-3</v>
      </c>
      <c r="T1000" s="5">
        <f t="shared" si="368"/>
        <v>-1.4114705827296169E-2</v>
      </c>
      <c r="U1000" s="5">
        <f t="shared" si="369"/>
        <v>-7.6101262376637776E-3</v>
      </c>
      <c r="V1000" s="5">
        <f t="shared" si="370"/>
        <v>-1.3343408443187876E-2</v>
      </c>
      <c r="W1000" s="5">
        <f t="shared" si="371"/>
        <v>-1.36828159385626E-2</v>
      </c>
      <c r="X1000" s="5">
        <f t="shared" si="372"/>
        <v>-8.9642915167124633E-4</v>
      </c>
      <c r="Y1000" s="5">
        <f t="shared" si="373"/>
        <v>8.2304991365154435E-3</v>
      </c>
      <c r="Z1000" s="33">
        <v>996</v>
      </c>
      <c r="AE1000" s="20" t="str">
        <f t="shared" si="374"/>
        <v/>
      </c>
      <c r="AF1000" s="22" t="str">
        <f t="shared" si="375"/>
        <v/>
      </c>
      <c r="AG1000" s="9" t="str">
        <f t="shared" ca="1" si="354"/>
        <v/>
      </c>
      <c r="AH1000" s="9" t="str">
        <f t="shared" ca="1" si="355"/>
        <v/>
      </c>
      <c r="AI1000" s="9" t="str">
        <f t="shared" ca="1" si="356"/>
        <v/>
      </c>
      <c r="AJ1000" s="9" t="str">
        <f t="shared" ca="1" si="357"/>
        <v/>
      </c>
      <c r="AK1000" s="9" t="str">
        <f t="shared" ca="1" si="358"/>
        <v/>
      </c>
      <c r="AL1000" s="9" t="str">
        <f t="shared" ca="1" si="359"/>
        <v/>
      </c>
      <c r="AM1000" s="9" t="str">
        <f t="shared" ca="1" si="360"/>
        <v/>
      </c>
      <c r="AN1000" s="9" t="str">
        <f t="shared" ca="1" si="361"/>
        <v/>
      </c>
      <c r="AO1000" s="9" t="str">
        <f t="shared" ca="1" si="362"/>
        <v/>
      </c>
      <c r="AP1000" s="9" t="str">
        <f t="shared" ca="1" si="363"/>
        <v/>
      </c>
      <c r="AQ1000" s="9"/>
      <c r="AR1000" s="9"/>
      <c r="AS1000" s="9"/>
      <c r="AT1000" s="9"/>
      <c r="AU1000" s="9"/>
    </row>
    <row r="1001" spans="1:47" x14ac:dyDescent="0.3">
      <c r="A1001" s="1">
        <v>44910</v>
      </c>
      <c r="B1001" s="6">
        <v>328.709991</v>
      </c>
      <c r="C1001" s="6">
        <v>323.82000699999998</v>
      </c>
      <c r="D1001" s="6">
        <v>49.825001</v>
      </c>
      <c r="E1001" s="6">
        <v>180.25</v>
      </c>
      <c r="F1001" s="6">
        <v>114.730003</v>
      </c>
      <c r="G1001" s="6">
        <v>40.369999</v>
      </c>
      <c r="H1001" s="6">
        <v>134.679993</v>
      </c>
      <c r="I1001" s="6">
        <v>230.33000200000001</v>
      </c>
      <c r="J1001" s="6">
        <v>32.619999</v>
      </c>
      <c r="K1001" s="6">
        <v>10</v>
      </c>
      <c r="N1001" s="19">
        <v>997</v>
      </c>
      <c r="O1001" s="1">
        <v>44910</v>
      </c>
      <c r="P1001" s="5">
        <f t="shared" si="364"/>
        <v>-3.3534458345194064E-2</v>
      </c>
      <c r="Q1001" s="5">
        <f t="shared" si="365"/>
        <v>-2.5037495792592183E-2</v>
      </c>
      <c r="R1001" s="5">
        <f t="shared" si="366"/>
        <v>-2.2327893126714873E-2</v>
      </c>
      <c r="S1001" s="5">
        <f t="shared" si="367"/>
        <v>-1.7106662815068494E-2</v>
      </c>
      <c r="T1001" s="5">
        <f t="shared" si="368"/>
        <v>-1.7710246332881822E-2</v>
      </c>
      <c r="U1001" s="5">
        <f t="shared" si="369"/>
        <v>-5.1884735890500352E-3</v>
      </c>
      <c r="V1001" s="5">
        <f t="shared" si="370"/>
        <v>-4.3728400480561085E-2</v>
      </c>
      <c r="W1001" s="5">
        <f t="shared" si="371"/>
        <v>-1.1525381667692869E-2</v>
      </c>
      <c r="X1001" s="5">
        <f t="shared" si="372"/>
        <v>-2.512624993277509E-2</v>
      </c>
      <c r="Y1001" s="5">
        <f t="shared" si="373"/>
        <v>-9.3490343087338917E-2</v>
      </c>
      <c r="Z1001" s="33">
        <v>997</v>
      </c>
      <c r="AE1001" s="20" t="str">
        <f t="shared" si="374"/>
        <v/>
      </c>
      <c r="AF1001" s="22" t="str">
        <f t="shared" si="375"/>
        <v/>
      </c>
      <c r="AG1001" s="9" t="str">
        <f t="shared" ca="1" si="354"/>
        <v/>
      </c>
      <c r="AH1001" s="9" t="str">
        <f t="shared" ca="1" si="355"/>
        <v/>
      </c>
      <c r="AI1001" s="9" t="str">
        <f t="shared" ca="1" si="356"/>
        <v/>
      </c>
      <c r="AJ1001" s="9" t="str">
        <f t="shared" ca="1" si="357"/>
        <v/>
      </c>
      <c r="AK1001" s="9" t="str">
        <f t="shared" ca="1" si="358"/>
        <v/>
      </c>
      <c r="AL1001" s="9" t="str">
        <f t="shared" ca="1" si="359"/>
        <v/>
      </c>
      <c r="AM1001" s="9" t="str">
        <f t="shared" ca="1" si="360"/>
        <v/>
      </c>
      <c r="AN1001" s="9" t="str">
        <f t="shared" ca="1" si="361"/>
        <v/>
      </c>
      <c r="AO1001" s="9" t="str">
        <f t="shared" ca="1" si="362"/>
        <v/>
      </c>
      <c r="AP1001" s="9" t="str">
        <f t="shared" ca="1" si="363"/>
        <v/>
      </c>
      <c r="AQ1001" s="9"/>
      <c r="AR1001" s="9"/>
      <c r="AS1001" s="9"/>
      <c r="AT1001" s="9"/>
      <c r="AU1001" s="9"/>
    </row>
    <row r="1002" spans="1:47" x14ac:dyDescent="0.3">
      <c r="A1002" s="1">
        <v>44911</v>
      </c>
      <c r="B1002" s="6">
        <v>338.540009</v>
      </c>
      <c r="C1002" s="6">
        <v>329.11999500000002</v>
      </c>
      <c r="D1002" s="6">
        <v>50.389999000000003</v>
      </c>
      <c r="E1002" s="6">
        <v>180.33999600000001</v>
      </c>
      <c r="F1002" s="6">
        <v>112.199997</v>
      </c>
      <c r="G1002" s="6">
        <v>39.119999</v>
      </c>
      <c r="H1002" s="6">
        <v>133.479996</v>
      </c>
      <c r="I1002" s="6">
        <v>225.720001</v>
      </c>
      <c r="J1002" s="6">
        <v>32.459999000000003</v>
      </c>
      <c r="K1002" s="6">
        <v>9.91</v>
      </c>
      <c r="N1002" s="18">
        <v>998</v>
      </c>
      <c r="O1002" s="1">
        <v>44911</v>
      </c>
      <c r="P1002" s="5">
        <f t="shared" si="364"/>
        <v>2.9466404640043044E-2</v>
      </c>
      <c r="Q1002" s="5">
        <f t="shared" si="365"/>
        <v>1.623458323706584E-2</v>
      </c>
      <c r="R1002" s="5">
        <f t="shared" si="366"/>
        <v>1.1275836678195034E-2</v>
      </c>
      <c r="S1002" s="5">
        <f t="shared" si="367"/>
        <v>4.9915972637598789E-4</v>
      </c>
      <c r="T1002" s="5">
        <f t="shared" si="368"/>
        <v>-2.2298601608771902E-2</v>
      </c>
      <c r="U1002" s="5">
        <f t="shared" si="369"/>
        <v>-3.1453090489735568E-2</v>
      </c>
      <c r="V1002" s="5">
        <f t="shared" si="370"/>
        <v>-8.9499184016838436E-3</v>
      </c>
      <c r="W1002" s="5">
        <f t="shared" si="371"/>
        <v>-2.0217774366800847E-2</v>
      </c>
      <c r="X1002" s="5">
        <f t="shared" si="372"/>
        <v>-4.9170352575306237E-3</v>
      </c>
      <c r="Y1002" s="5">
        <f t="shared" si="373"/>
        <v>-9.0407446521490707E-3</v>
      </c>
      <c r="Z1002" s="33">
        <v>998</v>
      </c>
      <c r="AE1002" s="20" t="str">
        <f t="shared" si="374"/>
        <v/>
      </c>
      <c r="AF1002" s="22" t="str">
        <f t="shared" si="375"/>
        <v/>
      </c>
      <c r="AG1002" s="9" t="str">
        <f t="shared" ca="1" si="354"/>
        <v/>
      </c>
      <c r="AH1002" s="9" t="str">
        <f t="shared" ca="1" si="355"/>
        <v/>
      </c>
      <c r="AI1002" s="9" t="str">
        <f t="shared" ca="1" si="356"/>
        <v/>
      </c>
      <c r="AJ1002" s="9" t="str">
        <f t="shared" ca="1" si="357"/>
        <v/>
      </c>
      <c r="AK1002" s="9" t="str">
        <f t="shared" ca="1" si="358"/>
        <v/>
      </c>
      <c r="AL1002" s="9" t="str">
        <f t="shared" ca="1" si="359"/>
        <v/>
      </c>
      <c r="AM1002" s="9" t="str">
        <f t="shared" ca="1" si="360"/>
        <v/>
      </c>
      <c r="AN1002" s="9" t="str">
        <f t="shared" ca="1" si="361"/>
        <v/>
      </c>
      <c r="AO1002" s="9" t="str">
        <f t="shared" ca="1" si="362"/>
        <v/>
      </c>
      <c r="AP1002" s="9" t="str">
        <f t="shared" ca="1" si="363"/>
        <v/>
      </c>
      <c r="AQ1002" s="9"/>
      <c r="AR1002" s="9"/>
      <c r="AS1002" s="9"/>
      <c r="AT1002" s="9"/>
      <c r="AU1002" s="9"/>
    </row>
    <row r="1003" spans="1:47" x14ac:dyDescent="0.3">
      <c r="A1003" s="1">
        <v>44914</v>
      </c>
      <c r="B1003" s="6">
        <v>328.76001000000002</v>
      </c>
      <c r="C1003" s="6">
        <v>323.39001500000001</v>
      </c>
      <c r="D1003" s="6">
        <v>50.209999000000003</v>
      </c>
      <c r="E1003" s="6">
        <v>181.33999600000001</v>
      </c>
      <c r="F1003" s="6">
        <v>110.389999</v>
      </c>
      <c r="G1003" s="6">
        <v>38.450001</v>
      </c>
      <c r="H1003" s="6">
        <v>132.38000500000001</v>
      </c>
      <c r="I1003" s="6">
        <v>224.13000500000001</v>
      </c>
      <c r="J1003" s="6">
        <v>32.169998</v>
      </c>
      <c r="K1003" s="6">
        <v>9.25</v>
      </c>
      <c r="N1003" s="19">
        <v>999</v>
      </c>
      <c r="O1003" s="1">
        <v>44914</v>
      </c>
      <c r="P1003" s="5">
        <f t="shared" si="364"/>
        <v>-2.9314248648072468E-2</v>
      </c>
      <c r="Q1003" s="5">
        <f t="shared" si="365"/>
        <v>-1.7563339123561939E-2</v>
      </c>
      <c r="R1003" s="5">
        <f t="shared" si="366"/>
        <v>-3.5785327170364829E-3</v>
      </c>
      <c r="S1003" s="5">
        <f t="shared" si="367"/>
        <v>5.52976426846284E-3</v>
      </c>
      <c r="T1003" s="5">
        <f t="shared" si="368"/>
        <v>-1.6263425379158883E-2</v>
      </c>
      <c r="U1003" s="5">
        <f t="shared" si="369"/>
        <v>-1.7275097644789079E-2</v>
      </c>
      <c r="V1003" s="5">
        <f t="shared" si="370"/>
        <v>-8.275011455304496E-3</v>
      </c>
      <c r="W1003" s="5">
        <f t="shared" si="371"/>
        <v>-7.0690345669058713E-3</v>
      </c>
      <c r="X1003" s="5">
        <f t="shared" si="372"/>
        <v>-8.9742521980878068E-3</v>
      </c>
      <c r="Y1003" s="5">
        <f t="shared" si="373"/>
        <v>-6.8920796817562816E-2</v>
      </c>
      <c r="Z1003" s="33">
        <v>999</v>
      </c>
      <c r="AE1003" s="20" t="str">
        <f t="shared" si="374"/>
        <v/>
      </c>
      <c r="AF1003" s="22" t="str">
        <f t="shared" si="375"/>
        <v/>
      </c>
      <c r="AG1003" s="9" t="str">
        <f t="shared" ca="1" si="354"/>
        <v/>
      </c>
      <c r="AH1003" s="9" t="str">
        <f t="shared" ca="1" si="355"/>
        <v/>
      </c>
      <c r="AI1003" s="9" t="str">
        <f t="shared" ca="1" si="356"/>
        <v/>
      </c>
      <c r="AJ1003" s="9" t="str">
        <f t="shared" ca="1" si="357"/>
        <v/>
      </c>
      <c r="AK1003" s="9" t="str">
        <f t="shared" ca="1" si="358"/>
        <v/>
      </c>
      <c r="AL1003" s="9" t="str">
        <f t="shared" ca="1" si="359"/>
        <v/>
      </c>
      <c r="AM1003" s="9" t="str">
        <f t="shared" ca="1" si="360"/>
        <v/>
      </c>
      <c r="AN1003" s="9" t="str">
        <f t="shared" ca="1" si="361"/>
        <v/>
      </c>
      <c r="AO1003" s="9" t="str">
        <f t="shared" ca="1" si="362"/>
        <v/>
      </c>
      <c r="AP1003" s="9" t="str">
        <f t="shared" ca="1" si="363"/>
        <v/>
      </c>
      <c r="AQ1003" s="9"/>
      <c r="AR1003" s="9"/>
      <c r="AS1003" s="9"/>
      <c r="AT1003" s="9"/>
      <c r="AU1003" s="9"/>
    </row>
    <row r="1004" spans="1:47" x14ac:dyDescent="0.3">
      <c r="A1004" s="1">
        <v>44915</v>
      </c>
      <c r="B1004" s="6">
        <v>338.22000100000002</v>
      </c>
      <c r="C1004" s="6">
        <v>324.42999300000002</v>
      </c>
      <c r="D1004" s="6">
        <v>50.580002</v>
      </c>
      <c r="E1004" s="6">
        <v>181.229996</v>
      </c>
      <c r="F1004" s="6">
        <v>109.800003</v>
      </c>
      <c r="G1004" s="6">
        <v>38.009998000000003</v>
      </c>
      <c r="H1004" s="6">
        <v>133.25</v>
      </c>
      <c r="I1004" s="6">
        <v>224.66999799999999</v>
      </c>
      <c r="J1004" s="6">
        <v>32.479999999999997</v>
      </c>
      <c r="K1004" s="6">
        <v>9.0299999999999994</v>
      </c>
      <c r="N1004" s="18">
        <v>1000</v>
      </c>
      <c r="O1004" s="1">
        <v>44915</v>
      </c>
      <c r="P1004" s="5">
        <f t="shared" si="364"/>
        <v>2.8368542580569533E-2</v>
      </c>
      <c r="Q1004" s="5">
        <f t="shared" si="365"/>
        <v>3.2107032217328132E-3</v>
      </c>
      <c r="R1004" s="5">
        <f t="shared" si="366"/>
        <v>7.3420906528762825E-3</v>
      </c>
      <c r="S1004" s="5">
        <f t="shared" si="367"/>
        <v>-6.0677941253901488E-4</v>
      </c>
      <c r="T1004" s="5">
        <f t="shared" si="368"/>
        <v>-5.3589845736344488E-3</v>
      </c>
      <c r="U1004" s="5">
        <f t="shared" si="369"/>
        <v>-1.1509491576031124E-2</v>
      </c>
      <c r="V1004" s="5">
        <f t="shared" si="370"/>
        <v>6.5504505851219424E-3</v>
      </c>
      <c r="W1004" s="5">
        <f t="shared" si="371"/>
        <v>2.406387063139101E-3</v>
      </c>
      <c r="X1004" s="5">
        <f t="shared" si="372"/>
        <v>9.590236212267414E-3</v>
      </c>
      <c r="Y1004" s="5">
        <f t="shared" si="373"/>
        <v>-2.4071184095439867E-2</v>
      </c>
      <c r="Z1004" s="33">
        <v>1000</v>
      </c>
      <c r="AE1004" s="20" t="str">
        <f t="shared" si="374"/>
        <v/>
      </c>
      <c r="AF1004" s="22" t="str">
        <f t="shared" si="375"/>
        <v/>
      </c>
      <c r="AG1004" s="9" t="str">
        <f t="shared" ca="1" si="354"/>
        <v/>
      </c>
      <c r="AH1004" s="9" t="str">
        <f t="shared" ca="1" si="355"/>
        <v/>
      </c>
      <c r="AI1004" s="9" t="str">
        <f t="shared" ca="1" si="356"/>
        <v/>
      </c>
      <c r="AJ1004" s="9" t="str">
        <f t="shared" ca="1" si="357"/>
        <v/>
      </c>
      <c r="AK1004" s="9" t="str">
        <f t="shared" ca="1" si="358"/>
        <v/>
      </c>
      <c r="AL1004" s="9" t="str">
        <f t="shared" ca="1" si="359"/>
        <v/>
      </c>
      <c r="AM1004" s="9" t="str">
        <f t="shared" ca="1" si="360"/>
        <v/>
      </c>
      <c r="AN1004" s="9" t="str">
        <f t="shared" ca="1" si="361"/>
        <v/>
      </c>
      <c r="AO1004" s="9" t="str">
        <f t="shared" ca="1" si="362"/>
        <v/>
      </c>
      <c r="AP1004" s="9" t="str">
        <f t="shared" ca="1" si="363"/>
        <v/>
      </c>
      <c r="AQ1004" s="9"/>
      <c r="AR1004" s="9"/>
      <c r="AS1004" s="9"/>
      <c r="AT1004" s="9"/>
      <c r="AU1004" s="9"/>
    </row>
    <row r="1005" spans="1:47" x14ac:dyDescent="0.3">
      <c r="A1005" s="1">
        <v>44916</v>
      </c>
      <c r="B1005" s="6">
        <v>341.38000499999998</v>
      </c>
      <c r="C1005" s="6">
        <v>330.22000100000002</v>
      </c>
      <c r="D1005" s="6">
        <v>50.974997999999999</v>
      </c>
      <c r="E1005" s="6">
        <v>182.5</v>
      </c>
      <c r="F1005" s="6">
        <v>110.519997</v>
      </c>
      <c r="G1005" s="6">
        <v>38.270000000000003</v>
      </c>
      <c r="H1005" s="6">
        <v>134.85000600000001</v>
      </c>
      <c r="I1005" s="6">
        <v>229.240005</v>
      </c>
      <c r="J1005" s="6">
        <v>32.900002000000001</v>
      </c>
      <c r="K1005" s="6">
        <v>9.0399999999999991</v>
      </c>
      <c r="N1005" s="19">
        <v>1001</v>
      </c>
      <c r="O1005" s="1">
        <v>44916</v>
      </c>
      <c r="P1005" s="5">
        <f t="shared" si="364"/>
        <v>9.2996667044276567E-3</v>
      </c>
      <c r="Q1005" s="5">
        <f t="shared" si="365"/>
        <v>1.7689327221180051E-2</v>
      </c>
      <c r="R1005" s="5">
        <f t="shared" si="366"/>
        <v>7.7789964424601213E-3</v>
      </c>
      <c r="S1005" s="5">
        <f t="shared" si="367"/>
        <v>6.9832522751878271E-3</v>
      </c>
      <c r="T1005" s="5">
        <f t="shared" si="368"/>
        <v>6.5359165129729082E-3</v>
      </c>
      <c r="U1005" s="5">
        <f t="shared" si="369"/>
        <v>6.8170690541871403E-3</v>
      </c>
      <c r="V1005" s="5">
        <f t="shared" si="370"/>
        <v>1.1936031033666137E-2</v>
      </c>
      <c r="W1005" s="5">
        <f t="shared" si="371"/>
        <v>2.013686146729848E-2</v>
      </c>
      <c r="X1005" s="5">
        <f t="shared" si="372"/>
        <v>1.2848203268120769E-2</v>
      </c>
      <c r="Y1005" s="5">
        <f t="shared" si="373"/>
        <v>1.1068069751910472E-3</v>
      </c>
      <c r="Z1005" s="33">
        <v>1001</v>
      </c>
      <c r="AE1005" s="20" t="str">
        <f t="shared" si="374"/>
        <v/>
      </c>
      <c r="AF1005" s="22" t="str">
        <f t="shared" si="375"/>
        <v/>
      </c>
      <c r="AG1005" s="9" t="str">
        <f t="shared" ca="1" si="354"/>
        <v/>
      </c>
      <c r="AH1005" s="9" t="str">
        <f t="shared" ca="1" si="355"/>
        <v/>
      </c>
      <c r="AI1005" s="9" t="str">
        <f t="shared" ca="1" si="356"/>
        <v/>
      </c>
      <c r="AJ1005" s="9" t="str">
        <f t="shared" ca="1" si="357"/>
        <v/>
      </c>
      <c r="AK1005" s="9" t="str">
        <f t="shared" ca="1" si="358"/>
        <v/>
      </c>
      <c r="AL1005" s="9" t="str">
        <f t="shared" ca="1" si="359"/>
        <v/>
      </c>
      <c r="AM1005" s="9" t="str">
        <f t="shared" ca="1" si="360"/>
        <v/>
      </c>
      <c r="AN1005" s="9" t="str">
        <f t="shared" ca="1" si="361"/>
        <v/>
      </c>
      <c r="AO1005" s="9" t="str">
        <f t="shared" ca="1" si="362"/>
        <v/>
      </c>
      <c r="AP1005" s="9" t="str">
        <f t="shared" ca="1" si="363"/>
        <v/>
      </c>
      <c r="AQ1005" s="9"/>
      <c r="AR1005" s="9"/>
      <c r="AS1005" s="9"/>
      <c r="AT1005" s="9"/>
      <c r="AU1005" s="9"/>
    </row>
    <row r="1006" spans="1:47" x14ac:dyDescent="0.3">
      <c r="A1006" s="1">
        <v>44917</v>
      </c>
      <c r="B1006" s="6">
        <v>336.51998900000001</v>
      </c>
      <c r="C1006" s="6">
        <v>321.72000100000002</v>
      </c>
      <c r="D1006" s="6">
        <v>50.404998999999997</v>
      </c>
      <c r="E1006" s="6">
        <v>181.08999600000001</v>
      </c>
      <c r="F1006" s="6">
        <v>110.160004</v>
      </c>
      <c r="G1006" s="6">
        <v>38.419998</v>
      </c>
      <c r="H1006" s="6">
        <v>133.729996</v>
      </c>
      <c r="I1006" s="6">
        <v>225.270004</v>
      </c>
      <c r="J1006" s="6">
        <v>32.810001</v>
      </c>
      <c r="K1006" s="6">
        <v>9.23</v>
      </c>
      <c r="N1006" s="18">
        <v>1002</v>
      </c>
      <c r="O1006" s="1">
        <v>44917</v>
      </c>
      <c r="P1006" s="5">
        <f t="shared" si="364"/>
        <v>-1.4338690987516852E-2</v>
      </c>
      <c r="Q1006" s="5">
        <f t="shared" si="365"/>
        <v>-2.6077496887809429E-2</v>
      </c>
      <c r="R1006" s="5">
        <f t="shared" si="366"/>
        <v>-1.1244920558996096E-2</v>
      </c>
      <c r="S1006" s="5">
        <f t="shared" si="367"/>
        <v>-7.7560498577595484E-3</v>
      </c>
      <c r="T1006" s="5">
        <f t="shared" si="368"/>
        <v>-3.2625821795878697E-3</v>
      </c>
      <c r="U1006" s="5">
        <f t="shared" si="369"/>
        <v>3.9118058465775086E-3</v>
      </c>
      <c r="V1006" s="5">
        <f t="shared" si="370"/>
        <v>-8.3402821059300834E-3</v>
      </c>
      <c r="W1006" s="5">
        <f t="shared" si="371"/>
        <v>-1.7469810958366642E-2</v>
      </c>
      <c r="X1006" s="5">
        <f t="shared" si="372"/>
        <v>-2.7393411100755049E-3</v>
      </c>
      <c r="Y1006" s="5">
        <f t="shared" si="373"/>
        <v>2.0799874110675774E-2</v>
      </c>
      <c r="Z1006" s="33">
        <v>1002</v>
      </c>
      <c r="AE1006" s="20" t="str">
        <f t="shared" si="374"/>
        <v/>
      </c>
      <c r="AF1006" s="22" t="str">
        <f t="shared" si="375"/>
        <v/>
      </c>
      <c r="AG1006" s="9" t="str">
        <f t="shared" ca="1" si="354"/>
        <v/>
      </c>
      <c r="AH1006" s="9" t="str">
        <f t="shared" ca="1" si="355"/>
        <v/>
      </c>
      <c r="AI1006" s="9" t="str">
        <f t="shared" ca="1" si="356"/>
        <v/>
      </c>
      <c r="AJ1006" s="9" t="str">
        <f t="shared" ca="1" si="357"/>
        <v/>
      </c>
      <c r="AK1006" s="9" t="str">
        <f t="shared" ca="1" si="358"/>
        <v/>
      </c>
      <c r="AL1006" s="9" t="str">
        <f t="shared" ca="1" si="359"/>
        <v/>
      </c>
      <c r="AM1006" s="9" t="str">
        <f t="shared" ca="1" si="360"/>
        <v/>
      </c>
      <c r="AN1006" s="9" t="str">
        <f t="shared" ca="1" si="361"/>
        <v/>
      </c>
      <c r="AO1006" s="9" t="str">
        <f t="shared" ca="1" si="362"/>
        <v/>
      </c>
      <c r="AP1006" s="9" t="str">
        <f t="shared" ca="1" si="363"/>
        <v/>
      </c>
      <c r="AQ1006" s="9"/>
      <c r="AR1006" s="9"/>
      <c r="AS1006" s="9"/>
      <c r="AT1006" s="9"/>
      <c r="AU1006" s="9"/>
    </row>
    <row r="1007" spans="1:47" x14ac:dyDescent="0.3">
      <c r="A1007" s="1">
        <v>44918</v>
      </c>
      <c r="B1007" s="6">
        <v>338.45001200000002</v>
      </c>
      <c r="C1007" s="6">
        <v>320.209991</v>
      </c>
      <c r="D1007" s="6">
        <v>50.630001</v>
      </c>
      <c r="E1007" s="6">
        <v>182.259995</v>
      </c>
      <c r="F1007" s="6">
        <v>111.30999799999999</v>
      </c>
      <c r="G1007" s="6">
        <v>38.75</v>
      </c>
      <c r="H1007" s="6">
        <v>134.720001</v>
      </c>
      <c r="I1007" s="6">
        <v>227.740005</v>
      </c>
      <c r="J1007" s="6">
        <v>33.419998</v>
      </c>
      <c r="K1007" s="6">
        <v>9.17</v>
      </c>
      <c r="N1007" s="19">
        <v>1003</v>
      </c>
      <c r="O1007" s="1">
        <v>44918</v>
      </c>
      <c r="P1007" s="5">
        <f t="shared" si="364"/>
        <v>5.7188564152653096E-3</v>
      </c>
      <c r="Q1007" s="5">
        <f t="shared" si="365"/>
        <v>-4.7046026948143237E-3</v>
      </c>
      <c r="R1007" s="5">
        <f t="shared" si="366"/>
        <v>4.4539490663504013E-3</v>
      </c>
      <c r="S1007" s="5">
        <f t="shared" si="367"/>
        <v>6.4400884698568592E-3</v>
      </c>
      <c r="T1007" s="5">
        <f t="shared" si="368"/>
        <v>1.0385192806077281E-2</v>
      </c>
      <c r="U1007" s="5">
        <f t="shared" si="369"/>
        <v>8.5526505151675494E-3</v>
      </c>
      <c r="V1007" s="5">
        <f t="shared" si="370"/>
        <v>7.3757459431293996E-3</v>
      </c>
      <c r="W1007" s="5">
        <f t="shared" si="371"/>
        <v>1.0904948800947379E-2</v>
      </c>
      <c r="X1007" s="5">
        <f t="shared" si="372"/>
        <v>1.8421085871318896E-2</v>
      </c>
      <c r="Y1007" s="5">
        <f t="shared" si="373"/>
        <v>-6.521762246387351E-3</v>
      </c>
      <c r="Z1007" s="33">
        <v>1003</v>
      </c>
      <c r="AE1007" s="20" t="str">
        <f t="shared" si="374"/>
        <v/>
      </c>
      <c r="AF1007" s="22" t="str">
        <f t="shared" si="375"/>
        <v/>
      </c>
      <c r="AG1007" s="9" t="str">
        <f t="shared" ca="1" si="354"/>
        <v/>
      </c>
      <c r="AH1007" s="9" t="str">
        <f t="shared" ca="1" si="355"/>
        <v/>
      </c>
      <c r="AI1007" s="9" t="str">
        <f t="shared" ca="1" si="356"/>
        <v/>
      </c>
      <c r="AJ1007" s="9" t="str">
        <f t="shared" ca="1" si="357"/>
        <v/>
      </c>
      <c r="AK1007" s="9" t="str">
        <f t="shared" ca="1" si="358"/>
        <v/>
      </c>
      <c r="AL1007" s="9" t="str">
        <f t="shared" ca="1" si="359"/>
        <v/>
      </c>
      <c r="AM1007" s="9" t="str">
        <f t="shared" ca="1" si="360"/>
        <v/>
      </c>
      <c r="AN1007" s="9" t="str">
        <f t="shared" ca="1" si="361"/>
        <v/>
      </c>
      <c r="AO1007" s="9" t="str">
        <f t="shared" ca="1" si="362"/>
        <v/>
      </c>
      <c r="AP1007" s="9" t="str">
        <f t="shared" ca="1" si="363"/>
        <v/>
      </c>
      <c r="AQ1007" s="9"/>
      <c r="AR1007" s="9"/>
      <c r="AS1007" s="9"/>
      <c r="AT1007" s="9"/>
      <c r="AU1007" s="9"/>
    </row>
    <row r="1008" spans="1:47" x14ac:dyDescent="0.3">
      <c r="A1008" s="1">
        <v>44922</v>
      </c>
      <c r="B1008" s="6">
        <v>335.08999599999999</v>
      </c>
      <c r="C1008" s="6">
        <v>317.95001200000002</v>
      </c>
      <c r="D1008" s="6">
        <v>51.005001</v>
      </c>
      <c r="E1008" s="6">
        <v>183.070007</v>
      </c>
      <c r="F1008" s="6">
        <v>111.510002</v>
      </c>
      <c r="G1008" s="6">
        <v>38.520000000000003</v>
      </c>
      <c r="H1008" s="6">
        <v>135.88000500000001</v>
      </c>
      <c r="I1008" s="6">
        <v>229.699997</v>
      </c>
      <c r="J1008" s="6">
        <v>33.599997999999999</v>
      </c>
      <c r="K1008" s="6">
        <v>9.23</v>
      </c>
      <c r="N1008" s="18">
        <v>1004</v>
      </c>
      <c r="O1008" s="1">
        <v>44922</v>
      </c>
      <c r="P1008" s="5">
        <f t="shared" si="364"/>
        <v>-9.9772658877308566E-3</v>
      </c>
      <c r="Q1008" s="5">
        <f t="shared" si="365"/>
        <v>-7.0828269941474913E-3</v>
      </c>
      <c r="R1008" s="5">
        <f t="shared" si="366"/>
        <v>7.3793810074496884E-3</v>
      </c>
      <c r="S1008" s="5">
        <f t="shared" si="367"/>
        <v>4.4344199650192401E-3</v>
      </c>
      <c r="T1008" s="5">
        <f t="shared" si="368"/>
        <v>1.7952073755848974E-3</v>
      </c>
      <c r="U1008" s="5">
        <f t="shared" si="369"/>
        <v>-5.9531688694311026E-3</v>
      </c>
      <c r="V1008" s="5">
        <f t="shared" si="370"/>
        <v>8.5736221727371106E-3</v>
      </c>
      <c r="W1008" s="5">
        <f t="shared" si="371"/>
        <v>8.5694472972192969E-3</v>
      </c>
      <c r="X1008" s="5">
        <f t="shared" si="372"/>
        <v>5.3715441225058507E-3</v>
      </c>
      <c r="Y1008" s="5">
        <f t="shared" si="373"/>
        <v>6.5217622463874447E-3</v>
      </c>
      <c r="Z1008" s="33">
        <v>1004</v>
      </c>
      <c r="AE1008" s="20" t="str">
        <f t="shared" si="374"/>
        <v/>
      </c>
      <c r="AF1008" s="22" t="str">
        <f t="shared" si="375"/>
        <v/>
      </c>
      <c r="AG1008" s="9" t="str">
        <f t="shared" ca="1" si="354"/>
        <v/>
      </c>
      <c r="AH1008" s="9" t="str">
        <f t="shared" ca="1" si="355"/>
        <v/>
      </c>
      <c r="AI1008" s="9" t="str">
        <f t="shared" ca="1" si="356"/>
        <v/>
      </c>
      <c r="AJ1008" s="9" t="str">
        <f t="shared" ca="1" si="357"/>
        <v/>
      </c>
      <c r="AK1008" s="9" t="str">
        <f t="shared" ca="1" si="358"/>
        <v/>
      </c>
      <c r="AL1008" s="9" t="str">
        <f t="shared" ca="1" si="359"/>
        <v/>
      </c>
      <c r="AM1008" s="9" t="str">
        <f t="shared" ca="1" si="360"/>
        <v/>
      </c>
      <c r="AN1008" s="9" t="str">
        <f t="shared" ca="1" si="361"/>
        <v/>
      </c>
      <c r="AO1008" s="9" t="str">
        <f t="shared" ca="1" si="362"/>
        <v/>
      </c>
      <c r="AP1008" s="9" t="str">
        <f t="shared" ca="1" si="363"/>
        <v/>
      </c>
      <c r="AQ1008" s="9"/>
      <c r="AR1008" s="9"/>
      <c r="AS1008" s="9"/>
      <c r="AT1008" s="9"/>
      <c r="AU1008" s="9"/>
    </row>
    <row r="1009" spans="1:47" x14ac:dyDescent="0.3">
      <c r="A1009" s="1">
        <v>44923</v>
      </c>
      <c r="B1009" s="6">
        <v>328.32998700000002</v>
      </c>
      <c r="C1009" s="6">
        <v>315.30999800000001</v>
      </c>
      <c r="D1009" s="6">
        <v>50.66</v>
      </c>
      <c r="E1009" s="6">
        <v>181.75</v>
      </c>
      <c r="F1009" s="6">
        <v>109.860001</v>
      </c>
      <c r="G1009" s="6">
        <v>37.939999</v>
      </c>
      <c r="H1009" s="6">
        <v>133.279999</v>
      </c>
      <c r="I1009" s="6">
        <v>226.46000699999999</v>
      </c>
      <c r="J1009" s="6">
        <v>32.919998</v>
      </c>
      <c r="K1009" s="6">
        <v>8.8699999999999992</v>
      </c>
      <c r="N1009" s="19">
        <v>1005</v>
      </c>
      <c r="O1009" s="1">
        <v>44923</v>
      </c>
      <c r="P1009" s="5">
        <f t="shared" si="364"/>
        <v>-2.0379979948770211E-2</v>
      </c>
      <c r="Q1009" s="5">
        <f t="shared" si="365"/>
        <v>-8.3378999238872403E-3</v>
      </c>
      <c r="R1009" s="5">
        <f t="shared" si="366"/>
        <v>-6.7870421668738915E-3</v>
      </c>
      <c r="S1009" s="5">
        <f t="shared" si="367"/>
        <v>-7.2365151860339155E-3</v>
      </c>
      <c r="T1009" s="5">
        <f t="shared" si="368"/>
        <v>-1.4907453895913109E-2</v>
      </c>
      <c r="U1009" s="5">
        <f t="shared" si="369"/>
        <v>-1.5171648780463532E-2</v>
      </c>
      <c r="V1009" s="5">
        <f t="shared" si="370"/>
        <v>-1.9320009174025165E-2</v>
      </c>
      <c r="W1009" s="5">
        <f t="shared" si="371"/>
        <v>-1.4205736838109672E-2</v>
      </c>
      <c r="X1009" s="5">
        <f t="shared" si="372"/>
        <v>-2.0445692389821517E-2</v>
      </c>
      <c r="Y1009" s="5">
        <f t="shared" si="373"/>
        <v>-3.978425219327282E-2</v>
      </c>
      <c r="Z1009" s="33">
        <v>1005</v>
      </c>
      <c r="AE1009" s="20" t="str">
        <f t="shared" si="374"/>
        <v/>
      </c>
      <c r="AF1009" s="22" t="str">
        <f t="shared" si="375"/>
        <v/>
      </c>
      <c r="AG1009" s="9" t="str">
        <f t="shared" ca="1" si="354"/>
        <v/>
      </c>
      <c r="AH1009" s="9" t="str">
        <f t="shared" ca="1" si="355"/>
        <v/>
      </c>
      <c r="AI1009" s="9" t="str">
        <f t="shared" ca="1" si="356"/>
        <v/>
      </c>
      <c r="AJ1009" s="9" t="str">
        <f t="shared" ca="1" si="357"/>
        <v/>
      </c>
      <c r="AK1009" s="9" t="str">
        <f t="shared" ca="1" si="358"/>
        <v/>
      </c>
      <c r="AL1009" s="9" t="str">
        <f t="shared" ca="1" si="359"/>
        <v/>
      </c>
      <c r="AM1009" s="9" t="str">
        <f t="shared" ca="1" si="360"/>
        <v/>
      </c>
      <c r="AN1009" s="9" t="str">
        <f t="shared" ca="1" si="361"/>
        <v/>
      </c>
      <c r="AO1009" s="9" t="str">
        <f t="shared" ca="1" si="362"/>
        <v/>
      </c>
      <c r="AP1009" s="9" t="str">
        <f t="shared" ca="1" si="363"/>
        <v/>
      </c>
      <c r="AQ1009" s="9"/>
      <c r="AR1009" s="9"/>
      <c r="AS1009" s="9"/>
      <c r="AT1009" s="9"/>
      <c r="AU1009" s="9"/>
    </row>
    <row r="1010" spans="1:47" x14ac:dyDescent="0.3">
      <c r="A1010" s="1">
        <v>44924</v>
      </c>
      <c r="B1010" s="6">
        <v>337.57998700000002</v>
      </c>
      <c r="C1010" s="6">
        <v>321.98001099999999</v>
      </c>
      <c r="D1010" s="6">
        <v>51.009998000000003</v>
      </c>
      <c r="E1010" s="6">
        <v>181.979996</v>
      </c>
      <c r="F1010" s="6">
        <v>112.94000200000001</v>
      </c>
      <c r="G1010" s="6">
        <v>38.909999999999997</v>
      </c>
      <c r="H1010" s="6">
        <v>136.33999600000001</v>
      </c>
      <c r="I1010" s="6">
        <v>230.21000699999999</v>
      </c>
      <c r="J1010" s="6">
        <v>33.580002</v>
      </c>
      <c r="K1010" s="6">
        <v>9.43</v>
      </c>
      <c r="N1010" s="18">
        <v>1006</v>
      </c>
      <c r="O1010" s="1">
        <v>44924</v>
      </c>
      <c r="P1010" s="5">
        <f t="shared" si="364"/>
        <v>2.778332017752164E-2</v>
      </c>
      <c r="Q1010" s="5">
        <f t="shared" si="365"/>
        <v>2.0933190446448036E-2</v>
      </c>
      <c r="R1010" s="5">
        <f t="shared" si="366"/>
        <v>6.8850081533069199E-3</v>
      </c>
      <c r="S1010" s="5">
        <f t="shared" si="367"/>
        <v>1.264652534478303E-3</v>
      </c>
      <c r="T1010" s="5">
        <f t="shared" si="368"/>
        <v>2.7649884936240043E-2</v>
      </c>
      <c r="U1010" s="5">
        <f t="shared" si="369"/>
        <v>2.5245348847000713E-2</v>
      </c>
      <c r="V1010" s="5">
        <f t="shared" si="370"/>
        <v>2.269956568068876E-2</v>
      </c>
      <c r="W1010" s="5">
        <f t="shared" si="371"/>
        <v>1.6423606441395185E-2</v>
      </c>
      <c r="X1010" s="5">
        <f t="shared" si="372"/>
        <v>1.9850396153128679E-2</v>
      </c>
      <c r="Y1010" s="5">
        <f t="shared" si="373"/>
        <v>6.1221300323878132E-2</v>
      </c>
      <c r="Z1010" s="33">
        <v>1006</v>
      </c>
      <c r="AE1010" s="20" t="str">
        <f t="shared" si="374"/>
        <v/>
      </c>
      <c r="AF1010" s="22" t="str">
        <f t="shared" si="375"/>
        <v/>
      </c>
      <c r="AG1010" s="9" t="str">
        <f t="shared" ca="1" si="354"/>
        <v/>
      </c>
      <c r="AH1010" s="9" t="str">
        <f t="shared" ca="1" si="355"/>
        <v/>
      </c>
      <c r="AI1010" s="9" t="str">
        <f t="shared" ca="1" si="356"/>
        <v/>
      </c>
      <c r="AJ1010" s="9" t="str">
        <f t="shared" ca="1" si="357"/>
        <v/>
      </c>
      <c r="AK1010" s="9" t="str">
        <f t="shared" ca="1" si="358"/>
        <v/>
      </c>
      <c r="AL1010" s="9" t="str">
        <f t="shared" ca="1" si="359"/>
        <v/>
      </c>
      <c r="AM1010" s="9" t="str">
        <f t="shared" ca="1" si="360"/>
        <v/>
      </c>
      <c r="AN1010" s="9" t="str">
        <f t="shared" ca="1" si="361"/>
        <v/>
      </c>
      <c r="AO1010" s="9" t="str">
        <f t="shared" ca="1" si="362"/>
        <v/>
      </c>
      <c r="AP1010" s="9" t="str">
        <f t="shared" ca="1" si="363"/>
        <v/>
      </c>
      <c r="AQ1010" s="9"/>
      <c r="AR1010" s="9"/>
      <c r="AS1010" s="9"/>
      <c r="AT1010" s="9"/>
      <c r="AU1010" s="9"/>
    </row>
    <row r="1011" spans="1:47" x14ac:dyDescent="0.3">
      <c r="A1011" s="1">
        <v>44925</v>
      </c>
      <c r="B1011" s="6">
        <v>336.52999899999998</v>
      </c>
      <c r="C1011" s="6">
        <v>319.290009</v>
      </c>
      <c r="D1011" s="6">
        <v>50.764999000000003</v>
      </c>
      <c r="E1011" s="6">
        <v>180.66000399999999</v>
      </c>
      <c r="F1011" s="6">
        <v>111.879997</v>
      </c>
      <c r="G1011" s="6">
        <v>38.729999999999997</v>
      </c>
      <c r="H1011" s="6">
        <v>135.41000399999999</v>
      </c>
      <c r="I1011" s="6">
        <v>228.490005</v>
      </c>
      <c r="J1011" s="6">
        <v>33.310001</v>
      </c>
      <c r="K1011" s="6">
        <v>9.48</v>
      </c>
      <c r="N1011" s="19">
        <v>1007</v>
      </c>
      <c r="O1011" s="1">
        <v>44925</v>
      </c>
      <c r="P1011" s="5">
        <f t="shared" si="364"/>
        <v>-3.1151855659457715E-3</v>
      </c>
      <c r="Q1011" s="5">
        <f t="shared" si="365"/>
        <v>-8.3896570691570204E-3</v>
      </c>
      <c r="R1011" s="5">
        <f t="shared" si="366"/>
        <v>-4.8145316722614248E-3</v>
      </c>
      <c r="S1011" s="5">
        <f t="shared" si="367"/>
        <v>-7.2799350853714802E-3</v>
      </c>
      <c r="T1011" s="5">
        <f t="shared" si="368"/>
        <v>-9.429880433893742E-3</v>
      </c>
      <c r="U1011" s="5">
        <f t="shared" si="369"/>
        <v>-4.6367934698013291E-3</v>
      </c>
      <c r="V1011" s="5">
        <f t="shared" si="370"/>
        <v>-6.8444940615722885E-3</v>
      </c>
      <c r="W1011" s="5">
        <f t="shared" si="371"/>
        <v>-7.4994986545758591E-3</v>
      </c>
      <c r="X1011" s="5">
        <f t="shared" si="372"/>
        <v>-8.0730289820519444E-3</v>
      </c>
      <c r="Y1011" s="5">
        <f t="shared" si="373"/>
        <v>5.2882196215643818E-3</v>
      </c>
      <c r="Z1011" s="33">
        <v>1007</v>
      </c>
      <c r="AE1011" s="20" t="str">
        <f t="shared" si="374"/>
        <v/>
      </c>
      <c r="AF1011" s="22" t="str">
        <f t="shared" si="375"/>
        <v/>
      </c>
      <c r="AG1011" s="9" t="str">
        <f t="shared" ca="1" si="354"/>
        <v/>
      </c>
      <c r="AH1011" s="9" t="str">
        <f t="shared" ca="1" si="355"/>
        <v/>
      </c>
      <c r="AI1011" s="9" t="str">
        <f t="shared" ca="1" si="356"/>
        <v/>
      </c>
      <c r="AJ1011" s="9" t="str">
        <f t="shared" ca="1" si="357"/>
        <v/>
      </c>
      <c r="AK1011" s="9" t="str">
        <f t="shared" ca="1" si="358"/>
        <v/>
      </c>
      <c r="AL1011" s="9" t="str">
        <f t="shared" ca="1" si="359"/>
        <v/>
      </c>
      <c r="AM1011" s="9" t="str">
        <f t="shared" ca="1" si="360"/>
        <v/>
      </c>
      <c r="AN1011" s="9" t="str">
        <f t="shared" ca="1" si="361"/>
        <v/>
      </c>
      <c r="AO1011" s="9" t="str">
        <f t="shared" ca="1" si="362"/>
        <v/>
      </c>
      <c r="AP1011" s="9" t="str">
        <f t="shared" ca="1" si="363"/>
        <v/>
      </c>
      <c r="AQ1011" s="9"/>
      <c r="AR1011" s="9"/>
      <c r="AS1011" s="9"/>
      <c r="AT1011" s="9"/>
      <c r="AU1011" s="9"/>
    </row>
    <row r="1012" spans="1:47" x14ac:dyDescent="0.3">
      <c r="A1012" s="1">
        <v>44929</v>
      </c>
      <c r="B1012" s="6">
        <v>336.92001299999998</v>
      </c>
      <c r="C1012" s="6">
        <v>319.67999300000002</v>
      </c>
      <c r="D1012" s="6">
        <v>50.66</v>
      </c>
      <c r="E1012" s="6">
        <v>179.41000399999999</v>
      </c>
      <c r="F1012" s="6">
        <v>110.68</v>
      </c>
      <c r="G1012" s="6">
        <v>38.590000000000003</v>
      </c>
      <c r="H1012" s="6">
        <v>135.070007</v>
      </c>
      <c r="I1012" s="6">
        <v>229.38000500000001</v>
      </c>
      <c r="J1012" s="6">
        <v>33.790000999999997</v>
      </c>
      <c r="K1012" s="6">
        <v>9.5399999999999991</v>
      </c>
      <c r="N1012" s="18">
        <v>1008</v>
      </c>
      <c r="O1012" s="1">
        <v>44929</v>
      </c>
      <c r="P1012" s="5">
        <f t="shared" si="364"/>
        <v>1.1582568465444095E-3</v>
      </c>
      <c r="Q1012" s="5">
        <f t="shared" si="365"/>
        <v>1.2206646546882804E-3</v>
      </c>
      <c r="R1012" s="5">
        <f t="shared" si="366"/>
        <v>-2.0704764810455752E-3</v>
      </c>
      <c r="S1012" s="5">
        <f t="shared" si="367"/>
        <v>-6.9431221361416192E-3</v>
      </c>
      <c r="T1012" s="5">
        <f t="shared" si="368"/>
        <v>-1.0783686600589365E-2</v>
      </c>
      <c r="U1012" s="5">
        <f t="shared" si="369"/>
        <v>-3.621317977133263E-3</v>
      </c>
      <c r="V1012" s="5">
        <f t="shared" si="370"/>
        <v>-2.5140281369968221E-3</v>
      </c>
      <c r="W1012" s="5">
        <f t="shared" si="371"/>
        <v>3.8875711510178135E-3</v>
      </c>
      <c r="X1012" s="5">
        <f t="shared" si="372"/>
        <v>1.4307248094150165E-2</v>
      </c>
      <c r="Y1012" s="5">
        <f t="shared" si="373"/>
        <v>6.3091691932645345E-3</v>
      </c>
      <c r="Z1012" s="33">
        <v>1008</v>
      </c>
      <c r="AE1012" s="20" t="str">
        <f t="shared" si="374"/>
        <v/>
      </c>
      <c r="AF1012" s="22" t="str">
        <f t="shared" si="375"/>
        <v/>
      </c>
      <c r="AG1012" s="9" t="str">
        <f t="shared" ca="1" si="354"/>
        <v/>
      </c>
      <c r="AH1012" s="9" t="str">
        <f t="shared" ca="1" si="355"/>
        <v/>
      </c>
      <c r="AI1012" s="9" t="str">
        <f t="shared" ca="1" si="356"/>
        <v/>
      </c>
      <c r="AJ1012" s="9" t="str">
        <f t="shared" ca="1" si="357"/>
        <v/>
      </c>
      <c r="AK1012" s="9" t="str">
        <f t="shared" ca="1" si="358"/>
        <v/>
      </c>
      <c r="AL1012" s="9" t="str">
        <f t="shared" ca="1" si="359"/>
        <v/>
      </c>
      <c r="AM1012" s="9" t="str">
        <f t="shared" ca="1" si="360"/>
        <v/>
      </c>
      <c r="AN1012" s="9" t="str">
        <f t="shared" ca="1" si="361"/>
        <v/>
      </c>
      <c r="AO1012" s="9" t="str">
        <f t="shared" ca="1" si="362"/>
        <v/>
      </c>
      <c r="AP1012" s="9" t="str">
        <f t="shared" ca="1" si="363"/>
        <v/>
      </c>
      <c r="AQ1012" s="9"/>
      <c r="AR1012" s="9"/>
      <c r="AS1012" s="9"/>
      <c r="AT1012" s="9"/>
      <c r="AU1012" s="9"/>
    </row>
    <row r="1013" spans="1:47" x14ac:dyDescent="0.3">
      <c r="A1013" s="1">
        <v>44930</v>
      </c>
      <c r="B1013" s="6">
        <v>341.41000400000001</v>
      </c>
      <c r="C1013" s="6">
        <v>320.92999300000002</v>
      </c>
      <c r="D1013" s="6">
        <v>51.075001</v>
      </c>
      <c r="E1013" s="6">
        <v>178.970001</v>
      </c>
      <c r="F1013" s="6">
        <v>112.75</v>
      </c>
      <c r="G1013" s="6">
        <v>39.25</v>
      </c>
      <c r="H1013" s="6">
        <v>136.16999799999999</v>
      </c>
      <c r="I1013" s="6">
        <v>232.320007</v>
      </c>
      <c r="J1013" s="6">
        <v>34.700001</v>
      </c>
      <c r="K1013" s="6">
        <v>10.38</v>
      </c>
      <c r="N1013" s="19">
        <v>1009</v>
      </c>
      <c r="O1013" s="1">
        <v>44930</v>
      </c>
      <c r="P1013" s="5">
        <f t="shared" si="364"/>
        <v>1.3238560769563345E-2</v>
      </c>
      <c r="Q1013" s="5">
        <f t="shared" si="365"/>
        <v>3.9025354388880868E-3</v>
      </c>
      <c r="R1013" s="5">
        <f t="shared" si="366"/>
        <v>8.1585157092069292E-3</v>
      </c>
      <c r="S1013" s="5">
        <f t="shared" si="367"/>
        <v>-2.4555121097483844E-3</v>
      </c>
      <c r="T1013" s="5">
        <f t="shared" si="368"/>
        <v>1.8529823464062449E-2</v>
      </c>
      <c r="U1013" s="5">
        <f t="shared" si="369"/>
        <v>1.6958268678889964E-2</v>
      </c>
      <c r="V1013" s="5">
        <f t="shared" si="370"/>
        <v>8.1108760513097164E-3</v>
      </c>
      <c r="W1013" s="5">
        <f t="shared" si="371"/>
        <v>1.2735723033018551E-2</v>
      </c>
      <c r="X1013" s="5">
        <f t="shared" si="372"/>
        <v>2.6574785450504235E-2</v>
      </c>
      <c r="Y1013" s="5">
        <f t="shared" si="373"/>
        <v>8.4387392277547602E-2</v>
      </c>
      <c r="Z1013" s="33">
        <v>1009</v>
      </c>
      <c r="AE1013" s="20" t="str">
        <f t="shared" si="374"/>
        <v/>
      </c>
      <c r="AF1013" s="22" t="str">
        <f t="shared" si="375"/>
        <v/>
      </c>
      <c r="AG1013" s="9" t="str">
        <f t="shared" ca="1" si="354"/>
        <v/>
      </c>
      <c r="AH1013" s="9" t="str">
        <f t="shared" ca="1" si="355"/>
        <v/>
      </c>
      <c r="AI1013" s="9" t="str">
        <f t="shared" ca="1" si="356"/>
        <v/>
      </c>
      <c r="AJ1013" s="9" t="str">
        <f t="shared" ca="1" si="357"/>
        <v/>
      </c>
      <c r="AK1013" s="9" t="str">
        <f t="shared" ca="1" si="358"/>
        <v/>
      </c>
      <c r="AL1013" s="9" t="str">
        <f t="shared" ca="1" si="359"/>
        <v/>
      </c>
      <c r="AM1013" s="9" t="str">
        <f t="shared" ca="1" si="360"/>
        <v/>
      </c>
      <c r="AN1013" s="9" t="str">
        <f t="shared" ca="1" si="361"/>
        <v/>
      </c>
      <c r="AO1013" s="9" t="str">
        <f t="shared" ca="1" si="362"/>
        <v/>
      </c>
      <c r="AP1013" s="9" t="str">
        <f t="shared" ca="1" si="363"/>
        <v/>
      </c>
      <c r="AQ1013" s="9"/>
      <c r="AR1013" s="9"/>
      <c r="AS1013" s="9"/>
      <c r="AT1013" s="9"/>
      <c r="AU1013" s="9"/>
    </row>
    <row r="1014" spans="1:47" x14ac:dyDescent="0.3">
      <c r="A1014" s="1">
        <v>44931</v>
      </c>
      <c r="B1014" s="6">
        <v>328.44000199999999</v>
      </c>
      <c r="C1014" s="6">
        <v>315.040009</v>
      </c>
      <c r="D1014" s="6">
        <v>50.189999</v>
      </c>
      <c r="E1014" s="6">
        <v>177.10000600000001</v>
      </c>
      <c r="F1014" s="6">
        <v>109.66999800000001</v>
      </c>
      <c r="G1014" s="6">
        <v>37.630001</v>
      </c>
      <c r="H1014" s="6">
        <v>134.41999799999999</v>
      </c>
      <c r="I1014" s="6">
        <v>230.050003</v>
      </c>
      <c r="J1014" s="6">
        <v>35.229999999999997</v>
      </c>
      <c r="K1014" s="6">
        <v>10.86</v>
      </c>
      <c r="N1014" s="18">
        <v>1010</v>
      </c>
      <c r="O1014" s="1">
        <v>44931</v>
      </c>
      <c r="P1014" s="5">
        <f t="shared" si="364"/>
        <v>-3.8729933871572371E-2</v>
      </c>
      <c r="Q1014" s="5">
        <f t="shared" si="365"/>
        <v>-1.8523365543563874E-2</v>
      </c>
      <c r="R1014" s="5">
        <f t="shared" si="366"/>
        <v>-1.7479376540181595E-2</v>
      </c>
      <c r="S1014" s="5">
        <f t="shared" si="367"/>
        <v>-1.0503620948893979E-2</v>
      </c>
      <c r="T1014" s="5">
        <f t="shared" si="368"/>
        <v>-2.7697139847198089E-2</v>
      </c>
      <c r="U1014" s="5">
        <f t="shared" si="369"/>
        <v>-4.2149813048530299E-2</v>
      </c>
      <c r="V1014" s="5">
        <f t="shared" si="370"/>
        <v>-1.2934878785879482E-2</v>
      </c>
      <c r="W1014" s="5">
        <f t="shared" si="371"/>
        <v>-9.8190721251639034E-3</v>
      </c>
      <c r="X1014" s="5">
        <f t="shared" si="372"/>
        <v>1.5158276581889167E-2</v>
      </c>
      <c r="Y1014" s="5">
        <f t="shared" si="373"/>
        <v>4.5205436768046781E-2</v>
      </c>
      <c r="Z1014" s="33">
        <v>1010</v>
      </c>
      <c r="AE1014" s="20" t="str">
        <f t="shared" si="374"/>
        <v/>
      </c>
      <c r="AF1014" s="22" t="str">
        <f t="shared" si="375"/>
        <v/>
      </c>
      <c r="AG1014" s="9" t="str">
        <f t="shared" ca="1" si="354"/>
        <v/>
      </c>
      <c r="AH1014" s="9" t="str">
        <f t="shared" ca="1" si="355"/>
        <v/>
      </c>
      <c r="AI1014" s="9" t="str">
        <f t="shared" ca="1" si="356"/>
        <v/>
      </c>
      <c r="AJ1014" s="9" t="str">
        <f t="shared" ca="1" si="357"/>
        <v/>
      </c>
      <c r="AK1014" s="9" t="str">
        <f t="shared" ca="1" si="358"/>
        <v/>
      </c>
      <c r="AL1014" s="9" t="str">
        <f t="shared" ca="1" si="359"/>
        <v/>
      </c>
      <c r="AM1014" s="9" t="str">
        <f t="shared" ca="1" si="360"/>
        <v/>
      </c>
      <c r="AN1014" s="9" t="str">
        <f t="shared" ca="1" si="361"/>
        <v/>
      </c>
      <c r="AO1014" s="9" t="str">
        <f t="shared" ca="1" si="362"/>
        <v/>
      </c>
      <c r="AP1014" s="9" t="str">
        <f t="shared" ca="1" si="363"/>
        <v/>
      </c>
      <c r="AQ1014" s="9"/>
      <c r="AR1014" s="9"/>
      <c r="AS1014" s="9"/>
      <c r="AT1014" s="9"/>
      <c r="AU1014" s="9"/>
    </row>
    <row r="1015" spans="1:47" x14ac:dyDescent="0.3">
      <c r="A1015" s="1">
        <v>44932</v>
      </c>
      <c r="B1015" s="6">
        <v>332.75</v>
      </c>
      <c r="C1015" s="6">
        <v>320.540009</v>
      </c>
      <c r="D1015" s="6">
        <v>51.215000000000003</v>
      </c>
      <c r="E1015" s="6">
        <v>181.10000600000001</v>
      </c>
      <c r="F1015" s="6">
        <v>114</v>
      </c>
      <c r="G1015" s="6">
        <v>38.700001</v>
      </c>
      <c r="H1015" s="6">
        <v>139.41999799999999</v>
      </c>
      <c r="I1015" s="6">
        <v>237.41000399999999</v>
      </c>
      <c r="J1015" s="6">
        <v>35.700001</v>
      </c>
      <c r="K1015" s="6">
        <v>11.32</v>
      </c>
      <c r="N1015" s="19">
        <v>1011</v>
      </c>
      <c r="O1015" s="1">
        <v>44932</v>
      </c>
      <c r="P1015" s="5">
        <f t="shared" si="364"/>
        <v>1.303727834524083E-2</v>
      </c>
      <c r="Q1015" s="5">
        <f t="shared" si="365"/>
        <v>1.7307458184431992E-2</v>
      </c>
      <c r="R1015" s="5">
        <f t="shared" si="366"/>
        <v>2.0216674145943494E-2</v>
      </c>
      <c r="S1015" s="5">
        <f t="shared" si="367"/>
        <v>2.2334819352282518E-2</v>
      </c>
      <c r="T1015" s="5">
        <f t="shared" si="368"/>
        <v>3.8722609858905813E-2</v>
      </c>
      <c r="U1015" s="5">
        <f t="shared" si="369"/>
        <v>2.8037994695641989E-2</v>
      </c>
      <c r="V1015" s="5">
        <f t="shared" si="370"/>
        <v>3.6521734050027059E-2</v>
      </c>
      <c r="W1015" s="5">
        <f t="shared" si="371"/>
        <v>3.1491931493945378E-2</v>
      </c>
      <c r="X1015" s="5">
        <f t="shared" si="372"/>
        <v>1.3252724443651373E-2</v>
      </c>
      <c r="Y1015" s="5">
        <f t="shared" si="373"/>
        <v>4.1484758269247496E-2</v>
      </c>
      <c r="Z1015" s="33">
        <v>1011</v>
      </c>
      <c r="AE1015" s="20" t="str">
        <f t="shared" si="374"/>
        <v/>
      </c>
      <c r="AF1015" s="22" t="str">
        <f t="shared" si="375"/>
        <v/>
      </c>
      <c r="AG1015" s="9" t="str">
        <f t="shared" ca="1" si="354"/>
        <v/>
      </c>
      <c r="AH1015" s="9" t="str">
        <f t="shared" ca="1" si="355"/>
        <v/>
      </c>
      <c r="AI1015" s="9" t="str">
        <f t="shared" ca="1" si="356"/>
        <v/>
      </c>
      <c r="AJ1015" s="9" t="str">
        <f t="shared" ca="1" si="357"/>
        <v/>
      </c>
      <c r="AK1015" s="9" t="str">
        <f t="shared" ca="1" si="358"/>
        <v/>
      </c>
      <c r="AL1015" s="9" t="str">
        <f t="shared" ca="1" si="359"/>
        <v/>
      </c>
      <c r="AM1015" s="9" t="str">
        <f t="shared" ca="1" si="360"/>
        <v/>
      </c>
      <c r="AN1015" s="9" t="str">
        <f t="shared" ca="1" si="361"/>
        <v/>
      </c>
      <c r="AO1015" s="9" t="str">
        <f t="shared" ca="1" si="362"/>
        <v/>
      </c>
      <c r="AP1015" s="9" t="str">
        <f t="shared" ca="1" si="363"/>
        <v/>
      </c>
      <c r="AQ1015" s="9"/>
      <c r="AR1015" s="9"/>
      <c r="AS1015" s="9"/>
      <c r="AT1015" s="9"/>
      <c r="AU1015" s="9"/>
    </row>
    <row r="1016" spans="1:47" x14ac:dyDescent="0.3">
      <c r="A1016" s="1">
        <v>44935</v>
      </c>
      <c r="B1016" s="6">
        <v>341.98001099999999</v>
      </c>
      <c r="C1016" s="6">
        <v>325.95001200000002</v>
      </c>
      <c r="D1016" s="6">
        <v>50.575001</v>
      </c>
      <c r="E1016" s="6">
        <v>179.33000200000001</v>
      </c>
      <c r="F1016" s="6">
        <v>113.010002</v>
      </c>
      <c r="G1016" s="6">
        <v>38.470001000000003</v>
      </c>
      <c r="H1016" s="6">
        <v>138.91000399999999</v>
      </c>
      <c r="I1016" s="6">
        <v>240.39999399999999</v>
      </c>
      <c r="J1016" s="6">
        <v>35.549999</v>
      </c>
      <c r="K1016" s="6">
        <v>11.61</v>
      </c>
      <c r="N1016" s="18">
        <v>1012</v>
      </c>
      <c r="O1016" s="1">
        <v>44935</v>
      </c>
      <c r="P1016" s="5">
        <f t="shared" si="364"/>
        <v>2.7360830710849143E-2</v>
      </c>
      <c r="Q1016" s="5">
        <f t="shared" si="365"/>
        <v>1.6736930542962308E-2</v>
      </c>
      <c r="R1016" s="5">
        <f t="shared" si="366"/>
        <v>-1.257505506207411E-2</v>
      </c>
      <c r="S1016" s="5">
        <f t="shared" si="367"/>
        <v>-9.821702907277647E-3</v>
      </c>
      <c r="T1016" s="5">
        <f t="shared" si="368"/>
        <v>-8.7221203248873478E-3</v>
      </c>
      <c r="U1016" s="5">
        <f t="shared" si="369"/>
        <v>-5.9608831170443128E-3</v>
      </c>
      <c r="V1016" s="5">
        <f t="shared" si="370"/>
        <v>-3.664675508187905E-3</v>
      </c>
      <c r="W1016" s="5">
        <f t="shared" si="371"/>
        <v>1.2515556566583069E-2</v>
      </c>
      <c r="X1016" s="5">
        <f t="shared" si="372"/>
        <v>-4.2105886769432397E-3</v>
      </c>
      <c r="Y1016" s="5">
        <f t="shared" si="373"/>
        <v>2.5295722934763214E-2</v>
      </c>
      <c r="Z1016" s="33">
        <v>1012</v>
      </c>
      <c r="AE1016" s="20" t="str">
        <f t="shared" si="374"/>
        <v/>
      </c>
      <c r="AF1016" s="22" t="str">
        <f t="shared" si="375"/>
        <v/>
      </c>
      <c r="AG1016" s="9" t="str">
        <f t="shared" ca="1" si="354"/>
        <v/>
      </c>
      <c r="AH1016" s="9" t="str">
        <f t="shared" ca="1" si="355"/>
        <v/>
      </c>
      <c r="AI1016" s="9" t="str">
        <f t="shared" ca="1" si="356"/>
        <v/>
      </c>
      <c r="AJ1016" s="9" t="str">
        <f t="shared" ca="1" si="357"/>
        <v/>
      </c>
      <c r="AK1016" s="9" t="str">
        <f t="shared" ca="1" si="358"/>
        <v/>
      </c>
      <c r="AL1016" s="9" t="str">
        <f t="shared" ca="1" si="359"/>
        <v/>
      </c>
      <c r="AM1016" s="9" t="str">
        <f t="shared" ca="1" si="360"/>
        <v/>
      </c>
      <c r="AN1016" s="9" t="str">
        <f t="shared" ca="1" si="361"/>
        <v/>
      </c>
      <c r="AO1016" s="9" t="str">
        <f t="shared" ca="1" si="362"/>
        <v/>
      </c>
      <c r="AP1016" s="9" t="str">
        <f t="shared" ca="1" si="363"/>
        <v/>
      </c>
      <c r="AQ1016" s="9"/>
      <c r="AR1016" s="9"/>
      <c r="AS1016" s="9"/>
      <c r="AT1016" s="9"/>
      <c r="AU1016" s="9"/>
    </row>
    <row r="1017" spans="1:47" x14ac:dyDescent="0.3">
      <c r="A1017" s="1">
        <v>44936</v>
      </c>
      <c r="B1017" s="6">
        <v>338.70001200000002</v>
      </c>
      <c r="C1017" s="6">
        <v>327.63000499999998</v>
      </c>
      <c r="D1017" s="6">
        <v>50.264999000000003</v>
      </c>
      <c r="E1017" s="6">
        <v>177.85000600000001</v>
      </c>
      <c r="F1017" s="6">
        <v>113.389999</v>
      </c>
      <c r="G1017" s="6">
        <v>38.590000000000003</v>
      </c>
      <c r="H1017" s="6">
        <v>139.300003</v>
      </c>
      <c r="I1017" s="6">
        <v>244.41999799999999</v>
      </c>
      <c r="J1017" s="6">
        <v>35.689999</v>
      </c>
      <c r="K1017" s="6">
        <v>12.56</v>
      </c>
      <c r="N1017" s="19">
        <v>1013</v>
      </c>
      <c r="O1017" s="1">
        <v>44936</v>
      </c>
      <c r="P1017" s="5">
        <f t="shared" si="364"/>
        <v>-9.6374927327609675E-3</v>
      </c>
      <c r="Q1017" s="5">
        <f t="shared" si="365"/>
        <v>5.1409059528539636E-3</v>
      </c>
      <c r="R1017" s="5">
        <f t="shared" si="366"/>
        <v>-6.1484128635994071E-3</v>
      </c>
      <c r="S1017" s="5">
        <f t="shared" si="367"/>
        <v>-8.2871629821981482E-3</v>
      </c>
      <c r="T1017" s="5">
        <f t="shared" si="368"/>
        <v>3.35686709502051E-3</v>
      </c>
      <c r="U1017" s="5">
        <f t="shared" si="369"/>
        <v>3.1144327910426982E-3</v>
      </c>
      <c r="V1017" s="5">
        <f t="shared" si="370"/>
        <v>2.8036321170920478E-3</v>
      </c>
      <c r="W1017" s="5">
        <f t="shared" si="371"/>
        <v>1.6583871124568397E-2</v>
      </c>
      <c r="X1017" s="5">
        <f t="shared" si="372"/>
        <v>3.9303813631613466E-3</v>
      </c>
      <c r="Y1017" s="5">
        <f t="shared" si="373"/>
        <v>7.8650365330252603E-2</v>
      </c>
      <c r="Z1017" s="33">
        <v>1013</v>
      </c>
      <c r="AE1017" s="20" t="str">
        <f t="shared" si="374"/>
        <v/>
      </c>
      <c r="AF1017" s="22" t="str">
        <f t="shared" si="375"/>
        <v/>
      </c>
      <c r="AG1017" s="9" t="str">
        <f t="shared" ca="1" si="354"/>
        <v/>
      </c>
      <c r="AH1017" s="9" t="str">
        <f t="shared" ca="1" si="355"/>
        <v/>
      </c>
      <c r="AI1017" s="9" t="str">
        <f t="shared" ca="1" si="356"/>
        <v/>
      </c>
      <c r="AJ1017" s="9" t="str">
        <f t="shared" ca="1" si="357"/>
        <v/>
      </c>
      <c r="AK1017" s="9" t="str">
        <f t="shared" ca="1" si="358"/>
        <v/>
      </c>
      <c r="AL1017" s="9" t="str">
        <f t="shared" ca="1" si="359"/>
        <v/>
      </c>
      <c r="AM1017" s="9" t="str">
        <f t="shared" ca="1" si="360"/>
        <v/>
      </c>
      <c r="AN1017" s="9" t="str">
        <f t="shared" ca="1" si="361"/>
        <v/>
      </c>
      <c r="AO1017" s="9" t="str">
        <f t="shared" ca="1" si="362"/>
        <v/>
      </c>
      <c r="AP1017" s="9" t="str">
        <f t="shared" ca="1" si="363"/>
        <v/>
      </c>
      <c r="AQ1017" s="9"/>
      <c r="AR1017" s="9"/>
      <c r="AS1017" s="9"/>
      <c r="AT1017" s="9"/>
      <c r="AU1017" s="9"/>
    </row>
    <row r="1018" spans="1:47" x14ac:dyDescent="0.3">
      <c r="A1018" s="1">
        <v>44937</v>
      </c>
      <c r="B1018" s="6">
        <v>342.92999300000002</v>
      </c>
      <c r="C1018" s="6">
        <v>334.35000600000001</v>
      </c>
      <c r="D1018" s="6">
        <v>50.845001000000003</v>
      </c>
      <c r="E1018" s="6">
        <v>178.050003</v>
      </c>
      <c r="F1018" s="6">
        <v>118.279999</v>
      </c>
      <c r="G1018" s="6">
        <v>40.270000000000003</v>
      </c>
      <c r="H1018" s="6">
        <v>141.929993</v>
      </c>
      <c r="I1018" s="6">
        <v>246.929993</v>
      </c>
      <c r="J1018" s="6">
        <v>35.979999999999997</v>
      </c>
      <c r="K1018" s="6">
        <v>12.6</v>
      </c>
      <c r="N1018" s="18">
        <v>1014</v>
      </c>
      <c r="O1018" s="1">
        <v>44937</v>
      </c>
      <c r="P1018" s="5">
        <f t="shared" si="364"/>
        <v>1.2411529040158497E-2</v>
      </c>
      <c r="Q1018" s="5">
        <f t="shared" si="365"/>
        <v>2.0303428306390117E-2</v>
      </c>
      <c r="R1018" s="5">
        <f t="shared" si="366"/>
        <v>1.1472818947893574E-2</v>
      </c>
      <c r="S1018" s="5">
        <f t="shared" si="367"/>
        <v>1.123894442227978E-3</v>
      </c>
      <c r="T1018" s="5">
        <f t="shared" si="368"/>
        <v>4.2221491365133132E-2</v>
      </c>
      <c r="U1018" s="5">
        <f t="shared" si="369"/>
        <v>4.2613599313835307E-2</v>
      </c>
      <c r="V1018" s="5">
        <f t="shared" si="370"/>
        <v>1.8704026669065257E-2</v>
      </c>
      <c r="W1018" s="5">
        <f t="shared" si="371"/>
        <v>1.0216818477329002E-2</v>
      </c>
      <c r="X1018" s="5">
        <f t="shared" si="372"/>
        <v>8.0927190393713794E-3</v>
      </c>
      <c r="Y1018" s="5">
        <f t="shared" si="373"/>
        <v>3.1796529173795844E-3</v>
      </c>
      <c r="Z1018" s="33">
        <v>1014</v>
      </c>
      <c r="AE1018" s="20" t="str">
        <f t="shared" si="374"/>
        <v/>
      </c>
      <c r="AF1018" s="22" t="str">
        <f t="shared" si="375"/>
        <v/>
      </c>
      <c r="AG1018" s="9" t="str">
        <f t="shared" ca="1" si="354"/>
        <v/>
      </c>
      <c r="AH1018" s="9" t="str">
        <f t="shared" ca="1" si="355"/>
        <v/>
      </c>
      <c r="AI1018" s="9" t="str">
        <f t="shared" ca="1" si="356"/>
        <v/>
      </c>
      <c r="AJ1018" s="9" t="str">
        <f t="shared" ca="1" si="357"/>
        <v/>
      </c>
      <c r="AK1018" s="9" t="str">
        <f t="shared" ca="1" si="358"/>
        <v/>
      </c>
      <c r="AL1018" s="9" t="str">
        <f t="shared" ca="1" si="359"/>
        <v/>
      </c>
      <c r="AM1018" s="9" t="str">
        <f t="shared" ca="1" si="360"/>
        <v/>
      </c>
      <c r="AN1018" s="9" t="str">
        <f t="shared" ca="1" si="361"/>
        <v/>
      </c>
      <c r="AO1018" s="9" t="str">
        <f t="shared" ca="1" si="362"/>
        <v/>
      </c>
      <c r="AP1018" s="9" t="str">
        <f t="shared" ca="1" si="363"/>
        <v/>
      </c>
      <c r="AQ1018" s="9"/>
      <c r="AR1018" s="9"/>
      <c r="AS1018" s="9"/>
      <c r="AT1018" s="9"/>
      <c r="AU1018" s="9"/>
    </row>
    <row r="1019" spans="1:47" x14ac:dyDescent="0.3">
      <c r="A1019" s="1">
        <v>44938</v>
      </c>
      <c r="B1019" s="6">
        <v>344.540009</v>
      </c>
      <c r="C1019" s="6">
        <v>333.10000600000001</v>
      </c>
      <c r="D1019" s="6">
        <v>50.02</v>
      </c>
      <c r="E1019" s="6">
        <v>175.779999</v>
      </c>
      <c r="F1019" s="6">
        <v>118.33000199999999</v>
      </c>
      <c r="G1019" s="6">
        <v>40.459999000000003</v>
      </c>
      <c r="H1019" s="6">
        <v>142.89999399999999</v>
      </c>
      <c r="I1019" s="6">
        <v>248.240005</v>
      </c>
      <c r="J1019" s="6">
        <v>35.93</v>
      </c>
      <c r="K1019" s="6">
        <v>13.15</v>
      </c>
      <c r="N1019" s="19">
        <v>1015</v>
      </c>
      <c r="O1019" s="1">
        <v>44938</v>
      </c>
      <c r="P1019" s="5">
        <f t="shared" si="364"/>
        <v>4.6838958465406887E-3</v>
      </c>
      <c r="Q1019" s="5">
        <f t="shared" si="365"/>
        <v>-3.7456032330116986E-3</v>
      </c>
      <c r="R1019" s="5">
        <f t="shared" si="366"/>
        <v>-1.6358883461244818E-2</v>
      </c>
      <c r="S1019" s="5">
        <f t="shared" si="367"/>
        <v>-1.283121912541642E-2</v>
      </c>
      <c r="T1019" s="5">
        <f t="shared" si="368"/>
        <v>4.2266176858997618E-4</v>
      </c>
      <c r="U1019" s="5">
        <f t="shared" si="369"/>
        <v>4.7070321604676E-3</v>
      </c>
      <c r="V1019" s="5">
        <f t="shared" si="370"/>
        <v>6.811113957339205E-3</v>
      </c>
      <c r="W1019" s="5">
        <f t="shared" si="371"/>
        <v>5.2911729773757951E-3</v>
      </c>
      <c r="X1019" s="5">
        <f t="shared" si="372"/>
        <v>-1.3906273969595667E-3</v>
      </c>
      <c r="Y1019" s="5">
        <f t="shared" si="373"/>
        <v>4.2724944666341309E-2</v>
      </c>
      <c r="Z1019" s="33">
        <v>1015</v>
      </c>
      <c r="AE1019" s="20" t="str">
        <f t="shared" si="374"/>
        <v/>
      </c>
      <c r="AF1019" s="22" t="str">
        <f t="shared" si="375"/>
        <v/>
      </c>
      <c r="AG1019" s="9" t="str">
        <f t="shared" ca="1" si="354"/>
        <v/>
      </c>
      <c r="AH1019" s="9" t="str">
        <f t="shared" ca="1" si="355"/>
        <v/>
      </c>
      <c r="AI1019" s="9" t="str">
        <f t="shared" ca="1" si="356"/>
        <v/>
      </c>
      <c r="AJ1019" s="9" t="str">
        <f t="shared" ca="1" si="357"/>
        <v/>
      </c>
      <c r="AK1019" s="9" t="str">
        <f t="shared" ca="1" si="358"/>
        <v/>
      </c>
      <c r="AL1019" s="9" t="str">
        <f t="shared" ca="1" si="359"/>
        <v/>
      </c>
      <c r="AM1019" s="9" t="str">
        <f t="shared" ca="1" si="360"/>
        <v/>
      </c>
      <c r="AN1019" s="9" t="str">
        <f t="shared" ca="1" si="361"/>
        <v/>
      </c>
      <c r="AO1019" s="9" t="str">
        <f t="shared" ca="1" si="362"/>
        <v/>
      </c>
      <c r="AP1019" s="9" t="str">
        <f t="shared" ca="1" si="363"/>
        <v/>
      </c>
      <c r="AQ1019" s="9"/>
      <c r="AR1019" s="9"/>
      <c r="AS1019" s="9"/>
      <c r="AT1019" s="9"/>
      <c r="AU1019" s="9"/>
    </row>
    <row r="1020" spans="1:47" x14ac:dyDescent="0.3">
      <c r="A1020" s="1">
        <v>44939</v>
      </c>
      <c r="B1020" s="6">
        <v>344.38000499999998</v>
      </c>
      <c r="C1020" s="6">
        <v>332.97000100000002</v>
      </c>
      <c r="D1020" s="6">
        <v>51.040000999999997</v>
      </c>
      <c r="E1020" s="6">
        <v>175.240005</v>
      </c>
      <c r="F1020" s="6">
        <v>117.949997</v>
      </c>
      <c r="G1020" s="6">
        <v>40.150002000000001</v>
      </c>
      <c r="H1020" s="6">
        <v>144.38999899999999</v>
      </c>
      <c r="I1020" s="6">
        <v>248.80999800000001</v>
      </c>
      <c r="J1020" s="6">
        <v>35.959999000000003</v>
      </c>
      <c r="K1020" s="6">
        <v>13.14</v>
      </c>
      <c r="N1020" s="18">
        <v>1016</v>
      </c>
      <c r="O1020" s="1">
        <v>44939</v>
      </c>
      <c r="P1020" s="5">
        <f t="shared" si="364"/>
        <v>-4.6450676312317945E-4</v>
      </c>
      <c r="Q1020" s="5">
        <f t="shared" si="365"/>
        <v>-3.9036437697123177E-4</v>
      </c>
      <c r="R1020" s="5">
        <f t="shared" si="366"/>
        <v>2.0186733179537619E-2</v>
      </c>
      <c r="S1020" s="5">
        <f t="shared" si="367"/>
        <v>-3.0767159695739795E-3</v>
      </c>
      <c r="T1020" s="5">
        <f t="shared" si="368"/>
        <v>-3.2165678791742981E-3</v>
      </c>
      <c r="U1020" s="5">
        <f t="shared" si="369"/>
        <v>-7.6913168178605641E-3</v>
      </c>
      <c r="V1020" s="5">
        <f t="shared" si="370"/>
        <v>1.0372922109023221E-2</v>
      </c>
      <c r="W1020" s="5">
        <f t="shared" si="371"/>
        <v>2.2935046631704301E-3</v>
      </c>
      <c r="X1020" s="5">
        <f t="shared" si="372"/>
        <v>8.3458066931550246E-4</v>
      </c>
      <c r="Y1020" s="5">
        <f t="shared" si="373"/>
        <v>-7.6074556730904421E-4</v>
      </c>
      <c r="Z1020" s="33">
        <v>1016</v>
      </c>
      <c r="AE1020" s="20" t="str">
        <f t="shared" si="374"/>
        <v/>
      </c>
      <c r="AF1020" s="22" t="str">
        <f t="shared" si="375"/>
        <v/>
      </c>
      <c r="AG1020" s="9" t="str">
        <f t="shared" ca="1" si="354"/>
        <v/>
      </c>
      <c r="AH1020" s="9" t="str">
        <f t="shared" ca="1" si="355"/>
        <v/>
      </c>
      <c r="AI1020" s="9" t="str">
        <f t="shared" ca="1" si="356"/>
        <v/>
      </c>
      <c r="AJ1020" s="9" t="str">
        <f t="shared" ca="1" si="357"/>
        <v/>
      </c>
      <c r="AK1020" s="9" t="str">
        <f t="shared" ca="1" si="358"/>
        <v/>
      </c>
      <c r="AL1020" s="9" t="str">
        <f t="shared" ca="1" si="359"/>
        <v/>
      </c>
      <c r="AM1020" s="9" t="str">
        <f t="shared" ca="1" si="360"/>
        <v/>
      </c>
      <c r="AN1020" s="9" t="str">
        <f t="shared" ca="1" si="361"/>
        <v/>
      </c>
      <c r="AO1020" s="9" t="str">
        <f t="shared" ca="1" si="362"/>
        <v/>
      </c>
      <c r="AP1020" s="9" t="str">
        <f t="shared" ca="1" si="363"/>
        <v/>
      </c>
      <c r="AQ1020" s="9"/>
      <c r="AR1020" s="9"/>
      <c r="AS1020" s="9"/>
      <c r="AT1020" s="9"/>
      <c r="AU1020" s="9"/>
    </row>
    <row r="1021" spans="1:47" x14ac:dyDescent="0.3">
      <c r="A1021" s="1">
        <v>44943</v>
      </c>
      <c r="B1021" s="6">
        <v>344.38000499999998</v>
      </c>
      <c r="C1021" s="6">
        <v>337.29998799999998</v>
      </c>
      <c r="D1021" s="6">
        <v>51.084999000000003</v>
      </c>
      <c r="E1021" s="6">
        <v>176.05999800000001</v>
      </c>
      <c r="F1021" s="6">
        <v>117.739998</v>
      </c>
      <c r="G1021" s="6">
        <v>40.470001000000003</v>
      </c>
      <c r="H1021" s="6">
        <v>144.30999800000001</v>
      </c>
      <c r="I1021" s="6">
        <v>245.38000500000001</v>
      </c>
      <c r="J1021" s="6">
        <v>35.580002</v>
      </c>
      <c r="K1021" s="6">
        <v>13.23</v>
      </c>
      <c r="N1021" s="19">
        <v>1017</v>
      </c>
      <c r="O1021" s="1">
        <v>44943</v>
      </c>
      <c r="P1021" s="5">
        <f t="shared" si="364"/>
        <v>0</v>
      </c>
      <c r="Q1021" s="5">
        <f t="shared" si="365"/>
        <v>1.2920307655694427E-2</v>
      </c>
      <c r="R1021" s="5">
        <f t="shared" si="366"/>
        <v>8.8123383915842703E-4</v>
      </c>
      <c r="S1021" s="5">
        <f t="shared" si="367"/>
        <v>4.6683431950003988E-3</v>
      </c>
      <c r="T1021" s="5">
        <f t="shared" si="368"/>
        <v>-1.7819938056430249E-3</v>
      </c>
      <c r="U1021" s="5">
        <f t="shared" si="369"/>
        <v>7.9384933914655592E-3</v>
      </c>
      <c r="V1021" s="5">
        <f t="shared" si="370"/>
        <v>-5.5421546850730407E-4</v>
      </c>
      <c r="W1021" s="5">
        <f t="shared" si="371"/>
        <v>-1.3881495205497871E-2</v>
      </c>
      <c r="X1021" s="5">
        <f t="shared" si="372"/>
        <v>-1.0623443345700694E-2</v>
      </c>
      <c r="Y1021" s="5">
        <f t="shared" si="373"/>
        <v>6.8259650703998906E-3</v>
      </c>
      <c r="Z1021" s="33">
        <v>1017</v>
      </c>
      <c r="AE1021" s="20" t="str">
        <f t="shared" si="374"/>
        <v/>
      </c>
      <c r="AF1021" s="22" t="str">
        <f t="shared" si="375"/>
        <v/>
      </c>
      <c r="AG1021" s="9" t="str">
        <f t="shared" ca="1" si="354"/>
        <v/>
      </c>
      <c r="AH1021" s="9" t="str">
        <f t="shared" ca="1" si="355"/>
        <v/>
      </c>
      <c r="AI1021" s="9" t="str">
        <f t="shared" ca="1" si="356"/>
        <v/>
      </c>
      <c r="AJ1021" s="9" t="str">
        <f t="shared" ca="1" si="357"/>
        <v/>
      </c>
      <c r="AK1021" s="9" t="str">
        <f t="shared" ca="1" si="358"/>
        <v/>
      </c>
      <c r="AL1021" s="9" t="str">
        <f t="shared" ca="1" si="359"/>
        <v/>
      </c>
      <c r="AM1021" s="9" t="str">
        <f t="shared" ca="1" si="360"/>
        <v/>
      </c>
      <c r="AN1021" s="9" t="str">
        <f t="shared" ca="1" si="361"/>
        <v/>
      </c>
      <c r="AO1021" s="9" t="str">
        <f t="shared" ca="1" si="362"/>
        <v/>
      </c>
      <c r="AP1021" s="9" t="str">
        <f t="shared" ca="1" si="363"/>
        <v/>
      </c>
      <c r="AQ1021" s="9"/>
      <c r="AR1021" s="9"/>
      <c r="AS1021" s="9"/>
      <c r="AT1021" s="9"/>
      <c r="AU1021" s="9"/>
    </row>
    <row r="1022" spans="1:47" x14ac:dyDescent="0.3">
      <c r="A1022" s="1">
        <v>44944</v>
      </c>
      <c r="B1022" s="6">
        <v>341.30999800000001</v>
      </c>
      <c r="C1022" s="6">
        <v>335.66000400000001</v>
      </c>
      <c r="D1022" s="6">
        <v>50.369999</v>
      </c>
      <c r="E1022" s="6">
        <v>171.61999499999999</v>
      </c>
      <c r="F1022" s="6">
        <v>115.260002</v>
      </c>
      <c r="G1022" s="6">
        <v>40</v>
      </c>
      <c r="H1022" s="6">
        <v>140.520004</v>
      </c>
      <c r="I1022" s="6">
        <v>240.88999899999999</v>
      </c>
      <c r="J1022" s="6">
        <v>35.610000999999997</v>
      </c>
      <c r="K1022" s="6">
        <v>12.59</v>
      </c>
      <c r="N1022" s="18">
        <v>1018</v>
      </c>
      <c r="O1022" s="1">
        <v>44944</v>
      </c>
      <c r="P1022" s="5">
        <f t="shared" si="364"/>
        <v>-8.954564016925827E-3</v>
      </c>
      <c r="Q1022" s="5">
        <f t="shared" si="365"/>
        <v>-4.8739516941121138E-3</v>
      </c>
      <c r="R1022" s="5">
        <f t="shared" si="366"/>
        <v>-1.4095152563697286E-2</v>
      </c>
      <c r="S1022" s="5">
        <f t="shared" si="367"/>
        <v>-2.5542133428155447E-2</v>
      </c>
      <c r="T1022" s="5">
        <f t="shared" si="368"/>
        <v>-2.1288323252940854E-2</v>
      </c>
      <c r="U1022" s="5">
        <f t="shared" si="369"/>
        <v>-1.1681529483499169E-2</v>
      </c>
      <c r="V1022" s="5">
        <f t="shared" si="370"/>
        <v>-2.661389372560824E-2</v>
      </c>
      <c r="W1022" s="5">
        <f t="shared" si="371"/>
        <v>-1.8467656132062738E-2</v>
      </c>
      <c r="X1022" s="5">
        <f t="shared" si="372"/>
        <v>8.4278692264316021E-4</v>
      </c>
      <c r="Y1022" s="5">
        <f t="shared" si="373"/>
        <v>-4.9584130070608551E-2</v>
      </c>
      <c r="Z1022" s="33">
        <v>1018</v>
      </c>
      <c r="AE1022" s="20" t="str">
        <f t="shared" si="374"/>
        <v/>
      </c>
      <c r="AF1022" s="22" t="str">
        <f t="shared" si="375"/>
        <v/>
      </c>
      <c r="AG1022" s="9" t="str">
        <f t="shared" ca="1" si="354"/>
        <v/>
      </c>
      <c r="AH1022" s="9" t="str">
        <f t="shared" ca="1" si="355"/>
        <v/>
      </c>
      <c r="AI1022" s="9" t="str">
        <f t="shared" ca="1" si="356"/>
        <v/>
      </c>
      <c r="AJ1022" s="9" t="str">
        <f t="shared" ca="1" si="357"/>
        <v/>
      </c>
      <c r="AK1022" s="9" t="str">
        <f t="shared" ca="1" si="358"/>
        <v/>
      </c>
      <c r="AL1022" s="9" t="str">
        <f t="shared" ca="1" si="359"/>
        <v/>
      </c>
      <c r="AM1022" s="9" t="str">
        <f t="shared" ca="1" si="360"/>
        <v/>
      </c>
      <c r="AN1022" s="9" t="str">
        <f t="shared" ca="1" si="361"/>
        <v/>
      </c>
      <c r="AO1022" s="9" t="str">
        <f t="shared" ca="1" si="362"/>
        <v/>
      </c>
      <c r="AP1022" s="9" t="str">
        <f t="shared" ca="1" si="363"/>
        <v/>
      </c>
      <c r="AQ1022" s="9"/>
      <c r="AR1022" s="9"/>
      <c r="AS1022" s="9"/>
      <c r="AT1022" s="9"/>
      <c r="AU1022" s="9"/>
    </row>
    <row r="1023" spans="1:47" x14ac:dyDescent="0.3">
      <c r="A1023" s="1">
        <v>44945</v>
      </c>
      <c r="B1023" s="6">
        <v>342.52999899999998</v>
      </c>
      <c r="C1023" s="6">
        <v>331.27999899999998</v>
      </c>
      <c r="D1023" s="6">
        <v>49.93</v>
      </c>
      <c r="E1023" s="6">
        <v>169.63000500000001</v>
      </c>
      <c r="F1023" s="6">
        <v>114.540001</v>
      </c>
      <c r="G1023" s="6">
        <v>39.610000999999997</v>
      </c>
      <c r="H1023" s="6">
        <v>135.88000500000001</v>
      </c>
      <c r="I1023" s="6">
        <v>234.490005</v>
      </c>
      <c r="J1023" s="6">
        <v>35.299999</v>
      </c>
      <c r="K1023" s="6">
        <v>12.47</v>
      </c>
      <c r="N1023" s="19">
        <v>1019</v>
      </c>
      <c r="O1023" s="1">
        <v>44945</v>
      </c>
      <c r="P1023" s="5">
        <f t="shared" si="364"/>
        <v>3.5680928278554315E-3</v>
      </c>
      <c r="Q1023" s="5">
        <f t="shared" si="365"/>
        <v>-1.3134818578136557E-2</v>
      </c>
      <c r="R1023" s="5">
        <f t="shared" si="366"/>
        <v>-8.7737153919539099E-3</v>
      </c>
      <c r="S1023" s="5">
        <f t="shared" si="367"/>
        <v>-1.1663077261291534E-2</v>
      </c>
      <c r="T1023" s="5">
        <f t="shared" si="368"/>
        <v>-6.2663476643080411E-3</v>
      </c>
      <c r="U1023" s="5">
        <f t="shared" si="369"/>
        <v>-9.7978172339614599E-3</v>
      </c>
      <c r="V1023" s="5">
        <f t="shared" si="370"/>
        <v>-3.3577675773768155E-2</v>
      </c>
      <c r="W1023" s="5">
        <f t="shared" si="371"/>
        <v>-2.6927429230846924E-2</v>
      </c>
      <c r="X1023" s="5">
        <f t="shared" si="372"/>
        <v>-8.7435897610465465E-3</v>
      </c>
      <c r="Y1023" s="5">
        <f t="shared" si="373"/>
        <v>-9.5770883643106035E-3</v>
      </c>
      <c r="Z1023" s="33">
        <v>1019</v>
      </c>
      <c r="AE1023" s="20" t="str">
        <f t="shared" si="374"/>
        <v/>
      </c>
      <c r="AF1023" s="22" t="str">
        <f t="shared" si="375"/>
        <v/>
      </c>
      <c r="AG1023" s="9" t="str">
        <f t="shared" ca="1" si="354"/>
        <v/>
      </c>
      <c r="AH1023" s="9" t="str">
        <f t="shared" ca="1" si="355"/>
        <v/>
      </c>
      <c r="AI1023" s="9" t="str">
        <f t="shared" ca="1" si="356"/>
        <v/>
      </c>
      <c r="AJ1023" s="9" t="str">
        <f t="shared" ca="1" si="357"/>
        <v/>
      </c>
      <c r="AK1023" s="9" t="str">
        <f t="shared" ca="1" si="358"/>
        <v/>
      </c>
      <c r="AL1023" s="9" t="str">
        <f t="shared" ca="1" si="359"/>
        <v/>
      </c>
      <c r="AM1023" s="9" t="str">
        <f t="shared" ca="1" si="360"/>
        <v/>
      </c>
      <c r="AN1023" s="9" t="str">
        <f t="shared" ca="1" si="361"/>
        <v/>
      </c>
      <c r="AO1023" s="9" t="str">
        <f t="shared" ca="1" si="362"/>
        <v/>
      </c>
      <c r="AP1023" s="9" t="str">
        <f t="shared" ca="1" si="363"/>
        <v/>
      </c>
      <c r="AQ1023" s="9"/>
      <c r="AR1023" s="9"/>
      <c r="AS1023" s="9"/>
      <c r="AT1023" s="9"/>
      <c r="AU1023" s="9"/>
    </row>
    <row r="1024" spans="1:47" x14ac:dyDescent="0.3">
      <c r="A1024" s="1">
        <v>44946</v>
      </c>
      <c r="B1024" s="6">
        <v>356.38000499999998</v>
      </c>
      <c r="C1024" s="6">
        <v>342.42001299999998</v>
      </c>
      <c r="D1024" s="6">
        <v>50</v>
      </c>
      <c r="E1024" s="6">
        <v>169.88000500000001</v>
      </c>
      <c r="F1024" s="6">
        <v>114.68</v>
      </c>
      <c r="G1024" s="6">
        <v>39.979999999999997</v>
      </c>
      <c r="H1024" s="6">
        <v>139.33999600000001</v>
      </c>
      <c r="I1024" s="6">
        <v>238.41000399999999</v>
      </c>
      <c r="J1024" s="6">
        <v>36.25</v>
      </c>
      <c r="K1024" s="6">
        <v>13.02</v>
      </c>
      <c r="N1024" s="18">
        <v>1020</v>
      </c>
      <c r="O1024" s="1">
        <v>44946</v>
      </c>
      <c r="P1024" s="5">
        <f t="shared" si="364"/>
        <v>3.9638349141421829E-2</v>
      </c>
      <c r="Q1024" s="5">
        <f t="shared" si="365"/>
        <v>3.307415552302595E-2</v>
      </c>
      <c r="R1024" s="5">
        <f t="shared" si="366"/>
        <v>1.4009809156281432E-3</v>
      </c>
      <c r="S1024" s="5">
        <f t="shared" si="367"/>
        <v>1.4727108940613602E-3</v>
      </c>
      <c r="T1024" s="5">
        <f t="shared" si="368"/>
        <v>1.2215253188834635E-3</v>
      </c>
      <c r="U1024" s="5">
        <f t="shared" si="369"/>
        <v>9.2976921922791819E-3</v>
      </c>
      <c r="V1024" s="5">
        <f t="shared" si="370"/>
        <v>2.5144780805655544E-2</v>
      </c>
      <c r="W1024" s="5">
        <f t="shared" si="371"/>
        <v>1.6578933021331465E-2</v>
      </c>
      <c r="X1024" s="5">
        <f t="shared" si="372"/>
        <v>2.6556445690044905E-2</v>
      </c>
      <c r="Y1024" s="5">
        <f t="shared" si="373"/>
        <v>4.316087708847801E-2</v>
      </c>
      <c r="Z1024" s="33">
        <v>1020</v>
      </c>
      <c r="AE1024" s="20" t="str">
        <f t="shared" si="374"/>
        <v/>
      </c>
      <c r="AF1024" s="22" t="str">
        <f t="shared" si="375"/>
        <v/>
      </c>
      <c r="AG1024" s="9" t="str">
        <f t="shared" ca="1" si="354"/>
        <v/>
      </c>
      <c r="AH1024" s="9" t="str">
        <f t="shared" ca="1" si="355"/>
        <v/>
      </c>
      <c r="AI1024" s="9" t="str">
        <f t="shared" ca="1" si="356"/>
        <v/>
      </c>
      <c r="AJ1024" s="9" t="str">
        <f t="shared" ca="1" si="357"/>
        <v/>
      </c>
      <c r="AK1024" s="9" t="str">
        <f t="shared" ca="1" si="358"/>
        <v/>
      </c>
      <c r="AL1024" s="9" t="str">
        <f t="shared" ca="1" si="359"/>
        <v/>
      </c>
      <c r="AM1024" s="9" t="str">
        <f t="shared" ca="1" si="360"/>
        <v/>
      </c>
      <c r="AN1024" s="9" t="str">
        <f t="shared" ca="1" si="361"/>
        <v/>
      </c>
      <c r="AO1024" s="9" t="str">
        <f t="shared" ca="1" si="362"/>
        <v/>
      </c>
      <c r="AP1024" s="9" t="str">
        <f t="shared" ca="1" si="363"/>
        <v/>
      </c>
      <c r="AQ1024" s="9"/>
      <c r="AR1024" s="9"/>
      <c r="AS1024" s="9"/>
      <c r="AT1024" s="9"/>
      <c r="AU1024" s="9"/>
    </row>
    <row r="1025" spans="1:47" x14ac:dyDescent="0.3">
      <c r="A1025" s="1">
        <v>44949</v>
      </c>
      <c r="B1025" s="6">
        <v>364.98001099999999</v>
      </c>
      <c r="C1025" s="6">
        <v>350.32998700000002</v>
      </c>
      <c r="D1025" s="6">
        <v>50.055</v>
      </c>
      <c r="E1025" s="6">
        <v>169.11999499999999</v>
      </c>
      <c r="F1025" s="6">
        <v>114.870003</v>
      </c>
      <c r="G1025" s="6">
        <v>39.93</v>
      </c>
      <c r="H1025" s="6">
        <v>141.720001</v>
      </c>
      <c r="I1025" s="6">
        <v>238.83000200000001</v>
      </c>
      <c r="J1025" s="6">
        <v>36.509998000000003</v>
      </c>
      <c r="K1025" s="6">
        <v>13.51</v>
      </c>
      <c r="N1025" s="19">
        <v>1021</v>
      </c>
      <c r="O1025" s="1">
        <v>44949</v>
      </c>
      <c r="P1025" s="5">
        <f t="shared" si="364"/>
        <v>2.3844996370069635E-2</v>
      </c>
      <c r="Q1025" s="5">
        <f t="shared" si="365"/>
        <v>2.2837438566103315E-2</v>
      </c>
      <c r="R1025" s="5">
        <f t="shared" si="366"/>
        <v>1.0993954433010642E-3</v>
      </c>
      <c r="S1025" s="5">
        <f t="shared" si="367"/>
        <v>-4.4838423204897138E-3</v>
      </c>
      <c r="T1025" s="5">
        <f t="shared" si="368"/>
        <v>1.6554392586228489E-3</v>
      </c>
      <c r="U1025" s="5">
        <f t="shared" si="369"/>
        <v>-1.2514079971240161E-3</v>
      </c>
      <c r="V1025" s="5">
        <f t="shared" si="370"/>
        <v>1.6936326158226128E-2</v>
      </c>
      <c r="W1025" s="5">
        <f t="shared" si="371"/>
        <v>1.7601127447366641E-3</v>
      </c>
      <c r="X1025" s="5">
        <f t="shared" si="372"/>
        <v>7.1467595873478612E-3</v>
      </c>
      <c r="Y1025" s="5">
        <f t="shared" si="373"/>
        <v>3.6943515191684276E-2</v>
      </c>
      <c r="Z1025" s="33">
        <v>1021</v>
      </c>
      <c r="AE1025" s="20" t="str">
        <f t="shared" si="374"/>
        <v/>
      </c>
      <c r="AF1025" s="22" t="str">
        <f t="shared" si="375"/>
        <v/>
      </c>
      <c r="AG1025" s="9" t="str">
        <f t="shared" ca="1" si="354"/>
        <v/>
      </c>
      <c r="AH1025" s="9" t="str">
        <f t="shared" ca="1" si="355"/>
        <v/>
      </c>
      <c r="AI1025" s="9" t="str">
        <f t="shared" ca="1" si="356"/>
        <v/>
      </c>
      <c r="AJ1025" s="9" t="str">
        <f t="shared" ca="1" si="357"/>
        <v/>
      </c>
      <c r="AK1025" s="9" t="str">
        <f t="shared" ca="1" si="358"/>
        <v/>
      </c>
      <c r="AL1025" s="9" t="str">
        <f t="shared" ca="1" si="359"/>
        <v/>
      </c>
      <c r="AM1025" s="9" t="str">
        <f t="shared" ca="1" si="360"/>
        <v/>
      </c>
      <c r="AN1025" s="9" t="str">
        <f t="shared" ca="1" si="361"/>
        <v/>
      </c>
      <c r="AO1025" s="9" t="str">
        <f t="shared" ca="1" si="362"/>
        <v/>
      </c>
      <c r="AP1025" s="9" t="str">
        <f t="shared" ca="1" si="363"/>
        <v/>
      </c>
      <c r="AQ1025" s="9"/>
      <c r="AR1025" s="9"/>
      <c r="AS1025" s="9"/>
      <c r="AT1025" s="9"/>
      <c r="AU1025" s="9"/>
    </row>
    <row r="1026" spans="1:47" x14ac:dyDescent="0.3">
      <c r="A1026" s="1">
        <v>44950</v>
      </c>
      <c r="B1026" s="6">
        <v>361.32000699999998</v>
      </c>
      <c r="C1026" s="6">
        <v>349.27999899999998</v>
      </c>
      <c r="D1026" s="6">
        <v>51.509998000000003</v>
      </c>
      <c r="E1026" s="6">
        <v>170.69000199999999</v>
      </c>
      <c r="F1026" s="6">
        <v>118.029999</v>
      </c>
      <c r="G1026" s="6">
        <v>40.630001</v>
      </c>
      <c r="H1026" s="6">
        <v>143.21000699999999</v>
      </c>
      <c r="I1026" s="6">
        <v>240.96000699999999</v>
      </c>
      <c r="J1026" s="6">
        <v>36.479999999999997</v>
      </c>
      <c r="K1026" s="6">
        <v>13.38</v>
      </c>
      <c r="N1026" s="18">
        <v>1022</v>
      </c>
      <c r="O1026" s="1">
        <v>44950</v>
      </c>
      <c r="P1026" s="5">
        <f t="shared" si="364"/>
        <v>-1.0078576044255149E-2</v>
      </c>
      <c r="Q1026" s="5">
        <f t="shared" si="365"/>
        <v>-3.0016403692452237E-3</v>
      </c>
      <c r="R1026" s="5">
        <f t="shared" si="366"/>
        <v>2.8653523878633898E-2</v>
      </c>
      <c r="S1026" s="5">
        <f t="shared" si="367"/>
        <v>9.2405649362685416E-3</v>
      </c>
      <c r="T1026" s="5">
        <f t="shared" si="368"/>
        <v>2.713774069476332E-2</v>
      </c>
      <c r="U1026" s="5">
        <f t="shared" si="369"/>
        <v>1.7378813536860552E-2</v>
      </c>
      <c r="V1026" s="5">
        <f t="shared" si="370"/>
        <v>1.0458846316439842E-2</v>
      </c>
      <c r="W1026" s="5">
        <f t="shared" si="371"/>
        <v>8.8789635192392854E-3</v>
      </c>
      <c r="X1026" s="5">
        <f t="shared" si="372"/>
        <v>-8.2197568190107409E-4</v>
      </c>
      <c r="Y1026" s="5">
        <f t="shared" si="373"/>
        <v>-9.6690972720250516E-3</v>
      </c>
      <c r="Z1026" s="33">
        <v>1022</v>
      </c>
      <c r="AE1026" s="20" t="str">
        <f t="shared" si="374"/>
        <v/>
      </c>
      <c r="AF1026" s="22" t="str">
        <f t="shared" si="375"/>
        <v/>
      </c>
      <c r="AG1026" s="9" t="str">
        <f t="shared" ca="1" si="354"/>
        <v/>
      </c>
      <c r="AH1026" s="9" t="str">
        <f t="shared" ca="1" si="355"/>
        <v/>
      </c>
      <c r="AI1026" s="9" t="str">
        <f t="shared" ca="1" si="356"/>
        <v/>
      </c>
      <c r="AJ1026" s="9" t="str">
        <f t="shared" ca="1" si="357"/>
        <v/>
      </c>
      <c r="AK1026" s="9" t="str">
        <f t="shared" ca="1" si="358"/>
        <v/>
      </c>
      <c r="AL1026" s="9" t="str">
        <f t="shared" ca="1" si="359"/>
        <v/>
      </c>
      <c r="AM1026" s="9" t="str">
        <f t="shared" ca="1" si="360"/>
        <v/>
      </c>
      <c r="AN1026" s="9" t="str">
        <f t="shared" ca="1" si="361"/>
        <v/>
      </c>
      <c r="AO1026" s="9" t="str">
        <f t="shared" ca="1" si="362"/>
        <v/>
      </c>
      <c r="AP1026" s="9" t="str">
        <f t="shared" ca="1" si="363"/>
        <v/>
      </c>
      <c r="AQ1026" s="9"/>
      <c r="AR1026" s="9"/>
      <c r="AS1026" s="9"/>
      <c r="AT1026" s="9"/>
      <c r="AU1026" s="9"/>
    </row>
    <row r="1027" spans="1:47" x14ac:dyDescent="0.3">
      <c r="A1027" s="1">
        <v>44951</v>
      </c>
      <c r="B1027" s="6">
        <v>358.17001299999998</v>
      </c>
      <c r="C1027" s="6">
        <v>349.26998900000001</v>
      </c>
      <c r="D1027" s="6">
        <v>51.759998000000003</v>
      </c>
      <c r="E1027" s="6">
        <v>171.929993</v>
      </c>
      <c r="F1027" s="6">
        <v>119.269997</v>
      </c>
      <c r="G1027" s="6">
        <v>40.599997999999999</v>
      </c>
      <c r="H1027" s="6">
        <v>141.85000600000001</v>
      </c>
      <c r="I1027" s="6">
        <v>240.61999499999999</v>
      </c>
      <c r="J1027" s="6">
        <v>36.310001</v>
      </c>
      <c r="K1027" s="6">
        <v>14.53</v>
      </c>
      <c r="N1027" s="19">
        <v>1023</v>
      </c>
      <c r="O1027" s="1">
        <v>44951</v>
      </c>
      <c r="P1027" s="5">
        <f t="shared" si="364"/>
        <v>-8.7562413340313682E-3</v>
      </c>
      <c r="Q1027" s="5">
        <f t="shared" si="365"/>
        <v>-2.8659366323458131E-5</v>
      </c>
      <c r="R1027" s="5">
        <f t="shared" si="366"/>
        <v>4.8416868026871871E-3</v>
      </c>
      <c r="S1027" s="5">
        <f t="shared" si="367"/>
        <v>7.2383190241213273E-3</v>
      </c>
      <c r="T1027" s="5">
        <f t="shared" si="368"/>
        <v>1.0450984469007852E-2</v>
      </c>
      <c r="U1027" s="5">
        <f t="shared" si="369"/>
        <v>-7.3871726538848675E-4</v>
      </c>
      <c r="V1027" s="5">
        <f t="shared" si="370"/>
        <v>-9.5419298168163205E-3</v>
      </c>
      <c r="W1027" s="5">
        <f t="shared" si="371"/>
        <v>-1.4120688362675197E-3</v>
      </c>
      <c r="X1027" s="5">
        <f t="shared" si="372"/>
        <v>-4.6709522392641284E-3</v>
      </c>
      <c r="Y1027" s="5">
        <f t="shared" si="373"/>
        <v>8.2454422882108996E-2</v>
      </c>
      <c r="Z1027" s="33">
        <v>1023</v>
      </c>
      <c r="AE1027" s="20" t="str">
        <f t="shared" si="374"/>
        <v/>
      </c>
      <c r="AF1027" s="22" t="str">
        <f t="shared" si="375"/>
        <v/>
      </c>
      <c r="AG1027" s="9" t="str">
        <f t="shared" ca="1" si="354"/>
        <v/>
      </c>
      <c r="AH1027" s="9" t="str">
        <f t="shared" ca="1" si="355"/>
        <v/>
      </c>
      <c r="AI1027" s="9" t="str">
        <f t="shared" ca="1" si="356"/>
        <v/>
      </c>
      <c r="AJ1027" s="9" t="str">
        <f t="shared" ca="1" si="357"/>
        <v/>
      </c>
      <c r="AK1027" s="9" t="str">
        <f t="shared" ca="1" si="358"/>
        <v/>
      </c>
      <c r="AL1027" s="9" t="str">
        <f t="shared" ca="1" si="359"/>
        <v/>
      </c>
      <c r="AM1027" s="9" t="str">
        <f t="shared" ca="1" si="360"/>
        <v/>
      </c>
      <c r="AN1027" s="9" t="str">
        <f t="shared" ca="1" si="361"/>
        <v/>
      </c>
      <c r="AO1027" s="9" t="str">
        <f t="shared" ca="1" si="362"/>
        <v/>
      </c>
      <c r="AP1027" s="9" t="str">
        <f t="shared" ca="1" si="363"/>
        <v/>
      </c>
      <c r="AQ1027" s="9"/>
      <c r="AR1027" s="9"/>
      <c r="AS1027" s="9"/>
      <c r="AT1027" s="9"/>
      <c r="AU1027" s="9"/>
    </row>
    <row r="1028" spans="1:47" x14ac:dyDescent="0.3">
      <c r="A1028" s="1">
        <v>44952</v>
      </c>
      <c r="B1028" s="6">
        <v>365.82000699999998</v>
      </c>
      <c r="C1028" s="6">
        <v>356.67001299999998</v>
      </c>
      <c r="D1028" s="6">
        <v>51.955002</v>
      </c>
      <c r="E1028" s="6">
        <v>170.220001</v>
      </c>
      <c r="F1028" s="6">
        <v>119.849998</v>
      </c>
      <c r="G1028" s="6">
        <v>41.029998999999997</v>
      </c>
      <c r="H1028" s="6">
        <v>143.5</v>
      </c>
      <c r="I1028" s="6">
        <v>242.86999499999999</v>
      </c>
      <c r="J1028" s="6">
        <v>35.979999999999997</v>
      </c>
      <c r="K1028" s="6">
        <v>15</v>
      </c>
      <c r="N1028" s="18">
        <v>1024</v>
      </c>
      <c r="O1028" s="1">
        <v>44952</v>
      </c>
      <c r="P1028" s="5">
        <f t="shared" si="364"/>
        <v>2.1133657961853614E-2</v>
      </c>
      <c r="Q1028" s="5">
        <f t="shared" si="365"/>
        <v>2.09657904145421E-2</v>
      </c>
      <c r="R1028" s="5">
        <f t="shared" si="366"/>
        <v>3.7603862466924439E-3</v>
      </c>
      <c r="S1028" s="5">
        <f t="shared" si="367"/>
        <v>-9.9956525939455514E-3</v>
      </c>
      <c r="T1028" s="5">
        <f t="shared" si="368"/>
        <v>4.8511387553040446E-3</v>
      </c>
      <c r="U1028" s="5">
        <f t="shared" si="369"/>
        <v>1.0535464735081879E-2</v>
      </c>
      <c r="V1028" s="5">
        <f t="shared" si="370"/>
        <v>1.1564831646613856E-2</v>
      </c>
      <c r="W1028" s="5">
        <f t="shared" si="371"/>
        <v>9.30739535125873E-3</v>
      </c>
      <c r="X1028" s="5">
        <f t="shared" si="372"/>
        <v>-9.1299844444795025E-3</v>
      </c>
      <c r="Y1028" s="5">
        <f t="shared" si="373"/>
        <v>3.1834723520018544E-2</v>
      </c>
      <c r="Z1028" s="33">
        <v>1024</v>
      </c>
      <c r="AE1028" s="20" t="str">
        <f t="shared" si="374"/>
        <v/>
      </c>
      <c r="AF1028" s="22" t="str">
        <f t="shared" si="375"/>
        <v/>
      </c>
      <c r="AG1028" s="9" t="str">
        <f t="shared" ca="1" si="354"/>
        <v/>
      </c>
      <c r="AH1028" s="9" t="str">
        <f t="shared" ca="1" si="355"/>
        <v/>
      </c>
      <c r="AI1028" s="9" t="str">
        <f t="shared" ca="1" si="356"/>
        <v/>
      </c>
      <c r="AJ1028" s="9" t="str">
        <f t="shared" ca="1" si="357"/>
        <v/>
      </c>
      <c r="AK1028" s="9" t="str">
        <f t="shared" ca="1" si="358"/>
        <v/>
      </c>
      <c r="AL1028" s="9" t="str">
        <f t="shared" ca="1" si="359"/>
        <v/>
      </c>
      <c r="AM1028" s="9" t="str">
        <f t="shared" ca="1" si="360"/>
        <v/>
      </c>
      <c r="AN1028" s="9" t="str">
        <f t="shared" ca="1" si="361"/>
        <v/>
      </c>
      <c r="AO1028" s="9" t="str">
        <f t="shared" ca="1" si="362"/>
        <v/>
      </c>
      <c r="AP1028" s="9" t="str">
        <f t="shared" ca="1" si="363"/>
        <v/>
      </c>
      <c r="AQ1028" s="9"/>
      <c r="AR1028" s="9"/>
      <c r="AS1028" s="9"/>
      <c r="AT1028" s="9"/>
      <c r="AU1028" s="9"/>
    </row>
    <row r="1029" spans="1:47" x14ac:dyDescent="0.3">
      <c r="A1029" s="1">
        <v>44953</v>
      </c>
      <c r="B1029" s="6">
        <v>370.709991</v>
      </c>
      <c r="C1029" s="6">
        <v>357.26998900000001</v>
      </c>
      <c r="D1029" s="6">
        <v>51.395000000000003</v>
      </c>
      <c r="E1029" s="6">
        <v>169.61999499999999</v>
      </c>
      <c r="F1029" s="6">
        <v>121.650002</v>
      </c>
      <c r="G1029" s="6">
        <v>41.970001000000003</v>
      </c>
      <c r="H1029" s="6">
        <v>144.979996</v>
      </c>
      <c r="I1029" s="6">
        <v>244.449997</v>
      </c>
      <c r="J1029" s="6">
        <v>35.790000999999997</v>
      </c>
      <c r="K1029" s="6">
        <v>14.91</v>
      </c>
      <c r="N1029" s="19">
        <v>1025</v>
      </c>
      <c r="O1029" s="1">
        <v>44953</v>
      </c>
      <c r="P1029" s="5">
        <f t="shared" si="364"/>
        <v>1.3278633223597925E-2</v>
      </c>
      <c r="Q1029" s="5">
        <f t="shared" si="365"/>
        <v>1.6807466721547452E-3</v>
      </c>
      <c r="R1029" s="5">
        <f t="shared" si="366"/>
        <v>-1.0837106334575309E-2</v>
      </c>
      <c r="S1029" s="5">
        <f t="shared" si="367"/>
        <v>-3.5311124676677672E-3</v>
      </c>
      <c r="T1029" s="5">
        <f t="shared" si="368"/>
        <v>1.4907141477272564E-2</v>
      </c>
      <c r="U1029" s="5">
        <f t="shared" si="369"/>
        <v>2.2651619090358125E-2</v>
      </c>
      <c r="V1029" s="5">
        <f t="shared" si="370"/>
        <v>1.0260739083043112E-2</v>
      </c>
      <c r="W1029" s="5">
        <f t="shared" si="371"/>
        <v>6.4844765752217299E-3</v>
      </c>
      <c r="X1029" s="5">
        <f t="shared" si="372"/>
        <v>-5.2946758036874642E-3</v>
      </c>
      <c r="Y1029" s="5">
        <f t="shared" si="373"/>
        <v>-6.0180723255630212E-3</v>
      </c>
      <c r="Z1029" s="33">
        <v>1025</v>
      </c>
      <c r="AE1029" s="20" t="str">
        <f t="shared" si="374"/>
        <v/>
      </c>
      <c r="AF1029" s="22" t="str">
        <f t="shared" si="375"/>
        <v/>
      </c>
      <c r="AG1029" s="9" t="str">
        <f t="shared" ref="AG1029:AG1092" ca="1" si="376">IF($AE1029="","",OFFSET(P$4,$AE1029,0))</f>
        <v/>
      </c>
      <c r="AH1029" s="9" t="str">
        <f t="shared" ref="AH1029:AH1092" ca="1" si="377">IF($AE1029="","",OFFSET(Q$4,$AE1029,0))</f>
        <v/>
      </c>
      <c r="AI1029" s="9" t="str">
        <f t="shared" ref="AI1029:AI1092" ca="1" si="378">IF($AE1029="","",OFFSET(R$4,$AE1029,0))</f>
        <v/>
      </c>
      <c r="AJ1029" s="9" t="str">
        <f t="shared" ref="AJ1029:AJ1092" ca="1" si="379">IF($AE1029="","",OFFSET(S$4,$AE1029,0))</f>
        <v/>
      </c>
      <c r="AK1029" s="9" t="str">
        <f t="shared" ref="AK1029:AK1092" ca="1" si="380">IF($AE1029="","",OFFSET(T$4,$AE1029,0))</f>
        <v/>
      </c>
      <c r="AL1029" s="9" t="str">
        <f t="shared" ref="AL1029:AL1092" ca="1" si="381">IF($AE1029="","",OFFSET(U$4,$AE1029,0))</f>
        <v/>
      </c>
      <c r="AM1029" s="9" t="str">
        <f t="shared" ref="AM1029:AM1092" ca="1" si="382">IF($AE1029="","",OFFSET(V$4,$AE1029,0))</f>
        <v/>
      </c>
      <c r="AN1029" s="9" t="str">
        <f t="shared" ref="AN1029:AN1092" ca="1" si="383">IF($AE1029="","",OFFSET(W$4,$AE1029,0))</f>
        <v/>
      </c>
      <c r="AO1029" s="9" t="str">
        <f t="shared" ref="AO1029:AO1092" ca="1" si="384">IF($AE1029="","",OFFSET(X$4,$AE1029,0))</f>
        <v/>
      </c>
      <c r="AP1029" s="9" t="str">
        <f t="shared" ref="AP1029:AP1092" ca="1" si="385">IF($AE1029="","",OFFSET(Y$4,$AE1029,0))</f>
        <v/>
      </c>
      <c r="AQ1029" s="9"/>
      <c r="AR1029" s="9"/>
      <c r="AS1029" s="9"/>
      <c r="AT1029" s="9"/>
      <c r="AU1029" s="9"/>
    </row>
    <row r="1030" spans="1:47" x14ac:dyDescent="0.3">
      <c r="A1030" s="1">
        <v>44956</v>
      </c>
      <c r="B1030" s="6">
        <v>363.42001299999998</v>
      </c>
      <c r="C1030" s="6">
        <v>349.88000499999998</v>
      </c>
      <c r="D1030" s="6">
        <v>51.185001</v>
      </c>
      <c r="E1030" s="6">
        <v>169.479996</v>
      </c>
      <c r="F1030" s="6">
        <v>119.779999</v>
      </c>
      <c r="G1030" s="6">
        <v>41.360000999999997</v>
      </c>
      <c r="H1030" s="6">
        <v>143.30999800000001</v>
      </c>
      <c r="I1030" s="6">
        <v>242.509995</v>
      </c>
      <c r="J1030" s="6">
        <v>35.950001</v>
      </c>
      <c r="K1030" s="6">
        <v>14.38</v>
      </c>
      <c r="N1030" s="18">
        <v>1026</v>
      </c>
      <c r="O1030" s="1">
        <v>44956</v>
      </c>
      <c r="P1030" s="5">
        <f t="shared" ref="P1030:P1093" si="386">LN(B1030/B1029)</f>
        <v>-1.9860835514277104E-2</v>
      </c>
      <c r="Q1030" s="5">
        <f t="shared" ref="Q1030:Q1093" si="387">LN(C1030/C1029)</f>
        <v>-2.0901514816706691E-2</v>
      </c>
      <c r="R1030" s="5">
        <f t="shared" ref="R1030:R1093" si="388">LN(D1030/D1029)</f>
        <v>-4.0943515561776946E-3</v>
      </c>
      <c r="S1030" s="5">
        <f t="shared" ref="S1030:S1093" si="389">LN(E1030/E1029)</f>
        <v>-8.2570929914430535E-4</v>
      </c>
      <c r="T1030" s="5">
        <f t="shared" ref="T1030:T1093" si="390">LN(F1030/F1029)</f>
        <v>-1.5491367182462662E-2</v>
      </c>
      <c r="U1030" s="5">
        <f t="shared" ref="U1030:U1093" si="391">LN(G1030/G1029)</f>
        <v>-1.4640846793919061E-2</v>
      </c>
      <c r="V1030" s="5">
        <f t="shared" ref="V1030:V1093" si="392">LN(H1030/H1029)</f>
        <v>-1.1585672168499046E-2</v>
      </c>
      <c r="W1030" s="5">
        <f t="shared" ref="W1030:W1093" si="393">LN(I1030/I1029)</f>
        <v>-7.9678507291991857E-3</v>
      </c>
      <c r="X1030" s="5">
        <f t="shared" ref="X1030:X1093" si="394">LN(J1030/J1029)</f>
        <v>4.4605592647675328E-3</v>
      </c>
      <c r="Y1030" s="5">
        <f t="shared" ref="Y1030:Y1093" si="395">LN(K1030/K1029)</f>
        <v>-3.6193776483746394E-2</v>
      </c>
      <c r="Z1030" s="33">
        <v>1026</v>
      </c>
      <c r="AE1030" s="20" t="str">
        <f t="shared" ref="AE1030:AE1093" si="396">IF(AE1029="","",IF(AE1029+1&lt;=$AC$5,AE1029+1,""))</f>
        <v/>
      </c>
      <c r="AF1030" s="22" t="str">
        <f t="shared" ref="AF1030:AF1093" si="397">IF(AE1030="","",VLOOKUP(AE1030,N1029:O2286,2))</f>
        <v/>
      </c>
      <c r="AG1030" s="9" t="str">
        <f t="shared" ca="1" si="376"/>
        <v/>
      </c>
      <c r="AH1030" s="9" t="str">
        <f t="shared" ca="1" si="377"/>
        <v/>
      </c>
      <c r="AI1030" s="9" t="str">
        <f t="shared" ca="1" si="378"/>
        <v/>
      </c>
      <c r="AJ1030" s="9" t="str">
        <f t="shared" ca="1" si="379"/>
        <v/>
      </c>
      <c r="AK1030" s="9" t="str">
        <f t="shared" ca="1" si="380"/>
        <v/>
      </c>
      <c r="AL1030" s="9" t="str">
        <f t="shared" ca="1" si="381"/>
        <v/>
      </c>
      <c r="AM1030" s="9" t="str">
        <f t="shared" ca="1" si="382"/>
        <v/>
      </c>
      <c r="AN1030" s="9" t="str">
        <f t="shared" ca="1" si="383"/>
        <v/>
      </c>
      <c r="AO1030" s="9" t="str">
        <f t="shared" ca="1" si="384"/>
        <v/>
      </c>
      <c r="AP1030" s="9" t="str">
        <f t="shared" ca="1" si="385"/>
        <v/>
      </c>
      <c r="AQ1030" s="9"/>
      <c r="AR1030" s="9"/>
      <c r="AS1030" s="9"/>
      <c r="AT1030" s="9"/>
      <c r="AU1030" s="9"/>
    </row>
    <row r="1031" spans="1:47" x14ac:dyDescent="0.3">
      <c r="A1031" s="1">
        <v>44957</v>
      </c>
      <c r="B1031" s="6">
        <v>370.33999599999999</v>
      </c>
      <c r="C1031" s="6">
        <v>353.75</v>
      </c>
      <c r="D1031" s="6">
        <v>52.040000999999997</v>
      </c>
      <c r="E1031" s="6">
        <v>171.020004</v>
      </c>
      <c r="F1031" s="6">
        <v>123.209999</v>
      </c>
      <c r="G1031" s="6">
        <v>42.59</v>
      </c>
      <c r="H1031" s="6">
        <v>151.83000200000001</v>
      </c>
      <c r="I1031" s="6">
        <v>248.729996</v>
      </c>
      <c r="J1031" s="6">
        <v>36.459999000000003</v>
      </c>
      <c r="K1031" s="6">
        <v>14.82</v>
      </c>
      <c r="N1031" s="19">
        <v>1027</v>
      </c>
      <c r="O1031" s="1">
        <v>44957</v>
      </c>
      <c r="P1031" s="5">
        <f t="shared" si="386"/>
        <v>1.886226581659009E-2</v>
      </c>
      <c r="Q1031" s="5">
        <f t="shared" si="387"/>
        <v>1.1000196115179361E-2</v>
      </c>
      <c r="R1031" s="5">
        <f t="shared" si="388"/>
        <v>1.6566132951584267E-2</v>
      </c>
      <c r="S1031" s="5">
        <f t="shared" si="389"/>
        <v>9.0456299601329535E-3</v>
      </c>
      <c r="T1031" s="5">
        <f t="shared" si="390"/>
        <v>2.8233490032675269E-2</v>
      </c>
      <c r="U1031" s="5">
        <f t="shared" si="391"/>
        <v>2.9305229556999081E-2</v>
      </c>
      <c r="V1031" s="5">
        <f t="shared" si="392"/>
        <v>5.7751384952503683E-2</v>
      </c>
      <c r="W1031" s="5">
        <f t="shared" si="393"/>
        <v>2.5325028691534905E-2</v>
      </c>
      <c r="X1031" s="5">
        <f t="shared" si="394"/>
        <v>1.4086629839732134E-2</v>
      </c>
      <c r="Y1031" s="5">
        <f t="shared" si="395"/>
        <v>3.0139267575040225E-2</v>
      </c>
      <c r="Z1031" s="33">
        <v>1027</v>
      </c>
      <c r="AE1031" s="20" t="str">
        <f t="shared" si="396"/>
        <v/>
      </c>
      <c r="AF1031" s="22" t="str">
        <f t="shared" si="397"/>
        <v/>
      </c>
      <c r="AG1031" s="9" t="str">
        <f t="shared" ca="1" si="376"/>
        <v/>
      </c>
      <c r="AH1031" s="9" t="str">
        <f t="shared" ca="1" si="377"/>
        <v/>
      </c>
      <c r="AI1031" s="9" t="str">
        <f t="shared" ca="1" si="378"/>
        <v/>
      </c>
      <c r="AJ1031" s="9" t="str">
        <f t="shared" ca="1" si="379"/>
        <v/>
      </c>
      <c r="AK1031" s="9" t="str">
        <f t="shared" ca="1" si="380"/>
        <v/>
      </c>
      <c r="AL1031" s="9" t="str">
        <f t="shared" ca="1" si="381"/>
        <v/>
      </c>
      <c r="AM1031" s="9" t="str">
        <f t="shared" ca="1" si="382"/>
        <v/>
      </c>
      <c r="AN1031" s="9" t="str">
        <f t="shared" ca="1" si="383"/>
        <v/>
      </c>
      <c r="AO1031" s="9" t="str">
        <f t="shared" ca="1" si="384"/>
        <v/>
      </c>
      <c r="AP1031" s="9" t="str">
        <f t="shared" ca="1" si="385"/>
        <v/>
      </c>
      <c r="AQ1031" s="9"/>
      <c r="AR1031" s="9"/>
      <c r="AS1031" s="9"/>
      <c r="AT1031" s="9"/>
      <c r="AU1031" s="9"/>
    </row>
    <row r="1032" spans="1:47" x14ac:dyDescent="0.3">
      <c r="A1032" s="1">
        <v>44958</v>
      </c>
      <c r="B1032" s="6">
        <v>383.92001299999998</v>
      </c>
      <c r="C1032" s="6">
        <v>367.04998799999998</v>
      </c>
      <c r="D1032" s="6">
        <v>52.02</v>
      </c>
      <c r="E1032" s="6">
        <v>171.55999800000001</v>
      </c>
      <c r="F1032" s="6">
        <v>123.75</v>
      </c>
      <c r="G1032" s="6">
        <v>42.830002</v>
      </c>
      <c r="H1032" s="6">
        <v>156.60000600000001</v>
      </c>
      <c r="I1032" s="6">
        <v>250.36999499999999</v>
      </c>
      <c r="J1032" s="6">
        <v>37.07</v>
      </c>
      <c r="K1032" s="6">
        <v>15.36</v>
      </c>
      <c r="N1032" s="18">
        <v>1028</v>
      </c>
      <c r="O1032" s="1">
        <v>44958</v>
      </c>
      <c r="P1032" s="5">
        <f t="shared" si="386"/>
        <v>3.6012739602426569E-2</v>
      </c>
      <c r="Q1032" s="5">
        <f t="shared" si="387"/>
        <v>3.6907596906248889E-2</v>
      </c>
      <c r="R1032" s="5">
        <f t="shared" si="388"/>
        <v>-3.8441283978640534E-4</v>
      </c>
      <c r="S1032" s="5">
        <f t="shared" si="389"/>
        <v>3.1525158740643004E-3</v>
      </c>
      <c r="T1032" s="5">
        <f t="shared" si="390"/>
        <v>4.3731929284472467E-3</v>
      </c>
      <c r="U1032" s="5">
        <f t="shared" si="391"/>
        <v>5.6193543883973438E-3</v>
      </c>
      <c r="V1032" s="5">
        <f t="shared" si="392"/>
        <v>3.093333480415477E-2</v>
      </c>
      <c r="W1032" s="5">
        <f t="shared" si="393"/>
        <v>6.571849056659914E-3</v>
      </c>
      <c r="X1032" s="5">
        <f t="shared" si="394"/>
        <v>1.6592275339441766E-2</v>
      </c>
      <c r="Y1032" s="5">
        <f t="shared" si="395"/>
        <v>3.5789107851585289E-2</v>
      </c>
      <c r="Z1032" s="33">
        <v>1028</v>
      </c>
      <c r="AE1032" s="20" t="str">
        <f t="shared" si="396"/>
        <v/>
      </c>
      <c r="AF1032" s="22" t="str">
        <f t="shared" si="397"/>
        <v/>
      </c>
      <c r="AG1032" s="9" t="str">
        <f t="shared" ca="1" si="376"/>
        <v/>
      </c>
      <c r="AH1032" s="9" t="str">
        <f t="shared" ca="1" si="377"/>
        <v/>
      </c>
      <c r="AI1032" s="9" t="str">
        <f t="shared" ca="1" si="378"/>
        <v/>
      </c>
      <c r="AJ1032" s="9" t="str">
        <f t="shared" ca="1" si="379"/>
        <v/>
      </c>
      <c r="AK1032" s="9" t="str">
        <f t="shared" ca="1" si="380"/>
        <v/>
      </c>
      <c r="AL1032" s="9" t="str">
        <f t="shared" ca="1" si="381"/>
        <v/>
      </c>
      <c r="AM1032" s="9" t="str">
        <f t="shared" ca="1" si="382"/>
        <v/>
      </c>
      <c r="AN1032" s="9" t="str">
        <f t="shared" ca="1" si="383"/>
        <v/>
      </c>
      <c r="AO1032" s="9" t="str">
        <f t="shared" ca="1" si="384"/>
        <v/>
      </c>
      <c r="AP1032" s="9" t="str">
        <f t="shared" ca="1" si="385"/>
        <v/>
      </c>
      <c r="AQ1032" s="9"/>
      <c r="AR1032" s="9"/>
      <c r="AS1032" s="9"/>
      <c r="AT1032" s="9"/>
      <c r="AU1032" s="9"/>
    </row>
    <row r="1033" spans="1:47" x14ac:dyDescent="0.3">
      <c r="A1033" s="1">
        <v>44959</v>
      </c>
      <c r="B1033" s="6">
        <v>392.23001099999999</v>
      </c>
      <c r="C1033" s="6">
        <v>368.58999599999999</v>
      </c>
      <c r="D1033" s="6">
        <v>51.290000999999997</v>
      </c>
      <c r="E1033" s="6">
        <v>169.970001</v>
      </c>
      <c r="F1033" s="6">
        <v>126.30999799999999</v>
      </c>
      <c r="G1033" s="6">
        <v>44.41</v>
      </c>
      <c r="H1033" s="6">
        <v>159.11999499999999</v>
      </c>
      <c r="I1033" s="6">
        <v>257.97000100000002</v>
      </c>
      <c r="J1033" s="6">
        <v>38.770000000000003</v>
      </c>
      <c r="K1033" s="6">
        <v>15.92</v>
      </c>
      <c r="N1033" s="19">
        <v>1029</v>
      </c>
      <c r="O1033" s="1">
        <v>44959</v>
      </c>
      <c r="P1033" s="5">
        <f t="shared" si="386"/>
        <v>2.1414199056397996E-2</v>
      </c>
      <c r="Q1033" s="5">
        <f t="shared" si="387"/>
        <v>4.1868584719739954E-3</v>
      </c>
      <c r="R1033" s="5">
        <f t="shared" si="388"/>
        <v>-1.4132439122350748E-2</v>
      </c>
      <c r="S1033" s="5">
        <f t="shared" si="389"/>
        <v>-9.3110912182993253E-3</v>
      </c>
      <c r="T1033" s="5">
        <f t="shared" si="390"/>
        <v>2.0475785503024861E-2</v>
      </c>
      <c r="U1033" s="5">
        <f t="shared" si="391"/>
        <v>3.6225830980491334E-2</v>
      </c>
      <c r="V1033" s="5">
        <f t="shared" si="392"/>
        <v>1.5963781252012307E-2</v>
      </c>
      <c r="W1033" s="5">
        <f t="shared" si="393"/>
        <v>2.9903499196132943E-2</v>
      </c>
      <c r="X1033" s="5">
        <f t="shared" si="394"/>
        <v>4.4838734520196884E-2</v>
      </c>
      <c r="Y1033" s="5">
        <f t="shared" si="395"/>
        <v>3.5809452696710778E-2</v>
      </c>
      <c r="Z1033" s="33">
        <v>1029</v>
      </c>
      <c r="AE1033" s="20" t="str">
        <f t="shared" si="396"/>
        <v/>
      </c>
      <c r="AF1033" s="22" t="str">
        <f t="shared" si="397"/>
        <v/>
      </c>
      <c r="AG1033" s="9" t="str">
        <f t="shared" ca="1" si="376"/>
        <v/>
      </c>
      <c r="AH1033" s="9" t="str">
        <f t="shared" ca="1" si="377"/>
        <v/>
      </c>
      <c r="AI1033" s="9" t="str">
        <f t="shared" ca="1" si="378"/>
        <v/>
      </c>
      <c r="AJ1033" s="9" t="str">
        <f t="shared" ca="1" si="379"/>
        <v/>
      </c>
      <c r="AK1033" s="9" t="str">
        <f t="shared" ca="1" si="380"/>
        <v/>
      </c>
      <c r="AL1033" s="9" t="str">
        <f t="shared" ca="1" si="381"/>
        <v/>
      </c>
      <c r="AM1033" s="9" t="str">
        <f t="shared" ca="1" si="382"/>
        <v/>
      </c>
      <c r="AN1033" s="9" t="str">
        <f t="shared" ca="1" si="383"/>
        <v/>
      </c>
      <c r="AO1033" s="9" t="str">
        <f t="shared" ca="1" si="384"/>
        <v/>
      </c>
      <c r="AP1033" s="9" t="str">
        <f t="shared" ca="1" si="385"/>
        <v/>
      </c>
      <c r="AQ1033" s="9"/>
      <c r="AR1033" s="9"/>
      <c r="AS1033" s="9"/>
      <c r="AT1033" s="9"/>
      <c r="AU1033" s="9"/>
    </row>
    <row r="1034" spans="1:47" x14ac:dyDescent="0.3">
      <c r="A1034" s="1">
        <v>44960</v>
      </c>
      <c r="B1034" s="6">
        <v>379.32998700000002</v>
      </c>
      <c r="C1034" s="6">
        <v>361.44000199999999</v>
      </c>
      <c r="D1034" s="6">
        <v>50.900002000000001</v>
      </c>
      <c r="E1034" s="6">
        <v>169.11999499999999</v>
      </c>
      <c r="F1034" s="6">
        <v>121.739998</v>
      </c>
      <c r="G1034" s="6">
        <v>43.380001</v>
      </c>
      <c r="H1034" s="6">
        <v>159.61000100000001</v>
      </c>
      <c r="I1034" s="6">
        <v>259.66000400000001</v>
      </c>
      <c r="J1034" s="6">
        <v>39.110000999999997</v>
      </c>
      <c r="K1034" s="6">
        <v>15.42</v>
      </c>
      <c r="N1034" s="18">
        <v>1030</v>
      </c>
      <c r="O1034" s="1">
        <v>44960</v>
      </c>
      <c r="P1034" s="5">
        <f t="shared" si="386"/>
        <v>-3.3441926105224257E-2</v>
      </c>
      <c r="Q1034" s="5">
        <f t="shared" si="387"/>
        <v>-1.958884608255523E-2</v>
      </c>
      <c r="R1034" s="5">
        <f t="shared" si="388"/>
        <v>-7.6328580489476083E-3</v>
      </c>
      <c r="S1034" s="5">
        <f t="shared" si="389"/>
        <v>-5.013464215530253E-3</v>
      </c>
      <c r="T1034" s="5">
        <f t="shared" si="390"/>
        <v>-3.6851580314500469E-2</v>
      </c>
      <c r="U1034" s="5">
        <f t="shared" si="391"/>
        <v>-2.3466140853185016E-2</v>
      </c>
      <c r="V1034" s="5">
        <f t="shared" si="392"/>
        <v>3.0747428368481148E-3</v>
      </c>
      <c r="W1034" s="5">
        <f t="shared" si="393"/>
        <v>6.5297953695326151E-3</v>
      </c>
      <c r="X1034" s="5">
        <f t="shared" si="394"/>
        <v>8.7314626534927067E-3</v>
      </c>
      <c r="Y1034" s="5">
        <f t="shared" si="395"/>
        <v>-3.1910812281053524E-2</v>
      </c>
      <c r="Z1034" s="33">
        <v>1030</v>
      </c>
      <c r="AE1034" s="20" t="str">
        <f t="shared" si="396"/>
        <v/>
      </c>
      <c r="AF1034" s="22" t="str">
        <f t="shared" si="397"/>
        <v/>
      </c>
      <c r="AG1034" s="9" t="str">
        <f t="shared" ca="1" si="376"/>
        <v/>
      </c>
      <c r="AH1034" s="9" t="str">
        <f t="shared" ca="1" si="377"/>
        <v/>
      </c>
      <c r="AI1034" s="9" t="str">
        <f t="shared" ca="1" si="378"/>
        <v/>
      </c>
      <c r="AJ1034" s="9" t="str">
        <f t="shared" ca="1" si="379"/>
        <v/>
      </c>
      <c r="AK1034" s="9" t="str">
        <f t="shared" ca="1" si="380"/>
        <v/>
      </c>
      <c r="AL1034" s="9" t="str">
        <f t="shared" ca="1" si="381"/>
        <v/>
      </c>
      <c r="AM1034" s="9" t="str">
        <f t="shared" ca="1" si="382"/>
        <v/>
      </c>
      <c r="AN1034" s="9" t="str">
        <f t="shared" ca="1" si="383"/>
        <v/>
      </c>
      <c r="AO1034" s="9" t="str">
        <f t="shared" ca="1" si="384"/>
        <v/>
      </c>
      <c r="AP1034" s="9" t="str">
        <f t="shared" ca="1" si="385"/>
        <v/>
      </c>
      <c r="AQ1034" s="9"/>
      <c r="AR1034" s="9"/>
      <c r="AS1034" s="9"/>
      <c r="AT1034" s="9"/>
      <c r="AU1034" s="9"/>
    </row>
    <row r="1035" spans="1:47" x14ac:dyDescent="0.3">
      <c r="A1035" s="1">
        <v>44963</v>
      </c>
      <c r="B1035" s="6">
        <v>375.23001099999999</v>
      </c>
      <c r="C1035" s="6">
        <v>359.97000100000002</v>
      </c>
      <c r="D1035" s="6">
        <v>51.41</v>
      </c>
      <c r="E1035" s="6">
        <v>171.820007</v>
      </c>
      <c r="F1035" s="6">
        <v>122.44000200000001</v>
      </c>
      <c r="G1035" s="6">
        <v>42.689999</v>
      </c>
      <c r="H1035" s="6">
        <v>156.46000699999999</v>
      </c>
      <c r="I1035" s="6">
        <v>257.42001299999998</v>
      </c>
      <c r="J1035" s="6">
        <v>39.330002</v>
      </c>
      <c r="K1035" s="6">
        <v>15.4</v>
      </c>
      <c r="N1035" s="19">
        <v>1031</v>
      </c>
      <c r="O1035" s="1">
        <v>44963</v>
      </c>
      <c r="P1035" s="5">
        <f t="shared" si="386"/>
        <v>-1.0867303755304033E-2</v>
      </c>
      <c r="Q1035" s="5">
        <f t="shared" si="387"/>
        <v>-4.075360830698393E-3</v>
      </c>
      <c r="R1035" s="5">
        <f t="shared" si="388"/>
        <v>9.9697432182060224E-3</v>
      </c>
      <c r="S1035" s="5">
        <f t="shared" si="389"/>
        <v>1.5838965393098363E-2</v>
      </c>
      <c r="T1035" s="5">
        <f t="shared" si="390"/>
        <v>5.7335237744186212E-3</v>
      </c>
      <c r="U1035" s="5">
        <f t="shared" si="391"/>
        <v>-1.6033851105644956E-2</v>
      </c>
      <c r="V1035" s="5">
        <f t="shared" si="392"/>
        <v>-1.9932914962935561E-2</v>
      </c>
      <c r="W1035" s="5">
        <f t="shared" si="393"/>
        <v>-8.6640556145104238E-3</v>
      </c>
      <c r="X1035" s="5">
        <f t="shared" si="394"/>
        <v>5.6094229591534045E-3</v>
      </c>
      <c r="Y1035" s="5">
        <f t="shared" si="395"/>
        <v>-1.2978587155999519E-3</v>
      </c>
      <c r="Z1035" s="33">
        <v>1031</v>
      </c>
      <c r="AE1035" s="20" t="str">
        <f t="shared" si="396"/>
        <v/>
      </c>
      <c r="AF1035" s="22" t="str">
        <f t="shared" si="397"/>
        <v/>
      </c>
      <c r="AG1035" s="9" t="str">
        <f t="shared" ca="1" si="376"/>
        <v/>
      </c>
      <c r="AH1035" s="9" t="str">
        <f t="shared" ca="1" si="377"/>
        <v/>
      </c>
      <c r="AI1035" s="9" t="str">
        <f t="shared" ca="1" si="378"/>
        <v/>
      </c>
      <c r="AJ1035" s="9" t="str">
        <f t="shared" ca="1" si="379"/>
        <v/>
      </c>
      <c r="AK1035" s="9" t="str">
        <f t="shared" ca="1" si="380"/>
        <v/>
      </c>
      <c r="AL1035" s="9" t="str">
        <f t="shared" ca="1" si="381"/>
        <v/>
      </c>
      <c r="AM1035" s="9" t="str">
        <f t="shared" ca="1" si="382"/>
        <v/>
      </c>
      <c r="AN1035" s="9" t="str">
        <f t="shared" ca="1" si="383"/>
        <v/>
      </c>
      <c r="AO1035" s="9" t="str">
        <f t="shared" ca="1" si="384"/>
        <v/>
      </c>
      <c r="AP1035" s="9" t="str">
        <f t="shared" ca="1" si="385"/>
        <v/>
      </c>
      <c r="AQ1035" s="9"/>
      <c r="AR1035" s="9"/>
      <c r="AS1035" s="9"/>
      <c r="AT1035" s="9"/>
      <c r="AU1035" s="9"/>
    </row>
    <row r="1036" spans="1:47" x14ac:dyDescent="0.3">
      <c r="A1036" s="1">
        <v>44964</v>
      </c>
      <c r="B1036" s="6">
        <v>383.82000699999998</v>
      </c>
      <c r="C1036" s="6">
        <v>366.75</v>
      </c>
      <c r="D1036" s="6">
        <v>51.255001</v>
      </c>
      <c r="E1036" s="6">
        <v>171.55999800000001</v>
      </c>
      <c r="F1036" s="6">
        <v>123.660004</v>
      </c>
      <c r="G1036" s="6">
        <v>43.869999</v>
      </c>
      <c r="H1036" s="6">
        <v>156.470001</v>
      </c>
      <c r="I1036" s="6">
        <v>254.33999600000001</v>
      </c>
      <c r="J1036" s="6">
        <v>38.959999000000003</v>
      </c>
      <c r="K1036" s="6">
        <v>15.33</v>
      </c>
      <c r="N1036" s="18">
        <v>1032</v>
      </c>
      <c r="O1036" s="1">
        <v>44964</v>
      </c>
      <c r="P1036" s="5">
        <f t="shared" si="386"/>
        <v>2.2634510320736465E-2</v>
      </c>
      <c r="Q1036" s="5">
        <f t="shared" si="387"/>
        <v>1.8659719600674543E-2</v>
      </c>
      <c r="R1036" s="5">
        <f t="shared" si="388"/>
        <v>-3.0195123217569113E-3</v>
      </c>
      <c r="S1036" s="5">
        <f t="shared" si="389"/>
        <v>-1.5144099592686421E-3</v>
      </c>
      <c r="T1036" s="5">
        <f t="shared" si="390"/>
        <v>9.914766065436521E-3</v>
      </c>
      <c r="U1036" s="5">
        <f t="shared" si="391"/>
        <v>2.7266015038321084E-2</v>
      </c>
      <c r="V1036" s="5">
        <f t="shared" si="392"/>
        <v>6.3873708164093938E-5</v>
      </c>
      <c r="W1036" s="5">
        <f t="shared" si="393"/>
        <v>-1.2037103856735893E-2</v>
      </c>
      <c r="X1036" s="5">
        <f t="shared" si="394"/>
        <v>-9.4521841885009637E-3</v>
      </c>
      <c r="Y1036" s="5">
        <f t="shared" si="395"/>
        <v>-4.5558165358606907E-3</v>
      </c>
      <c r="Z1036" s="33">
        <v>1032</v>
      </c>
      <c r="AE1036" s="20" t="str">
        <f t="shared" si="396"/>
        <v/>
      </c>
      <c r="AF1036" s="22" t="str">
        <f t="shared" si="397"/>
        <v/>
      </c>
      <c r="AG1036" s="9" t="str">
        <f t="shared" ca="1" si="376"/>
        <v/>
      </c>
      <c r="AH1036" s="9" t="str">
        <f t="shared" ca="1" si="377"/>
        <v/>
      </c>
      <c r="AI1036" s="9" t="str">
        <f t="shared" ca="1" si="378"/>
        <v/>
      </c>
      <c r="AJ1036" s="9" t="str">
        <f t="shared" ca="1" si="379"/>
        <v/>
      </c>
      <c r="AK1036" s="9" t="str">
        <f t="shared" ca="1" si="380"/>
        <v/>
      </c>
      <c r="AL1036" s="9" t="str">
        <f t="shared" ca="1" si="381"/>
        <v/>
      </c>
      <c r="AM1036" s="9" t="str">
        <f t="shared" ca="1" si="382"/>
        <v/>
      </c>
      <c r="AN1036" s="9" t="str">
        <f t="shared" ca="1" si="383"/>
        <v/>
      </c>
      <c r="AO1036" s="9" t="str">
        <f t="shared" ca="1" si="384"/>
        <v/>
      </c>
      <c r="AP1036" s="9" t="str">
        <f t="shared" ca="1" si="385"/>
        <v/>
      </c>
      <c r="AQ1036" s="9"/>
      <c r="AR1036" s="9"/>
      <c r="AS1036" s="9"/>
      <c r="AT1036" s="9"/>
      <c r="AU1036" s="9"/>
    </row>
    <row r="1037" spans="1:47" x14ac:dyDescent="0.3">
      <c r="A1037" s="1">
        <v>44965</v>
      </c>
      <c r="B1037" s="6">
        <v>378.35998499999999</v>
      </c>
      <c r="C1037" s="6">
        <v>360.60000600000001</v>
      </c>
      <c r="D1037" s="6">
        <v>51.044998</v>
      </c>
      <c r="E1037" s="6">
        <v>171.16000399999999</v>
      </c>
      <c r="F1037" s="6">
        <v>123.94000200000001</v>
      </c>
      <c r="G1037" s="6">
        <v>44.759998000000003</v>
      </c>
      <c r="H1037" s="6">
        <v>154.14999399999999</v>
      </c>
      <c r="I1037" s="6">
        <v>251.199997</v>
      </c>
      <c r="J1037" s="6">
        <v>38.169998</v>
      </c>
      <c r="K1037" s="6">
        <v>14.56</v>
      </c>
      <c r="N1037" s="19">
        <v>1033</v>
      </c>
      <c r="O1037" s="1">
        <v>44965</v>
      </c>
      <c r="P1037" s="5">
        <f t="shared" si="386"/>
        <v>-1.4327627227630363E-2</v>
      </c>
      <c r="Q1037" s="5">
        <f t="shared" si="387"/>
        <v>-1.6911089614939211E-2</v>
      </c>
      <c r="R1037" s="5">
        <f t="shared" si="388"/>
        <v>-4.1056363057931089E-3</v>
      </c>
      <c r="S1037" s="5">
        <f t="shared" si="389"/>
        <v>-2.3342330723886344E-3</v>
      </c>
      <c r="T1037" s="5">
        <f t="shared" si="390"/>
        <v>2.2616971936222944E-3</v>
      </c>
      <c r="U1037" s="5">
        <f t="shared" si="391"/>
        <v>2.0084146377469109E-2</v>
      </c>
      <c r="V1037" s="5">
        <f t="shared" si="392"/>
        <v>-1.4938189295935621E-2</v>
      </c>
      <c r="W1037" s="5">
        <f t="shared" si="393"/>
        <v>-1.2422516214252721E-2</v>
      </c>
      <c r="X1037" s="5">
        <f t="shared" si="394"/>
        <v>-2.0485638747016532E-2</v>
      </c>
      <c r="Y1037" s="5">
        <f t="shared" si="395"/>
        <v>-5.1533650115182787E-2</v>
      </c>
      <c r="Z1037" s="33">
        <v>1033</v>
      </c>
      <c r="AE1037" s="20" t="str">
        <f t="shared" si="396"/>
        <v/>
      </c>
      <c r="AF1037" s="22" t="str">
        <f t="shared" si="397"/>
        <v/>
      </c>
      <c r="AG1037" s="9" t="str">
        <f t="shared" ca="1" si="376"/>
        <v/>
      </c>
      <c r="AH1037" s="9" t="str">
        <f t="shared" ca="1" si="377"/>
        <v/>
      </c>
      <c r="AI1037" s="9" t="str">
        <f t="shared" ca="1" si="378"/>
        <v/>
      </c>
      <c r="AJ1037" s="9" t="str">
        <f t="shared" ca="1" si="379"/>
        <v/>
      </c>
      <c r="AK1037" s="9" t="str">
        <f t="shared" ca="1" si="380"/>
        <v/>
      </c>
      <c r="AL1037" s="9" t="str">
        <f t="shared" ca="1" si="381"/>
        <v/>
      </c>
      <c r="AM1037" s="9" t="str">
        <f t="shared" ca="1" si="382"/>
        <v/>
      </c>
      <c r="AN1037" s="9" t="str">
        <f t="shared" ca="1" si="383"/>
        <v/>
      </c>
      <c r="AO1037" s="9" t="str">
        <f t="shared" ca="1" si="384"/>
        <v/>
      </c>
      <c r="AP1037" s="9" t="str">
        <f t="shared" ca="1" si="385"/>
        <v/>
      </c>
      <c r="AQ1037" s="9"/>
      <c r="AR1037" s="9"/>
      <c r="AS1037" s="9"/>
      <c r="AT1037" s="9"/>
      <c r="AU1037" s="9"/>
    </row>
    <row r="1038" spans="1:47" x14ac:dyDescent="0.3">
      <c r="A1038" s="1">
        <v>44966</v>
      </c>
      <c r="B1038" s="6">
        <v>375.80999800000001</v>
      </c>
      <c r="C1038" s="6">
        <v>363.709991</v>
      </c>
      <c r="D1038" s="6">
        <v>51.424999</v>
      </c>
      <c r="E1038" s="6">
        <v>172.779999</v>
      </c>
      <c r="F1038" s="6">
        <v>122.089996</v>
      </c>
      <c r="G1038" s="6">
        <v>43.919998</v>
      </c>
      <c r="H1038" s="6">
        <v>153.14999399999999</v>
      </c>
      <c r="I1038" s="6">
        <v>249.259995</v>
      </c>
      <c r="J1038" s="6">
        <v>37.119999</v>
      </c>
      <c r="K1038" s="6">
        <v>14.37</v>
      </c>
      <c r="N1038" s="18">
        <v>1034</v>
      </c>
      <c r="O1038" s="1">
        <v>44966</v>
      </c>
      <c r="P1038" s="5">
        <f t="shared" si="386"/>
        <v>-6.7623924978140884E-3</v>
      </c>
      <c r="Q1038" s="5">
        <f t="shared" si="387"/>
        <v>8.5874946501584073E-3</v>
      </c>
      <c r="R1038" s="5">
        <f t="shared" si="388"/>
        <v>7.4168586533625873E-3</v>
      </c>
      <c r="S1038" s="5">
        <f t="shared" si="389"/>
        <v>9.4202882244691678E-3</v>
      </c>
      <c r="T1038" s="5">
        <f t="shared" si="390"/>
        <v>-1.5039148752754281E-2</v>
      </c>
      <c r="U1038" s="5">
        <f t="shared" si="391"/>
        <v>-1.8945087097037606E-2</v>
      </c>
      <c r="V1038" s="5">
        <f t="shared" si="392"/>
        <v>-6.5083213075254479E-3</v>
      </c>
      <c r="W1038" s="5">
        <f t="shared" si="393"/>
        <v>-7.7529143125134644E-3</v>
      </c>
      <c r="X1038" s="5">
        <f t="shared" si="394"/>
        <v>-2.7893933381622153E-2</v>
      </c>
      <c r="Y1038" s="5">
        <f t="shared" si="395"/>
        <v>-1.3135342677606418E-2</v>
      </c>
      <c r="Z1038" s="33">
        <v>1034</v>
      </c>
      <c r="AE1038" s="20" t="str">
        <f t="shared" si="396"/>
        <v/>
      </c>
      <c r="AF1038" s="22" t="str">
        <f t="shared" si="397"/>
        <v/>
      </c>
      <c r="AG1038" s="9" t="str">
        <f t="shared" ca="1" si="376"/>
        <v/>
      </c>
      <c r="AH1038" s="9" t="str">
        <f t="shared" ca="1" si="377"/>
        <v/>
      </c>
      <c r="AI1038" s="9" t="str">
        <f t="shared" ca="1" si="378"/>
        <v/>
      </c>
      <c r="AJ1038" s="9" t="str">
        <f t="shared" ca="1" si="379"/>
        <v/>
      </c>
      <c r="AK1038" s="9" t="str">
        <f t="shared" ca="1" si="380"/>
        <v/>
      </c>
      <c r="AL1038" s="9" t="str">
        <f t="shared" ca="1" si="381"/>
        <v/>
      </c>
      <c r="AM1038" s="9" t="str">
        <f t="shared" ca="1" si="382"/>
        <v/>
      </c>
      <c r="AN1038" s="9" t="str">
        <f t="shared" ca="1" si="383"/>
        <v/>
      </c>
      <c r="AO1038" s="9" t="str">
        <f t="shared" ca="1" si="384"/>
        <v/>
      </c>
      <c r="AP1038" s="9" t="str">
        <f t="shared" ca="1" si="385"/>
        <v/>
      </c>
      <c r="AQ1038" s="9"/>
      <c r="AR1038" s="9"/>
      <c r="AS1038" s="9"/>
      <c r="AT1038" s="9"/>
      <c r="AU1038" s="9"/>
    </row>
    <row r="1039" spans="1:47" x14ac:dyDescent="0.3">
      <c r="A1039" s="1">
        <v>44967</v>
      </c>
      <c r="B1039" s="6">
        <v>370.98998999999998</v>
      </c>
      <c r="C1039" s="6">
        <v>359.10998499999999</v>
      </c>
      <c r="D1039" s="6">
        <v>51.400002000000001</v>
      </c>
      <c r="E1039" s="6">
        <v>176.199997</v>
      </c>
      <c r="F1039" s="6">
        <v>122.82</v>
      </c>
      <c r="G1039" s="6">
        <v>44.09</v>
      </c>
      <c r="H1039" s="6">
        <v>153.25</v>
      </c>
      <c r="I1039" s="6">
        <v>251.33000200000001</v>
      </c>
      <c r="J1039" s="6">
        <v>37.130001</v>
      </c>
      <c r="K1039" s="6">
        <v>14.22</v>
      </c>
      <c r="N1039" s="19">
        <v>1035</v>
      </c>
      <c r="O1039" s="1">
        <v>44967</v>
      </c>
      <c r="P1039" s="5">
        <f t="shared" si="386"/>
        <v>-1.2908610091009817E-2</v>
      </c>
      <c r="Q1039" s="5">
        <f t="shared" si="387"/>
        <v>-1.2728115587668249E-2</v>
      </c>
      <c r="R1039" s="5">
        <f t="shared" si="388"/>
        <v>-4.862047216012576E-4</v>
      </c>
      <c r="S1039" s="5">
        <f t="shared" si="389"/>
        <v>1.9600593332941084E-2</v>
      </c>
      <c r="T1039" s="5">
        <f t="shared" si="390"/>
        <v>5.9614239832056657E-3</v>
      </c>
      <c r="U1039" s="5">
        <f t="shared" si="391"/>
        <v>3.8632477059128518E-3</v>
      </c>
      <c r="V1039" s="5">
        <f t="shared" si="392"/>
        <v>6.5278071481455471E-4</v>
      </c>
      <c r="W1039" s="5">
        <f t="shared" si="393"/>
        <v>8.2703162712382608E-3</v>
      </c>
      <c r="X1039" s="5">
        <f t="shared" si="394"/>
        <v>2.6941414304375863E-4</v>
      </c>
      <c r="Y1039" s="5">
        <f t="shared" si="395"/>
        <v>-1.0493275715838656E-2</v>
      </c>
      <c r="Z1039" s="33">
        <v>1035</v>
      </c>
      <c r="AE1039" s="20" t="str">
        <f t="shared" si="396"/>
        <v/>
      </c>
      <c r="AF1039" s="22" t="str">
        <f t="shared" si="397"/>
        <v/>
      </c>
      <c r="AG1039" s="9" t="str">
        <f t="shared" ca="1" si="376"/>
        <v/>
      </c>
      <c r="AH1039" s="9" t="str">
        <f t="shared" ca="1" si="377"/>
        <v/>
      </c>
      <c r="AI1039" s="9" t="str">
        <f t="shared" ca="1" si="378"/>
        <v/>
      </c>
      <c r="AJ1039" s="9" t="str">
        <f t="shared" ca="1" si="379"/>
        <v/>
      </c>
      <c r="AK1039" s="9" t="str">
        <f t="shared" ca="1" si="380"/>
        <v/>
      </c>
      <c r="AL1039" s="9" t="str">
        <f t="shared" ca="1" si="381"/>
        <v/>
      </c>
      <c r="AM1039" s="9" t="str">
        <f t="shared" ca="1" si="382"/>
        <v/>
      </c>
      <c r="AN1039" s="9" t="str">
        <f t="shared" ca="1" si="383"/>
        <v/>
      </c>
      <c r="AO1039" s="9" t="str">
        <f t="shared" ca="1" si="384"/>
        <v/>
      </c>
      <c r="AP1039" s="9" t="str">
        <f t="shared" ca="1" si="385"/>
        <v/>
      </c>
      <c r="AQ1039" s="9"/>
      <c r="AR1039" s="9"/>
      <c r="AS1039" s="9"/>
      <c r="AT1039" s="9"/>
      <c r="AU1039" s="9"/>
    </row>
    <row r="1040" spans="1:47" x14ac:dyDescent="0.3">
      <c r="A1040" s="1">
        <v>44970</v>
      </c>
      <c r="B1040" s="6">
        <v>375</v>
      </c>
      <c r="C1040" s="6">
        <v>361.76001000000002</v>
      </c>
      <c r="D1040" s="6">
        <v>52.110000999999997</v>
      </c>
      <c r="E1040" s="6">
        <v>177.770004</v>
      </c>
      <c r="F1040" s="6">
        <v>123.19000200000001</v>
      </c>
      <c r="G1040" s="6">
        <v>44.459999000000003</v>
      </c>
      <c r="H1040" s="6">
        <v>155.699997</v>
      </c>
      <c r="I1040" s="6">
        <v>255.14999399999999</v>
      </c>
      <c r="J1040" s="6">
        <v>37.540000999999997</v>
      </c>
      <c r="K1040" s="6">
        <v>14.92</v>
      </c>
      <c r="N1040" s="18">
        <v>1036</v>
      </c>
      <c r="O1040" s="1">
        <v>44970</v>
      </c>
      <c r="P1040" s="5">
        <f t="shared" si="386"/>
        <v>1.0750944859048532E-2</v>
      </c>
      <c r="Q1040" s="5">
        <f t="shared" si="387"/>
        <v>7.352329701653457E-3</v>
      </c>
      <c r="R1040" s="5">
        <f t="shared" si="388"/>
        <v>1.3718676739673129E-2</v>
      </c>
      <c r="S1040" s="5">
        <f t="shared" si="389"/>
        <v>8.8709059596059209E-3</v>
      </c>
      <c r="T1040" s="5">
        <f t="shared" si="390"/>
        <v>3.0080263077134867E-3</v>
      </c>
      <c r="U1040" s="5">
        <f t="shared" si="391"/>
        <v>8.356886674076202E-3</v>
      </c>
      <c r="V1040" s="5">
        <f t="shared" si="392"/>
        <v>1.5860484755808823E-2</v>
      </c>
      <c r="W1040" s="5">
        <f t="shared" si="393"/>
        <v>1.5084759384308115E-2</v>
      </c>
      <c r="X1040" s="5">
        <f t="shared" si="394"/>
        <v>1.098176267522691E-2</v>
      </c>
      <c r="Y1040" s="5">
        <f t="shared" si="395"/>
        <v>4.8053170400519964E-2</v>
      </c>
      <c r="Z1040" s="33">
        <v>1036</v>
      </c>
      <c r="AE1040" s="20" t="str">
        <f t="shared" si="396"/>
        <v/>
      </c>
      <c r="AF1040" s="22" t="str">
        <f t="shared" si="397"/>
        <v/>
      </c>
      <c r="AG1040" s="9" t="str">
        <f t="shared" ca="1" si="376"/>
        <v/>
      </c>
      <c r="AH1040" s="9" t="str">
        <f t="shared" ca="1" si="377"/>
        <v/>
      </c>
      <c r="AI1040" s="9" t="str">
        <f t="shared" ca="1" si="378"/>
        <v/>
      </c>
      <c r="AJ1040" s="9" t="str">
        <f t="shared" ca="1" si="379"/>
        <v/>
      </c>
      <c r="AK1040" s="9" t="str">
        <f t="shared" ca="1" si="380"/>
        <v/>
      </c>
      <c r="AL1040" s="9" t="str">
        <f t="shared" ca="1" si="381"/>
        <v/>
      </c>
      <c r="AM1040" s="9" t="str">
        <f t="shared" ca="1" si="382"/>
        <v/>
      </c>
      <c r="AN1040" s="9" t="str">
        <f t="shared" ca="1" si="383"/>
        <v/>
      </c>
      <c r="AO1040" s="9" t="str">
        <f t="shared" ca="1" si="384"/>
        <v/>
      </c>
      <c r="AP1040" s="9" t="str">
        <f t="shared" ca="1" si="385"/>
        <v/>
      </c>
      <c r="AQ1040" s="9"/>
      <c r="AR1040" s="9"/>
      <c r="AS1040" s="9"/>
      <c r="AT1040" s="9"/>
      <c r="AU1040" s="9"/>
    </row>
    <row r="1041" spans="1:47" x14ac:dyDescent="0.3">
      <c r="A1041" s="1">
        <v>44971</v>
      </c>
      <c r="B1041" s="6">
        <v>377.89999399999999</v>
      </c>
      <c r="C1041" s="6">
        <v>375.94000199999999</v>
      </c>
      <c r="D1041" s="6">
        <v>52.125</v>
      </c>
      <c r="E1041" s="6">
        <v>175.770004</v>
      </c>
      <c r="F1041" s="6">
        <v>122.25</v>
      </c>
      <c r="G1041" s="6">
        <v>44.650002000000001</v>
      </c>
      <c r="H1041" s="6">
        <v>155.699997</v>
      </c>
      <c r="I1041" s="6">
        <v>252.199997</v>
      </c>
      <c r="J1041" s="6">
        <v>37.580002</v>
      </c>
      <c r="K1041" s="6">
        <v>14.73</v>
      </c>
      <c r="N1041" s="19">
        <v>1037</v>
      </c>
      <c r="O1041" s="1">
        <v>44971</v>
      </c>
      <c r="P1041" s="5">
        <f t="shared" si="386"/>
        <v>7.7035685078161919E-3</v>
      </c>
      <c r="Q1041" s="5">
        <f t="shared" si="387"/>
        <v>3.8448525336151763E-2</v>
      </c>
      <c r="R1041" s="5">
        <f t="shared" si="388"/>
        <v>2.8779200766778035E-4</v>
      </c>
      <c r="S1041" s="5">
        <f t="shared" si="389"/>
        <v>-1.1314257453759538E-2</v>
      </c>
      <c r="T1041" s="5">
        <f t="shared" si="390"/>
        <v>-7.659766853985249E-3</v>
      </c>
      <c r="U1041" s="5">
        <f t="shared" si="391"/>
        <v>4.2644660714176051E-3</v>
      </c>
      <c r="V1041" s="5">
        <f t="shared" si="392"/>
        <v>0</v>
      </c>
      <c r="W1041" s="5">
        <f t="shared" si="393"/>
        <v>-1.1629172358903123E-2</v>
      </c>
      <c r="X1041" s="5">
        <f t="shared" si="394"/>
        <v>1.0649894085006661E-3</v>
      </c>
      <c r="Y1041" s="5">
        <f t="shared" si="395"/>
        <v>-1.2816364301075842E-2</v>
      </c>
      <c r="Z1041" s="33">
        <v>1037</v>
      </c>
      <c r="AE1041" s="20" t="str">
        <f t="shared" si="396"/>
        <v/>
      </c>
      <c r="AF1041" s="22" t="str">
        <f t="shared" si="397"/>
        <v/>
      </c>
      <c r="AG1041" s="9" t="str">
        <f t="shared" ca="1" si="376"/>
        <v/>
      </c>
      <c r="AH1041" s="9" t="str">
        <f t="shared" ca="1" si="377"/>
        <v/>
      </c>
      <c r="AI1041" s="9" t="str">
        <f t="shared" ca="1" si="378"/>
        <v/>
      </c>
      <c r="AJ1041" s="9" t="str">
        <f t="shared" ca="1" si="379"/>
        <v/>
      </c>
      <c r="AK1041" s="9" t="str">
        <f t="shared" ca="1" si="380"/>
        <v/>
      </c>
      <c r="AL1041" s="9" t="str">
        <f t="shared" ca="1" si="381"/>
        <v/>
      </c>
      <c r="AM1041" s="9" t="str">
        <f t="shared" ca="1" si="382"/>
        <v/>
      </c>
      <c r="AN1041" s="9" t="str">
        <f t="shared" ca="1" si="383"/>
        <v/>
      </c>
      <c r="AO1041" s="9" t="str">
        <f t="shared" ca="1" si="384"/>
        <v/>
      </c>
      <c r="AP1041" s="9" t="str">
        <f t="shared" ca="1" si="385"/>
        <v/>
      </c>
      <c r="AQ1041" s="9"/>
      <c r="AR1041" s="9"/>
      <c r="AS1041" s="9"/>
      <c r="AT1041" s="9"/>
      <c r="AU1041" s="9"/>
    </row>
    <row r="1042" spans="1:47" x14ac:dyDescent="0.3">
      <c r="A1042" s="1">
        <v>44972</v>
      </c>
      <c r="B1042" s="6">
        <v>375.94000199999999</v>
      </c>
      <c r="C1042" s="6">
        <v>379.48001099999999</v>
      </c>
      <c r="D1042" s="6">
        <v>52.549999</v>
      </c>
      <c r="E1042" s="6">
        <v>176.009995</v>
      </c>
      <c r="F1042" s="6">
        <v>121.470001</v>
      </c>
      <c r="G1042" s="6">
        <v>45.02</v>
      </c>
      <c r="H1042" s="6">
        <v>156.509995</v>
      </c>
      <c r="I1042" s="6">
        <v>253.80999800000001</v>
      </c>
      <c r="J1042" s="6">
        <v>37.479999999999997</v>
      </c>
      <c r="K1042" s="6">
        <v>15.35</v>
      </c>
      <c r="N1042" s="18">
        <v>1038</v>
      </c>
      <c r="O1042" s="1">
        <v>44972</v>
      </c>
      <c r="P1042" s="5">
        <f t="shared" si="386"/>
        <v>-5.2000329697797281E-3</v>
      </c>
      <c r="Q1042" s="5">
        <f t="shared" si="387"/>
        <v>9.3723620032634056E-3</v>
      </c>
      <c r="R1042" s="5">
        <f t="shared" si="388"/>
        <v>8.1203981744987167E-3</v>
      </c>
      <c r="S1042" s="5">
        <f t="shared" si="389"/>
        <v>1.3644382165823913E-3</v>
      </c>
      <c r="T1042" s="5">
        <f t="shared" si="390"/>
        <v>-6.4008014103166056E-3</v>
      </c>
      <c r="U1042" s="5">
        <f t="shared" si="391"/>
        <v>8.2524833632461291E-3</v>
      </c>
      <c r="V1042" s="5">
        <f t="shared" si="392"/>
        <v>5.1888141834403705E-3</v>
      </c>
      <c r="W1042" s="5">
        <f t="shared" si="393"/>
        <v>6.363536091907044E-3</v>
      </c>
      <c r="X1042" s="5">
        <f t="shared" si="394"/>
        <v>-2.664589834894262E-3</v>
      </c>
      <c r="Y1042" s="5">
        <f t="shared" si="395"/>
        <v>4.1229243558667118E-2</v>
      </c>
      <c r="Z1042" s="33">
        <v>1038</v>
      </c>
      <c r="AE1042" s="20" t="str">
        <f t="shared" si="396"/>
        <v/>
      </c>
      <c r="AF1042" s="22" t="str">
        <f t="shared" si="397"/>
        <v/>
      </c>
      <c r="AG1042" s="9" t="str">
        <f t="shared" ca="1" si="376"/>
        <v/>
      </c>
      <c r="AH1042" s="9" t="str">
        <f t="shared" ca="1" si="377"/>
        <v/>
      </c>
      <c r="AI1042" s="9" t="str">
        <f t="shared" ca="1" si="378"/>
        <v/>
      </c>
      <c r="AJ1042" s="9" t="str">
        <f t="shared" ca="1" si="379"/>
        <v/>
      </c>
      <c r="AK1042" s="9" t="str">
        <f t="shared" ca="1" si="380"/>
        <v/>
      </c>
      <c r="AL1042" s="9" t="str">
        <f t="shared" ca="1" si="381"/>
        <v/>
      </c>
      <c r="AM1042" s="9" t="str">
        <f t="shared" ca="1" si="382"/>
        <v/>
      </c>
      <c r="AN1042" s="9" t="str">
        <f t="shared" ca="1" si="383"/>
        <v/>
      </c>
      <c r="AO1042" s="9" t="str">
        <f t="shared" ca="1" si="384"/>
        <v/>
      </c>
      <c r="AP1042" s="9" t="str">
        <f t="shared" ca="1" si="385"/>
        <v/>
      </c>
      <c r="AQ1042" s="9"/>
      <c r="AR1042" s="9"/>
      <c r="AS1042" s="9"/>
      <c r="AT1042" s="9"/>
      <c r="AU1042" s="9"/>
    </row>
    <row r="1043" spans="1:47" x14ac:dyDescent="0.3">
      <c r="A1043" s="1">
        <v>44973</v>
      </c>
      <c r="B1043" s="6">
        <v>365.16000400000001</v>
      </c>
      <c r="C1043" s="6">
        <v>359.709991</v>
      </c>
      <c r="D1043" s="6">
        <v>52.02</v>
      </c>
      <c r="E1043" s="6">
        <v>175.509995</v>
      </c>
      <c r="F1043" s="6">
        <v>120.050003</v>
      </c>
      <c r="G1043" s="6">
        <v>44.970001000000003</v>
      </c>
      <c r="H1043" s="6">
        <v>154.94000199999999</v>
      </c>
      <c r="I1043" s="6">
        <v>252.449997</v>
      </c>
      <c r="J1043" s="6">
        <v>37.200001</v>
      </c>
      <c r="K1043" s="6">
        <v>15.31</v>
      </c>
      <c r="N1043" s="19">
        <v>1039</v>
      </c>
      <c r="O1043" s="1">
        <v>44973</v>
      </c>
      <c r="P1043" s="5">
        <f t="shared" si="386"/>
        <v>-2.9093936857464902E-2</v>
      </c>
      <c r="Q1043" s="5">
        <f t="shared" si="387"/>
        <v>-5.35037972714947E-2</v>
      </c>
      <c r="R1043" s="5">
        <f t="shared" si="388"/>
        <v>-1.0136818272958667E-2</v>
      </c>
      <c r="S1043" s="5">
        <f t="shared" si="389"/>
        <v>-2.8447903472078452E-3</v>
      </c>
      <c r="T1043" s="5">
        <f t="shared" si="390"/>
        <v>-1.1758979287815125E-2</v>
      </c>
      <c r="U1043" s="5">
        <f t="shared" si="391"/>
        <v>-1.1112124589234837E-3</v>
      </c>
      <c r="V1043" s="5">
        <f t="shared" si="392"/>
        <v>-1.0081915643591188E-2</v>
      </c>
      <c r="W1043" s="5">
        <f t="shared" si="393"/>
        <v>-5.3727503060216316E-3</v>
      </c>
      <c r="X1043" s="5">
        <f t="shared" si="394"/>
        <v>-7.4986692094004244E-3</v>
      </c>
      <c r="Y1043" s="5">
        <f t="shared" si="395"/>
        <v>-2.6092643636137307E-3</v>
      </c>
      <c r="Z1043" s="33">
        <v>1039</v>
      </c>
      <c r="AE1043" s="20" t="str">
        <f t="shared" si="396"/>
        <v/>
      </c>
      <c r="AF1043" s="22" t="str">
        <f t="shared" si="397"/>
        <v/>
      </c>
      <c r="AG1043" s="9" t="str">
        <f t="shared" ca="1" si="376"/>
        <v/>
      </c>
      <c r="AH1043" s="9" t="str">
        <f t="shared" ca="1" si="377"/>
        <v/>
      </c>
      <c r="AI1043" s="9" t="str">
        <f t="shared" ca="1" si="378"/>
        <v/>
      </c>
      <c r="AJ1043" s="9" t="str">
        <f t="shared" ca="1" si="379"/>
        <v/>
      </c>
      <c r="AK1043" s="9" t="str">
        <f t="shared" ca="1" si="380"/>
        <v/>
      </c>
      <c r="AL1043" s="9" t="str">
        <f t="shared" ca="1" si="381"/>
        <v/>
      </c>
      <c r="AM1043" s="9" t="str">
        <f t="shared" ca="1" si="382"/>
        <v/>
      </c>
      <c r="AN1043" s="9" t="str">
        <f t="shared" ca="1" si="383"/>
        <v/>
      </c>
      <c r="AO1043" s="9" t="str">
        <f t="shared" ca="1" si="384"/>
        <v/>
      </c>
      <c r="AP1043" s="9" t="str">
        <f t="shared" ca="1" si="385"/>
        <v/>
      </c>
      <c r="AQ1043" s="9"/>
      <c r="AR1043" s="9"/>
      <c r="AS1043" s="9"/>
      <c r="AT1043" s="9"/>
      <c r="AU1043" s="9"/>
    </row>
    <row r="1044" spans="1:47" x14ac:dyDescent="0.3">
      <c r="A1044" s="1">
        <v>44974</v>
      </c>
      <c r="B1044" s="6">
        <v>356.85000600000001</v>
      </c>
      <c r="C1044" s="6">
        <v>354.45001200000002</v>
      </c>
      <c r="D1044" s="6">
        <v>52.09</v>
      </c>
      <c r="E1044" s="6">
        <v>176.279999</v>
      </c>
      <c r="F1044" s="6">
        <v>120.050003</v>
      </c>
      <c r="G1044" s="6">
        <v>44.75</v>
      </c>
      <c r="H1044" s="6">
        <v>155.36000100000001</v>
      </c>
      <c r="I1044" s="6">
        <v>252.279999</v>
      </c>
      <c r="J1044" s="6">
        <v>37.360000999999997</v>
      </c>
      <c r="K1044" s="6">
        <v>15.43</v>
      </c>
      <c r="N1044" s="18">
        <v>1040</v>
      </c>
      <c r="O1044" s="1">
        <v>44974</v>
      </c>
      <c r="P1044" s="5">
        <f t="shared" si="386"/>
        <v>-2.3020082420118805E-2</v>
      </c>
      <c r="Q1044" s="5">
        <f t="shared" si="387"/>
        <v>-1.4730800083921159E-2</v>
      </c>
      <c r="R1044" s="5">
        <f t="shared" si="388"/>
        <v>1.3447317365946952E-3</v>
      </c>
      <c r="S1044" s="5">
        <f t="shared" si="389"/>
        <v>4.3776414497998942E-3</v>
      </c>
      <c r="T1044" s="5">
        <f t="shared" si="390"/>
        <v>0</v>
      </c>
      <c r="U1044" s="5">
        <f t="shared" si="391"/>
        <v>-4.9041782987984213E-3</v>
      </c>
      <c r="V1044" s="5">
        <f t="shared" si="392"/>
        <v>2.707052867699285E-3</v>
      </c>
      <c r="W1044" s="5">
        <f t="shared" si="393"/>
        <v>-6.7361958978256879E-4</v>
      </c>
      <c r="X1044" s="5">
        <f t="shared" si="394"/>
        <v>4.2918519664158442E-3</v>
      </c>
      <c r="Y1044" s="5">
        <f t="shared" si="395"/>
        <v>7.8074567054770769E-3</v>
      </c>
      <c r="Z1044" s="33">
        <v>1040</v>
      </c>
      <c r="AE1044" s="20" t="str">
        <f t="shared" si="396"/>
        <v/>
      </c>
      <c r="AF1044" s="22" t="str">
        <f t="shared" si="397"/>
        <v/>
      </c>
      <c r="AG1044" s="9" t="str">
        <f t="shared" ca="1" si="376"/>
        <v/>
      </c>
      <c r="AH1044" s="9" t="str">
        <f t="shared" ca="1" si="377"/>
        <v/>
      </c>
      <c r="AI1044" s="9" t="str">
        <f t="shared" ca="1" si="378"/>
        <v/>
      </c>
      <c r="AJ1044" s="9" t="str">
        <f t="shared" ca="1" si="379"/>
        <v/>
      </c>
      <c r="AK1044" s="9" t="str">
        <f t="shared" ca="1" si="380"/>
        <v/>
      </c>
      <c r="AL1044" s="9" t="str">
        <f t="shared" ca="1" si="381"/>
        <v/>
      </c>
      <c r="AM1044" s="9" t="str">
        <f t="shared" ca="1" si="382"/>
        <v/>
      </c>
      <c r="AN1044" s="9" t="str">
        <f t="shared" ca="1" si="383"/>
        <v/>
      </c>
      <c r="AO1044" s="9" t="str">
        <f t="shared" ca="1" si="384"/>
        <v/>
      </c>
      <c r="AP1044" s="9" t="str">
        <f t="shared" ca="1" si="385"/>
        <v/>
      </c>
      <c r="AQ1044" s="9"/>
      <c r="AR1044" s="9"/>
      <c r="AS1044" s="9"/>
      <c r="AT1044" s="9"/>
      <c r="AU1044" s="9"/>
    </row>
    <row r="1045" spans="1:47" x14ac:dyDescent="0.3">
      <c r="A1045" s="1">
        <v>44978</v>
      </c>
      <c r="B1045" s="6">
        <v>346.70001200000002</v>
      </c>
      <c r="C1045" s="6">
        <v>352.35000600000001</v>
      </c>
      <c r="D1045" s="6">
        <v>51.189999</v>
      </c>
      <c r="E1045" s="6">
        <v>176.179993</v>
      </c>
      <c r="F1045" s="6">
        <v>118.050003</v>
      </c>
      <c r="G1045" s="6">
        <v>43.849997999999999</v>
      </c>
      <c r="H1045" s="6">
        <v>148.529999</v>
      </c>
      <c r="I1045" s="6">
        <v>246.009995</v>
      </c>
      <c r="J1045" s="6">
        <v>36.580002</v>
      </c>
      <c r="K1045" s="6">
        <v>14.75</v>
      </c>
      <c r="N1045" s="19">
        <v>1041</v>
      </c>
      <c r="O1045" s="1">
        <v>44978</v>
      </c>
      <c r="P1045" s="5">
        <f t="shared" si="386"/>
        <v>-2.8855654927829866E-2</v>
      </c>
      <c r="Q1045" s="5">
        <f t="shared" si="387"/>
        <v>-5.9423093547405726E-3</v>
      </c>
      <c r="R1045" s="5">
        <f t="shared" si="388"/>
        <v>-1.7428810822673956E-2</v>
      </c>
      <c r="S1045" s="5">
        <f t="shared" si="389"/>
        <v>-5.6747435143634345E-4</v>
      </c>
      <c r="T1045" s="5">
        <f t="shared" si="390"/>
        <v>-1.6800058712367387E-2</v>
      </c>
      <c r="U1045" s="5">
        <f t="shared" si="391"/>
        <v>-2.0316771512707638E-2</v>
      </c>
      <c r="V1045" s="5">
        <f t="shared" si="392"/>
        <v>-4.4958059670883302E-2</v>
      </c>
      <c r="W1045" s="5">
        <f t="shared" si="393"/>
        <v>-2.5167412643316497E-2</v>
      </c>
      <c r="X1045" s="5">
        <f t="shared" si="394"/>
        <v>-2.1098942489832986E-2</v>
      </c>
      <c r="Y1045" s="5">
        <f t="shared" si="395"/>
        <v>-4.5070583589240591E-2</v>
      </c>
      <c r="Z1045" s="33">
        <v>1041</v>
      </c>
      <c r="AE1045" s="20" t="str">
        <f t="shared" si="396"/>
        <v/>
      </c>
      <c r="AF1045" s="22" t="str">
        <f t="shared" si="397"/>
        <v/>
      </c>
      <c r="AG1045" s="9" t="str">
        <f t="shared" ca="1" si="376"/>
        <v/>
      </c>
      <c r="AH1045" s="9" t="str">
        <f t="shared" ca="1" si="377"/>
        <v/>
      </c>
      <c r="AI1045" s="9" t="str">
        <f t="shared" ca="1" si="378"/>
        <v/>
      </c>
      <c r="AJ1045" s="9" t="str">
        <f t="shared" ca="1" si="379"/>
        <v/>
      </c>
      <c r="AK1045" s="9" t="str">
        <f t="shared" ca="1" si="380"/>
        <v/>
      </c>
      <c r="AL1045" s="9" t="str">
        <f t="shared" ca="1" si="381"/>
        <v/>
      </c>
      <c r="AM1045" s="9" t="str">
        <f t="shared" ca="1" si="382"/>
        <v/>
      </c>
      <c r="AN1045" s="9" t="str">
        <f t="shared" ca="1" si="383"/>
        <v/>
      </c>
      <c r="AO1045" s="9" t="str">
        <f t="shared" ca="1" si="384"/>
        <v/>
      </c>
      <c r="AP1045" s="9" t="str">
        <f t="shared" ca="1" si="385"/>
        <v/>
      </c>
      <c r="AQ1045" s="9"/>
      <c r="AR1045" s="9"/>
      <c r="AS1045" s="9"/>
      <c r="AT1045" s="9"/>
      <c r="AU1045" s="9"/>
    </row>
    <row r="1046" spans="1:47" x14ac:dyDescent="0.3">
      <c r="A1046" s="1">
        <v>44979</v>
      </c>
      <c r="B1046" s="6">
        <v>348.72000100000002</v>
      </c>
      <c r="C1046" s="6">
        <v>355.05999800000001</v>
      </c>
      <c r="D1046" s="6">
        <v>51.165000999999997</v>
      </c>
      <c r="E1046" s="6">
        <v>176.11999499999999</v>
      </c>
      <c r="F1046" s="6">
        <v>117.55999799999999</v>
      </c>
      <c r="G1046" s="6">
        <v>44.080002</v>
      </c>
      <c r="H1046" s="6">
        <v>148.699997</v>
      </c>
      <c r="I1046" s="6">
        <v>244.25</v>
      </c>
      <c r="J1046" s="6">
        <v>36.520000000000003</v>
      </c>
      <c r="K1046" s="6">
        <v>15.42</v>
      </c>
      <c r="N1046" s="18">
        <v>1042</v>
      </c>
      <c r="O1046" s="1">
        <v>44979</v>
      </c>
      <c r="P1046" s="5">
        <f t="shared" si="386"/>
        <v>5.8094234947335789E-3</v>
      </c>
      <c r="Q1046" s="5">
        <f t="shared" si="387"/>
        <v>7.6617668442466322E-3</v>
      </c>
      <c r="R1046" s="5">
        <f t="shared" si="388"/>
        <v>-4.8845685109719008E-4</v>
      </c>
      <c r="S1046" s="5">
        <f t="shared" si="389"/>
        <v>-3.4060745173825345E-4</v>
      </c>
      <c r="T1046" s="5">
        <f t="shared" si="390"/>
        <v>-4.1594644063551352E-3</v>
      </c>
      <c r="U1046" s="5">
        <f t="shared" si="391"/>
        <v>5.2315370085520771E-3</v>
      </c>
      <c r="V1046" s="5">
        <f t="shared" si="392"/>
        <v>1.1438819824657639E-3</v>
      </c>
      <c r="W1046" s="5">
        <f t="shared" si="393"/>
        <v>-7.1798742653921476E-3</v>
      </c>
      <c r="X1046" s="5">
        <f t="shared" si="394"/>
        <v>-1.641641910635947E-3</v>
      </c>
      <c r="Y1046" s="5">
        <f t="shared" si="395"/>
        <v>4.4422285349354551E-2</v>
      </c>
      <c r="Z1046" s="33">
        <v>1042</v>
      </c>
      <c r="AE1046" s="20" t="str">
        <f t="shared" si="396"/>
        <v/>
      </c>
      <c r="AF1046" s="22" t="str">
        <f t="shared" si="397"/>
        <v/>
      </c>
      <c r="AG1046" s="9" t="str">
        <f t="shared" ca="1" si="376"/>
        <v/>
      </c>
      <c r="AH1046" s="9" t="str">
        <f t="shared" ca="1" si="377"/>
        <v/>
      </c>
      <c r="AI1046" s="9" t="str">
        <f t="shared" ca="1" si="378"/>
        <v/>
      </c>
      <c r="AJ1046" s="9" t="str">
        <f t="shared" ca="1" si="379"/>
        <v/>
      </c>
      <c r="AK1046" s="9" t="str">
        <f t="shared" ca="1" si="380"/>
        <v/>
      </c>
      <c r="AL1046" s="9" t="str">
        <f t="shared" ca="1" si="381"/>
        <v/>
      </c>
      <c r="AM1046" s="9" t="str">
        <f t="shared" ca="1" si="382"/>
        <v/>
      </c>
      <c r="AN1046" s="9" t="str">
        <f t="shared" ca="1" si="383"/>
        <v/>
      </c>
      <c r="AO1046" s="9" t="str">
        <f t="shared" ca="1" si="384"/>
        <v/>
      </c>
      <c r="AP1046" s="9" t="str">
        <f t="shared" ca="1" si="385"/>
        <v/>
      </c>
      <c r="AQ1046" s="9"/>
      <c r="AR1046" s="9"/>
      <c r="AS1046" s="9"/>
      <c r="AT1046" s="9"/>
      <c r="AU1046" s="9"/>
    </row>
    <row r="1047" spans="1:47" x14ac:dyDescent="0.3">
      <c r="A1047" s="1">
        <v>44980</v>
      </c>
      <c r="B1047" s="6">
        <v>347.01998900000001</v>
      </c>
      <c r="C1047" s="6">
        <v>365.48001099999999</v>
      </c>
      <c r="D1047" s="6">
        <v>51.345001000000003</v>
      </c>
      <c r="E1047" s="6">
        <v>176.30999800000001</v>
      </c>
      <c r="F1047" s="6">
        <v>118.07</v>
      </c>
      <c r="G1047" s="6">
        <v>44.200001</v>
      </c>
      <c r="H1047" s="6">
        <v>148.91999799999999</v>
      </c>
      <c r="I1047" s="6">
        <v>246.21000699999999</v>
      </c>
      <c r="J1047" s="6">
        <v>36.650002000000001</v>
      </c>
      <c r="K1047" s="6">
        <v>15.73</v>
      </c>
      <c r="N1047" s="19">
        <v>1043</v>
      </c>
      <c r="O1047" s="1">
        <v>44980</v>
      </c>
      <c r="P1047" s="5">
        <f t="shared" si="386"/>
        <v>-4.8869273227034309E-3</v>
      </c>
      <c r="Q1047" s="5">
        <f t="shared" si="387"/>
        <v>2.8924804582024653E-2</v>
      </c>
      <c r="R1047" s="5">
        <f t="shared" si="388"/>
        <v>3.5118560430223628E-3</v>
      </c>
      <c r="S1047" s="5">
        <f t="shared" si="389"/>
        <v>1.0782454511943601E-3</v>
      </c>
      <c r="T1047" s="5">
        <f t="shared" si="390"/>
        <v>4.3288443808913316E-3</v>
      </c>
      <c r="U1047" s="5">
        <f t="shared" si="391"/>
        <v>2.718601491377752E-3</v>
      </c>
      <c r="V1047" s="5">
        <f t="shared" si="392"/>
        <v>1.4784022832258911E-3</v>
      </c>
      <c r="W1047" s="5">
        <f t="shared" si="393"/>
        <v>7.9925678178514818E-3</v>
      </c>
      <c r="X1047" s="5">
        <f t="shared" si="394"/>
        <v>3.5534271761503288E-3</v>
      </c>
      <c r="Y1047" s="5">
        <f t="shared" si="395"/>
        <v>1.9904348935002956E-2</v>
      </c>
      <c r="Z1047" s="33">
        <v>1043</v>
      </c>
      <c r="AE1047" s="20" t="str">
        <f t="shared" si="396"/>
        <v/>
      </c>
      <c r="AF1047" s="22" t="str">
        <f t="shared" si="397"/>
        <v/>
      </c>
      <c r="AG1047" s="9" t="str">
        <f t="shared" ca="1" si="376"/>
        <v/>
      </c>
      <c r="AH1047" s="9" t="str">
        <f t="shared" ca="1" si="377"/>
        <v/>
      </c>
      <c r="AI1047" s="9" t="str">
        <f t="shared" ca="1" si="378"/>
        <v/>
      </c>
      <c r="AJ1047" s="9" t="str">
        <f t="shared" ca="1" si="379"/>
        <v/>
      </c>
      <c r="AK1047" s="9" t="str">
        <f t="shared" ca="1" si="380"/>
        <v/>
      </c>
      <c r="AL1047" s="9" t="str">
        <f t="shared" ca="1" si="381"/>
        <v/>
      </c>
      <c r="AM1047" s="9" t="str">
        <f t="shared" ca="1" si="382"/>
        <v/>
      </c>
      <c r="AN1047" s="9" t="str">
        <f t="shared" ca="1" si="383"/>
        <v/>
      </c>
      <c r="AO1047" s="9" t="str">
        <f t="shared" ca="1" si="384"/>
        <v/>
      </c>
      <c r="AP1047" s="9" t="str">
        <f t="shared" ca="1" si="385"/>
        <v/>
      </c>
      <c r="AQ1047" s="9"/>
      <c r="AR1047" s="9"/>
      <c r="AS1047" s="9"/>
      <c r="AT1047" s="9"/>
      <c r="AU1047" s="9"/>
    </row>
    <row r="1048" spans="1:47" x14ac:dyDescent="0.3">
      <c r="A1048" s="1">
        <v>44981</v>
      </c>
      <c r="B1048" s="6">
        <v>320.540009</v>
      </c>
      <c r="C1048" s="6">
        <v>362.27999899999998</v>
      </c>
      <c r="D1048" s="6">
        <v>50.615001999999997</v>
      </c>
      <c r="E1048" s="6">
        <v>175.96000699999999</v>
      </c>
      <c r="F1048" s="6">
        <v>116.43</v>
      </c>
      <c r="G1048" s="6">
        <v>43.630001</v>
      </c>
      <c r="H1048" s="6">
        <v>148.39999399999999</v>
      </c>
      <c r="I1048" s="6">
        <v>246.770004</v>
      </c>
      <c r="J1048" s="6">
        <v>36.209999000000003</v>
      </c>
      <c r="K1048" s="6">
        <v>15.55</v>
      </c>
      <c r="N1048" s="18">
        <v>1044</v>
      </c>
      <c r="O1048" s="1">
        <v>44981</v>
      </c>
      <c r="P1048" s="5">
        <f t="shared" si="386"/>
        <v>-7.9375281832016045E-2</v>
      </c>
      <c r="Q1048" s="5">
        <f t="shared" si="387"/>
        <v>-8.7941974813737552E-3</v>
      </c>
      <c r="R1048" s="5">
        <f t="shared" si="388"/>
        <v>-1.4319565561659062E-2</v>
      </c>
      <c r="S1048" s="5">
        <f t="shared" si="389"/>
        <v>-1.9870616867259596E-3</v>
      </c>
      <c r="T1048" s="5">
        <f t="shared" si="390"/>
        <v>-1.3987434870093672E-2</v>
      </c>
      <c r="U1048" s="5">
        <f t="shared" si="391"/>
        <v>-1.2979801652559389E-2</v>
      </c>
      <c r="V1048" s="5">
        <f t="shared" si="392"/>
        <v>-3.4979452724741011E-3</v>
      </c>
      <c r="W1048" s="5">
        <f t="shared" si="393"/>
        <v>2.2718861956743295E-3</v>
      </c>
      <c r="X1048" s="5">
        <f t="shared" si="394"/>
        <v>-1.2078186742049132E-2</v>
      </c>
      <c r="Y1048" s="5">
        <f t="shared" si="395"/>
        <v>-1.1509078444943312E-2</v>
      </c>
      <c r="Z1048" s="33">
        <v>1044</v>
      </c>
      <c r="AE1048" s="20" t="str">
        <f t="shared" si="396"/>
        <v/>
      </c>
      <c r="AF1048" s="22" t="str">
        <f t="shared" si="397"/>
        <v/>
      </c>
      <c r="AG1048" s="9" t="str">
        <f t="shared" ca="1" si="376"/>
        <v/>
      </c>
      <c r="AH1048" s="9" t="str">
        <f t="shared" ca="1" si="377"/>
        <v/>
      </c>
      <c r="AI1048" s="9" t="str">
        <f t="shared" ca="1" si="378"/>
        <v/>
      </c>
      <c r="AJ1048" s="9" t="str">
        <f t="shared" ca="1" si="379"/>
        <v/>
      </c>
      <c r="AK1048" s="9" t="str">
        <f t="shared" ca="1" si="380"/>
        <v/>
      </c>
      <c r="AL1048" s="9" t="str">
        <f t="shared" ca="1" si="381"/>
        <v/>
      </c>
      <c r="AM1048" s="9" t="str">
        <f t="shared" ca="1" si="382"/>
        <v/>
      </c>
      <c r="AN1048" s="9" t="str">
        <f t="shared" ca="1" si="383"/>
        <v/>
      </c>
      <c r="AO1048" s="9" t="str">
        <f t="shared" ca="1" si="384"/>
        <v/>
      </c>
      <c r="AP1048" s="9" t="str">
        <f t="shared" ca="1" si="385"/>
        <v/>
      </c>
      <c r="AQ1048" s="9"/>
      <c r="AR1048" s="9"/>
      <c r="AS1048" s="9"/>
      <c r="AT1048" s="9"/>
      <c r="AU1048" s="9"/>
    </row>
    <row r="1049" spans="1:47" x14ac:dyDescent="0.3">
      <c r="A1049" s="1">
        <v>44984</v>
      </c>
      <c r="B1049" s="6">
        <v>322.32000699999998</v>
      </c>
      <c r="C1049" s="6">
        <v>363.35998499999999</v>
      </c>
      <c r="D1049" s="6">
        <v>51.16</v>
      </c>
      <c r="E1049" s="6">
        <v>175.91000399999999</v>
      </c>
      <c r="F1049" s="6">
        <v>114.83000199999999</v>
      </c>
      <c r="G1049" s="6">
        <v>43.060001</v>
      </c>
      <c r="H1049" s="6">
        <v>150</v>
      </c>
      <c r="I1049" s="6">
        <v>246.85000600000001</v>
      </c>
      <c r="J1049" s="6">
        <v>35.950001</v>
      </c>
      <c r="K1049" s="6">
        <v>15.94</v>
      </c>
      <c r="N1049" s="19">
        <v>1045</v>
      </c>
      <c r="O1049" s="1">
        <v>44984</v>
      </c>
      <c r="P1049" s="5">
        <f t="shared" si="386"/>
        <v>5.5377609575913457E-3</v>
      </c>
      <c r="Q1049" s="5">
        <f t="shared" si="387"/>
        <v>2.976646329421761E-3</v>
      </c>
      <c r="R1049" s="5">
        <f t="shared" si="388"/>
        <v>1.0709962145949549E-2</v>
      </c>
      <c r="S1049" s="5">
        <f t="shared" si="389"/>
        <v>-2.8421291257237536E-4</v>
      </c>
      <c r="T1049" s="5">
        <f t="shared" si="390"/>
        <v>-1.3837442843775657E-2</v>
      </c>
      <c r="U1049" s="5">
        <f t="shared" si="391"/>
        <v>-1.3150494895901201E-2</v>
      </c>
      <c r="V1049" s="5">
        <f t="shared" si="392"/>
        <v>1.0724003794243374E-2</v>
      </c>
      <c r="W1049" s="5">
        <f t="shared" si="393"/>
        <v>3.2414407471244853E-4</v>
      </c>
      <c r="X1049" s="5">
        <f t="shared" si="394"/>
        <v>-7.206184177402028E-3</v>
      </c>
      <c r="Y1049" s="5">
        <f t="shared" si="395"/>
        <v>2.4771034736825855E-2</v>
      </c>
      <c r="Z1049" s="33">
        <v>1045</v>
      </c>
      <c r="AE1049" s="20" t="str">
        <f t="shared" si="396"/>
        <v/>
      </c>
      <c r="AF1049" s="22" t="str">
        <f t="shared" si="397"/>
        <v/>
      </c>
      <c r="AG1049" s="9" t="str">
        <f t="shared" ca="1" si="376"/>
        <v/>
      </c>
      <c r="AH1049" s="9" t="str">
        <f t="shared" ca="1" si="377"/>
        <v/>
      </c>
      <c r="AI1049" s="9" t="str">
        <f t="shared" ca="1" si="378"/>
        <v/>
      </c>
      <c r="AJ1049" s="9" t="str">
        <f t="shared" ca="1" si="379"/>
        <v/>
      </c>
      <c r="AK1049" s="9" t="str">
        <f t="shared" ca="1" si="380"/>
        <v/>
      </c>
      <c r="AL1049" s="9" t="str">
        <f t="shared" ca="1" si="381"/>
        <v/>
      </c>
      <c r="AM1049" s="9" t="str">
        <f t="shared" ca="1" si="382"/>
        <v/>
      </c>
      <c r="AN1049" s="9" t="str">
        <f t="shared" ca="1" si="383"/>
        <v/>
      </c>
      <c r="AO1049" s="9" t="str">
        <f t="shared" ca="1" si="384"/>
        <v/>
      </c>
      <c r="AP1049" s="9" t="str">
        <f t="shared" ca="1" si="385"/>
        <v/>
      </c>
      <c r="AQ1049" s="9"/>
      <c r="AR1049" s="9"/>
      <c r="AS1049" s="9"/>
      <c r="AT1049" s="9"/>
      <c r="AU1049" s="9"/>
    </row>
    <row r="1050" spans="1:47" x14ac:dyDescent="0.3">
      <c r="A1050" s="1">
        <v>44985</v>
      </c>
      <c r="B1050" s="6">
        <v>323.95001200000002</v>
      </c>
      <c r="C1050" s="6">
        <v>363.76001000000002</v>
      </c>
      <c r="D1050" s="6">
        <v>50.880001</v>
      </c>
      <c r="E1050" s="6">
        <v>173.529999</v>
      </c>
      <c r="F1050" s="6">
        <v>114.760002</v>
      </c>
      <c r="G1050" s="6">
        <v>42.84</v>
      </c>
      <c r="H1050" s="6">
        <v>149.89999399999999</v>
      </c>
      <c r="I1050" s="6">
        <v>248.679993</v>
      </c>
      <c r="J1050" s="6">
        <v>35.540000999999997</v>
      </c>
      <c r="K1050" s="6">
        <v>15.62</v>
      </c>
      <c r="N1050" s="18">
        <v>1046</v>
      </c>
      <c r="O1050" s="1">
        <v>44985</v>
      </c>
      <c r="P1050" s="5">
        <f t="shared" si="386"/>
        <v>5.0443573380798126E-3</v>
      </c>
      <c r="Q1050" s="5">
        <f t="shared" si="387"/>
        <v>1.1002999315344018E-3</v>
      </c>
      <c r="R1050" s="5">
        <f t="shared" si="388"/>
        <v>-5.4880380246873075E-3</v>
      </c>
      <c r="S1050" s="5">
        <f t="shared" si="389"/>
        <v>-1.3622034009994269E-2</v>
      </c>
      <c r="T1050" s="5">
        <f t="shared" si="390"/>
        <v>-6.0978266430997759E-4</v>
      </c>
      <c r="U1050" s="5">
        <f t="shared" si="391"/>
        <v>-5.1222695800777849E-3</v>
      </c>
      <c r="V1050" s="5">
        <f t="shared" si="392"/>
        <v>-6.6692901438900401E-4</v>
      </c>
      <c r="W1050" s="5">
        <f t="shared" si="393"/>
        <v>7.3860122413811286E-3</v>
      </c>
      <c r="X1050" s="5">
        <f t="shared" si="394"/>
        <v>-1.1470261119652108E-2</v>
      </c>
      <c r="Y1050" s="5">
        <f t="shared" si="395"/>
        <v>-2.0279528950529126E-2</v>
      </c>
      <c r="Z1050" s="33">
        <v>1046</v>
      </c>
      <c r="AE1050" s="20" t="str">
        <f t="shared" si="396"/>
        <v/>
      </c>
      <c r="AF1050" s="22" t="str">
        <f t="shared" si="397"/>
        <v/>
      </c>
      <c r="AG1050" s="9" t="str">
        <f t="shared" ca="1" si="376"/>
        <v/>
      </c>
      <c r="AH1050" s="9" t="str">
        <f t="shared" ca="1" si="377"/>
        <v/>
      </c>
      <c r="AI1050" s="9" t="str">
        <f t="shared" ca="1" si="378"/>
        <v/>
      </c>
      <c r="AJ1050" s="9" t="str">
        <f t="shared" ca="1" si="379"/>
        <v/>
      </c>
      <c r="AK1050" s="9" t="str">
        <f t="shared" ca="1" si="380"/>
        <v/>
      </c>
      <c r="AL1050" s="9" t="str">
        <f t="shared" ca="1" si="381"/>
        <v/>
      </c>
      <c r="AM1050" s="9" t="str">
        <f t="shared" ca="1" si="382"/>
        <v/>
      </c>
      <c r="AN1050" s="9" t="str">
        <f t="shared" ca="1" si="383"/>
        <v/>
      </c>
      <c r="AO1050" s="9" t="str">
        <f t="shared" ca="1" si="384"/>
        <v/>
      </c>
      <c r="AP1050" s="9" t="str">
        <f t="shared" ca="1" si="385"/>
        <v/>
      </c>
      <c r="AQ1050" s="9"/>
      <c r="AR1050" s="9"/>
      <c r="AS1050" s="9"/>
      <c r="AT1050" s="9"/>
      <c r="AU1050" s="9"/>
    </row>
    <row r="1051" spans="1:47" x14ac:dyDescent="0.3">
      <c r="A1051" s="1">
        <v>44986</v>
      </c>
      <c r="B1051" s="6">
        <v>323.38000499999998</v>
      </c>
      <c r="C1051" s="6">
        <v>361.01998900000001</v>
      </c>
      <c r="D1051" s="6">
        <v>49.595001000000003</v>
      </c>
      <c r="E1051" s="6">
        <v>171.33000200000001</v>
      </c>
      <c r="F1051" s="6">
        <v>111.959999</v>
      </c>
      <c r="G1051" s="6">
        <v>41.650002000000001</v>
      </c>
      <c r="H1051" s="6">
        <v>150.11999499999999</v>
      </c>
      <c r="I1051" s="6">
        <v>247.28999300000001</v>
      </c>
      <c r="J1051" s="6">
        <v>35.57</v>
      </c>
      <c r="K1051" s="6">
        <v>15.02</v>
      </c>
      <c r="N1051" s="19">
        <v>1047</v>
      </c>
      <c r="O1051" s="1">
        <v>44986</v>
      </c>
      <c r="P1051" s="5">
        <f t="shared" si="386"/>
        <v>-1.7611021653647669E-3</v>
      </c>
      <c r="Q1051" s="5">
        <f t="shared" si="387"/>
        <v>-7.5610090163191271E-3</v>
      </c>
      <c r="R1051" s="5">
        <f t="shared" si="388"/>
        <v>-2.5579896324674705E-2</v>
      </c>
      <c r="S1051" s="5">
        <f t="shared" si="389"/>
        <v>-1.275895632146006E-2</v>
      </c>
      <c r="T1051" s="5">
        <f t="shared" si="390"/>
        <v>-2.4701352825347699E-2</v>
      </c>
      <c r="U1051" s="5">
        <f t="shared" si="391"/>
        <v>-2.8170828947489904E-2</v>
      </c>
      <c r="V1051" s="5">
        <f t="shared" si="392"/>
        <v>1.4665758782646814E-3</v>
      </c>
      <c r="W1051" s="5">
        <f t="shared" si="393"/>
        <v>-5.6051925661123872E-3</v>
      </c>
      <c r="X1051" s="5">
        <f t="shared" si="394"/>
        <v>8.4373509654895814E-4</v>
      </c>
      <c r="Y1051" s="5">
        <f t="shared" si="395"/>
        <v>-3.9169498075551187E-2</v>
      </c>
      <c r="Z1051" s="33">
        <v>1047</v>
      </c>
      <c r="AE1051" s="20" t="str">
        <f t="shared" si="396"/>
        <v/>
      </c>
      <c r="AF1051" s="22" t="str">
        <f t="shared" si="397"/>
        <v/>
      </c>
      <c r="AG1051" s="9" t="str">
        <f t="shared" ca="1" si="376"/>
        <v/>
      </c>
      <c r="AH1051" s="9" t="str">
        <f t="shared" ca="1" si="377"/>
        <v/>
      </c>
      <c r="AI1051" s="9" t="str">
        <f t="shared" ca="1" si="378"/>
        <v/>
      </c>
      <c r="AJ1051" s="9" t="str">
        <f t="shared" ca="1" si="379"/>
        <v/>
      </c>
      <c r="AK1051" s="9" t="str">
        <f t="shared" ca="1" si="380"/>
        <v/>
      </c>
      <c r="AL1051" s="9" t="str">
        <f t="shared" ca="1" si="381"/>
        <v/>
      </c>
      <c r="AM1051" s="9" t="str">
        <f t="shared" ca="1" si="382"/>
        <v/>
      </c>
      <c r="AN1051" s="9" t="str">
        <f t="shared" ca="1" si="383"/>
        <v/>
      </c>
      <c r="AO1051" s="9" t="str">
        <f t="shared" ca="1" si="384"/>
        <v/>
      </c>
      <c r="AP1051" s="9" t="str">
        <f t="shared" ca="1" si="385"/>
        <v/>
      </c>
      <c r="AQ1051" s="9"/>
      <c r="AR1051" s="9"/>
      <c r="AS1051" s="9"/>
      <c r="AT1051" s="9"/>
      <c r="AU1051" s="9"/>
    </row>
    <row r="1052" spans="1:47" x14ac:dyDescent="0.3">
      <c r="A1052" s="1">
        <v>44987</v>
      </c>
      <c r="B1052" s="6">
        <v>333.5</v>
      </c>
      <c r="C1052" s="6">
        <v>363.38000499999998</v>
      </c>
      <c r="D1052" s="6">
        <v>51.075001</v>
      </c>
      <c r="E1052" s="6">
        <v>173.320007</v>
      </c>
      <c r="F1052" s="6">
        <v>114</v>
      </c>
      <c r="G1052" s="6">
        <v>42.110000999999997</v>
      </c>
      <c r="H1052" s="6">
        <v>151.39999399999999</v>
      </c>
      <c r="I1052" s="6">
        <v>248.91999799999999</v>
      </c>
      <c r="J1052" s="6">
        <v>35.650002000000001</v>
      </c>
      <c r="K1052" s="6">
        <v>15.24</v>
      </c>
      <c r="N1052" s="18">
        <v>1048</v>
      </c>
      <c r="O1052" s="1">
        <v>44987</v>
      </c>
      <c r="P1052" s="5">
        <f t="shared" si="386"/>
        <v>3.0814747582324099E-2</v>
      </c>
      <c r="Q1052" s="5">
        <f t="shared" si="387"/>
        <v>6.5158044429061493E-3</v>
      </c>
      <c r="R1052" s="5">
        <f t="shared" si="388"/>
        <v>2.9405117921456211E-2</v>
      </c>
      <c r="S1052" s="5">
        <f t="shared" si="389"/>
        <v>1.1548104241169994E-2</v>
      </c>
      <c r="T1052" s="5">
        <f t="shared" si="390"/>
        <v>1.8056792679004209E-2</v>
      </c>
      <c r="U1052" s="5">
        <f t="shared" si="391"/>
        <v>1.0983849289106331E-2</v>
      </c>
      <c r="V1052" s="5">
        <f t="shared" si="392"/>
        <v>8.4903604130971248E-3</v>
      </c>
      <c r="W1052" s="5">
        <f t="shared" si="393"/>
        <v>6.5698429799077758E-3</v>
      </c>
      <c r="X1052" s="5">
        <f t="shared" si="394"/>
        <v>2.2466170009213431E-3</v>
      </c>
      <c r="Y1052" s="5">
        <f t="shared" si="395"/>
        <v>1.4540903922511655E-2</v>
      </c>
      <c r="Z1052" s="33">
        <v>1048</v>
      </c>
      <c r="AE1052" s="20" t="str">
        <f t="shared" si="396"/>
        <v/>
      </c>
      <c r="AF1052" s="22" t="str">
        <f t="shared" si="397"/>
        <v/>
      </c>
      <c r="AG1052" s="9" t="str">
        <f t="shared" ca="1" si="376"/>
        <v/>
      </c>
      <c r="AH1052" s="9" t="str">
        <f t="shared" ca="1" si="377"/>
        <v/>
      </c>
      <c r="AI1052" s="9" t="str">
        <f t="shared" ca="1" si="378"/>
        <v/>
      </c>
      <c r="AJ1052" s="9" t="str">
        <f t="shared" ca="1" si="379"/>
        <v/>
      </c>
      <c r="AK1052" s="9" t="str">
        <f t="shared" ca="1" si="380"/>
        <v/>
      </c>
      <c r="AL1052" s="9" t="str">
        <f t="shared" ca="1" si="381"/>
        <v/>
      </c>
      <c r="AM1052" s="9" t="str">
        <f t="shared" ca="1" si="382"/>
        <v/>
      </c>
      <c r="AN1052" s="9" t="str">
        <f t="shared" ca="1" si="383"/>
        <v/>
      </c>
      <c r="AO1052" s="9" t="str">
        <f t="shared" ca="1" si="384"/>
        <v/>
      </c>
      <c r="AP1052" s="9" t="str">
        <f t="shared" ca="1" si="385"/>
        <v/>
      </c>
      <c r="AQ1052" s="9"/>
      <c r="AR1052" s="9"/>
      <c r="AS1052" s="9"/>
      <c r="AT1052" s="9"/>
      <c r="AU1052" s="9"/>
    </row>
    <row r="1053" spans="1:47" x14ac:dyDescent="0.3">
      <c r="A1053" s="1">
        <v>44988</v>
      </c>
      <c r="B1053" s="6">
        <v>344.040009</v>
      </c>
      <c r="C1053" s="6">
        <v>367.5</v>
      </c>
      <c r="D1053" s="6">
        <v>51.005001</v>
      </c>
      <c r="E1053" s="6">
        <v>173.14999399999999</v>
      </c>
      <c r="F1053" s="6">
        <v>116.129997</v>
      </c>
      <c r="G1053" s="6">
        <v>42.98</v>
      </c>
      <c r="H1053" s="6">
        <v>154.64999399999999</v>
      </c>
      <c r="I1053" s="6">
        <v>250.10000600000001</v>
      </c>
      <c r="J1053" s="6">
        <v>35.700001</v>
      </c>
      <c r="K1053" s="6">
        <v>15.47</v>
      </c>
      <c r="N1053" s="19">
        <v>1049</v>
      </c>
      <c r="O1053" s="1">
        <v>44988</v>
      </c>
      <c r="P1053" s="5">
        <f t="shared" si="386"/>
        <v>3.1115090487348989E-2</v>
      </c>
      <c r="Q1053" s="5">
        <f t="shared" si="387"/>
        <v>1.1274186218896363E-2</v>
      </c>
      <c r="R1053" s="5">
        <f t="shared" si="388"/>
        <v>-1.3714735423329717E-3</v>
      </c>
      <c r="S1053" s="5">
        <f t="shared" si="389"/>
        <v>-9.8140106303552343E-4</v>
      </c>
      <c r="T1053" s="5">
        <f t="shared" si="390"/>
        <v>1.8511779030052571E-2</v>
      </c>
      <c r="U1053" s="5">
        <f t="shared" si="391"/>
        <v>2.0449625293199949E-2</v>
      </c>
      <c r="V1053" s="5">
        <f t="shared" si="392"/>
        <v>2.1239158960565052E-2</v>
      </c>
      <c r="W1053" s="5">
        <f t="shared" si="393"/>
        <v>4.7293102076698323E-3</v>
      </c>
      <c r="X1053" s="5">
        <f t="shared" si="394"/>
        <v>1.4015138355123577E-3</v>
      </c>
      <c r="Y1053" s="5">
        <f t="shared" si="395"/>
        <v>1.4979114326474658E-2</v>
      </c>
      <c r="Z1053" s="33">
        <v>1049</v>
      </c>
      <c r="AE1053" s="20" t="str">
        <f t="shared" si="396"/>
        <v/>
      </c>
      <c r="AF1053" s="22" t="str">
        <f t="shared" si="397"/>
        <v/>
      </c>
      <c r="AG1053" s="9" t="str">
        <f t="shared" ca="1" si="376"/>
        <v/>
      </c>
      <c r="AH1053" s="9" t="str">
        <f t="shared" ca="1" si="377"/>
        <v/>
      </c>
      <c r="AI1053" s="9" t="str">
        <f t="shared" ca="1" si="378"/>
        <v/>
      </c>
      <c r="AJ1053" s="9" t="str">
        <f t="shared" ca="1" si="379"/>
        <v/>
      </c>
      <c r="AK1053" s="9" t="str">
        <f t="shared" ca="1" si="380"/>
        <v/>
      </c>
      <c r="AL1053" s="9" t="str">
        <f t="shared" ca="1" si="381"/>
        <v/>
      </c>
      <c r="AM1053" s="9" t="str">
        <f t="shared" ca="1" si="382"/>
        <v/>
      </c>
      <c r="AN1053" s="9" t="str">
        <f t="shared" ca="1" si="383"/>
        <v/>
      </c>
      <c r="AO1053" s="9" t="str">
        <f t="shared" ca="1" si="384"/>
        <v/>
      </c>
      <c r="AP1053" s="9" t="str">
        <f t="shared" ca="1" si="385"/>
        <v/>
      </c>
      <c r="AQ1053" s="9"/>
      <c r="AR1053" s="9"/>
      <c r="AS1053" s="9"/>
      <c r="AT1053" s="9"/>
      <c r="AU1053" s="9"/>
    </row>
    <row r="1054" spans="1:47" x14ac:dyDescent="0.3">
      <c r="A1054" s="1">
        <v>44991</v>
      </c>
      <c r="B1054" s="6">
        <v>347.01998900000001</v>
      </c>
      <c r="C1054" s="6">
        <v>368.76998900000001</v>
      </c>
      <c r="D1054" s="6">
        <v>51.990001999999997</v>
      </c>
      <c r="E1054" s="6">
        <v>173.5</v>
      </c>
      <c r="F1054" s="6">
        <v>117.19000200000001</v>
      </c>
      <c r="G1054" s="6">
        <v>42.880001</v>
      </c>
      <c r="H1054" s="6">
        <v>154.320007</v>
      </c>
      <c r="I1054" s="6">
        <v>248.28999300000001</v>
      </c>
      <c r="J1054" s="6">
        <v>35.639999000000003</v>
      </c>
      <c r="K1054" s="6">
        <v>15.13</v>
      </c>
      <c r="N1054" s="18">
        <v>1050</v>
      </c>
      <c r="O1054" s="1">
        <v>44991</v>
      </c>
      <c r="P1054" s="5">
        <f t="shared" si="386"/>
        <v>8.6244276320367411E-3</v>
      </c>
      <c r="Q1054" s="5">
        <f t="shared" si="387"/>
        <v>3.4497949895942286E-3</v>
      </c>
      <c r="R1054" s="5">
        <f t="shared" si="388"/>
        <v>1.9127744124156819E-2</v>
      </c>
      <c r="S1054" s="5">
        <f t="shared" si="389"/>
        <v>2.0193631905192975E-3</v>
      </c>
      <c r="T1054" s="5">
        <f t="shared" si="390"/>
        <v>9.0863389122653425E-3</v>
      </c>
      <c r="U1054" s="5">
        <f t="shared" si="391"/>
        <v>-2.3293511309224859E-3</v>
      </c>
      <c r="V1054" s="5">
        <f t="shared" si="392"/>
        <v>-2.1360463760306371E-3</v>
      </c>
      <c r="W1054" s="5">
        <f t="shared" si="393"/>
        <v>-7.263472225972528E-3</v>
      </c>
      <c r="X1054" s="5">
        <f t="shared" si="394"/>
        <v>-1.6821422525506646E-3</v>
      </c>
      <c r="Y1054" s="5">
        <f t="shared" si="395"/>
        <v>-2.2223136784710235E-2</v>
      </c>
      <c r="Z1054" s="33">
        <v>1050</v>
      </c>
      <c r="AE1054" s="20" t="str">
        <f t="shared" si="396"/>
        <v/>
      </c>
      <c r="AF1054" s="22" t="str">
        <f t="shared" si="397"/>
        <v/>
      </c>
      <c r="AG1054" s="9" t="str">
        <f t="shared" ca="1" si="376"/>
        <v/>
      </c>
      <c r="AH1054" s="9" t="str">
        <f t="shared" ca="1" si="377"/>
        <v/>
      </c>
      <c r="AI1054" s="9" t="str">
        <f t="shared" ca="1" si="378"/>
        <v/>
      </c>
      <c r="AJ1054" s="9" t="str">
        <f t="shared" ca="1" si="379"/>
        <v/>
      </c>
      <c r="AK1054" s="9" t="str">
        <f t="shared" ca="1" si="380"/>
        <v/>
      </c>
      <c r="AL1054" s="9" t="str">
        <f t="shared" ca="1" si="381"/>
        <v/>
      </c>
      <c r="AM1054" s="9" t="str">
        <f t="shared" ca="1" si="382"/>
        <v/>
      </c>
      <c r="AN1054" s="9" t="str">
        <f t="shared" ca="1" si="383"/>
        <v/>
      </c>
      <c r="AO1054" s="9" t="str">
        <f t="shared" ca="1" si="384"/>
        <v/>
      </c>
      <c r="AP1054" s="9" t="str">
        <f t="shared" ca="1" si="385"/>
        <v/>
      </c>
      <c r="AQ1054" s="9"/>
      <c r="AR1054" s="9"/>
      <c r="AS1054" s="9"/>
      <c r="AT1054" s="9"/>
      <c r="AU1054" s="9"/>
    </row>
    <row r="1055" spans="1:47" x14ac:dyDescent="0.3">
      <c r="A1055" s="1">
        <v>44992</v>
      </c>
      <c r="B1055" s="6">
        <v>344.79998799999998</v>
      </c>
      <c r="C1055" s="6">
        <v>361.27999899999998</v>
      </c>
      <c r="D1055" s="6">
        <v>51.610000999999997</v>
      </c>
      <c r="E1055" s="6">
        <v>172.63999899999999</v>
      </c>
      <c r="F1055" s="6">
        <v>112.019997</v>
      </c>
      <c r="G1055" s="6">
        <v>41.82</v>
      </c>
      <c r="H1055" s="6">
        <v>152.80999800000001</v>
      </c>
      <c r="I1055" s="6">
        <v>247</v>
      </c>
      <c r="J1055" s="6">
        <v>34.959999000000003</v>
      </c>
      <c r="K1055" s="6">
        <v>14.82</v>
      </c>
      <c r="N1055" s="19">
        <v>1051</v>
      </c>
      <c r="O1055" s="1">
        <v>44992</v>
      </c>
      <c r="P1055" s="5">
        <f t="shared" si="386"/>
        <v>-6.4178794883108896E-3</v>
      </c>
      <c r="Q1055" s="5">
        <f t="shared" si="387"/>
        <v>-2.0519835449124738E-2</v>
      </c>
      <c r="R1055" s="5">
        <f t="shared" si="388"/>
        <v>-7.3359593278344987E-3</v>
      </c>
      <c r="S1055" s="5">
        <f t="shared" si="389"/>
        <v>-4.9691036694898159E-3</v>
      </c>
      <c r="T1055" s="5">
        <f t="shared" si="390"/>
        <v>-4.5119166336059495E-2</v>
      </c>
      <c r="U1055" s="5">
        <f t="shared" si="391"/>
        <v>-2.5030846082954222E-2</v>
      </c>
      <c r="V1055" s="5">
        <f t="shared" si="392"/>
        <v>-9.8331074287458346E-3</v>
      </c>
      <c r="W1055" s="5">
        <f t="shared" si="393"/>
        <v>-5.2090530200272368E-3</v>
      </c>
      <c r="X1055" s="5">
        <f t="shared" si="394"/>
        <v>-1.9264052361031413E-2</v>
      </c>
      <c r="Y1055" s="5">
        <f t="shared" si="395"/>
        <v>-2.0701907932323758E-2</v>
      </c>
      <c r="Z1055" s="33">
        <v>1051</v>
      </c>
      <c r="AE1055" s="20" t="str">
        <f t="shared" si="396"/>
        <v/>
      </c>
      <c r="AF1055" s="22" t="str">
        <f t="shared" si="397"/>
        <v/>
      </c>
      <c r="AG1055" s="9" t="str">
        <f t="shared" ca="1" si="376"/>
        <v/>
      </c>
      <c r="AH1055" s="9" t="str">
        <f t="shared" ca="1" si="377"/>
        <v/>
      </c>
      <c r="AI1055" s="9" t="str">
        <f t="shared" ca="1" si="378"/>
        <v/>
      </c>
      <c r="AJ1055" s="9" t="str">
        <f t="shared" ca="1" si="379"/>
        <v/>
      </c>
      <c r="AK1055" s="9" t="str">
        <f t="shared" ca="1" si="380"/>
        <v/>
      </c>
      <c r="AL1055" s="9" t="str">
        <f t="shared" ca="1" si="381"/>
        <v/>
      </c>
      <c r="AM1055" s="9" t="str">
        <f t="shared" ca="1" si="382"/>
        <v/>
      </c>
      <c r="AN1055" s="9" t="str">
        <f t="shared" ca="1" si="383"/>
        <v/>
      </c>
      <c r="AO1055" s="9" t="str">
        <f t="shared" ca="1" si="384"/>
        <v/>
      </c>
      <c r="AP1055" s="9" t="str">
        <f t="shared" ca="1" si="385"/>
        <v/>
      </c>
      <c r="AQ1055" s="9"/>
      <c r="AR1055" s="9"/>
      <c r="AS1055" s="9"/>
      <c r="AT1055" s="9"/>
      <c r="AU1055" s="9"/>
    </row>
    <row r="1056" spans="1:47" x14ac:dyDescent="0.3">
      <c r="A1056" s="1">
        <v>44993</v>
      </c>
      <c r="B1056" s="6">
        <v>345.83999599999999</v>
      </c>
      <c r="C1056" s="6">
        <v>369.01998900000001</v>
      </c>
      <c r="D1056" s="6">
        <v>51.560001</v>
      </c>
      <c r="E1056" s="6">
        <v>173.11000100000001</v>
      </c>
      <c r="F1056" s="6">
        <v>113.379997</v>
      </c>
      <c r="G1056" s="6">
        <v>42.09</v>
      </c>
      <c r="H1056" s="6">
        <v>152.470001</v>
      </c>
      <c r="I1056" s="6">
        <v>247.08000200000001</v>
      </c>
      <c r="J1056" s="6">
        <v>34.950001</v>
      </c>
      <c r="K1056" s="6">
        <v>15.34</v>
      </c>
      <c r="N1056" s="18">
        <v>1052</v>
      </c>
      <c r="O1056" s="1">
        <v>44993</v>
      </c>
      <c r="P1056" s="5">
        <f t="shared" si="386"/>
        <v>3.0117248065809365E-3</v>
      </c>
      <c r="Q1056" s="5">
        <f t="shared" si="387"/>
        <v>2.11975351116926E-2</v>
      </c>
      <c r="R1056" s="5">
        <f t="shared" si="388"/>
        <v>-9.6927407085925857E-4</v>
      </c>
      <c r="S1056" s="5">
        <f t="shared" si="389"/>
        <v>2.7187406478879645E-3</v>
      </c>
      <c r="T1056" s="5">
        <f t="shared" si="390"/>
        <v>1.2067582435710262E-2</v>
      </c>
      <c r="U1056" s="5">
        <f t="shared" si="391"/>
        <v>6.4354887819918685E-3</v>
      </c>
      <c r="V1056" s="5">
        <f t="shared" si="392"/>
        <v>-2.227444586534187E-3</v>
      </c>
      <c r="W1056" s="5">
        <f t="shared" si="393"/>
        <v>3.2384229426557883E-4</v>
      </c>
      <c r="X1056" s="5">
        <f t="shared" si="394"/>
        <v>-2.8602489109326429E-4</v>
      </c>
      <c r="Y1056" s="5">
        <f t="shared" si="395"/>
        <v>3.4486176071169189E-2</v>
      </c>
      <c r="Z1056" s="33">
        <v>1052</v>
      </c>
      <c r="AE1056" s="20" t="str">
        <f t="shared" si="396"/>
        <v/>
      </c>
      <c r="AF1056" s="22" t="str">
        <f t="shared" si="397"/>
        <v/>
      </c>
      <c r="AG1056" s="9" t="str">
        <f t="shared" ca="1" si="376"/>
        <v/>
      </c>
      <c r="AH1056" s="9" t="str">
        <f t="shared" ca="1" si="377"/>
        <v/>
      </c>
      <c r="AI1056" s="9" t="str">
        <f t="shared" ca="1" si="378"/>
        <v/>
      </c>
      <c r="AJ1056" s="9" t="str">
        <f t="shared" ca="1" si="379"/>
        <v/>
      </c>
      <c r="AK1056" s="9" t="str">
        <f t="shared" ca="1" si="380"/>
        <v/>
      </c>
      <c r="AL1056" s="9" t="str">
        <f t="shared" ca="1" si="381"/>
        <v/>
      </c>
      <c r="AM1056" s="9" t="str">
        <f t="shared" ca="1" si="382"/>
        <v/>
      </c>
      <c r="AN1056" s="9" t="str">
        <f t="shared" ca="1" si="383"/>
        <v/>
      </c>
      <c r="AO1056" s="9" t="str">
        <f t="shared" ca="1" si="384"/>
        <v/>
      </c>
      <c r="AP1056" s="9" t="str">
        <f t="shared" ca="1" si="385"/>
        <v/>
      </c>
      <c r="AQ1056" s="9"/>
      <c r="AR1056" s="9"/>
      <c r="AS1056" s="9"/>
      <c r="AT1056" s="9"/>
      <c r="AU1056" s="9"/>
    </row>
    <row r="1057" spans="1:47" x14ac:dyDescent="0.3">
      <c r="A1057" s="1">
        <v>44994</v>
      </c>
      <c r="B1057" s="6">
        <v>338.36999500000002</v>
      </c>
      <c r="C1057" s="6">
        <v>361.92001299999998</v>
      </c>
      <c r="D1057" s="6">
        <v>51</v>
      </c>
      <c r="E1057" s="6">
        <v>171.800003</v>
      </c>
      <c r="F1057" s="6">
        <v>110.790001</v>
      </c>
      <c r="G1057" s="6">
        <v>41.25</v>
      </c>
      <c r="H1057" s="6">
        <v>150.16000399999999</v>
      </c>
      <c r="I1057" s="6">
        <v>246.929993</v>
      </c>
      <c r="J1057" s="6">
        <v>34.25</v>
      </c>
      <c r="K1057" s="6">
        <v>14.77</v>
      </c>
      <c r="N1057" s="19">
        <v>1053</v>
      </c>
      <c r="O1057" s="1">
        <v>44994</v>
      </c>
      <c r="P1057" s="5">
        <f t="shared" si="386"/>
        <v>-2.1836272250122774E-2</v>
      </c>
      <c r="Q1057" s="5">
        <f t="shared" si="387"/>
        <v>-1.9427584457758287E-2</v>
      </c>
      <c r="R1057" s="5">
        <f t="shared" si="388"/>
        <v>-1.0920564741540441E-2</v>
      </c>
      <c r="S1057" s="5">
        <f t="shared" si="389"/>
        <v>-7.5962093529917639E-3</v>
      </c>
      <c r="T1057" s="5">
        <f t="shared" si="390"/>
        <v>-2.3108455877797338E-2</v>
      </c>
      <c r="U1057" s="5">
        <f t="shared" si="391"/>
        <v>-2.0159070001789344E-2</v>
      </c>
      <c r="V1057" s="5">
        <f t="shared" si="392"/>
        <v>-1.5266443025977466E-2</v>
      </c>
      <c r="W1057" s="5">
        <f t="shared" si="393"/>
        <v>-6.0731161769558156E-4</v>
      </c>
      <c r="X1057" s="5">
        <f t="shared" si="394"/>
        <v>-2.0231932583887832E-2</v>
      </c>
      <c r="Y1057" s="5">
        <f t="shared" si="395"/>
        <v>-3.7865699395821698E-2</v>
      </c>
      <c r="Z1057" s="33">
        <v>1053</v>
      </c>
      <c r="AE1057" s="20" t="str">
        <f t="shared" si="396"/>
        <v/>
      </c>
      <c r="AF1057" s="22" t="str">
        <f t="shared" si="397"/>
        <v/>
      </c>
      <c r="AG1057" s="9" t="str">
        <f t="shared" ca="1" si="376"/>
        <v/>
      </c>
      <c r="AH1057" s="9" t="str">
        <f t="shared" ca="1" si="377"/>
        <v/>
      </c>
      <c r="AI1057" s="9" t="str">
        <f t="shared" ca="1" si="378"/>
        <v/>
      </c>
      <c r="AJ1057" s="9" t="str">
        <f t="shared" ca="1" si="379"/>
        <v/>
      </c>
      <c r="AK1057" s="9" t="str">
        <f t="shared" ca="1" si="380"/>
        <v/>
      </c>
      <c r="AL1057" s="9" t="str">
        <f t="shared" ca="1" si="381"/>
        <v/>
      </c>
      <c r="AM1057" s="9" t="str">
        <f t="shared" ca="1" si="382"/>
        <v/>
      </c>
      <c r="AN1057" s="9" t="str">
        <f t="shared" ca="1" si="383"/>
        <v/>
      </c>
      <c r="AO1057" s="9" t="str">
        <f t="shared" ca="1" si="384"/>
        <v/>
      </c>
      <c r="AP1057" s="9" t="str">
        <f t="shared" ca="1" si="385"/>
        <v/>
      </c>
      <c r="AQ1057" s="9"/>
      <c r="AR1057" s="9"/>
      <c r="AS1057" s="9"/>
      <c r="AT1057" s="9"/>
      <c r="AU1057" s="9"/>
    </row>
    <row r="1058" spans="1:47" x14ac:dyDescent="0.3">
      <c r="A1058" s="1">
        <v>44995</v>
      </c>
      <c r="B1058" s="6">
        <v>329.29998799999998</v>
      </c>
      <c r="C1058" s="6">
        <v>355.23001099999999</v>
      </c>
      <c r="D1058" s="6">
        <v>50.084999000000003</v>
      </c>
      <c r="E1058" s="6">
        <v>172.029999</v>
      </c>
      <c r="F1058" s="6">
        <v>106.910004</v>
      </c>
      <c r="G1058" s="6">
        <v>39.919998</v>
      </c>
      <c r="H1058" s="6">
        <v>145.800003</v>
      </c>
      <c r="I1058" s="6">
        <v>240.16000399999999</v>
      </c>
      <c r="J1058" s="6">
        <v>33.770000000000003</v>
      </c>
      <c r="K1058" s="6">
        <v>14.35</v>
      </c>
      <c r="N1058" s="18">
        <v>1054</v>
      </c>
      <c r="O1058" s="1">
        <v>44995</v>
      </c>
      <c r="P1058" s="5">
        <f t="shared" si="386"/>
        <v>-2.7170803601828806E-2</v>
      </c>
      <c r="Q1058" s="5">
        <f t="shared" si="387"/>
        <v>-1.8657730870467421E-2</v>
      </c>
      <c r="R1058" s="5">
        <f t="shared" si="388"/>
        <v>-1.8104090626656015E-2</v>
      </c>
      <c r="S1058" s="5">
        <f t="shared" si="389"/>
        <v>1.3378473836881876E-3</v>
      </c>
      <c r="T1058" s="5">
        <f t="shared" si="390"/>
        <v>-3.5649130118611275E-2</v>
      </c>
      <c r="U1058" s="5">
        <f t="shared" si="391"/>
        <v>-3.2773711437628458E-2</v>
      </c>
      <c r="V1058" s="5">
        <f t="shared" si="392"/>
        <v>-2.9465578765816177E-2</v>
      </c>
      <c r="W1058" s="5">
        <f t="shared" si="393"/>
        <v>-2.7799482763832473E-2</v>
      </c>
      <c r="X1058" s="5">
        <f t="shared" si="394"/>
        <v>-1.4113730310757841E-2</v>
      </c>
      <c r="Y1058" s="5">
        <f t="shared" si="395"/>
        <v>-2.8848154337658277E-2</v>
      </c>
      <c r="Z1058" s="33">
        <v>1054</v>
      </c>
      <c r="AE1058" s="20" t="str">
        <f t="shared" si="396"/>
        <v/>
      </c>
      <c r="AF1058" s="22" t="str">
        <f t="shared" si="397"/>
        <v/>
      </c>
      <c r="AG1058" s="9" t="str">
        <f t="shared" ca="1" si="376"/>
        <v/>
      </c>
      <c r="AH1058" s="9" t="str">
        <f t="shared" ca="1" si="377"/>
        <v/>
      </c>
      <c r="AI1058" s="9" t="str">
        <f t="shared" ca="1" si="378"/>
        <v/>
      </c>
      <c r="AJ1058" s="9" t="str">
        <f t="shared" ca="1" si="379"/>
        <v/>
      </c>
      <c r="AK1058" s="9" t="str">
        <f t="shared" ca="1" si="380"/>
        <v/>
      </c>
      <c r="AL1058" s="9" t="str">
        <f t="shared" ca="1" si="381"/>
        <v/>
      </c>
      <c r="AM1058" s="9" t="str">
        <f t="shared" ca="1" si="382"/>
        <v/>
      </c>
      <c r="AN1058" s="9" t="str">
        <f t="shared" ca="1" si="383"/>
        <v/>
      </c>
      <c r="AO1058" s="9" t="str">
        <f t="shared" ca="1" si="384"/>
        <v/>
      </c>
      <c r="AP1058" s="9" t="str">
        <f t="shared" ca="1" si="385"/>
        <v/>
      </c>
      <c r="AQ1058" s="9"/>
      <c r="AR1058" s="9"/>
      <c r="AS1058" s="9"/>
      <c r="AT1058" s="9"/>
      <c r="AU1058" s="9"/>
    </row>
    <row r="1059" spans="1:47" x14ac:dyDescent="0.3">
      <c r="A1059" s="1">
        <v>44998</v>
      </c>
      <c r="B1059" s="6">
        <v>324.26998900000001</v>
      </c>
      <c r="C1059" s="6">
        <v>357.290009</v>
      </c>
      <c r="D1059" s="6">
        <v>50.16</v>
      </c>
      <c r="E1059" s="6">
        <v>173.71000699999999</v>
      </c>
      <c r="F1059" s="6">
        <v>108.55999799999999</v>
      </c>
      <c r="G1059" s="6">
        <v>40.259998000000003</v>
      </c>
      <c r="H1059" s="6">
        <v>143.449997</v>
      </c>
      <c r="I1059" s="6">
        <v>237.55999800000001</v>
      </c>
      <c r="J1059" s="6">
        <v>33.209999000000003</v>
      </c>
      <c r="K1059" s="6">
        <v>14.02</v>
      </c>
      <c r="N1059" s="19">
        <v>1055</v>
      </c>
      <c r="O1059" s="1">
        <v>44998</v>
      </c>
      <c r="P1059" s="5">
        <f t="shared" si="386"/>
        <v>-1.5392684767510495E-2</v>
      </c>
      <c r="Q1059" s="5">
        <f t="shared" si="387"/>
        <v>5.7823041650770443E-3</v>
      </c>
      <c r="R1059" s="5">
        <f t="shared" si="388"/>
        <v>1.4963542269953998E-3</v>
      </c>
      <c r="S1059" s="5">
        <f t="shared" si="389"/>
        <v>9.7184080148697803E-3</v>
      </c>
      <c r="T1059" s="5">
        <f t="shared" si="390"/>
        <v>1.5315600663565869E-2</v>
      </c>
      <c r="U1059" s="5">
        <f t="shared" si="391"/>
        <v>8.4809691914838909E-3</v>
      </c>
      <c r="V1059" s="5">
        <f t="shared" si="392"/>
        <v>-1.6249318636525942E-2</v>
      </c>
      <c r="W1059" s="5">
        <f t="shared" si="393"/>
        <v>-1.088516981198087E-2</v>
      </c>
      <c r="X1059" s="5">
        <f t="shared" si="394"/>
        <v>-1.6721829120233771E-2</v>
      </c>
      <c r="Y1059" s="5">
        <f t="shared" si="395"/>
        <v>-2.3265060599186073E-2</v>
      </c>
      <c r="Z1059" s="33">
        <v>1055</v>
      </c>
      <c r="AE1059" s="20" t="str">
        <f t="shared" si="396"/>
        <v/>
      </c>
      <c r="AF1059" s="22" t="str">
        <f t="shared" si="397"/>
        <v/>
      </c>
      <c r="AG1059" s="9" t="str">
        <f t="shared" ca="1" si="376"/>
        <v/>
      </c>
      <c r="AH1059" s="9" t="str">
        <f t="shared" ca="1" si="377"/>
        <v/>
      </c>
      <c r="AI1059" s="9" t="str">
        <f t="shared" ca="1" si="378"/>
        <v/>
      </c>
      <c r="AJ1059" s="9" t="str">
        <f t="shared" ca="1" si="379"/>
        <v/>
      </c>
      <c r="AK1059" s="9" t="str">
        <f t="shared" ca="1" si="380"/>
        <v/>
      </c>
      <c r="AL1059" s="9" t="str">
        <f t="shared" ca="1" si="381"/>
        <v/>
      </c>
      <c r="AM1059" s="9" t="str">
        <f t="shared" ca="1" si="382"/>
        <v/>
      </c>
      <c r="AN1059" s="9" t="str">
        <f t="shared" ca="1" si="383"/>
        <v/>
      </c>
      <c r="AO1059" s="9" t="str">
        <f t="shared" ca="1" si="384"/>
        <v/>
      </c>
      <c r="AP1059" s="9" t="str">
        <f t="shared" ca="1" si="385"/>
        <v/>
      </c>
      <c r="AQ1059" s="9"/>
      <c r="AR1059" s="9"/>
      <c r="AS1059" s="9"/>
      <c r="AT1059" s="9"/>
      <c r="AU1059" s="9"/>
    </row>
    <row r="1060" spans="1:47" x14ac:dyDescent="0.3">
      <c r="A1060" s="1">
        <v>44999</v>
      </c>
      <c r="B1060" s="6">
        <v>333.32998700000002</v>
      </c>
      <c r="C1060" s="6">
        <v>369.83999599999999</v>
      </c>
      <c r="D1060" s="6">
        <v>50.82</v>
      </c>
      <c r="E1060" s="6">
        <v>173.529999</v>
      </c>
      <c r="F1060" s="6">
        <v>108.18</v>
      </c>
      <c r="G1060" s="6">
        <v>40.639999000000003</v>
      </c>
      <c r="H1060" s="6">
        <v>145.66000399999999</v>
      </c>
      <c r="I1060" s="6">
        <v>240.759995</v>
      </c>
      <c r="J1060" s="6">
        <v>34.020000000000003</v>
      </c>
      <c r="K1060" s="6">
        <v>14.05</v>
      </c>
      <c r="N1060" s="18">
        <v>1056</v>
      </c>
      <c r="O1060" s="1">
        <v>44999</v>
      </c>
      <c r="P1060" s="5">
        <f t="shared" si="386"/>
        <v>2.7556483089764168E-2</v>
      </c>
      <c r="Q1060" s="5">
        <f t="shared" si="387"/>
        <v>3.4522666722577505E-2</v>
      </c>
      <c r="R1060" s="5">
        <f t="shared" si="388"/>
        <v>1.3072081567352921E-2</v>
      </c>
      <c r="S1060" s="5">
        <f t="shared" si="389"/>
        <v>-1.03679307115787E-3</v>
      </c>
      <c r="T1060" s="5">
        <f t="shared" si="390"/>
        <v>-3.5064906603405896E-3</v>
      </c>
      <c r="U1060" s="5">
        <f t="shared" si="391"/>
        <v>9.3944081293816373E-3</v>
      </c>
      <c r="V1060" s="5">
        <f t="shared" si="392"/>
        <v>1.5288644736816272E-2</v>
      </c>
      <c r="W1060" s="5">
        <f t="shared" si="393"/>
        <v>1.338035118326676E-2</v>
      </c>
      <c r="X1060" s="5">
        <f t="shared" si="394"/>
        <v>2.4097581690473241E-2</v>
      </c>
      <c r="Y1060" s="5">
        <f t="shared" si="395"/>
        <v>2.137514173310838E-3</v>
      </c>
      <c r="Z1060" s="33">
        <v>1056</v>
      </c>
      <c r="AE1060" s="20" t="str">
        <f t="shared" si="396"/>
        <v/>
      </c>
      <c r="AF1060" s="22" t="str">
        <f t="shared" si="397"/>
        <v/>
      </c>
      <c r="AG1060" s="9" t="str">
        <f t="shared" ca="1" si="376"/>
        <v/>
      </c>
      <c r="AH1060" s="9" t="str">
        <f t="shared" ca="1" si="377"/>
        <v/>
      </c>
      <c r="AI1060" s="9" t="str">
        <f t="shared" ca="1" si="378"/>
        <v/>
      </c>
      <c r="AJ1060" s="9" t="str">
        <f t="shared" ca="1" si="379"/>
        <v/>
      </c>
      <c r="AK1060" s="9" t="str">
        <f t="shared" ca="1" si="380"/>
        <v/>
      </c>
      <c r="AL1060" s="9" t="str">
        <f t="shared" ca="1" si="381"/>
        <v/>
      </c>
      <c r="AM1060" s="9" t="str">
        <f t="shared" ca="1" si="382"/>
        <v/>
      </c>
      <c r="AN1060" s="9" t="str">
        <f t="shared" ca="1" si="383"/>
        <v/>
      </c>
      <c r="AO1060" s="9" t="str">
        <f t="shared" ca="1" si="384"/>
        <v/>
      </c>
      <c r="AP1060" s="9" t="str">
        <f t="shared" ca="1" si="385"/>
        <v/>
      </c>
      <c r="AQ1060" s="9"/>
      <c r="AR1060" s="9"/>
      <c r="AS1060" s="9"/>
      <c r="AT1060" s="9"/>
      <c r="AU1060" s="9"/>
    </row>
    <row r="1061" spans="1:47" x14ac:dyDescent="0.3">
      <c r="A1061" s="1">
        <v>45000</v>
      </c>
      <c r="B1061" s="6">
        <v>333.60998499999999</v>
      </c>
      <c r="C1061" s="6">
        <v>366.82000699999998</v>
      </c>
      <c r="D1061" s="6">
        <v>51.174999</v>
      </c>
      <c r="E1061" s="6">
        <v>176.63000500000001</v>
      </c>
      <c r="F1061" s="6">
        <v>107.16999800000001</v>
      </c>
      <c r="G1061" s="6">
        <v>40.560001</v>
      </c>
      <c r="H1061" s="6">
        <v>140.33000200000001</v>
      </c>
      <c r="I1061" s="6">
        <v>236.36000100000001</v>
      </c>
      <c r="J1061" s="6">
        <v>33.220001000000003</v>
      </c>
      <c r="K1061" s="6">
        <v>13.57</v>
      </c>
      <c r="N1061" s="19">
        <v>1057</v>
      </c>
      <c r="O1061" s="1">
        <v>45000</v>
      </c>
      <c r="P1061" s="5">
        <f t="shared" si="386"/>
        <v>8.3964982818615934E-4</v>
      </c>
      <c r="Q1061" s="5">
        <f t="shared" si="387"/>
        <v>-8.1991852586669328E-3</v>
      </c>
      <c r="R1061" s="5">
        <f t="shared" si="388"/>
        <v>6.9611341145434978E-3</v>
      </c>
      <c r="S1061" s="5">
        <f t="shared" si="389"/>
        <v>1.7706688135393608E-2</v>
      </c>
      <c r="T1061" s="5">
        <f t="shared" si="390"/>
        <v>-9.3801663803144142E-3</v>
      </c>
      <c r="U1061" s="5">
        <f t="shared" si="391"/>
        <v>-1.9703947261672408E-3</v>
      </c>
      <c r="V1061" s="5">
        <f t="shared" si="392"/>
        <v>-3.7278360235815343E-2</v>
      </c>
      <c r="W1061" s="5">
        <f t="shared" si="393"/>
        <v>-1.8444495203692238E-2</v>
      </c>
      <c r="X1061" s="5">
        <f t="shared" si="394"/>
        <v>-2.379645268021938E-2</v>
      </c>
      <c r="Y1061" s="5">
        <f t="shared" si="395"/>
        <v>-3.4760921932977022E-2</v>
      </c>
      <c r="Z1061" s="33">
        <v>1057</v>
      </c>
      <c r="AE1061" s="20" t="str">
        <f t="shared" si="396"/>
        <v/>
      </c>
      <c r="AF1061" s="22" t="str">
        <f t="shared" si="397"/>
        <v/>
      </c>
      <c r="AG1061" s="9" t="str">
        <f t="shared" ca="1" si="376"/>
        <v/>
      </c>
      <c r="AH1061" s="9" t="str">
        <f t="shared" ca="1" si="377"/>
        <v/>
      </c>
      <c r="AI1061" s="9" t="str">
        <f t="shared" ca="1" si="378"/>
        <v/>
      </c>
      <c r="AJ1061" s="9" t="str">
        <f t="shared" ca="1" si="379"/>
        <v/>
      </c>
      <c r="AK1061" s="9" t="str">
        <f t="shared" ca="1" si="380"/>
        <v/>
      </c>
      <c r="AL1061" s="9" t="str">
        <f t="shared" ca="1" si="381"/>
        <v/>
      </c>
      <c r="AM1061" s="9" t="str">
        <f t="shared" ca="1" si="382"/>
        <v/>
      </c>
      <c r="AN1061" s="9" t="str">
        <f t="shared" ca="1" si="383"/>
        <v/>
      </c>
      <c r="AO1061" s="9" t="str">
        <f t="shared" ca="1" si="384"/>
        <v/>
      </c>
      <c r="AP1061" s="9" t="str">
        <f t="shared" ca="1" si="385"/>
        <v/>
      </c>
      <c r="AQ1061" s="9"/>
      <c r="AR1061" s="9"/>
      <c r="AS1061" s="9"/>
      <c r="AT1061" s="9"/>
      <c r="AU1061" s="9"/>
    </row>
    <row r="1062" spans="1:47" x14ac:dyDescent="0.3">
      <c r="A1062" s="1">
        <v>45001</v>
      </c>
      <c r="B1062" s="6">
        <v>353.290009</v>
      </c>
      <c r="C1062" s="6">
        <v>374</v>
      </c>
      <c r="D1062" s="6">
        <v>51.700001</v>
      </c>
      <c r="E1062" s="6">
        <v>176.509995</v>
      </c>
      <c r="F1062" s="6">
        <v>105.139999</v>
      </c>
      <c r="G1062" s="6">
        <v>39.950001</v>
      </c>
      <c r="H1062" s="6">
        <v>140.759995</v>
      </c>
      <c r="I1062" s="6">
        <v>237.25</v>
      </c>
      <c r="J1062" s="6">
        <v>34.049999</v>
      </c>
      <c r="K1062" s="6">
        <v>14.16</v>
      </c>
      <c r="N1062" s="18">
        <v>1058</v>
      </c>
      <c r="O1062" s="1">
        <v>45001</v>
      </c>
      <c r="P1062" s="5">
        <f t="shared" si="386"/>
        <v>5.7316673790483878E-2</v>
      </c>
      <c r="Q1062" s="5">
        <f t="shared" si="387"/>
        <v>1.938451380871661E-2</v>
      </c>
      <c r="R1062" s="5">
        <f t="shared" si="388"/>
        <v>1.0206688850181302E-2</v>
      </c>
      <c r="S1062" s="5">
        <f t="shared" si="389"/>
        <v>-6.7967380993345255E-4</v>
      </c>
      <c r="T1062" s="5">
        <f t="shared" si="390"/>
        <v>-1.9123554182792653E-2</v>
      </c>
      <c r="U1062" s="5">
        <f t="shared" si="391"/>
        <v>-1.5153686694187337E-2</v>
      </c>
      <c r="V1062" s="5">
        <f t="shared" si="392"/>
        <v>3.059470916764586E-3</v>
      </c>
      <c r="W1062" s="5">
        <f t="shared" si="393"/>
        <v>3.7583667817290486E-3</v>
      </c>
      <c r="X1062" s="5">
        <f t="shared" si="394"/>
        <v>2.4677868939448799E-2</v>
      </c>
      <c r="Y1062" s="5">
        <f t="shared" si="395"/>
        <v>4.2559614418795903E-2</v>
      </c>
      <c r="Z1062" s="33">
        <v>1058</v>
      </c>
      <c r="AE1062" s="20" t="str">
        <f t="shared" si="396"/>
        <v/>
      </c>
      <c r="AF1062" s="22" t="str">
        <f t="shared" si="397"/>
        <v/>
      </c>
      <c r="AG1062" s="9" t="str">
        <f t="shared" ca="1" si="376"/>
        <v/>
      </c>
      <c r="AH1062" s="9" t="str">
        <f t="shared" ca="1" si="377"/>
        <v/>
      </c>
      <c r="AI1062" s="9" t="str">
        <f t="shared" ca="1" si="378"/>
        <v/>
      </c>
      <c r="AJ1062" s="9" t="str">
        <f t="shared" ca="1" si="379"/>
        <v/>
      </c>
      <c r="AK1062" s="9" t="str">
        <f t="shared" ca="1" si="380"/>
        <v/>
      </c>
      <c r="AL1062" s="9" t="str">
        <f t="shared" ca="1" si="381"/>
        <v/>
      </c>
      <c r="AM1062" s="9" t="str">
        <f t="shared" ca="1" si="382"/>
        <v/>
      </c>
      <c r="AN1062" s="9" t="str">
        <f t="shared" ca="1" si="383"/>
        <v/>
      </c>
      <c r="AO1062" s="9" t="str">
        <f t="shared" ca="1" si="384"/>
        <v/>
      </c>
      <c r="AP1062" s="9" t="str">
        <f t="shared" ca="1" si="385"/>
        <v/>
      </c>
      <c r="AQ1062" s="9"/>
      <c r="AR1062" s="9"/>
      <c r="AS1062" s="9"/>
      <c r="AT1062" s="9"/>
      <c r="AU1062" s="9"/>
    </row>
    <row r="1063" spans="1:47" x14ac:dyDescent="0.3">
      <c r="A1063" s="1">
        <v>45002</v>
      </c>
      <c r="B1063" s="6">
        <v>358.14001500000001</v>
      </c>
      <c r="C1063" s="6">
        <v>372.52999899999998</v>
      </c>
      <c r="D1063" s="6">
        <v>51.494999</v>
      </c>
      <c r="E1063" s="6">
        <v>175.13000500000001</v>
      </c>
      <c r="F1063" s="6">
        <v>101.720001</v>
      </c>
      <c r="G1063" s="6">
        <v>38.909999999999997</v>
      </c>
      <c r="H1063" s="6">
        <v>136.570007</v>
      </c>
      <c r="I1063" s="6">
        <v>231.740005</v>
      </c>
      <c r="J1063" s="6">
        <v>33.729999999999997</v>
      </c>
      <c r="K1063" s="6">
        <v>14.34</v>
      </c>
      <c r="N1063" s="19">
        <v>1059</v>
      </c>
      <c r="O1063" s="1">
        <v>45002</v>
      </c>
      <c r="P1063" s="5">
        <f t="shared" si="386"/>
        <v>1.3634738409368694E-2</v>
      </c>
      <c r="Q1063" s="5">
        <f t="shared" si="387"/>
        <v>-3.9382286094367018E-3</v>
      </c>
      <c r="R1063" s="5">
        <f t="shared" si="388"/>
        <v>-3.973104698339289E-3</v>
      </c>
      <c r="S1063" s="5">
        <f t="shared" si="389"/>
        <v>-7.8489198303877353E-3</v>
      </c>
      <c r="T1063" s="5">
        <f t="shared" si="390"/>
        <v>-3.3068835495346796E-2</v>
      </c>
      <c r="U1063" s="5">
        <f t="shared" si="391"/>
        <v>-2.6377410247110343E-2</v>
      </c>
      <c r="V1063" s="5">
        <f t="shared" si="392"/>
        <v>-3.0218921985830659E-2</v>
      </c>
      <c r="W1063" s="5">
        <f t="shared" si="393"/>
        <v>-2.349836234521719E-2</v>
      </c>
      <c r="X1063" s="5">
        <f t="shared" si="394"/>
        <v>-9.4423541533865413E-3</v>
      </c>
      <c r="Y1063" s="5">
        <f t="shared" si="395"/>
        <v>1.2631746905900564E-2</v>
      </c>
      <c r="Z1063" s="33">
        <v>1059</v>
      </c>
      <c r="AE1063" s="20" t="str">
        <f t="shared" si="396"/>
        <v/>
      </c>
      <c r="AF1063" s="22" t="str">
        <f t="shared" si="397"/>
        <v/>
      </c>
      <c r="AG1063" s="9" t="str">
        <f t="shared" ca="1" si="376"/>
        <v/>
      </c>
      <c r="AH1063" s="9" t="str">
        <f t="shared" ca="1" si="377"/>
        <v/>
      </c>
      <c r="AI1063" s="9" t="str">
        <f t="shared" ca="1" si="378"/>
        <v/>
      </c>
      <c r="AJ1063" s="9" t="str">
        <f t="shared" ca="1" si="379"/>
        <v/>
      </c>
      <c r="AK1063" s="9" t="str">
        <f t="shared" ca="1" si="380"/>
        <v/>
      </c>
      <c r="AL1063" s="9" t="str">
        <f t="shared" ca="1" si="381"/>
        <v/>
      </c>
      <c r="AM1063" s="9" t="str">
        <f t="shared" ca="1" si="382"/>
        <v/>
      </c>
      <c r="AN1063" s="9" t="str">
        <f t="shared" ca="1" si="383"/>
        <v/>
      </c>
      <c r="AO1063" s="9" t="str">
        <f t="shared" ca="1" si="384"/>
        <v/>
      </c>
      <c r="AP1063" s="9" t="str">
        <f t="shared" ca="1" si="385"/>
        <v/>
      </c>
      <c r="AQ1063" s="9"/>
      <c r="AR1063" s="9"/>
      <c r="AS1063" s="9"/>
      <c r="AT1063" s="9"/>
      <c r="AU1063" s="9"/>
    </row>
    <row r="1064" spans="1:47" x14ac:dyDescent="0.3">
      <c r="A1064" s="1">
        <v>45005</v>
      </c>
      <c r="B1064" s="6">
        <v>362.88000499999998</v>
      </c>
      <c r="C1064" s="6">
        <v>375.58999599999999</v>
      </c>
      <c r="D1064" s="6">
        <v>52.275002000000001</v>
      </c>
      <c r="E1064" s="6">
        <v>177.58999600000001</v>
      </c>
      <c r="F1064" s="6">
        <v>103.339996</v>
      </c>
      <c r="G1064" s="6">
        <v>39.400002000000001</v>
      </c>
      <c r="H1064" s="6">
        <v>140.13999899999999</v>
      </c>
      <c r="I1064" s="6">
        <v>237.08000200000001</v>
      </c>
      <c r="J1064" s="6">
        <v>34.709999000000003</v>
      </c>
      <c r="K1064" s="6">
        <v>14.24</v>
      </c>
      <c r="N1064" s="18">
        <v>1060</v>
      </c>
      <c r="O1064" s="1">
        <v>45005</v>
      </c>
      <c r="P1064" s="5">
        <f t="shared" si="386"/>
        <v>1.3148201586316865E-2</v>
      </c>
      <c r="Q1064" s="5">
        <f t="shared" si="387"/>
        <v>8.1805434565173536E-3</v>
      </c>
      <c r="R1064" s="5">
        <f t="shared" si="388"/>
        <v>1.5033587415498803E-2</v>
      </c>
      <c r="S1064" s="5">
        <f t="shared" si="389"/>
        <v>1.3948916307920327E-2</v>
      </c>
      <c r="T1064" s="5">
        <f t="shared" si="390"/>
        <v>1.5800533767030424E-2</v>
      </c>
      <c r="U1064" s="5">
        <f t="shared" si="391"/>
        <v>1.2514580068845958E-2</v>
      </c>
      <c r="V1064" s="5">
        <f t="shared" si="392"/>
        <v>2.5804560860568166E-2</v>
      </c>
      <c r="W1064" s="5">
        <f t="shared" si="393"/>
        <v>2.278157021078828E-2</v>
      </c>
      <c r="X1064" s="5">
        <f t="shared" si="394"/>
        <v>2.8640151989994703E-2</v>
      </c>
      <c r="Y1064" s="5">
        <f t="shared" si="395"/>
        <v>-6.9979291876445544E-3</v>
      </c>
      <c r="Z1064" s="33">
        <v>1060</v>
      </c>
      <c r="AE1064" s="20" t="str">
        <f t="shared" si="396"/>
        <v/>
      </c>
      <c r="AF1064" s="22" t="str">
        <f t="shared" si="397"/>
        <v/>
      </c>
      <c r="AG1064" s="9" t="str">
        <f t="shared" ca="1" si="376"/>
        <v/>
      </c>
      <c r="AH1064" s="9" t="str">
        <f t="shared" ca="1" si="377"/>
        <v/>
      </c>
      <c r="AI1064" s="9" t="str">
        <f t="shared" ca="1" si="378"/>
        <v/>
      </c>
      <c r="AJ1064" s="9" t="str">
        <f t="shared" ca="1" si="379"/>
        <v/>
      </c>
      <c r="AK1064" s="9" t="str">
        <f t="shared" ca="1" si="380"/>
        <v/>
      </c>
      <c r="AL1064" s="9" t="str">
        <f t="shared" ca="1" si="381"/>
        <v/>
      </c>
      <c r="AM1064" s="9" t="str">
        <f t="shared" ca="1" si="382"/>
        <v/>
      </c>
      <c r="AN1064" s="9" t="str">
        <f t="shared" ca="1" si="383"/>
        <v/>
      </c>
      <c r="AO1064" s="9" t="str">
        <f t="shared" ca="1" si="384"/>
        <v/>
      </c>
      <c r="AP1064" s="9" t="str">
        <f t="shared" ca="1" si="385"/>
        <v/>
      </c>
      <c r="AQ1064" s="9"/>
      <c r="AR1064" s="9"/>
      <c r="AS1064" s="9"/>
      <c r="AT1064" s="9"/>
      <c r="AU1064" s="9"/>
    </row>
    <row r="1065" spans="1:47" x14ac:dyDescent="0.3">
      <c r="A1065" s="1">
        <v>45006</v>
      </c>
      <c r="B1065" s="6">
        <v>374.22000100000002</v>
      </c>
      <c r="C1065" s="6">
        <v>374.35998499999999</v>
      </c>
      <c r="D1065" s="6">
        <v>51.895000000000003</v>
      </c>
      <c r="E1065" s="6">
        <v>178.009995</v>
      </c>
      <c r="F1065" s="6">
        <v>102.19000200000001</v>
      </c>
      <c r="G1065" s="6">
        <v>39.229999999999997</v>
      </c>
      <c r="H1065" s="6">
        <v>142.21000699999999</v>
      </c>
      <c r="I1065" s="6">
        <v>239.08000200000001</v>
      </c>
      <c r="J1065" s="6">
        <v>35.389999000000003</v>
      </c>
      <c r="K1065" s="6">
        <v>15.09</v>
      </c>
      <c r="N1065" s="19">
        <v>1061</v>
      </c>
      <c r="O1065" s="1">
        <v>45006</v>
      </c>
      <c r="P1065" s="5">
        <f t="shared" si="386"/>
        <v>3.077164756031912E-2</v>
      </c>
      <c r="Q1065" s="5">
        <f t="shared" si="387"/>
        <v>-3.2802510409409582E-3</v>
      </c>
      <c r="R1065" s="5">
        <f t="shared" si="388"/>
        <v>-7.2958371566502573E-3</v>
      </c>
      <c r="S1065" s="5">
        <f t="shared" si="389"/>
        <v>2.3622002583187588E-3</v>
      </c>
      <c r="T1065" s="5">
        <f t="shared" si="390"/>
        <v>-1.1190638956353371E-2</v>
      </c>
      <c r="U1065" s="5">
        <f t="shared" si="391"/>
        <v>-4.3241068438470837E-3</v>
      </c>
      <c r="V1065" s="5">
        <f t="shared" si="392"/>
        <v>1.4662971800917492E-2</v>
      </c>
      <c r="W1065" s="5">
        <f t="shared" si="393"/>
        <v>8.4005869658457244E-3</v>
      </c>
      <c r="X1065" s="5">
        <f t="shared" si="394"/>
        <v>1.940146503724861E-2</v>
      </c>
      <c r="Y1065" s="5">
        <f t="shared" si="395"/>
        <v>5.7977366795927764E-2</v>
      </c>
      <c r="Z1065" s="33">
        <v>1061</v>
      </c>
      <c r="AE1065" s="20" t="str">
        <f t="shared" si="396"/>
        <v/>
      </c>
      <c r="AF1065" s="22" t="str">
        <f t="shared" si="397"/>
        <v/>
      </c>
      <c r="AG1065" s="9" t="str">
        <f t="shared" ca="1" si="376"/>
        <v/>
      </c>
      <c r="AH1065" s="9" t="str">
        <f t="shared" ca="1" si="377"/>
        <v/>
      </c>
      <c r="AI1065" s="9" t="str">
        <f t="shared" ca="1" si="378"/>
        <v/>
      </c>
      <c r="AJ1065" s="9" t="str">
        <f t="shared" ca="1" si="379"/>
        <v/>
      </c>
      <c r="AK1065" s="9" t="str">
        <f t="shared" ca="1" si="380"/>
        <v/>
      </c>
      <c r="AL1065" s="9" t="str">
        <f t="shared" ca="1" si="381"/>
        <v/>
      </c>
      <c r="AM1065" s="9" t="str">
        <f t="shared" ca="1" si="382"/>
        <v/>
      </c>
      <c r="AN1065" s="9" t="str">
        <f t="shared" ca="1" si="383"/>
        <v/>
      </c>
      <c r="AO1065" s="9" t="str">
        <f t="shared" ca="1" si="384"/>
        <v/>
      </c>
      <c r="AP1065" s="9" t="str">
        <f t="shared" ca="1" si="385"/>
        <v/>
      </c>
      <c r="AQ1065" s="9"/>
      <c r="AR1065" s="9"/>
      <c r="AS1065" s="9"/>
      <c r="AT1065" s="9"/>
      <c r="AU1065" s="9"/>
    </row>
    <row r="1066" spans="1:47" x14ac:dyDescent="0.3">
      <c r="A1066" s="1">
        <v>45007</v>
      </c>
      <c r="B1066" s="6">
        <v>361.709991</v>
      </c>
      <c r="C1066" s="6">
        <v>371.35000600000001</v>
      </c>
      <c r="D1066" s="6">
        <v>51.174999</v>
      </c>
      <c r="E1066" s="6">
        <v>176.509995</v>
      </c>
      <c r="F1066" s="6">
        <v>99.610000999999997</v>
      </c>
      <c r="G1066" s="6">
        <v>38.18</v>
      </c>
      <c r="H1066" s="6">
        <v>140.53999300000001</v>
      </c>
      <c r="I1066" s="6">
        <v>233.66000399999999</v>
      </c>
      <c r="J1066" s="6">
        <v>34.479999999999997</v>
      </c>
      <c r="K1066" s="6">
        <v>14.51</v>
      </c>
      <c r="N1066" s="18">
        <v>1062</v>
      </c>
      <c r="O1066" s="1">
        <v>45007</v>
      </c>
      <c r="P1066" s="5">
        <f t="shared" si="386"/>
        <v>-3.4001101522793772E-2</v>
      </c>
      <c r="Q1066" s="5">
        <f t="shared" si="387"/>
        <v>-8.0728309481021866E-3</v>
      </c>
      <c r="R1066" s="5">
        <f t="shared" si="388"/>
        <v>-1.3971334410690791E-2</v>
      </c>
      <c r="S1066" s="5">
        <f t="shared" si="389"/>
        <v>-8.4621967358512896E-3</v>
      </c>
      <c r="T1066" s="5">
        <f t="shared" si="390"/>
        <v>-2.5571273999277319E-2</v>
      </c>
      <c r="U1066" s="5">
        <f t="shared" si="391"/>
        <v>-2.7129941923859618E-2</v>
      </c>
      <c r="V1066" s="5">
        <f t="shared" si="392"/>
        <v>-1.1812791651417173E-2</v>
      </c>
      <c r="W1066" s="5">
        <f t="shared" si="393"/>
        <v>-2.2931147913561264E-2</v>
      </c>
      <c r="X1066" s="5">
        <f t="shared" si="394"/>
        <v>-2.604982030530981E-2</v>
      </c>
      <c r="Y1066" s="5">
        <f t="shared" si="395"/>
        <v>-3.9194205883661098E-2</v>
      </c>
      <c r="Z1066" s="33">
        <v>1062</v>
      </c>
      <c r="AE1066" s="20" t="str">
        <f t="shared" si="396"/>
        <v/>
      </c>
      <c r="AF1066" s="22" t="str">
        <f t="shared" si="397"/>
        <v/>
      </c>
      <c r="AG1066" s="9" t="str">
        <f t="shared" ca="1" si="376"/>
        <v/>
      </c>
      <c r="AH1066" s="9" t="str">
        <f t="shared" ca="1" si="377"/>
        <v/>
      </c>
      <c r="AI1066" s="9" t="str">
        <f t="shared" ca="1" si="378"/>
        <v/>
      </c>
      <c r="AJ1066" s="9" t="str">
        <f t="shared" ca="1" si="379"/>
        <v/>
      </c>
      <c r="AK1066" s="9" t="str">
        <f t="shared" ca="1" si="380"/>
        <v/>
      </c>
      <c r="AL1066" s="9" t="str">
        <f t="shared" ca="1" si="381"/>
        <v/>
      </c>
      <c r="AM1066" s="9" t="str">
        <f t="shared" ca="1" si="382"/>
        <v/>
      </c>
      <c r="AN1066" s="9" t="str">
        <f t="shared" ca="1" si="383"/>
        <v/>
      </c>
      <c r="AO1066" s="9" t="str">
        <f t="shared" ca="1" si="384"/>
        <v/>
      </c>
      <c r="AP1066" s="9" t="str">
        <f t="shared" ca="1" si="385"/>
        <v/>
      </c>
      <c r="AQ1066" s="9"/>
      <c r="AR1066" s="9"/>
      <c r="AS1066" s="9"/>
      <c r="AT1066" s="9"/>
      <c r="AU1066" s="9"/>
    </row>
    <row r="1067" spans="1:47" x14ac:dyDescent="0.3">
      <c r="A1067" s="1">
        <v>45008</v>
      </c>
      <c r="B1067" s="6">
        <v>369</v>
      </c>
      <c r="C1067" s="6">
        <v>379.39999399999999</v>
      </c>
      <c r="D1067" s="6">
        <v>51.195</v>
      </c>
      <c r="E1067" s="6">
        <v>175.64999399999999</v>
      </c>
      <c r="F1067" s="6">
        <v>98.650002000000001</v>
      </c>
      <c r="G1067" s="6">
        <v>37.840000000000003</v>
      </c>
      <c r="H1067" s="6">
        <v>140.529999</v>
      </c>
      <c r="I1067" s="6">
        <v>233.75</v>
      </c>
      <c r="J1067" s="6">
        <v>35.029998999999997</v>
      </c>
      <c r="K1067" s="6">
        <v>14.53</v>
      </c>
      <c r="N1067" s="19">
        <v>1063</v>
      </c>
      <c r="O1067" s="1">
        <v>45008</v>
      </c>
      <c r="P1067" s="5">
        <f t="shared" si="386"/>
        <v>1.9953883125009755E-2</v>
      </c>
      <c r="Q1067" s="5">
        <f t="shared" si="387"/>
        <v>2.1446011413900349E-2</v>
      </c>
      <c r="R1067" s="5">
        <f t="shared" si="388"/>
        <v>3.9075902021841859E-4</v>
      </c>
      <c r="S1067" s="5">
        <f t="shared" si="389"/>
        <v>-4.8841591121834517E-3</v>
      </c>
      <c r="T1067" s="5">
        <f t="shared" si="390"/>
        <v>-9.6843184539079225E-3</v>
      </c>
      <c r="U1067" s="5">
        <f t="shared" si="391"/>
        <v>-8.9450741139239058E-3</v>
      </c>
      <c r="V1067" s="5">
        <f t="shared" si="392"/>
        <v>-7.1113959431230177E-5</v>
      </c>
      <c r="W1067" s="5">
        <f t="shared" si="393"/>
        <v>3.8508376090355445E-4</v>
      </c>
      <c r="X1067" s="5">
        <f t="shared" si="394"/>
        <v>1.5825362866942989E-2</v>
      </c>
      <c r="Y1067" s="5">
        <f t="shared" si="395"/>
        <v>1.3774106860950765E-3</v>
      </c>
      <c r="Z1067" s="33">
        <v>1063</v>
      </c>
      <c r="AE1067" s="20" t="str">
        <f t="shared" si="396"/>
        <v/>
      </c>
      <c r="AF1067" s="22" t="str">
        <f t="shared" si="397"/>
        <v/>
      </c>
      <c r="AG1067" s="9" t="str">
        <f t="shared" ca="1" si="376"/>
        <v/>
      </c>
      <c r="AH1067" s="9" t="str">
        <f t="shared" ca="1" si="377"/>
        <v/>
      </c>
      <c r="AI1067" s="9" t="str">
        <f t="shared" ca="1" si="378"/>
        <v/>
      </c>
      <c r="AJ1067" s="9" t="str">
        <f t="shared" ca="1" si="379"/>
        <v/>
      </c>
      <c r="AK1067" s="9" t="str">
        <f t="shared" ca="1" si="380"/>
        <v/>
      </c>
      <c r="AL1067" s="9" t="str">
        <f t="shared" ca="1" si="381"/>
        <v/>
      </c>
      <c r="AM1067" s="9" t="str">
        <f t="shared" ca="1" si="382"/>
        <v/>
      </c>
      <c r="AN1067" s="9" t="str">
        <f t="shared" ca="1" si="383"/>
        <v/>
      </c>
      <c r="AO1067" s="9" t="str">
        <f t="shared" ca="1" si="384"/>
        <v/>
      </c>
      <c r="AP1067" s="9" t="str">
        <f t="shared" ca="1" si="385"/>
        <v/>
      </c>
      <c r="AQ1067" s="9"/>
      <c r="AR1067" s="9"/>
      <c r="AS1067" s="9"/>
      <c r="AT1067" s="9"/>
      <c r="AU1067" s="9"/>
    </row>
    <row r="1068" spans="1:47" x14ac:dyDescent="0.3">
      <c r="A1068" s="1">
        <v>45009</v>
      </c>
      <c r="B1068" s="6">
        <v>374.959991</v>
      </c>
      <c r="C1068" s="6">
        <v>376.55999800000001</v>
      </c>
      <c r="D1068" s="6">
        <v>52.040000999999997</v>
      </c>
      <c r="E1068" s="6">
        <v>179.08999600000001</v>
      </c>
      <c r="F1068" s="6">
        <v>99.889999000000003</v>
      </c>
      <c r="G1068" s="6">
        <v>38.700001</v>
      </c>
      <c r="H1068" s="6">
        <v>141.44000199999999</v>
      </c>
      <c r="I1068" s="6">
        <v>234.38999899999999</v>
      </c>
      <c r="J1068" s="6">
        <v>35.040000999999997</v>
      </c>
      <c r="K1068" s="6">
        <v>14</v>
      </c>
      <c r="N1068" s="18">
        <v>1064</v>
      </c>
      <c r="O1068" s="1">
        <v>45009</v>
      </c>
      <c r="P1068" s="5">
        <f t="shared" si="386"/>
        <v>1.6022685571363052E-2</v>
      </c>
      <c r="Q1068" s="5">
        <f t="shared" si="387"/>
        <v>-7.5136499048215986E-3</v>
      </c>
      <c r="R1068" s="5">
        <f t="shared" si="388"/>
        <v>1.6370801833511892E-2</v>
      </c>
      <c r="S1068" s="5">
        <f t="shared" si="389"/>
        <v>1.9395105890512201E-2</v>
      </c>
      <c r="T1068" s="5">
        <f t="shared" si="390"/>
        <v>1.2491317790727081E-2</v>
      </c>
      <c r="U1068" s="5">
        <f t="shared" si="391"/>
        <v>2.247288169185142E-2</v>
      </c>
      <c r="V1068" s="5">
        <f t="shared" si="392"/>
        <v>6.4546310328693511E-3</v>
      </c>
      <c r="W1068" s="5">
        <f t="shared" si="393"/>
        <v>2.7342222415725785E-3</v>
      </c>
      <c r="X1068" s="5">
        <f t="shared" si="394"/>
        <v>2.8548594456777435E-4</v>
      </c>
      <c r="Y1068" s="5">
        <f t="shared" si="395"/>
        <v>-3.7158147966932828E-2</v>
      </c>
      <c r="Z1068" s="33">
        <v>1064</v>
      </c>
      <c r="AE1068" s="20" t="str">
        <f t="shared" si="396"/>
        <v/>
      </c>
      <c r="AF1068" s="22" t="str">
        <f t="shared" si="397"/>
        <v/>
      </c>
      <c r="AG1068" s="9" t="str">
        <f t="shared" ca="1" si="376"/>
        <v/>
      </c>
      <c r="AH1068" s="9" t="str">
        <f t="shared" ca="1" si="377"/>
        <v/>
      </c>
      <c r="AI1068" s="9" t="str">
        <f t="shared" ca="1" si="378"/>
        <v/>
      </c>
      <c r="AJ1068" s="9" t="str">
        <f t="shared" ca="1" si="379"/>
        <v/>
      </c>
      <c r="AK1068" s="9" t="str">
        <f t="shared" ca="1" si="380"/>
        <v/>
      </c>
      <c r="AL1068" s="9" t="str">
        <f t="shared" ca="1" si="381"/>
        <v/>
      </c>
      <c r="AM1068" s="9" t="str">
        <f t="shared" ca="1" si="382"/>
        <v/>
      </c>
      <c r="AN1068" s="9" t="str">
        <f t="shared" ca="1" si="383"/>
        <v/>
      </c>
      <c r="AO1068" s="9" t="str">
        <f t="shared" ca="1" si="384"/>
        <v/>
      </c>
      <c r="AP1068" s="9" t="str">
        <f t="shared" ca="1" si="385"/>
        <v/>
      </c>
      <c r="AQ1068" s="9"/>
      <c r="AR1068" s="9"/>
      <c r="AS1068" s="9"/>
      <c r="AT1068" s="9"/>
      <c r="AU1068" s="9"/>
    </row>
    <row r="1069" spans="1:47" x14ac:dyDescent="0.3">
      <c r="A1069" s="1">
        <v>45012</v>
      </c>
      <c r="B1069" s="6">
        <v>373.14999399999999</v>
      </c>
      <c r="C1069" s="6">
        <v>373.92001299999998</v>
      </c>
      <c r="D1069" s="6">
        <v>52.334999000000003</v>
      </c>
      <c r="E1069" s="6">
        <v>179.490005</v>
      </c>
      <c r="F1069" s="6">
        <v>100</v>
      </c>
      <c r="G1069" s="6">
        <v>38.5</v>
      </c>
      <c r="H1069" s="6">
        <v>142.770004</v>
      </c>
      <c r="I1069" s="6">
        <v>237.050003</v>
      </c>
      <c r="J1069" s="6">
        <v>35.509998000000003</v>
      </c>
      <c r="K1069" s="6">
        <v>14.34</v>
      </c>
      <c r="N1069" s="19">
        <v>1065</v>
      </c>
      <c r="O1069" s="1">
        <v>45012</v>
      </c>
      <c r="P1069" s="5">
        <f t="shared" si="386"/>
        <v>-4.8388621138184644E-3</v>
      </c>
      <c r="Q1069" s="5">
        <f t="shared" si="387"/>
        <v>-7.0354862243060725E-3</v>
      </c>
      <c r="R1069" s="5">
        <f t="shared" si="388"/>
        <v>5.6526713388833187E-3</v>
      </c>
      <c r="S1069" s="5">
        <f t="shared" si="389"/>
        <v>2.2310734832457478E-3</v>
      </c>
      <c r="T1069" s="5">
        <f t="shared" si="390"/>
        <v>1.1006154550450916E-3</v>
      </c>
      <c r="U1069" s="5">
        <f t="shared" si="391"/>
        <v>-5.1813845817905123E-3</v>
      </c>
      <c r="V1069" s="5">
        <f t="shared" si="392"/>
        <v>9.3593587886142086E-3</v>
      </c>
      <c r="W1069" s="5">
        <f t="shared" si="393"/>
        <v>1.1284711593316276E-2</v>
      </c>
      <c r="X1069" s="5">
        <f t="shared" si="394"/>
        <v>1.3323996025829257E-2</v>
      </c>
      <c r="Y1069" s="5">
        <f t="shared" si="395"/>
        <v>2.3995505556215643E-2</v>
      </c>
      <c r="Z1069" s="33">
        <v>1065</v>
      </c>
      <c r="AE1069" s="20" t="str">
        <f t="shared" si="396"/>
        <v/>
      </c>
      <c r="AF1069" s="22" t="str">
        <f t="shared" si="397"/>
        <v/>
      </c>
      <c r="AG1069" s="9" t="str">
        <f t="shared" ca="1" si="376"/>
        <v/>
      </c>
      <c r="AH1069" s="9" t="str">
        <f t="shared" ca="1" si="377"/>
        <v/>
      </c>
      <c r="AI1069" s="9" t="str">
        <f t="shared" ca="1" si="378"/>
        <v/>
      </c>
      <c r="AJ1069" s="9" t="str">
        <f t="shared" ca="1" si="379"/>
        <v/>
      </c>
      <c r="AK1069" s="9" t="str">
        <f t="shared" ca="1" si="380"/>
        <v/>
      </c>
      <c r="AL1069" s="9" t="str">
        <f t="shared" ca="1" si="381"/>
        <v/>
      </c>
      <c r="AM1069" s="9" t="str">
        <f t="shared" ca="1" si="382"/>
        <v/>
      </c>
      <c r="AN1069" s="9" t="str">
        <f t="shared" ca="1" si="383"/>
        <v/>
      </c>
      <c r="AO1069" s="9" t="str">
        <f t="shared" ca="1" si="384"/>
        <v/>
      </c>
      <c r="AP1069" s="9" t="str">
        <f t="shared" ca="1" si="385"/>
        <v/>
      </c>
      <c r="AQ1069" s="9"/>
      <c r="AR1069" s="9"/>
      <c r="AS1069" s="9"/>
      <c r="AT1069" s="9"/>
      <c r="AU1069" s="9"/>
    </row>
    <row r="1070" spans="1:47" x14ac:dyDescent="0.3">
      <c r="A1070" s="1">
        <v>45013</v>
      </c>
      <c r="B1070" s="6">
        <v>373.39999399999999</v>
      </c>
      <c r="C1070" s="6">
        <v>369.86999500000002</v>
      </c>
      <c r="D1070" s="6">
        <v>51.599997999999999</v>
      </c>
      <c r="E1070" s="6">
        <v>179.429993</v>
      </c>
      <c r="F1070" s="6">
        <v>100.510002</v>
      </c>
      <c r="G1070" s="6">
        <v>38.369999</v>
      </c>
      <c r="H1070" s="6">
        <v>144.33000200000001</v>
      </c>
      <c r="I1070" s="6">
        <v>239.270004</v>
      </c>
      <c r="J1070" s="6">
        <v>35.240001999999997</v>
      </c>
      <c r="K1070" s="6">
        <v>14.48</v>
      </c>
      <c r="N1070" s="18">
        <v>1066</v>
      </c>
      <c r="O1070" s="1">
        <v>45013</v>
      </c>
      <c r="P1070" s="5">
        <f t="shared" si="386"/>
        <v>6.6974754099125976E-4</v>
      </c>
      <c r="Q1070" s="5">
        <f t="shared" si="387"/>
        <v>-1.0890326527034333E-2</v>
      </c>
      <c r="R1070" s="5">
        <f t="shared" si="388"/>
        <v>-1.4143710471348939E-2</v>
      </c>
      <c r="S1070" s="5">
        <f t="shared" si="389"/>
        <v>-3.3440321460848158E-4</v>
      </c>
      <c r="T1070" s="5">
        <f t="shared" si="390"/>
        <v>5.0870589470744512E-3</v>
      </c>
      <c r="U1070" s="5">
        <f t="shared" si="391"/>
        <v>-3.3823630969054374E-3</v>
      </c>
      <c r="V1070" s="5">
        <f t="shared" si="392"/>
        <v>1.0867386418386209E-2</v>
      </c>
      <c r="W1070" s="5">
        <f t="shared" si="393"/>
        <v>9.3215361194161333E-3</v>
      </c>
      <c r="X1070" s="5">
        <f t="shared" si="394"/>
        <v>-7.6324328111661557E-3</v>
      </c>
      <c r="Y1070" s="5">
        <f t="shared" si="395"/>
        <v>9.7155517860959776E-3</v>
      </c>
      <c r="Z1070" s="33">
        <v>1066</v>
      </c>
      <c r="AE1070" s="20" t="str">
        <f t="shared" si="396"/>
        <v/>
      </c>
      <c r="AF1070" s="22" t="str">
        <f t="shared" si="397"/>
        <v/>
      </c>
      <c r="AG1070" s="9" t="str">
        <f t="shared" ca="1" si="376"/>
        <v/>
      </c>
      <c r="AH1070" s="9" t="str">
        <f t="shared" ca="1" si="377"/>
        <v/>
      </c>
      <c r="AI1070" s="9" t="str">
        <f t="shared" ca="1" si="378"/>
        <v/>
      </c>
      <c r="AJ1070" s="9" t="str">
        <f t="shared" ca="1" si="379"/>
        <v/>
      </c>
      <c r="AK1070" s="9" t="str">
        <f t="shared" ca="1" si="380"/>
        <v/>
      </c>
      <c r="AL1070" s="9" t="str">
        <f t="shared" ca="1" si="381"/>
        <v/>
      </c>
      <c r="AM1070" s="9" t="str">
        <f t="shared" ca="1" si="382"/>
        <v/>
      </c>
      <c r="AN1070" s="9" t="str">
        <f t="shared" ca="1" si="383"/>
        <v/>
      </c>
      <c r="AO1070" s="9" t="str">
        <f t="shared" ca="1" si="384"/>
        <v/>
      </c>
      <c r="AP1070" s="9" t="str">
        <f t="shared" ca="1" si="385"/>
        <v/>
      </c>
      <c r="AQ1070" s="9"/>
      <c r="AR1070" s="9"/>
      <c r="AS1070" s="9"/>
      <c r="AT1070" s="9"/>
      <c r="AU1070" s="9"/>
    </row>
    <row r="1071" spans="1:47" x14ac:dyDescent="0.3">
      <c r="A1071" s="1">
        <v>45014</v>
      </c>
      <c r="B1071" s="6">
        <v>379.16000400000001</v>
      </c>
      <c r="C1071" s="6">
        <v>375.040009</v>
      </c>
      <c r="D1071" s="6">
        <v>52.150002000000001</v>
      </c>
      <c r="E1071" s="6">
        <v>180.66999799999999</v>
      </c>
      <c r="F1071" s="6">
        <v>102.639999</v>
      </c>
      <c r="G1071" s="6">
        <v>39.389999000000003</v>
      </c>
      <c r="H1071" s="6">
        <v>146.96000699999999</v>
      </c>
      <c r="I1071" s="6">
        <v>241.550003</v>
      </c>
      <c r="J1071" s="6">
        <v>35.32</v>
      </c>
      <c r="K1071" s="6">
        <v>14.66</v>
      </c>
      <c r="N1071" s="19">
        <v>1067</v>
      </c>
      <c r="O1071" s="1">
        <v>45014</v>
      </c>
      <c r="P1071" s="5">
        <f t="shared" si="386"/>
        <v>1.5308075095413909E-2</v>
      </c>
      <c r="Q1071" s="5">
        <f t="shared" si="387"/>
        <v>1.3881131915725235E-2</v>
      </c>
      <c r="R1071" s="5">
        <f t="shared" si="388"/>
        <v>1.0602586069865203E-2</v>
      </c>
      <c r="S1071" s="5">
        <f t="shared" si="389"/>
        <v>6.8870310037828517E-3</v>
      </c>
      <c r="T1071" s="5">
        <f t="shared" si="390"/>
        <v>2.0970465629424784E-2</v>
      </c>
      <c r="U1071" s="5">
        <f t="shared" si="391"/>
        <v>2.6236073398827192E-2</v>
      </c>
      <c r="V1071" s="5">
        <f t="shared" si="392"/>
        <v>1.8058130302272744E-2</v>
      </c>
      <c r="W1071" s="5">
        <f t="shared" si="393"/>
        <v>9.4838652971029891E-3</v>
      </c>
      <c r="X1071" s="5">
        <f t="shared" si="394"/>
        <v>2.2675179140932786E-3</v>
      </c>
      <c r="Y1071" s="5">
        <f t="shared" si="395"/>
        <v>1.2354309500935178E-2</v>
      </c>
      <c r="Z1071" s="33">
        <v>1067</v>
      </c>
      <c r="AE1071" s="20" t="str">
        <f t="shared" si="396"/>
        <v/>
      </c>
      <c r="AF1071" s="22" t="str">
        <f t="shared" si="397"/>
        <v/>
      </c>
      <c r="AG1071" s="9" t="str">
        <f t="shared" ca="1" si="376"/>
        <v/>
      </c>
      <c r="AH1071" s="9" t="str">
        <f t="shared" ca="1" si="377"/>
        <v/>
      </c>
      <c r="AI1071" s="9" t="str">
        <f t="shared" ca="1" si="378"/>
        <v/>
      </c>
      <c r="AJ1071" s="9" t="str">
        <f t="shared" ca="1" si="379"/>
        <v/>
      </c>
      <c r="AK1071" s="9" t="str">
        <f t="shared" ca="1" si="380"/>
        <v/>
      </c>
      <c r="AL1071" s="9" t="str">
        <f t="shared" ca="1" si="381"/>
        <v/>
      </c>
      <c r="AM1071" s="9" t="str">
        <f t="shared" ca="1" si="382"/>
        <v/>
      </c>
      <c r="AN1071" s="9" t="str">
        <f t="shared" ca="1" si="383"/>
        <v/>
      </c>
      <c r="AO1071" s="9" t="str">
        <f t="shared" ca="1" si="384"/>
        <v/>
      </c>
      <c r="AP1071" s="9" t="str">
        <f t="shared" ca="1" si="385"/>
        <v/>
      </c>
      <c r="AQ1071" s="9"/>
      <c r="AR1071" s="9"/>
      <c r="AS1071" s="9"/>
      <c r="AT1071" s="9"/>
      <c r="AU1071" s="9"/>
    </row>
    <row r="1072" spans="1:47" x14ac:dyDescent="0.3">
      <c r="A1072" s="1">
        <v>45015</v>
      </c>
      <c r="B1072" s="6">
        <v>381.89999399999999</v>
      </c>
      <c r="C1072" s="6">
        <v>375.94000199999999</v>
      </c>
      <c r="D1072" s="6">
        <v>52.490001999999997</v>
      </c>
      <c r="E1072" s="6">
        <v>180.83000200000001</v>
      </c>
      <c r="F1072" s="6">
        <v>103.209999</v>
      </c>
      <c r="G1072" s="6">
        <v>39.880001</v>
      </c>
      <c r="H1072" s="6">
        <v>148.14999399999999</v>
      </c>
      <c r="I1072" s="6">
        <v>241.91000399999999</v>
      </c>
      <c r="J1072" s="6">
        <v>36.459999000000003</v>
      </c>
      <c r="K1072" s="6">
        <v>14.85</v>
      </c>
      <c r="N1072" s="18">
        <v>1068</v>
      </c>
      <c r="O1072" s="1">
        <v>45015</v>
      </c>
      <c r="P1072" s="5">
        <f t="shared" si="386"/>
        <v>7.2004883860744724E-3</v>
      </c>
      <c r="Q1072" s="5">
        <f t="shared" si="387"/>
        <v>2.3968505624141268E-3</v>
      </c>
      <c r="R1072" s="5">
        <f t="shared" si="388"/>
        <v>6.4984935690116635E-3</v>
      </c>
      <c r="S1072" s="5">
        <f t="shared" si="389"/>
        <v>8.8522274107065294E-4</v>
      </c>
      <c r="T1072" s="5">
        <f t="shared" si="390"/>
        <v>5.5380273242676458E-3</v>
      </c>
      <c r="U1072" s="5">
        <f t="shared" si="391"/>
        <v>1.2363018573202747E-2</v>
      </c>
      <c r="V1072" s="5">
        <f t="shared" si="392"/>
        <v>8.0647449812018043E-3</v>
      </c>
      <c r="W1072" s="5">
        <f t="shared" si="393"/>
        <v>1.4892692728473459E-3</v>
      </c>
      <c r="X1072" s="5">
        <f t="shared" si="394"/>
        <v>3.1766366087439747E-2</v>
      </c>
      <c r="Y1072" s="5">
        <f t="shared" si="395"/>
        <v>1.2877168790203206E-2</v>
      </c>
      <c r="Z1072" s="33">
        <v>1068</v>
      </c>
      <c r="AE1072" s="20" t="str">
        <f t="shared" si="396"/>
        <v/>
      </c>
      <c r="AF1072" s="22" t="str">
        <f t="shared" si="397"/>
        <v/>
      </c>
      <c r="AG1072" s="9" t="str">
        <f t="shared" ca="1" si="376"/>
        <v/>
      </c>
      <c r="AH1072" s="9" t="str">
        <f t="shared" ca="1" si="377"/>
        <v/>
      </c>
      <c r="AI1072" s="9" t="str">
        <f t="shared" ca="1" si="378"/>
        <v/>
      </c>
      <c r="AJ1072" s="9" t="str">
        <f t="shared" ca="1" si="379"/>
        <v/>
      </c>
      <c r="AK1072" s="9" t="str">
        <f t="shared" ca="1" si="380"/>
        <v/>
      </c>
      <c r="AL1072" s="9" t="str">
        <f t="shared" ca="1" si="381"/>
        <v/>
      </c>
      <c r="AM1072" s="9" t="str">
        <f t="shared" ca="1" si="382"/>
        <v/>
      </c>
      <c r="AN1072" s="9" t="str">
        <f t="shared" ca="1" si="383"/>
        <v/>
      </c>
      <c r="AO1072" s="9" t="str">
        <f t="shared" ca="1" si="384"/>
        <v/>
      </c>
      <c r="AP1072" s="9" t="str">
        <f t="shared" ca="1" si="385"/>
        <v/>
      </c>
      <c r="AQ1072" s="9"/>
      <c r="AR1072" s="9"/>
      <c r="AS1072" s="9"/>
      <c r="AT1072" s="9"/>
      <c r="AU1072" s="9"/>
    </row>
    <row r="1073" spans="1:47" x14ac:dyDescent="0.3">
      <c r="A1073" s="1">
        <v>45016</v>
      </c>
      <c r="B1073" s="6">
        <v>385.36999500000002</v>
      </c>
      <c r="C1073" s="6">
        <v>386.25</v>
      </c>
      <c r="D1073" s="6">
        <v>54.009998000000003</v>
      </c>
      <c r="E1073" s="6">
        <v>182.300003</v>
      </c>
      <c r="F1073" s="6">
        <v>104.839996</v>
      </c>
      <c r="G1073" s="6">
        <v>41.060001</v>
      </c>
      <c r="H1073" s="6">
        <v>151.94000199999999</v>
      </c>
      <c r="I1073" s="6">
        <v>246.88999899999999</v>
      </c>
      <c r="J1073" s="6">
        <v>37.240001999999997</v>
      </c>
      <c r="K1073" s="6">
        <v>15.1</v>
      </c>
      <c r="N1073" s="19">
        <v>1069</v>
      </c>
      <c r="O1073" s="1">
        <v>45016</v>
      </c>
      <c r="P1073" s="5">
        <f t="shared" si="386"/>
        <v>9.0451202514429743E-3</v>
      </c>
      <c r="Q1073" s="5">
        <f t="shared" si="387"/>
        <v>2.7055266703508135E-2</v>
      </c>
      <c r="R1073" s="5">
        <f t="shared" si="388"/>
        <v>2.8546464207916279E-2</v>
      </c>
      <c r="S1073" s="5">
        <f t="shared" si="389"/>
        <v>8.0963236840079222E-3</v>
      </c>
      <c r="T1073" s="5">
        <f t="shared" si="390"/>
        <v>1.56696024129701E-2</v>
      </c>
      <c r="U1073" s="5">
        <f t="shared" si="391"/>
        <v>2.9159465776527355E-2</v>
      </c>
      <c r="V1073" s="5">
        <f t="shared" si="392"/>
        <v>2.526048571808652E-2</v>
      </c>
      <c r="W1073" s="5">
        <f t="shared" si="393"/>
        <v>2.0377116559835054E-2</v>
      </c>
      <c r="X1073" s="5">
        <f t="shared" si="394"/>
        <v>2.1167764291358523E-2</v>
      </c>
      <c r="Y1073" s="5">
        <f t="shared" si="395"/>
        <v>1.6694878572170054E-2</v>
      </c>
      <c r="Z1073" s="33">
        <v>1069</v>
      </c>
      <c r="AE1073" s="20" t="str">
        <f t="shared" si="396"/>
        <v/>
      </c>
      <c r="AF1073" s="22" t="str">
        <f t="shared" si="397"/>
        <v/>
      </c>
      <c r="AG1073" s="9" t="str">
        <f t="shared" ca="1" si="376"/>
        <v/>
      </c>
      <c r="AH1073" s="9" t="str">
        <f t="shared" ca="1" si="377"/>
        <v/>
      </c>
      <c r="AI1073" s="9" t="str">
        <f t="shared" ca="1" si="378"/>
        <v/>
      </c>
      <c r="AJ1073" s="9" t="str">
        <f t="shared" ca="1" si="379"/>
        <v/>
      </c>
      <c r="AK1073" s="9" t="str">
        <f t="shared" ca="1" si="380"/>
        <v/>
      </c>
      <c r="AL1073" s="9" t="str">
        <f t="shared" ca="1" si="381"/>
        <v/>
      </c>
      <c r="AM1073" s="9" t="str">
        <f t="shared" ca="1" si="382"/>
        <v/>
      </c>
      <c r="AN1073" s="9" t="str">
        <f t="shared" ca="1" si="383"/>
        <v/>
      </c>
      <c r="AO1073" s="9" t="str">
        <f t="shared" ca="1" si="384"/>
        <v/>
      </c>
      <c r="AP1073" s="9" t="str">
        <f t="shared" ca="1" si="385"/>
        <v/>
      </c>
      <c r="AQ1073" s="9"/>
      <c r="AR1073" s="9"/>
      <c r="AS1073" s="9"/>
      <c r="AT1073" s="9"/>
      <c r="AU1073" s="9"/>
    </row>
    <row r="1074" spans="1:47" x14ac:dyDescent="0.3">
      <c r="A1074" s="1">
        <v>45019</v>
      </c>
      <c r="B1074" s="6">
        <v>380.07998700000002</v>
      </c>
      <c r="C1074" s="6">
        <v>388.94000199999999</v>
      </c>
      <c r="D1074" s="6">
        <v>53.580002</v>
      </c>
      <c r="E1074" s="6">
        <v>182.5</v>
      </c>
      <c r="F1074" s="6">
        <v>103.800003</v>
      </c>
      <c r="G1074" s="6">
        <v>40.909999999999997</v>
      </c>
      <c r="H1074" s="6">
        <v>150.520004</v>
      </c>
      <c r="I1074" s="6">
        <v>246.63999899999999</v>
      </c>
      <c r="J1074" s="6">
        <v>37.57</v>
      </c>
      <c r="K1074" s="6">
        <v>14.81</v>
      </c>
      <c r="N1074" s="18">
        <v>1070</v>
      </c>
      <c r="O1074" s="1">
        <v>45019</v>
      </c>
      <c r="P1074" s="5">
        <f t="shared" si="386"/>
        <v>-1.3822176096654586E-2</v>
      </c>
      <c r="Q1074" s="5">
        <f t="shared" si="387"/>
        <v>6.9402670069622406E-3</v>
      </c>
      <c r="R1074" s="5">
        <f t="shared" si="388"/>
        <v>-7.9932761307965408E-3</v>
      </c>
      <c r="S1074" s="5">
        <f t="shared" si="389"/>
        <v>1.0964748815383461E-3</v>
      </c>
      <c r="T1074" s="5">
        <f t="shared" si="390"/>
        <v>-9.9693406683063219E-3</v>
      </c>
      <c r="U1074" s="5">
        <f t="shared" si="391"/>
        <v>-3.6599040040831161E-3</v>
      </c>
      <c r="V1074" s="5">
        <f t="shared" si="392"/>
        <v>-9.3897269383883576E-3</v>
      </c>
      <c r="W1074" s="5">
        <f t="shared" si="393"/>
        <v>-1.0131097294845675E-3</v>
      </c>
      <c r="X1074" s="5">
        <f t="shared" si="394"/>
        <v>8.8223534713199134E-3</v>
      </c>
      <c r="Y1074" s="5">
        <f t="shared" si="395"/>
        <v>-1.9392115541171196E-2</v>
      </c>
      <c r="Z1074" s="33">
        <v>1070</v>
      </c>
      <c r="AE1074" s="20" t="str">
        <f t="shared" si="396"/>
        <v/>
      </c>
      <c r="AF1074" s="22" t="str">
        <f t="shared" si="397"/>
        <v/>
      </c>
      <c r="AG1074" s="9" t="str">
        <f t="shared" ca="1" si="376"/>
        <v/>
      </c>
      <c r="AH1074" s="9" t="str">
        <f t="shared" ca="1" si="377"/>
        <v/>
      </c>
      <c r="AI1074" s="9" t="str">
        <f t="shared" ca="1" si="378"/>
        <v/>
      </c>
      <c r="AJ1074" s="9" t="str">
        <f t="shared" ca="1" si="379"/>
        <v/>
      </c>
      <c r="AK1074" s="9" t="str">
        <f t="shared" ca="1" si="380"/>
        <v/>
      </c>
      <c r="AL1074" s="9" t="str">
        <f t="shared" ca="1" si="381"/>
        <v/>
      </c>
      <c r="AM1074" s="9" t="str">
        <f t="shared" ca="1" si="382"/>
        <v/>
      </c>
      <c r="AN1074" s="9" t="str">
        <f t="shared" ca="1" si="383"/>
        <v/>
      </c>
      <c r="AO1074" s="9" t="str">
        <f t="shared" ca="1" si="384"/>
        <v/>
      </c>
      <c r="AP1074" s="9" t="str">
        <f t="shared" ca="1" si="385"/>
        <v/>
      </c>
      <c r="AQ1074" s="9"/>
      <c r="AR1074" s="9"/>
      <c r="AS1074" s="9"/>
      <c r="AT1074" s="9"/>
      <c r="AU1074" s="9"/>
    </row>
    <row r="1075" spans="1:47" x14ac:dyDescent="0.3">
      <c r="A1075" s="1">
        <v>45020</v>
      </c>
      <c r="B1075" s="6">
        <v>385.14999399999999</v>
      </c>
      <c r="C1075" s="6">
        <v>384.92999300000002</v>
      </c>
      <c r="D1075" s="6">
        <v>53.16</v>
      </c>
      <c r="E1075" s="6">
        <v>181.85000600000001</v>
      </c>
      <c r="F1075" s="6">
        <v>103.58000199999999</v>
      </c>
      <c r="G1075" s="6">
        <v>40.779998999999997</v>
      </c>
      <c r="H1075" s="6">
        <v>145.070007</v>
      </c>
      <c r="I1075" s="6">
        <v>236.740005</v>
      </c>
      <c r="J1075" s="6">
        <v>37.43</v>
      </c>
      <c r="K1075" s="6">
        <v>15.15</v>
      </c>
      <c r="N1075" s="19">
        <v>1071</v>
      </c>
      <c r="O1075" s="1">
        <v>45020</v>
      </c>
      <c r="P1075" s="5">
        <f t="shared" si="386"/>
        <v>1.3251130545288805E-2</v>
      </c>
      <c r="Q1075" s="5">
        <f t="shared" si="387"/>
        <v>-1.0363613829005568E-2</v>
      </c>
      <c r="R1075" s="5">
        <f t="shared" si="388"/>
        <v>-7.8696675987784109E-3</v>
      </c>
      <c r="S1075" s="5">
        <f t="shared" si="389"/>
        <v>-3.567968595322637E-3</v>
      </c>
      <c r="T1075" s="5">
        <f t="shared" si="390"/>
        <v>-2.1217193290299294E-3</v>
      </c>
      <c r="U1075" s="5">
        <f t="shared" si="391"/>
        <v>-3.1827913168228439E-3</v>
      </c>
      <c r="V1075" s="5">
        <f t="shared" si="392"/>
        <v>-3.6879559496400378E-2</v>
      </c>
      <c r="W1075" s="5">
        <f t="shared" si="393"/>
        <v>-4.096726587743893E-2</v>
      </c>
      <c r="X1075" s="5">
        <f t="shared" si="394"/>
        <v>-3.7333376695399098E-3</v>
      </c>
      <c r="Y1075" s="5">
        <f t="shared" si="395"/>
        <v>2.2697903675670632E-2</v>
      </c>
      <c r="Z1075" s="33">
        <v>1071</v>
      </c>
      <c r="AE1075" s="20" t="str">
        <f t="shared" si="396"/>
        <v/>
      </c>
      <c r="AF1075" s="22" t="str">
        <f t="shared" si="397"/>
        <v/>
      </c>
      <c r="AG1075" s="9" t="str">
        <f t="shared" ca="1" si="376"/>
        <v/>
      </c>
      <c r="AH1075" s="9" t="str">
        <f t="shared" ca="1" si="377"/>
        <v/>
      </c>
      <c r="AI1075" s="9" t="str">
        <f t="shared" ca="1" si="378"/>
        <v/>
      </c>
      <c r="AJ1075" s="9" t="str">
        <f t="shared" ca="1" si="379"/>
        <v/>
      </c>
      <c r="AK1075" s="9" t="str">
        <f t="shared" ca="1" si="380"/>
        <v/>
      </c>
      <c r="AL1075" s="9" t="str">
        <f t="shared" ca="1" si="381"/>
        <v/>
      </c>
      <c r="AM1075" s="9" t="str">
        <f t="shared" ca="1" si="382"/>
        <v/>
      </c>
      <c r="AN1075" s="9" t="str">
        <f t="shared" ca="1" si="383"/>
        <v/>
      </c>
      <c r="AO1075" s="9" t="str">
        <f t="shared" ca="1" si="384"/>
        <v/>
      </c>
      <c r="AP1075" s="9" t="str">
        <f t="shared" ca="1" si="385"/>
        <v/>
      </c>
      <c r="AQ1075" s="9"/>
      <c r="AR1075" s="9"/>
      <c r="AS1075" s="9"/>
      <c r="AT1075" s="9"/>
      <c r="AU1075" s="9"/>
    </row>
    <row r="1076" spans="1:47" x14ac:dyDescent="0.3">
      <c r="A1076" s="1">
        <v>45021</v>
      </c>
      <c r="B1076" s="6">
        <v>382.01998900000001</v>
      </c>
      <c r="C1076" s="6">
        <v>378.35998499999999</v>
      </c>
      <c r="D1076" s="6">
        <v>52.799999</v>
      </c>
      <c r="E1076" s="6">
        <v>183.63999899999999</v>
      </c>
      <c r="F1076" s="6">
        <v>103.489998</v>
      </c>
      <c r="G1076" s="6">
        <v>40.560001</v>
      </c>
      <c r="H1076" s="6">
        <v>142.88999899999999</v>
      </c>
      <c r="I1076" s="6">
        <v>229.729996</v>
      </c>
      <c r="J1076" s="6">
        <v>37.029998999999997</v>
      </c>
      <c r="K1076" s="6">
        <v>14.79</v>
      </c>
      <c r="N1076" s="18">
        <v>1072</v>
      </c>
      <c r="O1076" s="1">
        <v>45021</v>
      </c>
      <c r="P1076" s="5">
        <f t="shared" si="386"/>
        <v>-8.1599187579439719E-3</v>
      </c>
      <c r="Q1076" s="5">
        <f t="shared" si="387"/>
        <v>-1.721539768972578E-2</v>
      </c>
      <c r="R1076" s="5">
        <f t="shared" si="388"/>
        <v>-6.7950620722228199E-3</v>
      </c>
      <c r="S1076" s="5">
        <f t="shared" si="389"/>
        <v>9.7951095083610266E-3</v>
      </c>
      <c r="T1076" s="5">
        <f t="shared" si="390"/>
        <v>-8.6930994994921919E-4</v>
      </c>
      <c r="U1076" s="5">
        <f t="shared" si="391"/>
        <v>-5.4093566867245164E-3</v>
      </c>
      <c r="V1076" s="5">
        <f t="shared" si="392"/>
        <v>-1.5141336320889145E-2</v>
      </c>
      <c r="W1076" s="5">
        <f t="shared" si="393"/>
        <v>-3.0057824753628431E-2</v>
      </c>
      <c r="X1076" s="5">
        <f t="shared" si="394"/>
        <v>-1.0744153995947671E-2</v>
      </c>
      <c r="Y1076" s="5">
        <f t="shared" si="395"/>
        <v>-2.4049255232669854E-2</v>
      </c>
      <c r="Z1076" s="33">
        <v>1072</v>
      </c>
      <c r="AE1076" s="20" t="str">
        <f t="shared" si="396"/>
        <v/>
      </c>
      <c r="AF1076" s="22" t="str">
        <f t="shared" si="397"/>
        <v/>
      </c>
      <c r="AG1076" s="9" t="str">
        <f t="shared" ca="1" si="376"/>
        <v/>
      </c>
      <c r="AH1076" s="9" t="str">
        <f t="shared" ca="1" si="377"/>
        <v/>
      </c>
      <c r="AI1076" s="9" t="str">
        <f t="shared" ca="1" si="378"/>
        <v/>
      </c>
      <c r="AJ1076" s="9" t="str">
        <f t="shared" ca="1" si="379"/>
        <v/>
      </c>
      <c r="AK1076" s="9" t="str">
        <f t="shared" ca="1" si="380"/>
        <v/>
      </c>
      <c r="AL1076" s="9" t="str">
        <f t="shared" ca="1" si="381"/>
        <v/>
      </c>
      <c r="AM1076" s="9" t="str">
        <f t="shared" ca="1" si="382"/>
        <v/>
      </c>
      <c r="AN1076" s="9" t="str">
        <f t="shared" ca="1" si="383"/>
        <v/>
      </c>
      <c r="AO1076" s="9" t="str">
        <f t="shared" ca="1" si="384"/>
        <v/>
      </c>
      <c r="AP1076" s="9" t="str">
        <f t="shared" ca="1" si="385"/>
        <v/>
      </c>
      <c r="AQ1076" s="9"/>
      <c r="AR1076" s="9"/>
      <c r="AS1076" s="9"/>
      <c r="AT1076" s="9"/>
      <c r="AU1076" s="9"/>
    </row>
    <row r="1077" spans="1:47" x14ac:dyDescent="0.3">
      <c r="A1077" s="1">
        <v>45022</v>
      </c>
      <c r="B1077" s="6">
        <v>380.60000600000001</v>
      </c>
      <c r="C1077" s="6">
        <v>375.92001299999998</v>
      </c>
      <c r="D1077" s="6">
        <v>52.560001</v>
      </c>
      <c r="E1077" s="6">
        <v>184.36000100000001</v>
      </c>
      <c r="F1077" s="6">
        <v>104.55999799999999</v>
      </c>
      <c r="G1077" s="6">
        <v>40.68</v>
      </c>
      <c r="H1077" s="6">
        <v>141.570007</v>
      </c>
      <c r="I1077" s="6">
        <v>228.71000699999999</v>
      </c>
      <c r="J1077" s="6">
        <v>36.990001999999997</v>
      </c>
      <c r="K1077" s="6">
        <v>15.11</v>
      </c>
      <c r="N1077" s="19">
        <v>1073</v>
      </c>
      <c r="O1077" s="1">
        <v>45022</v>
      </c>
      <c r="P1077" s="5">
        <f t="shared" si="386"/>
        <v>-3.7239638360533085E-3</v>
      </c>
      <c r="Q1077" s="5">
        <f t="shared" si="387"/>
        <v>-6.4696943238006207E-3</v>
      </c>
      <c r="R1077" s="5">
        <f t="shared" si="388"/>
        <v>-4.5557785705915895E-3</v>
      </c>
      <c r="S1077" s="5">
        <f t="shared" si="389"/>
        <v>3.9130593408931878E-3</v>
      </c>
      <c r="T1077" s="5">
        <f t="shared" si="390"/>
        <v>1.0286079833650014E-2</v>
      </c>
      <c r="U1077" s="5">
        <f t="shared" si="391"/>
        <v>2.9541872425994289E-3</v>
      </c>
      <c r="V1077" s="5">
        <f t="shared" si="392"/>
        <v>-9.2807526305795796E-3</v>
      </c>
      <c r="W1077" s="5">
        <f t="shared" si="393"/>
        <v>-4.4498328086230842E-3</v>
      </c>
      <c r="X1077" s="5">
        <f t="shared" si="394"/>
        <v>-1.0807080073616058E-3</v>
      </c>
      <c r="Y1077" s="5">
        <f t="shared" si="395"/>
        <v>2.140549956193977E-2</v>
      </c>
      <c r="Z1077" s="33">
        <v>1073</v>
      </c>
      <c r="AE1077" s="20" t="str">
        <f t="shared" si="396"/>
        <v/>
      </c>
      <c r="AF1077" s="22" t="str">
        <f t="shared" si="397"/>
        <v/>
      </c>
      <c r="AG1077" s="9" t="str">
        <f t="shared" ca="1" si="376"/>
        <v/>
      </c>
      <c r="AH1077" s="9" t="str">
        <f t="shared" ca="1" si="377"/>
        <v/>
      </c>
      <c r="AI1077" s="9" t="str">
        <f t="shared" ca="1" si="378"/>
        <v/>
      </c>
      <c r="AJ1077" s="9" t="str">
        <f t="shared" ca="1" si="379"/>
        <v/>
      </c>
      <c r="AK1077" s="9" t="str">
        <f t="shared" ca="1" si="380"/>
        <v/>
      </c>
      <c r="AL1077" s="9" t="str">
        <f t="shared" ca="1" si="381"/>
        <v/>
      </c>
      <c r="AM1077" s="9" t="str">
        <f t="shared" ca="1" si="382"/>
        <v/>
      </c>
      <c r="AN1077" s="9" t="str">
        <f t="shared" ca="1" si="383"/>
        <v/>
      </c>
      <c r="AO1077" s="9" t="str">
        <f t="shared" ca="1" si="384"/>
        <v/>
      </c>
      <c r="AP1077" s="9" t="str">
        <f t="shared" ca="1" si="385"/>
        <v/>
      </c>
      <c r="AQ1077" s="9"/>
      <c r="AR1077" s="9"/>
      <c r="AS1077" s="9"/>
      <c r="AT1077" s="9"/>
      <c r="AU1077" s="9"/>
    </row>
    <row r="1078" spans="1:47" x14ac:dyDescent="0.3">
      <c r="A1078" s="1">
        <v>45026</v>
      </c>
      <c r="B1078" s="6">
        <v>376.25</v>
      </c>
      <c r="C1078" s="6">
        <v>379.98998999999998</v>
      </c>
      <c r="D1078" s="6">
        <v>52.349997999999999</v>
      </c>
      <c r="E1078" s="6">
        <v>183.199997</v>
      </c>
      <c r="F1078" s="6">
        <v>104.800003</v>
      </c>
      <c r="G1078" s="6">
        <v>40.689999</v>
      </c>
      <c r="H1078" s="6">
        <v>144.050003</v>
      </c>
      <c r="I1078" s="6">
        <v>233.36000100000001</v>
      </c>
      <c r="J1078" s="6">
        <v>37.07</v>
      </c>
      <c r="K1078" s="6">
        <v>15.4</v>
      </c>
      <c r="N1078" s="18">
        <v>1074</v>
      </c>
      <c r="O1078" s="1">
        <v>45026</v>
      </c>
      <c r="P1078" s="5">
        <f t="shared" si="386"/>
        <v>-1.1495154563545816E-2</v>
      </c>
      <c r="Q1078" s="5">
        <f t="shared" si="387"/>
        <v>1.0768520891823331E-2</v>
      </c>
      <c r="R1078" s="5">
        <f t="shared" si="388"/>
        <v>-4.0034940900785061E-3</v>
      </c>
      <c r="S1078" s="5">
        <f t="shared" si="389"/>
        <v>-6.311937411993815E-3</v>
      </c>
      <c r="T1078" s="5">
        <f t="shared" si="390"/>
        <v>2.2927503247029135E-3</v>
      </c>
      <c r="U1078" s="5">
        <f t="shared" si="391"/>
        <v>2.457662571761471E-4</v>
      </c>
      <c r="V1078" s="5">
        <f t="shared" si="392"/>
        <v>1.7366138504730764E-2</v>
      </c>
      <c r="W1078" s="5">
        <f t="shared" si="393"/>
        <v>2.012747376097852E-2</v>
      </c>
      <c r="X1078" s="5">
        <f t="shared" si="394"/>
        <v>2.1603572496126946E-3</v>
      </c>
      <c r="Y1078" s="5">
        <f t="shared" si="395"/>
        <v>1.9010733134935363E-2</v>
      </c>
      <c r="Z1078" s="33">
        <v>1074</v>
      </c>
      <c r="AE1078" s="20" t="str">
        <f t="shared" si="396"/>
        <v/>
      </c>
      <c r="AF1078" s="22" t="str">
        <f t="shared" si="397"/>
        <v/>
      </c>
      <c r="AG1078" s="9" t="str">
        <f t="shared" ca="1" si="376"/>
        <v/>
      </c>
      <c r="AH1078" s="9" t="str">
        <f t="shared" ca="1" si="377"/>
        <v/>
      </c>
      <c r="AI1078" s="9" t="str">
        <f t="shared" ca="1" si="378"/>
        <v/>
      </c>
      <c r="AJ1078" s="9" t="str">
        <f t="shared" ca="1" si="379"/>
        <v/>
      </c>
      <c r="AK1078" s="9" t="str">
        <f t="shared" ca="1" si="380"/>
        <v/>
      </c>
      <c r="AL1078" s="9" t="str">
        <f t="shared" ca="1" si="381"/>
        <v/>
      </c>
      <c r="AM1078" s="9" t="str">
        <f t="shared" ca="1" si="382"/>
        <v/>
      </c>
      <c r="AN1078" s="9" t="str">
        <f t="shared" ca="1" si="383"/>
        <v/>
      </c>
      <c r="AO1078" s="9" t="str">
        <f t="shared" ca="1" si="384"/>
        <v/>
      </c>
      <c r="AP1078" s="9" t="str">
        <f t="shared" ca="1" si="385"/>
        <v/>
      </c>
      <c r="AQ1078" s="9"/>
      <c r="AR1078" s="9"/>
      <c r="AS1078" s="9"/>
      <c r="AT1078" s="9"/>
      <c r="AU1078" s="9"/>
    </row>
    <row r="1079" spans="1:47" x14ac:dyDescent="0.3">
      <c r="A1079" s="1">
        <v>45027</v>
      </c>
      <c r="B1079" s="6">
        <v>371.10998499999999</v>
      </c>
      <c r="C1079" s="6">
        <v>379.39999399999999</v>
      </c>
      <c r="D1079" s="6">
        <v>52.279998999999997</v>
      </c>
      <c r="E1079" s="6">
        <v>182.91999799999999</v>
      </c>
      <c r="F1079" s="6">
        <v>104.550003</v>
      </c>
      <c r="G1079" s="6">
        <v>40.75</v>
      </c>
      <c r="H1079" s="6">
        <v>146.929993</v>
      </c>
      <c r="I1079" s="6">
        <v>235.88000500000001</v>
      </c>
      <c r="J1079" s="6">
        <v>37.270000000000003</v>
      </c>
      <c r="K1079" s="6">
        <v>14.93</v>
      </c>
      <c r="N1079" s="19">
        <v>1075</v>
      </c>
      <c r="O1079" s="1">
        <v>45027</v>
      </c>
      <c r="P1079" s="5">
        <f t="shared" si="386"/>
        <v>-1.3755341864300443E-2</v>
      </c>
      <c r="Q1079" s="5">
        <f t="shared" si="387"/>
        <v>-1.5538685817390941E-3</v>
      </c>
      <c r="R1079" s="5">
        <f t="shared" si="388"/>
        <v>-1.3380294839042087E-3</v>
      </c>
      <c r="S1079" s="5">
        <f t="shared" si="389"/>
        <v>-1.5295480083710954E-3</v>
      </c>
      <c r="T1079" s="5">
        <f t="shared" si="390"/>
        <v>-2.3883459438488169E-3</v>
      </c>
      <c r="U1079" s="5">
        <f t="shared" si="391"/>
        <v>1.4735022493364296E-3</v>
      </c>
      <c r="V1079" s="5">
        <f t="shared" si="392"/>
        <v>1.9795752889480201E-2</v>
      </c>
      <c r="W1079" s="5">
        <f t="shared" si="393"/>
        <v>1.0740892484831621E-2</v>
      </c>
      <c r="X1079" s="5">
        <f t="shared" si="394"/>
        <v>5.3806963285263311E-3</v>
      </c>
      <c r="Y1079" s="5">
        <f t="shared" si="395"/>
        <v>-3.0994897868484552E-2</v>
      </c>
      <c r="Z1079" s="33">
        <v>1075</v>
      </c>
      <c r="AE1079" s="20" t="str">
        <f t="shared" si="396"/>
        <v/>
      </c>
      <c r="AF1079" s="22" t="str">
        <f t="shared" si="397"/>
        <v/>
      </c>
      <c r="AG1079" s="9" t="str">
        <f t="shared" ca="1" si="376"/>
        <v/>
      </c>
      <c r="AH1079" s="9" t="str">
        <f t="shared" ca="1" si="377"/>
        <v/>
      </c>
      <c r="AI1079" s="9" t="str">
        <f t="shared" ca="1" si="378"/>
        <v/>
      </c>
      <c r="AJ1079" s="9" t="str">
        <f t="shared" ca="1" si="379"/>
        <v/>
      </c>
      <c r="AK1079" s="9" t="str">
        <f t="shared" ca="1" si="380"/>
        <v/>
      </c>
      <c r="AL1079" s="9" t="str">
        <f t="shared" ca="1" si="381"/>
        <v/>
      </c>
      <c r="AM1079" s="9" t="str">
        <f t="shared" ca="1" si="382"/>
        <v/>
      </c>
      <c r="AN1079" s="9" t="str">
        <f t="shared" ca="1" si="383"/>
        <v/>
      </c>
      <c r="AO1079" s="9" t="str">
        <f t="shared" ca="1" si="384"/>
        <v/>
      </c>
      <c r="AP1079" s="9" t="str">
        <f t="shared" ca="1" si="385"/>
        <v/>
      </c>
      <c r="AQ1079" s="9"/>
      <c r="AR1079" s="9"/>
      <c r="AS1079" s="9"/>
      <c r="AT1079" s="9"/>
      <c r="AU1079" s="9"/>
    </row>
    <row r="1080" spans="1:47" x14ac:dyDescent="0.3">
      <c r="A1080" s="1">
        <v>45028</v>
      </c>
      <c r="B1080" s="6">
        <v>369.89001500000001</v>
      </c>
      <c r="C1080" s="6">
        <v>376.51998900000001</v>
      </c>
      <c r="D1080" s="6">
        <v>52.470001000000003</v>
      </c>
      <c r="E1080" s="6">
        <v>182.55999800000001</v>
      </c>
      <c r="F1080" s="6">
        <v>103.910004</v>
      </c>
      <c r="G1080" s="6">
        <v>40.409999999999997</v>
      </c>
      <c r="H1080" s="6">
        <v>147.11999499999999</v>
      </c>
      <c r="I1080" s="6">
        <v>237.929993</v>
      </c>
      <c r="J1080" s="6">
        <v>37.450001</v>
      </c>
      <c r="K1080" s="6">
        <v>14.06</v>
      </c>
      <c r="N1080" s="18">
        <v>1076</v>
      </c>
      <c r="O1080" s="1">
        <v>45028</v>
      </c>
      <c r="P1080" s="5">
        <f t="shared" si="386"/>
        <v>-3.2927695068187112E-3</v>
      </c>
      <c r="Q1080" s="5">
        <f t="shared" si="387"/>
        <v>-7.6199042223662351E-3</v>
      </c>
      <c r="R1080" s="5">
        <f t="shared" si="388"/>
        <v>3.6277271288825477E-3</v>
      </c>
      <c r="S1080" s="5">
        <f t="shared" si="389"/>
        <v>-1.9700126976496847E-3</v>
      </c>
      <c r="T1080" s="5">
        <f t="shared" si="390"/>
        <v>-6.140276209640869E-3</v>
      </c>
      <c r="U1080" s="5">
        <f t="shared" si="391"/>
        <v>-8.3785605964894934E-3</v>
      </c>
      <c r="V1080" s="5">
        <f t="shared" si="392"/>
        <v>1.2923110640834369E-3</v>
      </c>
      <c r="W1080" s="5">
        <f t="shared" si="393"/>
        <v>8.6532610133975216E-3</v>
      </c>
      <c r="X1080" s="5">
        <f t="shared" si="394"/>
        <v>4.818023174330663E-3</v>
      </c>
      <c r="Y1080" s="5">
        <f t="shared" si="395"/>
        <v>-6.0038725168580089E-2</v>
      </c>
      <c r="Z1080" s="33">
        <v>1076</v>
      </c>
      <c r="AE1080" s="20" t="str">
        <f t="shared" si="396"/>
        <v/>
      </c>
      <c r="AF1080" s="22" t="str">
        <f t="shared" si="397"/>
        <v/>
      </c>
      <c r="AG1080" s="9" t="str">
        <f t="shared" ca="1" si="376"/>
        <v/>
      </c>
      <c r="AH1080" s="9" t="str">
        <f t="shared" ca="1" si="377"/>
        <v/>
      </c>
      <c r="AI1080" s="9" t="str">
        <f t="shared" ca="1" si="378"/>
        <v/>
      </c>
      <c r="AJ1080" s="9" t="str">
        <f t="shared" ca="1" si="379"/>
        <v/>
      </c>
      <c r="AK1080" s="9" t="str">
        <f t="shared" ca="1" si="380"/>
        <v/>
      </c>
      <c r="AL1080" s="9" t="str">
        <f t="shared" ca="1" si="381"/>
        <v/>
      </c>
      <c r="AM1080" s="9" t="str">
        <f t="shared" ca="1" si="382"/>
        <v/>
      </c>
      <c r="AN1080" s="9" t="str">
        <f t="shared" ca="1" si="383"/>
        <v/>
      </c>
      <c r="AO1080" s="9" t="str">
        <f t="shared" ca="1" si="384"/>
        <v/>
      </c>
      <c r="AP1080" s="9" t="str">
        <f t="shared" ca="1" si="385"/>
        <v/>
      </c>
      <c r="AQ1080" s="9"/>
      <c r="AR1080" s="9"/>
      <c r="AS1080" s="9"/>
      <c r="AT1080" s="9"/>
      <c r="AU1080" s="9"/>
    </row>
    <row r="1081" spans="1:47" x14ac:dyDescent="0.3">
      <c r="A1081" s="1">
        <v>45029</v>
      </c>
      <c r="B1081" s="6">
        <v>378.79998799999998</v>
      </c>
      <c r="C1081" s="6">
        <v>381.55999800000001</v>
      </c>
      <c r="D1081" s="6">
        <v>52.869999</v>
      </c>
      <c r="E1081" s="6">
        <v>184.38000500000001</v>
      </c>
      <c r="F1081" s="6">
        <v>104.099998</v>
      </c>
      <c r="G1081" s="6">
        <v>40.200001</v>
      </c>
      <c r="H1081" s="6">
        <v>147.5</v>
      </c>
      <c r="I1081" s="6">
        <v>238.91000399999999</v>
      </c>
      <c r="J1081" s="6">
        <v>37.970001000000003</v>
      </c>
      <c r="K1081" s="6">
        <v>14.04</v>
      </c>
      <c r="N1081" s="19">
        <v>1077</v>
      </c>
      <c r="O1081" s="1">
        <v>45029</v>
      </c>
      <c r="P1081" s="5">
        <f t="shared" si="386"/>
        <v>2.3802624940969932E-2</v>
      </c>
      <c r="Q1081" s="5">
        <f t="shared" si="387"/>
        <v>1.3296969571264191E-2</v>
      </c>
      <c r="R1081" s="5">
        <f t="shared" si="388"/>
        <v>7.5944545759105194E-3</v>
      </c>
      <c r="S1081" s="5">
        <f t="shared" si="389"/>
        <v>9.9199973298935689E-3</v>
      </c>
      <c r="T1081" s="5">
        <f t="shared" si="390"/>
        <v>1.8267780492212564E-3</v>
      </c>
      <c r="U1081" s="5">
        <f t="shared" si="391"/>
        <v>-5.2102585897852386E-3</v>
      </c>
      <c r="V1081" s="5">
        <f t="shared" si="392"/>
        <v>2.5796294696714792E-3</v>
      </c>
      <c r="W1081" s="5">
        <f t="shared" si="393"/>
        <v>4.1104453737155428E-3</v>
      </c>
      <c r="X1081" s="5">
        <f t="shared" si="394"/>
        <v>1.378966391479442E-2</v>
      </c>
      <c r="Y1081" s="5">
        <f t="shared" si="395"/>
        <v>-1.4234877848538462E-3</v>
      </c>
      <c r="Z1081" s="33">
        <v>1077</v>
      </c>
      <c r="AE1081" s="20" t="str">
        <f t="shared" si="396"/>
        <v/>
      </c>
      <c r="AF1081" s="22" t="str">
        <f t="shared" si="397"/>
        <v/>
      </c>
      <c r="AG1081" s="9" t="str">
        <f t="shared" ca="1" si="376"/>
        <v/>
      </c>
      <c r="AH1081" s="9" t="str">
        <f t="shared" ca="1" si="377"/>
        <v/>
      </c>
      <c r="AI1081" s="9" t="str">
        <f t="shared" ca="1" si="378"/>
        <v/>
      </c>
      <c r="AJ1081" s="9" t="str">
        <f t="shared" ca="1" si="379"/>
        <v/>
      </c>
      <c r="AK1081" s="9" t="str">
        <f t="shared" ca="1" si="380"/>
        <v/>
      </c>
      <c r="AL1081" s="9" t="str">
        <f t="shared" ca="1" si="381"/>
        <v/>
      </c>
      <c r="AM1081" s="9" t="str">
        <f t="shared" ca="1" si="382"/>
        <v/>
      </c>
      <c r="AN1081" s="9" t="str">
        <f t="shared" ca="1" si="383"/>
        <v/>
      </c>
      <c r="AO1081" s="9" t="str">
        <f t="shared" ca="1" si="384"/>
        <v/>
      </c>
      <c r="AP1081" s="9" t="str">
        <f t="shared" ca="1" si="385"/>
        <v/>
      </c>
      <c r="AQ1081" s="9"/>
      <c r="AR1081" s="9"/>
      <c r="AS1081" s="9"/>
      <c r="AT1081" s="9"/>
      <c r="AU1081" s="9"/>
    </row>
    <row r="1082" spans="1:47" x14ac:dyDescent="0.3">
      <c r="A1082" s="1">
        <v>45030</v>
      </c>
      <c r="B1082" s="6">
        <v>379.38000499999998</v>
      </c>
      <c r="C1082" s="6">
        <v>381.67999300000002</v>
      </c>
      <c r="D1082" s="6">
        <v>52.560001</v>
      </c>
      <c r="E1082" s="6">
        <v>183.509995</v>
      </c>
      <c r="F1082" s="6">
        <v>103.44000200000001</v>
      </c>
      <c r="G1082" s="6">
        <v>40.220001000000003</v>
      </c>
      <c r="H1082" s="6">
        <v>147.009995</v>
      </c>
      <c r="I1082" s="6">
        <v>239.94000199999999</v>
      </c>
      <c r="J1082" s="6">
        <v>37.880001</v>
      </c>
      <c r="K1082" s="6">
        <v>13.78</v>
      </c>
      <c r="N1082" s="18">
        <v>1078</v>
      </c>
      <c r="O1082" s="1">
        <v>45030</v>
      </c>
      <c r="P1082" s="5">
        <f t="shared" si="386"/>
        <v>1.5300248450382194E-3</v>
      </c>
      <c r="Q1082" s="5">
        <f t="shared" si="387"/>
        <v>3.1443583251316513E-4</v>
      </c>
      <c r="R1082" s="5">
        <f t="shared" si="388"/>
        <v>-5.880658130810428E-3</v>
      </c>
      <c r="S1082" s="5">
        <f t="shared" si="389"/>
        <v>-4.7297378122454128E-3</v>
      </c>
      <c r="T1082" s="5">
        <f t="shared" si="390"/>
        <v>-6.3602026101450817E-3</v>
      </c>
      <c r="U1082" s="5">
        <f t="shared" si="391"/>
        <v>4.9738870716098523E-4</v>
      </c>
      <c r="V1082" s="5">
        <f t="shared" si="392"/>
        <v>-3.3275981152919481E-3</v>
      </c>
      <c r="W1082" s="5">
        <f t="shared" si="393"/>
        <v>4.301971705563905E-3</v>
      </c>
      <c r="X1082" s="5">
        <f t="shared" si="394"/>
        <v>-2.3731058632598685E-3</v>
      </c>
      <c r="Y1082" s="5">
        <f t="shared" si="395"/>
        <v>-1.8692133012152522E-2</v>
      </c>
      <c r="Z1082" s="33">
        <v>1078</v>
      </c>
      <c r="AE1082" s="20" t="str">
        <f t="shared" si="396"/>
        <v/>
      </c>
      <c r="AF1082" s="22" t="str">
        <f t="shared" si="397"/>
        <v/>
      </c>
      <c r="AG1082" s="9" t="str">
        <f t="shared" ca="1" si="376"/>
        <v/>
      </c>
      <c r="AH1082" s="9" t="str">
        <f t="shared" ca="1" si="377"/>
        <v/>
      </c>
      <c r="AI1082" s="9" t="str">
        <f t="shared" ca="1" si="378"/>
        <v/>
      </c>
      <c r="AJ1082" s="9" t="str">
        <f t="shared" ca="1" si="379"/>
        <v/>
      </c>
      <c r="AK1082" s="9" t="str">
        <f t="shared" ca="1" si="380"/>
        <v/>
      </c>
      <c r="AL1082" s="9" t="str">
        <f t="shared" ca="1" si="381"/>
        <v/>
      </c>
      <c r="AM1082" s="9" t="str">
        <f t="shared" ca="1" si="382"/>
        <v/>
      </c>
      <c r="AN1082" s="9" t="str">
        <f t="shared" ca="1" si="383"/>
        <v/>
      </c>
      <c r="AO1082" s="9" t="str">
        <f t="shared" ca="1" si="384"/>
        <v/>
      </c>
      <c r="AP1082" s="9" t="str">
        <f t="shared" ca="1" si="385"/>
        <v/>
      </c>
      <c r="AQ1082" s="9"/>
      <c r="AR1082" s="9"/>
      <c r="AS1082" s="9"/>
      <c r="AT1082" s="9"/>
      <c r="AU1082" s="9"/>
    </row>
    <row r="1083" spans="1:47" x14ac:dyDescent="0.3">
      <c r="A1083" s="1">
        <v>45033</v>
      </c>
      <c r="B1083" s="6">
        <v>377.92001299999998</v>
      </c>
      <c r="C1083" s="6">
        <v>380.19000199999999</v>
      </c>
      <c r="D1083" s="6">
        <v>52.880001</v>
      </c>
      <c r="E1083" s="6">
        <v>184.449997</v>
      </c>
      <c r="F1083" s="6">
        <v>106.57</v>
      </c>
      <c r="G1083" s="6">
        <v>41.27</v>
      </c>
      <c r="H1083" s="6">
        <v>148.179993</v>
      </c>
      <c r="I1083" s="6">
        <v>240.60000600000001</v>
      </c>
      <c r="J1083" s="6">
        <v>38.07</v>
      </c>
      <c r="K1083" s="6">
        <v>14.53</v>
      </c>
      <c r="N1083" s="19">
        <v>1079</v>
      </c>
      <c r="O1083" s="1">
        <v>45033</v>
      </c>
      <c r="P1083" s="5">
        <f t="shared" si="386"/>
        <v>-3.8557870701632175E-3</v>
      </c>
      <c r="Q1083" s="5">
        <f t="shared" si="387"/>
        <v>-3.9114098452707486E-3</v>
      </c>
      <c r="R1083" s="5">
        <f t="shared" si="388"/>
        <v>6.0698212519418437E-3</v>
      </c>
      <c r="S1083" s="5">
        <f t="shared" si="389"/>
        <v>5.1092731020028299E-3</v>
      </c>
      <c r="T1083" s="5">
        <f t="shared" si="390"/>
        <v>2.981029243438266E-2</v>
      </c>
      <c r="U1083" s="5">
        <f t="shared" si="391"/>
        <v>2.5771434556732749E-2</v>
      </c>
      <c r="V1083" s="5">
        <f t="shared" si="392"/>
        <v>7.9271260840837118E-3</v>
      </c>
      <c r="W1083" s="5">
        <f t="shared" si="393"/>
        <v>2.7469280560348678E-3</v>
      </c>
      <c r="X1083" s="5">
        <f t="shared" si="394"/>
        <v>5.0032756773736769E-3</v>
      </c>
      <c r="Y1083" s="5">
        <f t="shared" si="395"/>
        <v>5.2997211996678957E-2</v>
      </c>
      <c r="Z1083" s="33">
        <v>1079</v>
      </c>
      <c r="AE1083" s="20" t="str">
        <f t="shared" si="396"/>
        <v/>
      </c>
      <c r="AF1083" s="22" t="str">
        <f t="shared" si="397"/>
        <v/>
      </c>
      <c r="AG1083" s="9" t="str">
        <f t="shared" ca="1" si="376"/>
        <v/>
      </c>
      <c r="AH1083" s="9" t="str">
        <f t="shared" ca="1" si="377"/>
        <v/>
      </c>
      <c r="AI1083" s="9" t="str">
        <f t="shared" ca="1" si="378"/>
        <v/>
      </c>
      <c r="AJ1083" s="9" t="str">
        <f t="shared" ca="1" si="379"/>
        <v/>
      </c>
      <c r="AK1083" s="9" t="str">
        <f t="shared" ca="1" si="380"/>
        <v/>
      </c>
      <c r="AL1083" s="9" t="str">
        <f t="shared" ca="1" si="381"/>
        <v/>
      </c>
      <c r="AM1083" s="9" t="str">
        <f t="shared" ca="1" si="382"/>
        <v/>
      </c>
      <c r="AN1083" s="9" t="str">
        <f t="shared" ca="1" si="383"/>
        <v/>
      </c>
      <c r="AO1083" s="9" t="str">
        <f t="shared" ca="1" si="384"/>
        <v/>
      </c>
      <c r="AP1083" s="9" t="str">
        <f t="shared" ca="1" si="385"/>
        <v/>
      </c>
      <c r="AQ1083" s="9"/>
      <c r="AR1083" s="9"/>
      <c r="AS1083" s="9"/>
      <c r="AT1083" s="9"/>
      <c r="AU1083" s="9"/>
    </row>
    <row r="1084" spans="1:47" x14ac:dyDescent="0.3">
      <c r="A1084" s="1">
        <v>45034</v>
      </c>
      <c r="B1084" s="6">
        <v>377.54998799999998</v>
      </c>
      <c r="C1084" s="6">
        <v>380.42999300000002</v>
      </c>
      <c r="D1084" s="6">
        <v>52.68</v>
      </c>
      <c r="E1084" s="6">
        <v>184.83000200000001</v>
      </c>
      <c r="F1084" s="6">
        <v>105.949997</v>
      </c>
      <c r="G1084" s="6">
        <v>41.200001</v>
      </c>
      <c r="H1084" s="6">
        <v>148.279999</v>
      </c>
      <c r="I1084" s="6">
        <v>242.240005</v>
      </c>
      <c r="J1084" s="6">
        <v>38.409999999999997</v>
      </c>
      <c r="K1084" s="6">
        <v>14.27</v>
      </c>
      <c r="N1084" s="18">
        <v>1080</v>
      </c>
      <c r="O1084" s="1">
        <v>45034</v>
      </c>
      <c r="P1084" s="5">
        <f t="shared" si="386"/>
        <v>-9.7958894224703125E-4</v>
      </c>
      <c r="Q1084" s="5">
        <f t="shared" si="387"/>
        <v>6.3104049207640233E-4</v>
      </c>
      <c r="R1084" s="5">
        <f t="shared" si="388"/>
        <v>-3.7893375790917371E-3</v>
      </c>
      <c r="S1084" s="5">
        <f t="shared" si="389"/>
        <v>2.0580867372290649E-3</v>
      </c>
      <c r="T1084" s="5">
        <f t="shared" si="390"/>
        <v>-5.834789833800173E-3</v>
      </c>
      <c r="U1084" s="5">
        <f t="shared" si="391"/>
        <v>-1.6975631371654273E-3</v>
      </c>
      <c r="V1084" s="5">
        <f t="shared" si="392"/>
        <v>6.7466778986745822E-4</v>
      </c>
      <c r="W1084" s="5">
        <f t="shared" si="393"/>
        <v>6.7931624115365385E-3</v>
      </c>
      <c r="X1084" s="5">
        <f t="shared" si="394"/>
        <v>8.8912719634073115E-3</v>
      </c>
      <c r="Y1084" s="5">
        <f t="shared" si="395"/>
        <v>-1.8056046093446528E-2</v>
      </c>
      <c r="Z1084" s="33">
        <v>1080</v>
      </c>
      <c r="AE1084" s="20" t="str">
        <f t="shared" si="396"/>
        <v/>
      </c>
      <c r="AF1084" s="22" t="str">
        <f t="shared" si="397"/>
        <v/>
      </c>
      <c r="AG1084" s="9" t="str">
        <f t="shared" ca="1" si="376"/>
        <v/>
      </c>
      <c r="AH1084" s="9" t="str">
        <f t="shared" ca="1" si="377"/>
        <v/>
      </c>
      <c r="AI1084" s="9" t="str">
        <f t="shared" ca="1" si="378"/>
        <v/>
      </c>
      <c r="AJ1084" s="9" t="str">
        <f t="shared" ca="1" si="379"/>
        <v/>
      </c>
      <c r="AK1084" s="9" t="str">
        <f t="shared" ca="1" si="380"/>
        <v/>
      </c>
      <c r="AL1084" s="9" t="str">
        <f t="shared" ca="1" si="381"/>
        <v/>
      </c>
      <c r="AM1084" s="9" t="str">
        <f t="shared" ca="1" si="382"/>
        <v/>
      </c>
      <c r="AN1084" s="9" t="str">
        <f t="shared" ca="1" si="383"/>
        <v/>
      </c>
      <c r="AO1084" s="9" t="str">
        <f t="shared" ca="1" si="384"/>
        <v/>
      </c>
      <c r="AP1084" s="9" t="str">
        <f t="shared" ca="1" si="385"/>
        <v/>
      </c>
      <c r="AQ1084" s="9"/>
      <c r="AR1084" s="9"/>
      <c r="AS1084" s="9"/>
      <c r="AT1084" s="9"/>
      <c r="AU1084" s="9"/>
    </row>
    <row r="1085" spans="1:47" x14ac:dyDescent="0.3">
      <c r="A1085" s="1">
        <v>45035</v>
      </c>
      <c r="B1085" s="6">
        <v>380.10998499999999</v>
      </c>
      <c r="C1085" s="6">
        <v>378.76998900000001</v>
      </c>
      <c r="D1085" s="6">
        <v>52.490001999999997</v>
      </c>
      <c r="E1085" s="6">
        <v>184.720001</v>
      </c>
      <c r="F1085" s="6">
        <v>106.910004</v>
      </c>
      <c r="G1085" s="6">
        <v>41.630001</v>
      </c>
      <c r="H1085" s="6">
        <v>147.53999300000001</v>
      </c>
      <c r="I1085" s="6">
        <v>239.770004</v>
      </c>
      <c r="J1085" s="6">
        <v>37.490001999999997</v>
      </c>
      <c r="K1085" s="6">
        <v>14.29</v>
      </c>
      <c r="N1085" s="19">
        <v>1081</v>
      </c>
      <c r="O1085" s="1">
        <v>45035</v>
      </c>
      <c r="P1085" s="5">
        <f t="shared" si="386"/>
        <v>6.7576665873926795E-3</v>
      </c>
      <c r="Q1085" s="5">
        <f t="shared" si="387"/>
        <v>-4.3730418461004721E-3</v>
      </c>
      <c r="R1085" s="5">
        <f t="shared" si="388"/>
        <v>-3.613163508376952E-3</v>
      </c>
      <c r="S1085" s="5">
        <f t="shared" si="389"/>
        <v>-5.953240555043838E-4</v>
      </c>
      <c r="T1085" s="5">
        <f t="shared" si="390"/>
        <v>9.0201400409911665E-3</v>
      </c>
      <c r="U1085" s="5">
        <f t="shared" si="391"/>
        <v>1.0382804600697399E-2</v>
      </c>
      <c r="V1085" s="5">
        <f t="shared" si="392"/>
        <v>-5.0030935271392621E-3</v>
      </c>
      <c r="W1085" s="5">
        <f t="shared" si="393"/>
        <v>-1.0248843693437218E-2</v>
      </c>
      <c r="X1085" s="5">
        <f t="shared" si="394"/>
        <v>-2.4243558262434815E-2</v>
      </c>
      <c r="Y1085" s="5">
        <f t="shared" si="395"/>
        <v>1.4005604530310199E-3</v>
      </c>
      <c r="Z1085" s="33">
        <v>1081</v>
      </c>
      <c r="AE1085" s="20" t="str">
        <f t="shared" si="396"/>
        <v/>
      </c>
      <c r="AF1085" s="22" t="str">
        <f t="shared" si="397"/>
        <v/>
      </c>
      <c r="AG1085" s="9" t="str">
        <f t="shared" ca="1" si="376"/>
        <v/>
      </c>
      <c r="AH1085" s="9" t="str">
        <f t="shared" ca="1" si="377"/>
        <v/>
      </c>
      <c r="AI1085" s="9" t="str">
        <f t="shared" ca="1" si="378"/>
        <v/>
      </c>
      <c r="AJ1085" s="9" t="str">
        <f t="shared" ca="1" si="379"/>
        <v/>
      </c>
      <c r="AK1085" s="9" t="str">
        <f t="shared" ca="1" si="380"/>
        <v/>
      </c>
      <c r="AL1085" s="9" t="str">
        <f t="shared" ca="1" si="381"/>
        <v/>
      </c>
      <c r="AM1085" s="9" t="str">
        <f t="shared" ca="1" si="382"/>
        <v/>
      </c>
      <c r="AN1085" s="9" t="str">
        <f t="shared" ca="1" si="383"/>
        <v/>
      </c>
      <c r="AO1085" s="9" t="str">
        <f t="shared" ca="1" si="384"/>
        <v/>
      </c>
      <c r="AP1085" s="9" t="str">
        <f t="shared" ca="1" si="385"/>
        <v/>
      </c>
      <c r="AQ1085" s="9"/>
      <c r="AR1085" s="9"/>
      <c r="AS1085" s="9"/>
      <c r="AT1085" s="9"/>
      <c r="AU1085" s="9"/>
    </row>
    <row r="1086" spans="1:47" x14ac:dyDescent="0.3">
      <c r="A1086" s="1">
        <v>45036</v>
      </c>
      <c r="B1086" s="6">
        <v>380.26001000000002</v>
      </c>
      <c r="C1086" s="6">
        <v>377.55999800000001</v>
      </c>
      <c r="D1086" s="6">
        <v>52.900002000000001</v>
      </c>
      <c r="E1086" s="6">
        <v>185.33000200000001</v>
      </c>
      <c r="F1086" s="6">
        <v>106.379997</v>
      </c>
      <c r="G1086" s="6">
        <v>41.630001</v>
      </c>
      <c r="H1086" s="6">
        <v>147.220001</v>
      </c>
      <c r="I1086" s="6">
        <v>258.89001500000001</v>
      </c>
      <c r="J1086" s="6">
        <v>37.299999</v>
      </c>
      <c r="K1086" s="6">
        <v>13.83</v>
      </c>
      <c r="N1086" s="18">
        <v>1082</v>
      </c>
      <c r="O1086" s="1">
        <v>45036</v>
      </c>
      <c r="P1086" s="5">
        <f t="shared" si="386"/>
        <v>3.9461052627899981E-4</v>
      </c>
      <c r="Q1086" s="5">
        <f t="shared" si="387"/>
        <v>-3.1996405090137224E-3</v>
      </c>
      <c r="R1086" s="5">
        <f t="shared" si="388"/>
        <v>7.7806633047330445E-3</v>
      </c>
      <c r="S1086" s="5">
        <f t="shared" si="389"/>
        <v>3.296860140941034E-3</v>
      </c>
      <c r="T1086" s="5">
        <f t="shared" si="390"/>
        <v>-4.9698353266740937E-3</v>
      </c>
      <c r="U1086" s="5">
        <f t="shared" si="391"/>
        <v>0</v>
      </c>
      <c r="V1086" s="5">
        <f t="shared" si="392"/>
        <v>-2.1712045882791753E-3</v>
      </c>
      <c r="W1086" s="5">
        <f t="shared" si="393"/>
        <v>7.6723171803140783E-2</v>
      </c>
      <c r="X1086" s="5">
        <f t="shared" si="394"/>
        <v>-5.0809842552604328E-3</v>
      </c>
      <c r="Y1086" s="5">
        <f t="shared" si="395"/>
        <v>-3.2719846265109188E-2</v>
      </c>
      <c r="Z1086" s="33">
        <v>1082</v>
      </c>
      <c r="AE1086" s="20" t="str">
        <f t="shared" si="396"/>
        <v/>
      </c>
      <c r="AF1086" s="22" t="str">
        <f t="shared" si="397"/>
        <v/>
      </c>
      <c r="AG1086" s="9" t="str">
        <f t="shared" ca="1" si="376"/>
        <v/>
      </c>
      <c r="AH1086" s="9" t="str">
        <f t="shared" ca="1" si="377"/>
        <v/>
      </c>
      <c r="AI1086" s="9" t="str">
        <f t="shared" ca="1" si="378"/>
        <v/>
      </c>
      <c r="AJ1086" s="9" t="str">
        <f t="shared" ca="1" si="379"/>
        <v/>
      </c>
      <c r="AK1086" s="9" t="str">
        <f t="shared" ca="1" si="380"/>
        <v/>
      </c>
      <c r="AL1086" s="9" t="str">
        <f t="shared" ca="1" si="381"/>
        <v/>
      </c>
      <c r="AM1086" s="9" t="str">
        <f t="shared" ca="1" si="382"/>
        <v/>
      </c>
      <c r="AN1086" s="9" t="str">
        <f t="shared" ca="1" si="383"/>
        <v/>
      </c>
      <c r="AO1086" s="9" t="str">
        <f t="shared" ca="1" si="384"/>
        <v/>
      </c>
      <c r="AP1086" s="9" t="str">
        <f t="shared" ca="1" si="385"/>
        <v/>
      </c>
      <c r="AQ1086" s="9"/>
      <c r="AR1086" s="9"/>
      <c r="AS1086" s="9"/>
      <c r="AT1086" s="9"/>
      <c r="AU1086" s="9"/>
    </row>
    <row r="1087" spans="1:47" x14ac:dyDescent="0.3">
      <c r="A1087" s="1">
        <v>45037</v>
      </c>
      <c r="B1087" s="6">
        <v>377.67001299999998</v>
      </c>
      <c r="C1087" s="6">
        <v>377.26001000000002</v>
      </c>
      <c r="D1087" s="6">
        <v>53.07</v>
      </c>
      <c r="E1087" s="6">
        <v>185.41000399999999</v>
      </c>
      <c r="F1087" s="6">
        <v>106.790001</v>
      </c>
      <c r="G1087" s="6">
        <v>41.529998999999997</v>
      </c>
      <c r="H1087" s="6">
        <v>147.679993</v>
      </c>
      <c r="I1087" s="6">
        <v>263.01001000000002</v>
      </c>
      <c r="J1087" s="6">
        <v>37.5</v>
      </c>
      <c r="K1087" s="6">
        <v>13.58</v>
      </c>
      <c r="N1087" s="19">
        <v>1083</v>
      </c>
      <c r="O1087" s="1">
        <v>45037</v>
      </c>
      <c r="P1087" s="5">
        <f t="shared" si="386"/>
        <v>-6.8344227113740106E-3</v>
      </c>
      <c r="Q1087" s="5">
        <f t="shared" si="387"/>
        <v>-7.9485973507576239E-4</v>
      </c>
      <c r="R1087" s="5">
        <f t="shared" si="388"/>
        <v>3.2084201683673136E-3</v>
      </c>
      <c r="S1087" s="5">
        <f t="shared" si="389"/>
        <v>4.3158008279115895E-4</v>
      </c>
      <c r="T1087" s="5">
        <f t="shared" si="390"/>
        <v>3.8467374342450512E-3</v>
      </c>
      <c r="U1087" s="5">
        <f t="shared" si="391"/>
        <v>-2.4050516643396389E-3</v>
      </c>
      <c r="V1087" s="5">
        <f t="shared" si="392"/>
        <v>3.1196499316424107E-3</v>
      </c>
      <c r="W1087" s="5">
        <f t="shared" si="393"/>
        <v>1.5788773290496851E-2</v>
      </c>
      <c r="X1087" s="5">
        <f t="shared" si="394"/>
        <v>5.3476331362471629E-3</v>
      </c>
      <c r="Y1087" s="5">
        <f t="shared" si="395"/>
        <v>-1.8242023546116821E-2</v>
      </c>
      <c r="Z1087" s="33">
        <v>1083</v>
      </c>
      <c r="AE1087" s="20" t="str">
        <f t="shared" si="396"/>
        <v/>
      </c>
      <c r="AF1087" s="22" t="str">
        <f t="shared" si="397"/>
        <v/>
      </c>
      <c r="AG1087" s="9" t="str">
        <f t="shared" ca="1" si="376"/>
        <v/>
      </c>
      <c r="AH1087" s="9" t="str">
        <f t="shared" ca="1" si="377"/>
        <v/>
      </c>
      <c r="AI1087" s="9" t="str">
        <f t="shared" ca="1" si="378"/>
        <v/>
      </c>
      <c r="AJ1087" s="9" t="str">
        <f t="shared" ca="1" si="379"/>
        <v/>
      </c>
      <c r="AK1087" s="9" t="str">
        <f t="shared" ca="1" si="380"/>
        <v/>
      </c>
      <c r="AL1087" s="9" t="str">
        <f t="shared" ca="1" si="381"/>
        <v/>
      </c>
      <c r="AM1087" s="9" t="str">
        <f t="shared" ca="1" si="382"/>
        <v/>
      </c>
      <c r="AN1087" s="9" t="str">
        <f t="shared" ca="1" si="383"/>
        <v/>
      </c>
      <c r="AO1087" s="9" t="str">
        <f t="shared" ca="1" si="384"/>
        <v/>
      </c>
      <c r="AP1087" s="9" t="str">
        <f t="shared" ca="1" si="385"/>
        <v/>
      </c>
      <c r="AQ1087" s="9"/>
      <c r="AR1087" s="9"/>
      <c r="AS1087" s="9"/>
      <c r="AT1087" s="9"/>
      <c r="AU1087" s="9"/>
    </row>
    <row r="1088" spans="1:47" x14ac:dyDescent="0.3">
      <c r="A1088" s="1">
        <v>45040</v>
      </c>
      <c r="B1088" s="6">
        <v>377.33999599999999</v>
      </c>
      <c r="C1088" s="6">
        <v>375.67001299999998</v>
      </c>
      <c r="D1088" s="6">
        <v>53.700001</v>
      </c>
      <c r="E1088" s="6">
        <v>185.5</v>
      </c>
      <c r="F1088" s="6">
        <v>106.269997</v>
      </c>
      <c r="G1088" s="6">
        <v>41.16</v>
      </c>
      <c r="H1088" s="6">
        <v>148.60000600000001</v>
      </c>
      <c r="I1088" s="6">
        <v>259.11999500000002</v>
      </c>
      <c r="J1088" s="6">
        <v>37.369999</v>
      </c>
      <c r="K1088" s="6">
        <v>13.36</v>
      </c>
      <c r="N1088" s="18">
        <v>1084</v>
      </c>
      <c r="O1088" s="1">
        <v>45040</v>
      </c>
      <c r="P1088" s="5">
        <f t="shared" si="386"/>
        <v>-8.7420568491448805E-4</v>
      </c>
      <c r="Q1088" s="5">
        <f t="shared" si="387"/>
        <v>-4.2234983728938616E-3</v>
      </c>
      <c r="R1088" s="5">
        <f t="shared" si="388"/>
        <v>1.1801223296989242E-2</v>
      </c>
      <c r="S1088" s="5">
        <f t="shared" si="389"/>
        <v>4.8527136391868041E-4</v>
      </c>
      <c r="T1088" s="5">
        <f t="shared" si="390"/>
        <v>-4.8813013930033237E-3</v>
      </c>
      <c r="U1088" s="5">
        <f t="shared" si="391"/>
        <v>-8.9491225978339563E-3</v>
      </c>
      <c r="V1088" s="5">
        <f t="shared" si="392"/>
        <v>6.2104493057510935E-3</v>
      </c>
      <c r="W1088" s="5">
        <f t="shared" si="393"/>
        <v>-1.4900836722976629E-2</v>
      </c>
      <c r="X1088" s="5">
        <f t="shared" si="394"/>
        <v>-3.4727162384057104E-3</v>
      </c>
      <c r="Y1088" s="5">
        <f t="shared" si="395"/>
        <v>-1.6332954022050455E-2</v>
      </c>
      <c r="Z1088" s="33">
        <v>1084</v>
      </c>
      <c r="AE1088" s="20" t="str">
        <f t="shared" si="396"/>
        <v/>
      </c>
      <c r="AF1088" s="22" t="str">
        <f t="shared" si="397"/>
        <v/>
      </c>
      <c r="AG1088" s="9" t="str">
        <f t="shared" ca="1" si="376"/>
        <v/>
      </c>
      <c r="AH1088" s="9" t="str">
        <f t="shared" ca="1" si="377"/>
        <v/>
      </c>
      <c r="AI1088" s="9" t="str">
        <f t="shared" ca="1" si="378"/>
        <v/>
      </c>
      <c r="AJ1088" s="9" t="str">
        <f t="shared" ca="1" si="379"/>
        <v/>
      </c>
      <c r="AK1088" s="9" t="str">
        <f t="shared" ca="1" si="380"/>
        <v/>
      </c>
      <c r="AL1088" s="9" t="str">
        <f t="shared" ca="1" si="381"/>
        <v/>
      </c>
      <c r="AM1088" s="9" t="str">
        <f t="shared" ca="1" si="382"/>
        <v/>
      </c>
      <c r="AN1088" s="9" t="str">
        <f t="shared" ca="1" si="383"/>
        <v/>
      </c>
      <c r="AO1088" s="9" t="str">
        <f t="shared" ca="1" si="384"/>
        <v/>
      </c>
      <c r="AP1088" s="9" t="str">
        <f t="shared" ca="1" si="385"/>
        <v/>
      </c>
      <c r="AQ1088" s="9"/>
      <c r="AR1088" s="9"/>
      <c r="AS1088" s="9"/>
      <c r="AT1088" s="9"/>
      <c r="AU1088" s="9"/>
    </row>
    <row r="1089" spans="1:47" x14ac:dyDescent="0.3">
      <c r="A1089" s="1">
        <v>45041</v>
      </c>
      <c r="B1089" s="6">
        <v>369.58999599999999</v>
      </c>
      <c r="C1089" s="6">
        <v>364.52999899999998</v>
      </c>
      <c r="D1089" s="6">
        <v>54.209999000000003</v>
      </c>
      <c r="E1089" s="6">
        <v>189.71000699999999</v>
      </c>
      <c r="F1089" s="6">
        <v>104.860001</v>
      </c>
      <c r="G1089" s="6">
        <v>40.860000999999997</v>
      </c>
      <c r="H1089" s="6">
        <v>145.46000699999999</v>
      </c>
      <c r="I1089" s="6">
        <v>257.85000600000001</v>
      </c>
      <c r="J1089" s="6">
        <v>37</v>
      </c>
      <c r="K1089" s="6">
        <v>12.81</v>
      </c>
      <c r="N1089" s="19">
        <v>1085</v>
      </c>
      <c r="O1089" s="1">
        <v>45041</v>
      </c>
      <c r="P1089" s="5">
        <f t="shared" si="386"/>
        <v>-2.0752354881306102E-2</v>
      </c>
      <c r="Q1089" s="5">
        <f t="shared" si="387"/>
        <v>-3.0102283206231109E-2</v>
      </c>
      <c r="R1089" s="5">
        <f t="shared" si="388"/>
        <v>9.4523546886728649E-3</v>
      </c>
      <c r="S1089" s="5">
        <f t="shared" si="389"/>
        <v>2.2441745215387422E-2</v>
      </c>
      <c r="T1089" s="5">
        <f t="shared" si="390"/>
        <v>-1.3356860473711679E-2</v>
      </c>
      <c r="U1089" s="5">
        <f t="shared" si="391"/>
        <v>-7.3152971025601766E-3</v>
      </c>
      <c r="V1089" s="5">
        <f t="shared" si="392"/>
        <v>-2.1356989810919873E-2</v>
      </c>
      <c r="W1089" s="5">
        <f t="shared" si="393"/>
        <v>-4.9132118006843736E-3</v>
      </c>
      <c r="X1089" s="5">
        <f t="shared" si="394"/>
        <v>-9.9503040937350736E-3</v>
      </c>
      <c r="Y1089" s="5">
        <f t="shared" si="395"/>
        <v>-4.203905219985668E-2</v>
      </c>
      <c r="Z1089" s="33">
        <v>1085</v>
      </c>
      <c r="AE1089" s="20" t="str">
        <f t="shared" si="396"/>
        <v/>
      </c>
      <c r="AF1089" s="22" t="str">
        <f t="shared" si="397"/>
        <v/>
      </c>
      <c r="AG1089" s="9" t="str">
        <f t="shared" ca="1" si="376"/>
        <v/>
      </c>
      <c r="AH1089" s="9" t="str">
        <f t="shared" ca="1" si="377"/>
        <v/>
      </c>
      <c r="AI1089" s="9" t="str">
        <f t="shared" ca="1" si="378"/>
        <v/>
      </c>
      <c r="AJ1089" s="9" t="str">
        <f t="shared" ca="1" si="379"/>
        <v/>
      </c>
      <c r="AK1089" s="9" t="str">
        <f t="shared" ca="1" si="380"/>
        <v/>
      </c>
      <c r="AL1089" s="9" t="str">
        <f t="shared" ca="1" si="381"/>
        <v/>
      </c>
      <c r="AM1089" s="9" t="str">
        <f t="shared" ca="1" si="382"/>
        <v/>
      </c>
      <c r="AN1089" s="9" t="str">
        <f t="shared" ca="1" si="383"/>
        <v/>
      </c>
      <c r="AO1089" s="9" t="str">
        <f t="shared" ca="1" si="384"/>
        <v/>
      </c>
      <c r="AP1089" s="9" t="str">
        <f t="shared" ca="1" si="385"/>
        <v/>
      </c>
      <c r="AQ1089" s="9"/>
      <c r="AR1089" s="9"/>
      <c r="AS1089" s="9"/>
      <c r="AT1089" s="9"/>
      <c r="AU1089" s="9"/>
    </row>
    <row r="1090" spans="1:47" x14ac:dyDescent="0.3">
      <c r="A1090" s="1">
        <v>45042</v>
      </c>
      <c r="B1090" s="6">
        <v>363.05999800000001</v>
      </c>
      <c r="C1090" s="6">
        <v>365.10000600000001</v>
      </c>
      <c r="D1090" s="6">
        <v>54.259998000000003</v>
      </c>
      <c r="E1090" s="6">
        <v>188.53999300000001</v>
      </c>
      <c r="F1090" s="6">
        <v>104.029999</v>
      </c>
      <c r="G1090" s="6">
        <v>40.57</v>
      </c>
      <c r="H1090" s="6">
        <v>140.80999800000001</v>
      </c>
      <c r="I1090" s="6">
        <v>254.13000500000001</v>
      </c>
      <c r="J1090" s="6">
        <v>36.549999</v>
      </c>
      <c r="K1090" s="6">
        <v>12.58</v>
      </c>
      <c r="N1090" s="18">
        <v>1086</v>
      </c>
      <c r="O1090" s="1">
        <v>45042</v>
      </c>
      <c r="P1090" s="5">
        <f t="shared" si="386"/>
        <v>-1.7826167948087626E-2</v>
      </c>
      <c r="Q1090" s="5">
        <f t="shared" si="387"/>
        <v>1.562455250073258E-3</v>
      </c>
      <c r="R1090" s="5">
        <f t="shared" si="388"/>
        <v>9.2189554575439257E-4</v>
      </c>
      <c r="S1090" s="5">
        <f t="shared" si="389"/>
        <v>-6.1864784222735647E-3</v>
      </c>
      <c r="T1090" s="5">
        <f t="shared" si="390"/>
        <v>-7.9468272107194628E-3</v>
      </c>
      <c r="U1090" s="5">
        <f t="shared" si="391"/>
        <v>-7.1227366449328035E-3</v>
      </c>
      <c r="V1090" s="5">
        <f t="shared" si="392"/>
        <v>-3.2489733123905212E-2</v>
      </c>
      <c r="W1090" s="5">
        <f t="shared" si="393"/>
        <v>-1.4532076979771708E-2</v>
      </c>
      <c r="X1090" s="5">
        <f t="shared" si="394"/>
        <v>-1.2236753808218452E-2</v>
      </c>
      <c r="Y1090" s="5">
        <f t="shared" si="395"/>
        <v>-1.8117864636348433E-2</v>
      </c>
      <c r="Z1090" s="33">
        <v>1086</v>
      </c>
      <c r="AE1090" s="20" t="str">
        <f t="shared" si="396"/>
        <v/>
      </c>
      <c r="AF1090" s="22" t="str">
        <f t="shared" si="397"/>
        <v/>
      </c>
      <c r="AG1090" s="9" t="str">
        <f t="shared" ca="1" si="376"/>
        <v/>
      </c>
      <c r="AH1090" s="9" t="str">
        <f t="shared" ca="1" si="377"/>
        <v/>
      </c>
      <c r="AI1090" s="9" t="str">
        <f t="shared" ca="1" si="378"/>
        <v/>
      </c>
      <c r="AJ1090" s="9" t="str">
        <f t="shared" ca="1" si="379"/>
        <v/>
      </c>
      <c r="AK1090" s="9" t="str">
        <f t="shared" ca="1" si="380"/>
        <v/>
      </c>
      <c r="AL1090" s="9" t="str">
        <f t="shared" ca="1" si="381"/>
        <v/>
      </c>
      <c r="AM1090" s="9" t="str">
        <f t="shared" ca="1" si="382"/>
        <v/>
      </c>
      <c r="AN1090" s="9" t="str">
        <f t="shared" ca="1" si="383"/>
        <v/>
      </c>
      <c r="AO1090" s="9" t="str">
        <f t="shared" ca="1" si="384"/>
        <v/>
      </c>
      <c r="AP1090" s="9" t="str">
        <f t="shared" ca="1" si="385"/>
        <v/>
      </c>
      <c r="AQ1090" s="9"/>
      <c r="AR1090" s="9"/>
      <c r="AS1090" s="9"/>
      <c r="AT1090" s="9"/>
      <c r="AU1090" s="9"/>
    </row>
    <row r="1091" spans="1:47" x14ac:dyDescent="0.3">
      <c r="A1091" s="1">
        <v>45043</v>
      </c>
      <c r="B1091" s="6">
        <v>371.42001299999998</v>
      </c>
      <c r="C1091" s="6">
        <v>368.39001500000001</v>
      </c>
      <c r="D1091" s="6">
        <v>55.279998999999997</v>
      </c>
      <c r="E1091" s="6">
        <v>189.69000199999999</v>
      </c>
      <c r="F1091" s="6">
        <v>106.529999</v>
      </c>
      <c r="G1091" s="6">
        <v>41.09</v>
      </c>
      <c r="H1091" s="6">
        <v>144.58000200000001</v>
      </c>
      <c r="I1091" s="6">
        <v>259.39999399999999</v>
      </c>
      <c r="J1091" s="6">
        <v>35.209999000000003</v>
      </c>
      <c r="K1091" s="6">
        <v>13.09</v>
      </c>
      <c r="N1091" s="19">
        <v>1087</v>
      </c>
      <c r="O1091" s="1">
        <v>45043</v>
      </c>
      <c r="P1091" s="5">
        <f t="shared" si="386"/>
        <v>2.2765428412160185E-2</v>
      </c>
      <c r="Q1091" s="5">
        <f t="shared" si="387"/>
        <v>8.9708952267558862E-3</v>
      </c>
      <c r="R1091" s="5">
        <f t="shared" si="388"/>
        <v>1.8623890998469193E-2</v>
      </c>
      <c r="S1091" s="5">
        <f t="shared" si="389"/>
        <v>6.0810224415460993E-3</v>
      </c>
      <c r="T1091" s="5">
        <f t="shared" si="390"/>
        <v>2.3747316765886962E-2</v>
      </c>
      <c r="U1091" s="5">
        <f t="shared" si="391"/>
        <v>1.2735905676962513E-2</v>
      </c>
      <c r="V1091" s="5">
        <f t="shared" si="392"/>
        <v>2.6421551679639388E-2</v>
      </c>
      <c r="W1091" s="5">
        <f t="shared" si="393"/>
        <v>2.0525281965503957E-2</v>
      </c>
      <c r="X1091" s="5">
        <f t="shared" si="394"/>
        <v>-3.7351054070067564E-2</v>
      </c>
      <c r="Y1091" s="5">
        <f t="shared" si="395"/>
        <v>3.9740328649514121E-2</v>
      </c>
      <c r="Z1091" s="33">
        <v>1087</v>
      </c>
      <c r="AE1091" s="20" t="str">
        <f t="shared" si="396"/>
        <v/>
      </c>
      <c r="AF1091" s="22" t="str">
        <f t="shared" si="397"/>
        <v/>
      </c>
      <c r="AG1091" s="9" t="str">
        <f t="shared" ca="1" si="376"/>
        <v/>
      </c>
      <c r="AH1091" s="9" t="str">
        <f t="shared" ca="1" si="377"/>
        <v/>
      </c>
      <c r="AI1091" s="9" t="str">
        <f t="shared" ca="1" si="378"/>
        <v/>
      </c>
      <c r="AJ1091" s="9" t="str">
        <f t="shared" ca="1" si="379"/>
        <v/>
      </c>
      <c r="AK1091" s="9" t="str">
        <f t="shared" ca="1" si="380"/>
        <v/>
      </c>
      <c r="AL1091" s="9" t="str">
        <f t="shared" ca="1" si="381"/>
        <v/>
      </c>
      <c r="AM1091" s="9" t="str">
        <f t="shared" ca="1" si="382"/>
        <v/>
      </c>
      <c r="AN1091" s="9" t="str">
        <f t="shared" ca="1" si="383"/>
        <v/>
      </c>
      <c r="AO1091" s="9" t="str">
        <f t="shared" ca="1" si="384"/>
        <v/>
      </c>
      <c r="AP1091" s="9" t="str">
        <f t="shared" ca="1" si="385"/>
        <v/>
      </c>
      <c r="AQ1091" s="9"/>
      <c r="AR1091" s="9"/>
      <c r="AS1091" s="9"/>
      <c r="AT1091" s="9"/>
      <c r="AU1091" s="9"/>
    </row>
    <row r="1092" spans="1:47" x14ac:dyDescent="0.3">
      <c r="A1092" s="1">
        <v>45044</v>
      </c>
      <c r="B1092" s="6">
        <v>377.55999800000001</v>
      </c>
      <c r="C1092" s="6">
        <v>371.32000699999998</v>
      </c>
      <c r="D1092" s="6">
        <v>56</v>
      </c>
      <c r="E1092" s="6">
        <v>190.88999899999999</v>
      </c>
      <c r="F1092" s="6">
        <v>110.050003</v>
      </c>
      <c r="G1092" s="6">
        <v>41.330002</v>
      </c>
      <c r="H1092" s="6">
        <v>146.16000399999999</v>
      </c>
      <c r="I1092" s="6">
        <v>259.41000400000001</v>
      </c>
      <c r="J1092" s="6">
        <v>35.729999999999997</v>
      </c>
      <c r="K1092" s="6">
        <v>13.61</v>
      </c>
      <c r="N1092" s="18">
        <v>1088</v>
      </c>
      <c r="O1092" s="1">
        <v>45044</v>
      </c>
      <c r="P1092" s="5">
        <f t="shared" si="386"/>
        <v>1.6395958393858316E-2</v>
      </c>
      <c r="Q1092" s="5">
        <f t="shared" si="387"/>
        <v>7.9220430611952608E-3</v>
      </c>
      <c r="R1092" s="5">
        <f t="shared" si="388"/>
        <v>1.2940529365460118E-2</v>
      </c>
      <c r="S1092" s="5">
        <f t="shared" si="389"/>
        <v>6.3061693920414856E-3</v>
      </c>
      <c r="T1092" s="5">
        <f t="shared" si="390"/>
        <v>3.2508208996727489E-2</v>
      </c>
      <c r="U1092" s="5">
        <f t="shared" si="391"/>
        <v>5.8238940193205769E-3</v>
      </c>
      <c r="V1092" s="5">
        <f t="shared" si="392"/>
        <v>1.0868938031696477E-2</v>
      </c>
      <c r="W1092" s="5">
        <f t="shared" si="393"/>
        <v>3.858830801194082E-5</v>
      </c>
      <c r="X1092" s="5">
        <f t="shared" si="394"/>
        <v>1.46605672693799E-2</v>
      </c>
      <c r="Y1092" s="5">
        <f t="shared" si="395"/>
        <v>3.895623674156614E-2</v>
      </c>
      <c r="Z1092" s="33">
        <v>1088</v>
      </c>
      <c r="AE1092" s="20" t="str">
        <f t="shared" si="396"/>
        <v/>
      </c>
      <c r="AF1092" s="22" t="str">
        <f t="shared" si="397"/>
        <v/>
      </c>
      <c r="AG1092" s="9" t="str">
        <f t="shared" ca="1" si="376"/>
        <v/>
      </c>
      <c r="AH1092" s="9" t="str">
        <f t="shared" ca="1" si="377"/>
        <v/>
      </c>
      <c r="AI1092" s="9" t="str">
        <f t="shared" ca="1" si="378"/>
        <v/>
      </c>
      <c r="AJ1092" s="9" t="str">
        <f t="shared" ca="1" si="379"/>
        <v/>
      </c>
      <c r="AK1092" s="9" t="str">
        <f t="shared" ca="1" si="380"/>
        <v/>
      </c>
      <c r="AL1092" s="9" t="str">
        <f t="shared" ca="1" si="381"/>
        <v/>
      </c>
      <c r="AM1092" s="9" t="str">
        <f t="shared" ca="1" si="382"/>
        <v/>
      </c>
      <c r="AN1092" s="9" t="str">
        <f t="shared" ca="1" si="383"/>
        <v/>
      </c>
      <c r="AO1092" s="9" t="str">
        <f t="shared" ca="1" si="384"/>
        <v/>
      </c>
      <c r="AP1092" s="9" t="str">
        <f t="shared" ca="1" si="385"/>
        <v/>
      </c>
      <c r="AQ1092" s="9"/>
      <c r="AR1092" s="9"/>
      <c r="AS1092" s="9"/>
      <c r="AT1092" s="9"/>
      <c r="AU1092" s="9"/>
    </row>
    <row r="1093" spans="1:47" x14ac:dyDescent="0.3">
      <c r="A1093" s="1">
        <v>45047</v>
      </c>
      <c r="B1093" s="6">
        <v>374.14999399999999</v>
      </c>
      <c r="C1093" s="6">
        <v>371.61999500000002</v>
      </c>
      <c r="D1093" s="6">
        <v>56.84</v>
      </c>
      <c r="E1093" s="6">
        <v>191.679993</v>
      </c>
      <c r="F1093" s="6">
        <v>111.269997</v>
      </c>
      <c r="G1093" s="6">
        <v>41.220001000000003</v>
      </c>
      <c r="H1093" s="6">
        <v>146.41000399999999</v>
      </c>
      <c r="I1093" s="6">
        <v>262.45001200000002</v>
      </c>
      <c r="J1093" s="6">
        <v>36.150002000000001</v>
      </c>
      <c r="K1093" s="6">
        <v>13.29</v>
      </c>
      <c r="N1093" s="19">
        <v>1089</v>
      </c>
      <c r="O1093" s="1">
        <v>45047</v>
      </c>
      <c r="P1093" s="5">
        <f t="shared" si="386"/>
        <v>-9.0727206695540505E-3</v>
      </c>
      <c r="Q1093" s="5">
        <f t="shared" si="387"/>
        <v>8.0756996660839202E-4</v>
      </c>
      <c r="R1093" s="5">
        <f t="shared" si="388"/>
        <v>1.4888612493750777E-2</v>
      </c>
      <c r="S1093" s="5">
        <f t="shared" si="389"/>
        <v>4.1299377336938671E-3</v>
      </c>
      <c r="T1093" s="5">
        <f t="shared" si="390"/>
        <v>1.1024817975357095E-2</v>
      </c>
      <c r="U1093" s="5">
        <f t="shared" si="391"/>
        <v>-2.6650771922584349E-3</v>
      </c>
      <c r="V1093" s="5">
        <f t="shared" si="392"/>
        <v>1.7089930889089937E-3</v>
      </c>
      <c r="W1093" s="5">
        <f t="shared" si="393"/>
        <v>1.165079636124822E-2</v>
      </c>
      <c r="X1093" s="5">
        <f t="shared" si="394"/>
        <v>1.1686331894488478E-2</v>
      </c>
      <c r="Y1093" s="5">
        <f t="shared" si="395"/>
        <v>-2.3792943938220748E-2</v>
      </c>
      <c r="Z1093" s="33">
        <v>1089</v>
      </c>
      <c r="AE1093" s="20" t="str">
        <f t="shared" si="396"/>
        <v/>
      </c>
      <c r="AF1093" s="22" t="str">
        <f t="shared" si="397"/>
        <v/>
      </c>
      <c r="AG1093" s="9" t="str">
        <f t="shared" ref="AG1093:AG1156" ca="1" si="398">IF($AE1093="","",OFFSET(P$4,$AE1093,0))</f>
        <v/>
      </c>
      <c r="AH1093" s="9" t="str">
        <f t="shared" ref="AH1093:AH1156" ca="1" si="399">IF($AE1093="","",OFFSET(Q$4,$AE1093,0))</f>
        <v/>
      </c>
      <c r="AI1093" s="9" t="str">
        <f t="shared" ref="AI1093:AI1156" ca="1" si="400">IF($AE1093="","",OFFSET(R$4,$AE1093,0))</f>
        <v/>
      </c>
      <c r="AJ1093" s="9" t="str">
        <f t="shared" ref="AJ1093:AJ1156" ca="1" si="401">IF($AE1093="","",OFFSET(S$4,$AE1093,0))</f>
        <v/>
      </c>
      <c r="AK1093" s="9" t="str">
        <f t="shared" ref="AK1093:AK1156" ca="1" si="402">IF($AE1093="","",OFFSET(T$4,$AE1093,0))</f>
        <v/>
      </c>
      <c r="AL1093" s="9" t="str">
        <f t="shared" ref="AL1093:AL1156" ca="1" si="403">IF($AE1093="","",OFFSET(U$4,$AE1093,0))</f>
        <v/>
      </c>
      <c r="AM1093" s="9" t="str">
        <f t="shared" ref="AM1093:AM1156" ca="1" si="404">IF($AE1093="","",OFFSET(V$4,$AE1093,0))</f>
        <v/>
      </c>
      <c r="AN1093" s="9" t="str">
        <f t="shared" ref="AN1093:AN1156" ca="1" si="405">IF($AE1093="","",OFFSET(W$4,$AE1093,0))</f>
        <v/>
      </c>
      <c r="AO1093" s="9" t="str">
        <f t="shared" ref="AO1093:AO1156" ca="1" si="406">IF($AE1093="","",OFFSET(X$4,$AE1093,0))</f>
        <v/>
      </c>
      <c r="AP1093" s="9" t="str">
        <f t="shared" ref="AP1093:AP1156" ca="1" si="407">IF($AE1093="","",OFFSET(Y$4,$AE1093,0))</f>
        <v/>
      </c>
      <c r="AQ1093" s="9"/>
      <c r="AR1093" s="9"/>
      <c r="AS1093" s="9"/>
      <c r="AT1093" s="9"/>
      <c r="AU1093" s="9"/>
    </row>
    <row r="1094" spans="1:47" x14ac:dyDescent="0.3">
      <c r="A1094" s="1">
        <v>45048</v>
      </c>
      <c r="B1094" s="6">
        <v>368.66000400000001</v>
      </c>
      <c r="C1094" s="6">
        <v>368.82998700000002</v>
      </c>
      <c r="D1094" s="6">
        <v>57.540000999999997</v>
      </c>
      <c r="E1094" s="6">
        <v>192.25</v>
      </c>
      <c r="F1094" s="6">
        <v>109.30999799999999</v>
      </c>
      <c r="G1094" s="6">
        <v>40.18</v>
      </c>
      <c r="H1094" s="6">
        <v>144.740005</v>
      </c>
      <c r="I1094" s="6">
        <v>262.07998700000002</v>
      </c>
      <c r="J1094" s="6">
        <v>35.639999000000003</v>
      </c>
      <c r="K1094" s="6">
        <v>12.69</v>
      </c>
      <c r="N1094" s="18">
        <v>1090</v>
      </c>
      <c r="O1094" s="1">
        <v>45048</v>
      </c>
      <c r="P1094" s="5">
        <f t="shared" ref="P1094:P1157" si="408">LN(B1094/B1093)</f>
        <v>-1.4781949571885042E-2</v>
      </c>
      <c r="Q1094" s="5">
        <f t="shared" ref="Q1094:Q1157" si="409">LN(C1094/C1093)</f>
        <v>-7.5360153200878053E-3</v>
      </c>
      <c r="R1094" s="5">
        <f t="shared" ref="R1094:R1157" si="410">LN(D1094/D1093)</f>
        <v>1.2240072273716094E-2</v>
      </c>
      <c r="S1094" s="5">
        <f t="shared" ref="S1094:S1157" si="411">LN(E1094/E1093)</f>
        <v>2.9693299778681156E-3</v>
      </c>
      <c r="T1094" s="5">
        <f t="shared" ref="T1094:T1157" si="412">LN(F1094/F1093)</f>
        <v>-1.7771789199007518E-2</v>
      </c>
      <c r="U1094" s="5">
        <f t="shared" ref="U1094:U1157" si="413">LN(G1094/G1093)</f>
        <v>-2.5554240335592292E-2</v>
      </c>
      <c r="V1094" s="5">
        <f t="shared" ref="V1094:V1157" si="414">LN(H1094/H1093)</f>
        <v>-1.1471868543246656E-2</v>
      </c>
      <c r="W1094" s="5">
        <f t="shared" ref="W1094:W1157" si="415">LN(I1094/I1093)</f>
        <v>-1.4108823597738501E-3</v>
      </c>
      <c r="X1094" s="5">
        <f t="shared" ref="X1094:X1157" si="416">LN(J1094/J1093)</f>
        <v>-1.4208429385559941E-2</v>
      </c>
      <c r="Y1094" s="5">
        <f t="shared" ref="Y1094:Y1157" si="417">LN(K1094/K1093)</f>
        <v>-4.619759099885766E-2</v>
      </c>
      <c r="Z1094" s="33">
        <v>1090</v>
      </c>
      <c r="AE1094" s="20" t="str">
        <f t="shared" ref="AE1094:AE1157" si="418">IF(AE1093="","",IF(AE1093+1&lt;=$AC$5,AE1093+1,""))</f>
        <v/>
      </c>
      <c r="AF1094" s="22" t="str">
        <f t="shared" ref="AF1094:AF1157" si="419">IF(AE1094="","",VLOOKUP(AE1094,N1093:O2350,2))</f>
        <v/>
      </c>
      <c r="AG1094" s="9" t="str">
        <f t="shared" ca="1" si="398"/>
        <v/>
      </c>
      <c r="AH1094" s="9" t="str">
        <f t="shared" ca="1" si="399"/>
        <v/>
      </c>
      <c r="AI1094" s="9" t="str">
        <f t="shared" ca="1" si="400"/>
        <v/>
      </c>
      <c r="AJ1094" s="9" t="str">
        <f t="shared" ca="1" si="401"/>
        <v/>
      </c>
      <c r="AK1094" s="9" t="str">
        <f t="shared" ca="1" si="402"/>
        <v/>
      </c>
      <c r="AL1094" s="9" t="str">
        <f t="shared" ca="1" si="403"/>
        <v/>
      </c>
      <c r="AM1094" s="9" t="str">
        <f t="shared" ca="1" si="404"/>
        <v/>
      </c>
      <c r="AN1094" s="9" t="str">
        <f t="shared" ca="1" si="405"/>
        <v/>
      </c>
      <c r="AO1094" s="9" t="str">
        <f t="shared" ca="1" si="406"/>
        <v/>
      </c>
      <c r="AP1094" s="9" t="str">
        <f t="shared" ca="1" si="407"/>
        <v/>
      </c>
      <c r="AQ1094" s="9"/>
      <c r="AR1094" s="9"/>
      <c r="AS1094" s="9"/>
      <c r="AT1094" s="9"/>
      <c r="AU1094" s="9"/>
    </row>
    <row r="1095" spans="1:47" x14ac:dyDescent="0.3">
      <c r="A1095" s="1">
        <v>45049</v>
      </c>
      <c r="B1095" s="6">
        <v>345.25</v>
      </c>
      <c r="C1095" s="6">
        <v>368</v>
      </c>
      <c r="D1095" s="6">
        <v>58.360000999999997</v>
      </c>
      <c r="E1095" s="6">
        <v>192.179993</v>
      </c>
      <c r="F1095" s="6">
        <v>109.19000200000001</v>
      </c>
      <c r="G1095" s="6">
        <v>40.189999</v>
      </c>
      <c r="H1095" s="6">
        <v>144.39999399999999</v>
      </c>
      <c r="I1095" s="6">
        <v>262.36999500000002</v>
      </c>
      <c r="J1095" s="6">
        <v>34.659999999999997</v>
      </c>
      <c r="K1095" s="6">
        <v>12.83</v>
      </c>
      <c r="N1095" s="19">
        <v>1091</v>
      </c>
      <c r="O1095" s="1">
        <v>45049</v>
      </c>
      <c r="P1095" s="5">
        <f t="shared" si="408"/>
        <v>-6.5606028628731827E-2</v>
      </c>
      <c r="Q1095" s="5">
        <f t="shared" si="409"/>
        <v>-2.2528598609856273E-3</v>
      </c>
      <c r="R1095" s="5">
        <f t="shared" si="410"/>
        <v>1.4150365286992535E-2</v>
      </c>
      <c r="S1095" s="5">
        <f t="shared" si="411"/>
        <v>-3.6421196081793045E-4</v>
      </c>
      <c r="T1095" s="5">
        <f t="shared" si="412"/>
        <v>-1.0983616664856891E-3</v>
      </c>
      <c r="U1095" s="5">
        <f t="shared" si="413"/>
        <v>2.4882419250979616E-4</v>
      </c>
      <c r="V1095" s="5">
        <f t="shared" si="414"/>
        <v>-2.3518790752035056E-3</v>
      </c>
      <c r="W1095" s="5">
        <f t="shared" si="415"/>
        <v>1.1059511469665706E-3</v>
      </c>
      <c r="X1095" s="5">
        <f t="shared" si="416"/>
        <v>-2.7882290256786957E-2</v>
      </c>
      <c r="Y1095" s="5">
        <f t="shared" si="417"/>
        <v>1.0971896901248782E-2</v>
      </c>
      <c r="Z1095" s="33">
        <v>1091</v>
      </c>
      <c r="AE1095" s="20" t="str">
        <f t="shared" si="418"/>
        <v/>
      </c>
      <c r="AF1095" s="22" t="str">
        <f t="shared" si="419"/>
        <v/>
      </c>
      <c r="AG1095" s="9" t="str">
        <f t="shared" ca="1" si="398"/>
        <v/>
      </c>
      <c r="AH1095" s="9" t="str">
        <f t="shared" ca="1" si="399"/>
        <v/>
      </c>
      <c r="AI1095" s="9" t="str">
        <f t="shared" ca="1" si="400"/>
        <v/>
      </c>
      <c r="AJ1095" s="9" t="str">
        <f t="shared" ca="1" si="401"/>
        <v/>
      </c>
      <c r="AK1095" s="9" t="str">
        <f t="shared" ca="1" si="402"/>
        <v/>
      </c>
      <c r="AL1095" s="9" t="str">
        <f t="shared" ca="1" si="403"/>
        <v/>
      </c>
      <c r="AM1095" s="9" t="str">
        <f t="shared" ca="1" si="404"/>
        <v/>
      </c>
      <c r="AN1095" s="9" t="str">
        <f t="shared" ca="1" si="405"/>
        <v/>
      </c>
      <c r="AO1095" s="9" t="str">
        <f t="shared" ca="1" si="406"/>
        <v/>
      </c>
      <c r="AP1095" s="9" t="str">
        <f t="shared" ca="1" si="407"/>
        <v/>
      </c>
      <c r="AQ1095" s="9"/>
      <c r="AR1095" s="9"/>
      <c r="AS1095" s="9"/>
      <c r="AT1095" s="9"/>
      <c r="AU1095" s="9"/>
    </row>
    <row r="1096" spans="1:47" x14ac:dyDescent="0.3">
      <c r="A1096" s="1">
        <v>45050</v>
      </c>
      <c r="B1096" s="6">
        <v>335.82998700000002</v>
      </c>
      <c r="C1096" s="6">
        <v>366.61999500000002</v>
      </c>
      <c r="D1096" s="6">
        <v>57.82</v>
      </c>
      <c r="E1096" s="6">
        <v>193.38000500000001</v>
      </c>
      <c r="F1096" s="6">
        <v>108.779999</v>
      </c>
      <c r="G1096" s="6">
        <v>40.259998000000003</v>
      </c>
      <c r="H1096" s="6">
        <v>141.949997</v>
      </c>
      <c r="I1096" s="6">
        <v>258.67999300000002</v>
      </c>
      <c r="J1096" s="6">
        <v>34.220001000000003</v>
      </c>
      <c r="K1096" s="6">
        <v>12.33</v>
      </c>
      <c r="N1096" s="18">
        <v>1092</v>
      </c>
      <c r="O1096" s="1">
        <v>45050</v>
      </c>
      <c r="P1096" s="5">
        <f t="shared" si="408"/>
        <v>-2.7663751454306777E-2</v>
      </c>
      <c r="Q1096" s="5">
        <f t="shared" si="409"/>
        <v>-3.7570625158117026E-3</v>
      </c>
      <c r="R1096" s="5">
        <f t="shared" si="410"/>
        <v>-9.2960042014087214E-3</v>
      </c>
      <c r="S1096" s="5">
        <f t="shared" si="411"/>
        <v>6.2247944862937592E-3</v>
      </c>
      <c r="T1096" s="5">
        <f t="shared" si="412"/>
        <v>-3.7620175407220512E-3</v>
      </c>
      <c r="U1096" s="5">
        <f t="shared" si="413"/>
        <v>1.7401869552474071E-3</v>
      </c>
      <c r="V1096" s="5">
        <f t="shared" si="414"/>
        <v>-1.7112323122700661E-2</v>
      </c>
      <c r="W1096" s="5">
        <f t="shared" si="415"/>
        <v>-1.4163952690564389E-2</v>
      </c>
      <c r="X1096" s="5">
        <f t="shared" si="416"/>
        <v>-1.2775986600735994E-2</v>
      </c>
      <c r="Y1096" s="5">
        <f t="shared" si="417"/>
        <v>-3.9750861451292141E-2</v>
      </c>
      <c r="Z1096" s="33">
        <v>1092</v>
      </c>
      <c r="AE1096" s="20" t="str">
        <f t="shared" si="418"/>
        <v/>
      </c>
      <c r="AF1096" s="22" t="str">
        <f t="shared" si="419"/>
        <v/>
      </c>
      <c r="AG1096" s="9" t="str">
        <f t="shared" ca="1" si="398"/>
        <v/>
      </c>
      <c r="AH1096" s="9" t="str">
        <f t="shared" ca="1" si="399"/>
        <v/>
      </c>
      <c r="AI1096" s="9" t="str">
        <f t="shared" ca="1" si="400"/>
        <v/>
      </c>
      <c r="AJ1096" s="9" t="str">
        <f t="shared" ca="1" si="401"/>
        <v/>
      </c>
      <c r="AK1096" s="9" t="str">
        <f t="shared" ca="1" si="402"/>
        <v/>
      </c>
      <c r="AL1096" s="9" t="str">
        <f t="shared" ca="1" si="403"/>
        <v/>
      </c>
      <c r="AM1096" s="9" t="str">
        <f t="shared" ca="1" si="404"/>
        <v/>
      </c>
      <c r="AN1096" s="9" t="str">
        <f t="shared" ca="1" si="405"/>
        <v/>
      </c>
      <c r="AO1096" s="9" t="str">
        <f t="shared" ca="1" si="406"/>
        <v/>
      </c>
      <c r="AP1096" s="9" t="str">
        <f t="shared" ca="1" si="407"/>
        <v/>
      </c>
      <c r="AQ1096" s="9"/>
      <c r="AR1096" s="9"/>
      <c r="AS1096" s="9"/>
      <c r="AT1096" s="9"/>
      <c r="AU1096" s="9"/>
    </row>
    <row r="1097" spans="1:47" x14ac:dyDescent="0.3">
      <c r="A1097" s="1">
        <v>45051</v>
      </c>
      <c r="B1097" s="6">
        <v>348.39999399999999</v>
      </c>
      <c r="C1097" s="6">
        <v>371.55999800000001</v>
      </c>
      <c r="D1097" s="6">
        <v>59.709999000000003</v>
      </c>
      <c r="E1097" s="6">
        <v>194.270004</v>
      </c>
      <c r="F1097" s="6">
        <v>110.349998</v>
      </c>
      <c r="G1097" s="6">
        <v>41.330002</v>
      </c>
      <c r="H1097" s="6">
        <v>144.509995</v>
      </c>
      <c r="I1097" s="6">
        <v>260.80999800000001</v>
      </c>
      <c r="J1097" s="6">
        <v>35.590000000000003</v>
      </c>
      <c r="K1097" s="6">
        <v>12.89</v>
      </c>
      <c r="N1097" s="19">
        <v>1093</v>
      </c>
      <c r="O1097" s="1">
        <v>45051</v>
      </c>
      <c r="P1097" s="5">
        <f t="shared" si="408"/>
        <v>3.6746186921668582E-2</v>
      </c>
      <c r="Q1097" s="5">
        <f t="shared" si="409"/>
        <v>1.338447748349E-2</v>
      </c>
      <c r="R1097" s="5">
        <f t="shared" si="410"/>
        <v>3.216475722308746E-2</v>
      </c>
      <c r="S1097" s="5">
        <f t="shared" si="411"/>
        <v>4.5917737293606105E-3</v>
      </c>
      <c r="T1097" s="5">
        <f t="shared" si="412"/>
        <v>1.4329629776646469E-2</v>
      </c>
      <c r="U1097" s="5">
        <f t="shared" si="413"/>
        <v>2.6230306380093767E-2</v>
      </c>
      <c r="V1097" s="5">
        <f t="shared" si="414"/>
        <v>1.7873812925779067E-2</v>
      </c>
      <c r="W1097" s="5">
        <f t="shared" si="415"/>
        <v>8.2004156893361636E-3</v>
      </c>
      <c r="X1097" s="5">
        <f t="shared" si="416"/>
        <v>3.9254401835377414E-2</v>
      </c>
      <c r="Y1097" s="5">
        <f t="shared" si="417"/>
        <v>4.4416499774843105E-2</v>
      </c>
      <c r="Z1097" s="33">
        <v>1093</v>
      </c>
      <c r="AE1097" s="20" t="str">
        <f t="shared" si="418"/>
        <v/>
      </c>
      <c r="AF1097" s="22" t="str">
        <f t="shared" si="419"/>
        <v/>
      </c>
      <c r="AG1097" s="9" t="str">
        <f t="shared" ca="1" si="398"/>
        <v/>
      </c>
      <c r="AH1097" s="9" t="str">
        <f t="shared" ca="1" si="399"/>
        <v/>
      </c>
      <c r="AI1097" s="9" t="str">
        <f t="shared" ca="1" si="400"/>
        <v/>
      </c>
      <c r="AJ1097" s="9" t="str">
        <f t="shared" ca="1" si="401"/>
        <v/>
      </c>
      <c r="AK1097" s="9" t="str">
        <f t="shared" ca="1" si="402"/>
        <v/>
      </c>
      <c r="AL1097" s="9" t="str">
        <f t="shared" ca="1" si="403"/>
        <v/>
      </c>
      <c r="AM1097" s="9" t="str">
        <f t="shared" ca="1" si="404"/>
        <v/>
      </c>
      <c r="AN1097" s="9" t="str">
        <f t="shared" ca="1" si="405"/>
        <v/>
      </c>
      <c r="AO1097" s="9" t="str">
        <f t="shared" ca="1" si="406"/>
        <v/>
      </c>
      <c r="AP1097" s="9" t="str">
        <f t="shared" ca="1" si="407"/>
        <v/>
      </c>
      <c r="AQ1097" s="9"/>
      <c r="AR1097" s="9"/>
      <c r="AS1097" s="9"/>
      <c r="AT1097" s="9"/>
      <c r="AU1097" s="9"/>
    </row>
    <row r="1098" spans="1:47" x14ac:dyDescent="0.3">
      <c r="A1098" s="1">
        <v>45054</v>
      </c>
      <c r="B1098" s="6">
        <v>344.05999800000001</v>
      </c>
      <c r="C1098" s="6">
        <v>371.73998999999998</v>
      </c>
      <c r="D1098" s="6">
        <v>59.040000999999997</v>
      </c>
      <c r="E1098" s="6">
        <v>193.35000600000001</v>
      </c>
      <c r="F1098" s="6">
        <v>110.860001</v>
      </c>
      <c r="G1098" s="6">
        <v>41.27</v>
      </c>
      <c r="H1098" s="6">
        <v>144.029999</v>
      </c>
      <c r="I1098" s="6">
        <v>259.86999500000002</v>
      </c>
      <c r="J1098" s="6">
        <v>36.130001</v>
      </c>
      <c r="K1098" s="6">
        <v>13.46</v>
      </c>
      <c r="N1098" s="18">
        <v>1094</v>
      </c>
      <c r="O1098" s="1">
        <v>45054</v>
      </c>
      <c r="P1098" s="5">
        <f t="shared" si="408"/>
        <v>-1.2535172800809579E-2</v>
      </c>
      <c r="Q1098" s="5">
        <f t="shared" si="409"/>
        <v>4.8430514307531286E-4</v>
      </c>
      <c r="R1098" s="5">
        <f t="shared" si="410"/>
        <v>-1.1284296581401223E-2</v>
      </c>
      <c r="S1098" s="5">
        <f t="shared" si="411"/>
        <v>-4.7469155554765276E-3</v>
      </c>
      <c r="T1098" s="5">
        <f t="shared" si="412"/>
        <v>4.6110384334497592E-3</v>
      </c>
      <c r="U1098" s="5">
        <f t="shared" si="413"/>
        <v>-1.452833150148576E-3</v>
      </c>
      <c r="V1098" s="5">
        <f t="shared" si="414"/>
        <v>-3.3270704425961369E-3</v>
      </c>
      <c r="W1098" s="5">
        <f t="shared" si="415"/>
        <v>-3.6106784738110936E-3</v>
      </c>
      <c r="X1098" s="5">
        <f t="shared" si="416"/>
        <v>1.5058873315277185E-2</v>
      </c>
      <c r="Y1098" s="5">
        <f t="shared" si="417"/>
        <v>4.3270507265485834E-2</v>
      </c>
      <c r="Z1098" s="33">
        <v>1094</v>
      </c>
      <c r="AE1098" s="20" t="str">
        <f t="shared" si="418"/>
        <v/>
      </c>
      <c r="AF1098" s="22" t="str">
        <f t="shared" si="419"/>
        <v/>
      </c>
      <c r="AG1098" s="9" t="str">
        <f t="shared" ca="1" si="398"/>
        <v/>
      </c>
      <c r="AH1098" s="9" t="str">
        <f t="shared" ca="1" si="399"/>
        <v/>
      </c>
      <c r="AI1098" s="9" t="str">
        <f t="shared" ca="1" si="400"/>
        <v/>
      </c>
      <c r="AJ1098" s="9" t="str">
        <f t="shared" ca="1" si="401"/>
        <v/>
      </c>
      <c r="AK1098" s="9" t="str">
        <f t="shared" ca="1" si="402"/>
        <v/>
      </c>
      <c r="AL1098" s="9" t="str">
        <f t="shared" ca="1" si="403"/>
        <v/>
      </c>
      <c r="AM1098" s="9" t="str">
        <f t="shared" ca="1" si="404"/>
        <v/>
      </c>
      <c r="AN1098" s="9" t="str">
        <f t="shared" ca="1" si="405"/>
        <v/>
      </c>
      <c r="AO1098" s="9" t="str">
        <f t="shared" ca="1" si="406"/>
        <v/>
      </c>
      <c r="AP1098" s="9" t="str">
        <f t="shared" ca="1" si="407"/>
        <v/>
      </c>
      <c r="AQ1098" s="9"/>
      <c r="AR1098" s="9"/>
      <c r="AS1098" s="9"/>
      <c r="AT1098" s="9"/>
      <c r="AU1098" s="9"/>
    </row>
    <row r="1099" spans="1:47" x14ac:dyDescent="0.3">
      <c r="A1099" s="1">
        <v>45055</v>
      </c>
      <c r="B1099" s="6">
        <v>342.64999399999999</v>
      </c>
      <c r="C1099" s="6">
        <v>366.95001200000002</v>
      </c>
      <c r="D1099" s="6">
        <v>58.689999</v>
      </c>
      <c r="E1099" s="6">
        <v>194.13999899999999</v>
      </c>
      <c r="F1099" s="6">
        <v>110.57</v>
      </c>
      <c r="G1099" s="6">
        <v>40.75</v>
      </c>
      <c r="H1099" s="6">
        <v>142.63000500000001</v>
      </c>
      <c r="I1099" s="6">
        <v>257.38000499999998</v>
      </c>
      <c r="J1099" s="6">
        <v>35.840000000000003</v>
      </c>
      <c r="K1099" s="6">
        <v>13.41</v>
      </c>
      <c r="N1099" s="19">
        <v>1095</v>
      </c>
      <c r="O1099" s="1">
        <v>45055</v>
      </c>
      <c r="P1099" s="5">
        <f t="shared" si="408"/>
        <v>-4.1065544347003904E-3</v>
      </c>
      <c r="Q1099" s="5">
        <f t="shared" si="409"/>
        <v>-1.296902658661026E-2</v>
      </c>
      <c r="R1099" s="5">
        <f t="shared" si="410"/>
        <v>-5.9458596983210767E-3</v>
      </c>
      <c r="S1099" s="5">
        <f t="shared" si="411"/>
        <v>4.0774940480448694E-3</v>
      </c>
      <c r="T1099" s="5">
        <f t="shared" si="412"/>
        <v>-2.6193484577342429E-3</v>
      </c>
      <c r="U1099" s="5">
        <f t="shared" si="413"/>
        <v>-1.2680004077618819E-2</v>
      </c>
      <c r="V1099" s="5">
        <f t="shared" si="414"/>
        <v>-9.7677046768917235E-3</v>
      </c>
      <c r="W1099" s="5">
        <f t="shared" si="415"/>
        <v>-9.6278752414084845E-3</v>
      </c>
      <c r="X1099" s="5">
        <f t="shared" si="416"/>
        <v>-8.0589847306487047E-3</v>
      </c>
      <c r="Y1099" s="5">
        <f t="shared" si="417"/>
        <v>-3.7216269229946885E-3</v>
      </c>
      <c r="Z1099" s="33">
        <v>1095</v>
      </c>
      <c r="AE1099" s="20" t="str">
        <f t="shared" si="418"/>
        <v/>
      </c>
      <c r="AF1099" s="22" t="str">
        <f t="shared" si="419"/>
        <v/>
      </c>
      <c r="AG1099" s="9" t="str">
        <f t="shared" ca="1" si="398"/>
        <v/>
      </c>
      <c r="AH1099" s="9" t="str">
        <f t="shared" ca="1" si="399"/>
        <v/>
      </c>
      <c r="AI1099" s="9" t="str">
        <f t="shared" ca="1" si="400"/>
        <v/>
      </c>
      <c r="AJ1099" s="9" t="str">
        <f t="shared" ca="1" si="401"/>
        <v/>
      </c>
      <c r="AK1099" s="9" t="str">
        <f t="shared" ca="1" si="402"/>
        <v/>
      </c>
      <c r="AL1099" s="9" t="str">
        <f t="shared" ca="1" si="403"/>
        <v/>
      </c>
      <c r="AM1099" s="9" t="str">
        <f t="shared" ca="1" si="404"/>
        <v/>
      </c>
      <c r="AN1099" s="9" t="str">
        <f t="shared" ca="1" si="405"/>
        <v/>
      </c>
      <c r="AO1099" s="9" t="str">
        <f t="shared" ca="1" si="406"/>
        <v/>
      </c>
      <c r="AP1099" s="9" t="str">
        <f t="shared" ca="1" si="407"/>
        <v/>
      </c>
      <c r="AQ1099" s="9"/>
      <c r="AR1099" s="9"/>
      <c r="AS1099" s="9"/>
      <c r="AT1099" s="9"/>
      <c r="AU1099" s="9"/>
    </row>
    <row r="1100" spans="1:47" x14ac:dyDescent="0.3">
      <c r="A1100" s="1">
        <v>45056</v>
      </c>
      <c r="B1100" s="6">
        <v>344.01998900000001</v>
      </c>
      <c r="C1100" s="6">
        <v>370.11999500000002</v>
      </c>
      <c r="D1100" s="6">
        <v>59.110000999999997</v>
      </c>
      <c r="E1100" s="6">
        <v>194.270004</v>
      </c>
      <c r="F1100" s="6">
        <v>110.589996</v>
      </c>
      <c r="G1100" s="6">
        <v>41.16</v>
      </c>
      <c r="H1100" s="6">
        <v>140.970001</v>
      </c>
      <c r="I1100" s="6">
        <v>256.790009</v>
      </c>
      <c r="J1100" s="6">
        <v>35.860000999999997</v>
      </c>
      <c r="K1100" s="6">
        <v>13.04</v>
      </c>
      <c r="N1100" s="18">
        <v>1096</v>
      </c>
      <c r="O1100" s="1">
        <v>45056</v>
      </c>
      <c r="P1100" s="5">
        <f t="shared" si="408"/>
        <v>3.9902627221059406E-3</v>
      </c>
      <c r="Q1100" s="5">
        <f t="shared" si="409"/>
        <v>8.6016321786229945E-3</v>
      </c>
      <c r="R1100" s="5">
        <f t="shared" si="410"/>
        <v>7.1307942223238678E-3</v>
      </c>
      <c r="S1100" s="5">
        <f t="shared" si="411"/>
        <v>6.6942150743170311E-4</v>
      </c>
      <c r="T1100" s="5">
        <f t="shared" si="412"/>
        <v>1.8082836332210633E-4</v>
      </c>
      <c r="U1100" s="5">
        <f t="shared" si="413"/>
        <v>1.0011071278976953E-2</v>
      </c>
      <c r="V1100" s="5">
        <f t="shared" si="414"/>
        <v>-1.1706790714527102E-2</v>
      </c>
      <c r="W1100" s="5">
        <f t="shared" si="415"/>
        <v>-2.2949461963299778E-3</v>
      </c>
      <c r="X1100" s="5">
        <f t="shared" si="416"/>
        <v>5.579079564808437E-4</v>
      </c>
      <c r="Y1100" s="5">
        <f t="shared" si="417"/>
        <v>-2.797914079508031E-2</v>
      </c>
      <c r="Z1100" s="33">
        <v>1096</v>
      </c>
      <c r="AE1100" s="20" t="str">
        <f t="shared" si="418"/>
        <v/>
      </c>
      <c r="AF1100" s="22" t="str">
        <f t="shared" si="419"/>
        <v/>
      </c>
      <c r="AG1100" s="9" t="str">
        <f t="shared" ca="1" si="398"/>
        <v/>
      </c>
      <c r="AH1100" s="9" t="str">
        <f t="shared" ca="1" si="399"/>
        <v/>
      </c>
      <c r="AI1100" s="9" t="str">
        <f t="shared" ca="1" si="400"/>
        <v/>
      </c>
      <c r="AJ1100" s="9" t="str">
        <f t="shared" ca="1" si="401"/>
        <v/>
      </c>
      <c r="AK1100" s="9" t="str">
        <f t="shared" ca="1" si="402"/>
        <v/>
      </c>
      <c r="AL1100" s="9" t="str">
        <f t="shared" ca="1" si="403"/>
        <v/>
      </c>
      <c r="AM1100" s="9" t="str">
        <f t="shared" ca="1" si="404"/>
        <v/>
      </c>
      <c r="AN1100" s="9" t="str">
        <f t="shared" ca="1" si="405"/>
        <v/>
      </c>
      <c r="AO1100" s="9" t="str">
        <f t="shared" ca="1" si="406"/>
        <v/>
      </c>
      <c r="AP1100" s="9" t="str">
        <f t="shared" ca="1" si="407"/>
        <v/>
      </c>
      <c r="AQ1100" s="9"/>
      <c r="AR1100" s="9"/>
      <c r="AS1100" s="9"/>
      <c r="AT1100" s="9"/>
      <c r="AU1100" s="9"/>
    </row>
    <row r="1101" spans="1:47" x14ac:dyDescent="0.3">
      <c r="A1101" s="1">
        <v>45057</v>
      </c>
      <c r="B1101" s="6">
        <v>341.57998700000002</v>
      </c>
      <c r="C1101" s="6">
        <v>367.959991</v>
      </c>
      <c r="D1101" s="6">
        <v>59.279998999999997</v>
      </c>
      <c r="E1101" s="6">
        <v>195.33999600000001</v>
      </c>
      <c r="F1101" s="6">
        <v>110.889999</v>
      </c>
      <c r="G1101" s="6">
        <v>41.349997999999999</v>
      </c>
      <c r="H1101" s="6">
        <v>139.30999800000001</v>
      </c>
      <c r="I1101" s="6">
        <v>256.02999899999998</v>
      </c>
      <c r="J1101" s="6">
        <v>36.259998000000003</v>
      </c>
      <c r="K1101" s="6">
        <v>12.38</v>
      </c>
      <c r="N1101" s="19">
        <v>1097</v>
      </c>
      <c r="O1101" s="1">
        <v>45057</v>
      </c>
      <c r="P1101" s="5">
        <f t="shared" si="408"/>
        <v>-7.1178891107486842E-3</v>
      </c>
      <c r="Q1101" s="5">
        <f t="shared" si="409"/>
        <v>-5.8530517219213679E-3</v>
      </c>
      <c r="R1101" s="5">
        <f t="shared" si="410"/>
        <v>2.8718323648462152E-3</v>
      </c>
      <c r="S1101" s="5">
        <f t="shared" si="411"/>
        <v>5.4926449016243538E-3</v>
      </c>
      <c r="T1101" s="5">
        <f t="shared" si="412"/>
        <v>2.7090770295464615E-3</v>
      </c>
      <c r="U1101" s="5">
        <f t="shared" si="413"/>
        <v>4.6054621362565454E-3</v>
      </c>
      <c r="V1101" s="5">
        <f t="shared" si="414"/>
        <v>-1.1845457514879528E-2</v>
      </c>
      <c r="W1101" s="5">
        <f t="shared" si="415"/>
        <v>-2.9640440878660381E-3</v>
      </c>
      <c r="X1101" s="5">
        <f t="shared" si="416"/>
        <v>1.1092654106294906E-2</v>
      </c>
      <c r="Y1101" s="5">
        <f t="shared" si="417"/>
        <v>-5.1939289242056777E-2</v>
      </c>
      <c r="Z1101" s="33">
        <v>1097</v>
      </c>
      <c r="AE1101" s="20" t="str">
        <f t="shared" si="418"/>
        <v/>
      </c>
      <c r="AF1101" s="22" t="str">
        <f t="shared" si="419"/>
        <v/>
      </c>
      <c r="AG1101" s="9" t="str">
        <f t="shared" ca="1" si="398"/>
        <v/>
      </c>
      <c r="AH1101" s="9" t="str">
        <f t="shared" ca="1" si="399"/>
        <v/>
      </c>
      <c r="AI1101" s="9" t="str">
        <f t="shared" ca="1" si="400"/>
        <v/>
      </c>
      <c r="AJ1101" s="9" t="str">
        <f t="shared" ca="1" si="401"/>
        <v/>
      </c>
      <c r="AK1101" s="9" t="str">
        <f t="shared" ca="1" si="402"/>
        <v/>
      </c>
      <c r="AL1101" s="9" t="str">
        <f t="shared" ca="1" si="403"/>
        <v/>
      </c>
      <c r="AM1101" s="9" t="str">
        <f t="shared" ca="1" si="404"/>
        <v/>
      </c>
      <c r="AN1101" s="9" t="str">
        <f t="shared" ca="1" si="405"/>
        <v/>
      </c>
      <c r="AO1101" s="9" t="str">
        <f t="shared" ca="1" si="406"/>
        <v/>
      </c>
      <c r="AP1101" s="9" t="str">
        <f t="shared" ca="1" si="407"/>
        <v/>
      </c>
      <c r="AQ1101" s="9"/>
      <c r="AR1101" s="9"/>
      <c r="AS1101" s="9"/>
      <c r="AT1101" s="9"/>
      <c r="AU1101" s="9"/>
    </row>
    <row r="1102" spans="1:47" x14ac:dyDescent="0.3">
      <c r="A1102" s="1">
        <v>45058</v>
      </c>
      <c r="B1102" s="6">
        <v>335.45001200000002</v>
      </c>
      <c r="C1102" s="6">
        <v>368.83999599999999</v>
      </c>
      <c r="D1102" s="6">
        <v>59.540000999999997</v>
      </c>
      <c r="E1102" s="6">
        <v>196.11999499999999</v>
      </c>
      <c r="F1102" s="6">
        <v>110.5</v>
      </c>
      <c r="G1102" s="6">
        <v>41.380001</v>
      </c>
      <c r="H1102" s="6">
        <v>138.759995</v>
      </c>
      <c r="I1102" s="6">
        <v>256.040009</v>
      </c>
      <c r="J1102" s="6">
        <v>36.770000000000003</v>
      </c>
      <c r="K1102" s="6">
        <v>12.51</v>
      </c>
      <c r="N1102" s="18">
        <v>1098</v>
      </c>
      <c r="O1102" s="1">
        <v>45058</v>
      </c>
      <c r="P1102" s="5">
        <f t="shared" si="408"/>
        <v>-1.8108924350871577E-2</v>
      </c>
      <c r="Q1102" s="5">
        <f t="shared" si="409"/>
        <v>2.3887226763536678E-3</v>
      </c>
      <c r="R1102" s="5">
        <f t="shared" si="410"/>
        <v>4.3764082643262762E-3</v>
      </c>
      <c r="S1102" s="5">
        <f t="shared" si="411"/>
        <v>3.9850817462230379E-3</v>
      </c>
      <c r="T1102" s="5">
        <f t="shared" si="412"/>
        <v>-3.5231889893713032E-3</v>
      </c>
      <c r="U1102" s="5">
        <f t="shared" si="413"/>
        <v>7.2532338155519818E-4</v>
      </c>
      <c r="V1102" s="5">
        <f t="shared" si="414"/>
        <v>-3.9558652935530033E-3</v>
      </c>
      <c r="W1102" s="5">
        <f t="shared" si="415"/>
        <v>3.9096216708332329E-5</v>
      </c>
      <c r="X1102" s="5">
        <f t="shared" si="416"/>
        <v>1.396714514367528E-2</v>
      </c>
      <c r="Y1102" s="5">
        <f t="shared" si="417"/>
        <v>1.0446057222369699E-2</v>
      </c>
      <c r="Z1102" s="33">
        <v>1098</v>
      </c>
      <c r="AE1102" s="20" t="str">
        <f t="shared" si="418"/>
        <v/>
      </c>
      <c r="AF1102" s="22" t="str">
        <f t="shared" si="419"/>
        <v/>
      </c>
      <c r="AG1102" s="9" t="str">
        <f t="shared" ca="1" si="398"/>
        <v/>
      </c>
      <c r="AH1102" s="9" t="str">
        <f t="shared" ca="1" si="399"/>
        <v/>
      </c>
      <c r="AI1102" s="9" t="str">
        <f t="shared" ca="1" si="400"/>
        <v/>
      </c>
      <c r="AJ1102" s="9" t="str">
        <f t="shared" ca="1" si="401"/>
        <v/>
      </c>
      <c r="AK1102" s="9" t="str">
        <f t="shared" ca="1" si="402"/>
        <v/>
      </c>
      <c r="AL1102" s="9" t="str">
        <f t="shared" ca="1" si="403"/>
        <v/>
      </c>
      <c r="AM1102" s="9" t="str">
        <f t="shared" ca="1" si="404"/>
        <v/>
      </c>
      <c r="AN1102" s="9" t="str">
        <f t="shared" ca="1" si="405"/>
        <v/>
      </c>
      <c r="AO1102" s="9" t="str">
        <f t="shared" ca="1" si="406"/>
        <v/>
      </c>
      <c r="AP1102" s="9" t="str">
        <f t="shared" ca="1" si="407"/>
        <v/>
      </c>
      <c r="AQ1102" s="9"/>
      <c r="AR1102" s="9"/>
      <c r="AS1102" s="9"/>
      <c r="AT1102" s="9"/>
      <c r="AU1102" s="9"/>
    </row>
    <row r="1103" spans="1:47" x14ac:dyDescent="0.3">
      <c r="A1103" s="1">
        <v>45061</v>
      </c>
      <c r="B1103" s="6">
        <v>345.67001299999998</v>
      </c>
      <c r="C1103" s="6">
        <v>373.27999899999998</v>
      </c>
      <c r="D1103" s="6">
        <v>59.720001000000003</v>
      </c>
      <c r="E1103" s="6">
        <v>194.270004</v>
      </c>
      <c r="F1103" s="6">
        <v>108.839996</v>
      </c>
      <c r="G1103" s="6">
        <v>41.25</v>
      </c>
      <c r="H1103" s="6">
        <v>139.570007</v>
      </c>
      <c r="I1103" s="6">
        <v>257.76998900000001</v>
      </c>
      <c r="J1103" s="6">
        <v>35.950001</v>
      </c>
      <c r="K1103" s="6">
        <v>12.81</v>
      </c>
      <c r="N1103" s="19">
        <v>1099</v>
      </c>
      <c r="O1103" s="1">
        <v>45061</v>
      </c>
      <c r="P1103" s="5">
        <f t="shared" si="408"/>
        <v>3.0011650542848791E-2</v>
      </c>
      <c r="Q1103" s="5">
        <f t="shared" si="409"/>
        <v>1.1965870768035946E-2</v>
      </c>
      <c r="R1103" s="5">
        <f t="shared" si="410"/>
        <v>3.0186170327368123E-3</v>
      </c>
      <c r="S1103" s="5">
        <f t="shared" si="411"/>
        <v>-9.4777266478472278E-3</v>
      </c>
      <c r="T1103" s="5">
        <f t="shared" si="412"/>
        <v>-1.5136643793957006E-2</v>
      </c>
      <c r="U1103" s="5">
        <f t="shared" si="413"/>
        <v>-3.1465837029706328E-3</v>
      </c>
      <c r="V1103" s="5">
        <f t="shared" si="414"/>
        <v>5.820531606487025E-3</v>
      </c>
      <c r="W1103" s="5">
        <f t="shared" si="415"/>
        <v>6.7339543568848727E-3</v>
      </c>
      <c r="X1103" s="5">
        <f t="shared" si="416"/>
        <v>-2.2553183329713691E-2</v>
      </c>
      <c r="Y1103" s="5">
        <f t="shared" si="417"/>
        <v>2.3697791429823176E-2</v>
      </c>
      <c r="Z1103" s="33">
        <v>1099</v>
      </c>
      <c r="AE1103" s="20" t="str">
        <f t="shared" si="418"/>
        <v/>
      </c>
      <c r="AF1103" s="22" t="str">
        <f t="shared" si="419"/>
        <v/>
      </c>
      <c r="AG1103" s="9" t="str">
        <f t="shared" ca="1" si="398"/>
        <v/>
      </c>
      <c r="AH1103" s="9" t="str">
        <f t="shared" ca="1" si="399"/>
        <v/>
      </c>
      <c r="AI1103" s="9" t="str">
        <f t="shared" ca="1" si="400"/>
        <v/>
      </c>
      <c r="AJ1103" s="9" t="str">
        <f t="shared" ca="1" si="401"/>
        <v/>
      </c>
      <c r="AK1103" s="9" t="str">
        <f t="shared" ca="1" si="402"/>
        <v/>
      </c>
      <c r="AL1103" s="9" t="str">
        <f t="shared" ca="1" si="403"/>
        <v/>
      </c>
      <c r="AM1103" s="9" t="str">
        <f t="shared" ca="1" si="404"/>
        <v/>
      </c>
      <c r="AN1103" s="9" t="str">
        <f t="shared" ca="1" si="405"/>
        <v/>
      </c>
      <c r="AO1103" s="9" t="str">
        <f t="shared" ca="1" si="406"/>
        <v/>
      </c>
      <c r="AP1103" s="9" t="str">
        <f t="shared" ca="1" si="407"/>
        <v/>
      </c>
      <c r="AQ1103" s="9"/>
      <c r="AR1103" s="9"/>
      <c r="AS1103" s="9"/>
      <c r="AT1103" s="9"/>
      <c r="AU1103" s="9"/>
    </row>
    <row r="1104" spans="1:47" x14ac:dyDescent="0.3">
      <c r="A1104" s="1">
        <v>45062</v>
      </c>
      <c r="B1104" s="6">
        <v>345.10998499999999</v>
      </c>
      <c r="C1104" s="6">
        <v>375.14001500000001</v>
      </c>
      <c r="D1104" s="6">
        <v>59.939999</v>
      </c>
      <c r="E1104" s="6">
        <v>193.429993</v>
      </c>
      <c r="F1104" s="6">
        <v>106.099998</v>
      </c>
      <c r="G1104" s="6">
        <v>40.380001</v>
      </c>
      <c r="H1104" s="6">
        <v>137.520004</v>
      </c>
      <c r="I1104" s="6">
        <v>254.58999600000001</v>
      </c>
      <c r="J1104" s="6">
        <v>36.18</v>
      </c>
      <c r="K1104" s="6">
        <v>12.15</v>
      </c>
      <c r="N1104" s="18">
        <v>1100</v>
      </c>
      <c r="O1104" s="1">
        <v>45062</v>
      </c>
      <c r="P1104" s="5">
        <f t="shared" si="408"/>
        <v>-1.6214369967772865E-3</v>
      </c>
      <c r="Q1104" s="5">
        <f t="shared" si="409"/>
        <v>4.9705240231010727E-3</v>
      </c>
      <c r="R1104" s="5">
        <f t="shared" si="410"/>
        <v>3.6770557893683257E-3</v>
      </c>
      <c r="S1104" s="5">
        <f t="shared" si="411"/>
        <v>-4.3333109153862476E-3</v>
      </c>
      <c r="T1104" s="5">
        <f t="shared" si="412"/>
        <v>-2.5496850394054502E-2</v>
      </c>
      <c r="U1104" s="5">
        <f t="shared" si="413"/>
        <v>-2.1316475131263866E-2</v>
      </c>
      <c r="V1104" s="5">
        <f t="shared" si="414"/>
        <v>-1.4796927513324535E-2</v>
      </c>
      <c r="W1104" s="5">
        <f t="shared" si="415"/>
        <v>-1.2413279438769791E-2</v>
      </c>
      <c r="X1104" s="5">
        <f t="shared" si="416"/>
        <v>6.3773679836819745E-3</v>
      </c>
      <c r="Y1104" s="5">
        <f t="shared" si="417"/>
        <v>-5.2896946122085474E-2</v>
      </c>
      <c r="Z1104" s="33">
        <v>1100</v>
      </c>
      <c r="AE1104" s="20" t="str">
        <f t="shared" si="418"/>
        <v/>
      </c>
      <c r="AF1104" s="22" t="str">
        <f t="shared" si="419"/>
        <v/>
      </c>
      <c r="AG1104" s="9" t="str">
        <f t="shared" ca="1" si="398"/>
        <v/>
      </c>
      <c r="AH1104" s="9" t="str">
        <f t="shared" ca="1" si="399"/>
        <v/>
      </c>
      <c r="AI1104" s="9" t="str">
        <f t="shared" ca="1" si="400"/>
        <v/>
      </c>
      <c r="AJ1104" s="9" t="str">
        <f t="shared" ca="1" si="401"/>
        <v/>
      </c>
      <c r="AK1104" s="9" t="str">
        <f t="shared" ca="1" si="402"/>
        <v/>
      </c>
      <c r="AL1104" s="9" t="str">
        <f t="shared" ca="1" si="403"/>
        <v/>
      </c>
      <c r="AM1104" s="9" t="str">
        <f t="shared" ca="1" si="404"/>
        <v/>
      </c>
      <c r="AN1104" s="9" t="str">
        <f t="shared" ca="1" si="405"/>
        <v/>
      </c>
      <c r="AO1104" s="9" t="str">
        <f t="shared" ca="1" si="406"/>
        <v/>
      </c>
      <c r="AP1104" s="9" t="str">
        <f t="shared" ca="1" si="407"/>
        <v/>
      </c>
      <c r="AQ1104" s="9"/>
      <c r="AR1104" s="9"/>
      <c r="AS1104" s="9"/>
      <c r="AT1104" s="9"/>
      <c r="AU1104" s="9"/>
    </row>
    <row r="1105" spans="1:47" x14ac:dyDescent="0.3">
      <c r="A1105" s="1">
        <v>45063</v>
      </c>
      <c r="B1105" s="6">
        <v>356.63000499999998</v>
      </c>
      <c r="C1105" s="6">
        <v>377.07998700000002</v>
      </c>
      <c r="D1105" s="6">
        <v>59.650002000000001</v>
      </c>
      <c r="E1105" s="6">
        <v>192.05999800000001</v>
      </c>
      <c r="F1105" s="6">
        <v>106.779999</v>
      </c>
      <c r="G1105" s="6">
        <v>40.540000999999997</v>
      </c>
      <c r="H1105" s="6">
        <v>139.85000600000001</v>
      </c>
      <c r="I1105" s="6">
        <v>257.52999899999998</v>
      </c>
      <c r="J1105" s="6">
        <v>37.099997999999999</v>
      </c>
      <c r="K1105" s="6">
        <v>12.51</v>
      </c>
      <c r="N1105" s="19">
        <v>1101</v>
      </c>
      <c r="O1105" s="1">
        <v>45063</v>
      </c>
      <c r="P1105" s="5">
        <f t="shared" si="408"/>
        <v>3.2835680457180307E-2</v>
      </c>
      <c r="Q1105" s="5">
        <f t="shared" si="409"/>
        <v>5.1580024352395407E-3</v>
      </c>
      <c r="R1105" s="5">
        <f t="shared" si="410"/>
        <v>-4.8498631323237746E-3</v>
      </c>
      <c r="S1105" s="5">
        <f t="shared" si="411"/>
        <v>-7.1078409287893178E-3</v>
      </c>
      <c r="T1105" s="5">
        <f t="shared" si="412"/>
        <v>6.3886069371945266E-3</v>
      </c>
      <c r="U1105" s="5">
        <f t="shared" si="413"/>
        <v>3.9545280414229654E-3</v>
      </c>
      <c r="V1105" s="5">
        <f t="shared" si="414"/>
        <v>1.6801072389806545E-2</v>
      </c>
      <c r="W1105" s="5">
        <f t="shared" si="415"/>
        <v>1.1481821946278691E-2</v>
      </c>
      <c r="X1105" s="5">
        <f t="shared" si="416"/>
        <v>2.5110435737883081E-2</v>
      </c>
      <c r="Y1105" s="5">
        <f t="shared" si="417"/>
        <v>2.919915469226235E-2</v>
      </c>
      <c r="Z1105" s="33">
        <v>1101</v>
      </c>
      <c r="AE1105" s="20" t="str">
        <f t="shared" si="418"/>
        <v/>
      </c>
      <c r="AF1105" s="22" t="str">
        <f t="shared" si="419"/>
        <v/>
      </c>
      <c r="AG1105" s="9" t="str">
        <f t="shared" ca="1" si="398"/>
        <v/>
      </c>
      <c r="AH1105" s="9" t="str">
        <f t="shared" ca="1" si="399"/>
        <v/>
      </c>
      <c r="AI1105" s="9" t="str">
        <f t="shared" ca="1" si="400"/>
        <v/>
      </c>
      <c r="AJ1105" s="9" t="str">
        <f t="shared" ca="1" si="401"/>
        <v/>
      </c>
      <c r="AK1105" s="9" t="str">
        <f t="shared" ca="1" si="402"/>
        <v/>
      </c>
      <c r="AL1105" s="9" t="str">
        <f t="shared" ca="1" si="403"/>
        <v/>
      </c>
      <c r="AM1105" s="9" t="str">
        <f t="shared" ca="1" si="404"/>
        <v/>
      </c>
      <c r="AN1105" s="9" t="str">
        <f t="shared" ca="1" si="405"/>
        <v/>
      </c>
      <c r="AO1105" s="9" t="str">
        <f t="shared" ca="1" si="406"/>
        <v/>
      </c>
      <c r="AP1105" s="9" t="str">
        <f t="shared" ca="1" si="407"/>
        <v/>
      </c>
      <c r="AQ1105" s="9"/>
      <c r="AR1105" s="9"/>
      <c r="AS1105" s="9"/>
      <c r="AT1105" s="9"/>
      <c r="AU1105" s="9"/>
    </row>
    <row r="1106" spans="1:47" x14ac:dyDescent="0.3">
      <c r="A1106" s="1">
        <v>45064</v>
      </c>
      <c r="B1106" s="6">
        <v>360.42999300000002</v>
      </c>
      <c r="C1106" s="6">
        <v>409.709991</v>
      </c>
      <c r="D1106" s="6">
        <v>59.849997999999999</v>
      </c>
      <c r="E1106" s="6">
        <v>191.55999800000001</v>
      </c>
      <c r="F1106" s="6">
        <v>106.949997</v>
      </c>
      <c r="G1106" s="6">
        <v>40.229999999999997</v>
      </c>
      <c r="H1106" s="6">
        <v>140.83000200000001</v>
      </c>
      <c r="I1106" s="6">
        <v>261.26001000000002</v>
      </c>
      <c r="J1106" s="6">
        <v>38.409999999999997</v>
      </c>
      <c r="K1106" s="6">
        <v>12.4</v>
      </c>
      <c r="N1106" s="18">
        <v>1102</v>
      </c>
      <c r="O1106" s="1">
        <v>45064</v>
      </c>
      <c r="P1106" s="5">
        <f t="shared" si="408"/>
        <v>1.0598899907125762E-2</v>
      </c>
      <c r="Q1106" s="5">
        <f t="shared" si="409"/>
        <v>8.2992238339179528E-2</v>
      </c>
      <c r="R1106" s="5">
        <f t="shared" si="410"/>
        <v>3.3472165142627045E-3</v>
      </c>
      <c r="S1106" s="5">
        <f t="shared" si="411"/>
        <v>-2.6067477625986565E-3</v>
      </c>
      <c r="T1106" s="5">
        <f t="shared" si="412"/>
        <v>1.5907737709327057E-3</v>
      </c>
      <c r="U1106" s="5">
        <f t="shared" si="413"/>
        <v>-7.6761797291524094E-3</v>
      </c>
      <c r="V1106" s="5">
        <f t="shared" si="414"/>
        <v>6.9830408604000093E-3</v>
      </c>
      <c r="W1106" s="5">
        <f t="shared" si="415"/>
        <v>1.4379904045509925E-2</v>
      </c>
      <c r="X1106" s="5">
        <f t="shared" si="416"/>
        <v>3.4700926652781253E-2</v>
      </c>
      <c r="Y1106" s="5">
        <f t="shared" si="417"/>
        <v>-8.8318518678285728E-3</v>
      </c>
      <c r="Z1106" s="33">
        <v>1102</v>
      </c>
      <c r="AE1106" s="20" t="str">
        <f t="shared" si="418"/>
        <v/>
      </c>
      <c r="AF1106" s="22" t="str">
        <f t="shared" si="419"/>
        <v/>
      </c>
      <c r="AG1106" s="9" t="str">
        <f t="shared" ca="1" si="398"/>
        <v/>
      </c>
      <c r="AH1106" s="9" t="str">
        <f t="shared" ca="1" si="399"/>
        <v/>
      </c>
      <c r="AI1106" s="9" t="str">
        <f t="shared" ca="1" si="400"/>
        <v/>
      </c>
      <c r="AJ1106" s="9" t="str">
        <f t="shared" ca="1" si="401"/>
        <v/>
      </c>
      <c r="AK1106" s="9" t="str">
        <f t="shared" ca="1" si="402"/>
        <v/>
      </c>
      <c r="AL1106" s="9" t="str">
        <f t="shared" ca="1" si="403"/>
        <v/>
      </c>
      <c r="AM1106" s="9" t="str">
        <f t="shared" ca="1" si="404"/>
        <v/>
      </c>
      <c r="AN1106" s="9" t="str">
        <f t="shared" ca="1" si="405"/>
        <v/>
      </c>
      <c r="AO1106" s="9" t="str">
        <f t="shared" ca="1" si="406"/>
        <v/>
      </c>
      <c r="AP1106" s="9" t="str">
        <f t="shared" ca="1" si="407"/>
        <v/>
      </c>
      <c r="AQ1106" s="9"/>
      <c r="AR1106" s="9"/>
      <c r="AS1106" s="9"/>
      <c r="AT1106" s="9"/>
      <c r="AU1106" s="9"/>
    </row>
    <row r="1107" spans="1:47" x14ac:dyDescent="0.3">
      <c r="A1107" s="1">
        <v>45065</v>
      </c>
      <c r="B1107" s="6">
        <v>371.25</v>
      </c>
      <c r="C1107" s="6">
        <v>408.5</v>
      </c>
      <c r="D1107" s="6">
        <v>59.68</v>
      </c>
      <c r="E1107" s="6">
        <v>191.83999600000001</v>
      </c>
      <c r="F1107" s="6">
        <v>106.5</v>
      </c>
      <c r="G1107" s="6">
        <v>40.340000000000003</v>
      </c>
      <c r="H1107" s="6">
        <v>139.470001</v>
      </c>
      <c r="I1107" s="6">
        <v>260.85998499999999</v>
      </c>
      <c r="J1107" s="6">
        <v>38.580002</v>
      </c>
      <c r="K1107" s="6">
        <v>12.2</v>
      </c>
      <c r="N1107" s="19">
        <v>1103</v>
      </c>
      <c r="O1107" s="1">
        <v>45065</v>
      </c>
      <c r="P1107" s="5">
        <f t="shared" si="408"/>
        <v>2.9577946424793014E-2</v>
      </c>
      <c r="Q1107" s="5">
        <f t="shared" si="409"/>
        <v>-2.9576560916280996E-3</v>
      </c>
      <c r="R1107" s="5">
        <f t="shared" si="410"/>
        <v>-2.8444426916006292E-3</v>
      </c>
      <c r="S1107" s="5">
        <f t="shared" si="411"/>
        <v>1.4606053946794586E-3</v>
      </c>
      <c r="T1107" s="5">
        <f t="shared" si="412"/>
        <v>-4.216422328443571E-3</v>
      </c>
      <c r="U1107" s="5">
        <f t="shared" si="413"/>
        <v>2.7305465643691048E-3</v>
      </c>
      <c r="V1107" s="5">
        <f t="shared" si="414"/>
        <v>-9.7039718708747755E-3</v>
      </c>
      <c r="W1107" s="5">
        <f t="shared" si="415"/>
        <v>-1.532310894436465E-3</v>
      </c>
      <c r="X1107" s="5">
        <f t="shared" si="416"/>
        <v>4.4162169601000938E-3</v>
      </c>
      <c r="Y1107" s="5">
        <f t="shared" si="417"/>
        <v>-1.6260520871780405E-2</v>
      </c>
      <c r="Z1107" s="33">
        <v>1103</v>
      </c>
      <c r="AE1107" s="20" t="str">
        <f t="shared" si="418"/>
        <v/>
      </c>
      <c r="AF1107" s="22" t="str">
        <f t="shared" si="419"/>
        <v/>
      </c>
      <c r="AG1107" s="9" t="str">
        <f t="shared" ca="1" si="398"/>
        <v/>
      </c>
      <c r="AH1107" s="9" t="str">
        <f t="shared" ca="1" si="399"/>
        <v/>
      </c>
      <c r="AI1107" s="9" t="str">
        <f t="shared" ca="1" si="400"/>
        <v/>
      </c>
      <c r="AJ1107" s="9" t="str">
        <f t="shared" ca="1" si="401"/>
        <v/>
      </c>
      <c r="AK1107" s="9" t="str">
        <f t="shared" ca="1" si="402"/>
        <v/>
      </c>
      <c r="AL1107" s="9" t="str">
        <f t="shared" ca="1" si="403"/>
        <v/>
      </c>
      <c r="AM1107" s="9" t="str">
        <f t="shared" ca="1" si="404"/>
        <v/>
      </c>
      <c r="AN1107" s="9" t="str">
        <f t="shared" ca="1" si="405"/>
        <v/>
      </c>
      <c r="AO1107" s="9" t="str">
        <f t="shared" ca="1" si="406"/>
        <v/>
      </c>
      <c r="AP1107" s="9" t="str">
        <f t="shared" ca="1" si="407"/>
        <v/>
      </c>
      <c r="AQ1107" s="9"/>
      <c r="AR1107" s="9"/>
      <c r="AS1107" s="9"/>
      <c r="AT1107" s="9"/>
      <c r="AU1107" s="9"/>
    </row>
    <row r="1108" spans="1:47" x14ac:dyDescent="0.3">
      <c r="A1108" s="1">
        <v>45068</v>
      </c>
      <c r="B1108" s="6">
        <v>372.04998799999998</v>
      </c>
      <c r="C1108" s="6">
        <v>401.67999300000002</v>
      </c>
      <c r="D1108" s="6">
        <v>59.119999</v>
      </c>
      <c r="E1108" s="6">
        <v>186.63999899999999</v>
      </c>
      <c r="F1108" s="6">
        <v>106.269997</v>
      </c>
      <c r="G1108" s="6">
        <v>40.650002000000001</v>
      </c>
      <c r="H1108" s="6">
        <v>140.199997</v>
      </c>
      <c r="I1108" s="6">
        <v>261.29998799999998</v>
      </c>
      <c r="J1108" s="6">
        <v>38.599997999999999</v>
      </c>
      <c r="K1108" s="6">
        <v>12.16</v>
      </c>
      <c r="N1108" s="18">
        <v>1104</v>
      </c>
      <c r="O1108" s="1">
        <v>45068</v>
      </c>
      <c r="P1108" s="5">
        <f t="shared" si="408"/>
        <v>2.152531472630885E-3</v>
      </c>
      <c r="Q1108" s="5">
        <f t="shared" si="409"/>
        <v>-1.6836180000415056E-2</v>
      </c>
      <c r="R1108" s="5">
        <f t="shared" si="410"/>
        <v>-9.4276961703088323E-3</v>
      </c>
      <c r="S1108" s="5">
        <f t="shared" si="411"/>
        <v>-2.7480048073228829E-2</v>
      </c>
      <c r="T1108" s="5">
        <f t="shared" si="412"/>
        <v>-2.1619879948565853E-3</v>
      </c>
      <c r="U1108" s="5">
        <f t="shared" si="413"/>
        <v>7.6553526682446062E-3</v>
      </c>
      <c r="V1108" s="5">
        <f t="shared" si="414"/>
        <v>5.2204216618829758E-3</v>
      </c>
      <c r="W1108" s="5">
        <f t="shared" si="415"/>
        <v>1.6853191623137425E-3</v>
      </c>
      <c r="X1108" s="5">
        <f t="shared" si="416"/>
        <v>5.1816533939887544E-4</v>
      </c>
      <c r="Y1108" s="5">
        <f t="shared" si="417"/>
        <v>-3.2840752011898846E-3</v>
      </c>
      <c r="Z1108" s="33">
        <v>1104</v>
      </c>
      <c r="AE1108" s="20" t="str">
        <f t="shared" si="418"/>
        <v/>
      </c>
      <c r="AF1108" s="22" t="str">
        <f t="shared" si="419"/>
        <v/>
      </c>
      <c r="AG1108" s="9" t="str">
        <f t="shared" ca="1" si="398"/>
        <v/>
      </c>
      <c r="AH1108" s="9" t="str">
        <f t="shared" ca="1" si="399"/>
        <v/>
      </c>
      <c r="AI1108" s="9" t="str">
        <f t="shared" ca="1" si="400"/>
        <v/>
      </c>
      <c r="AJ1108" s="9" t="str">
        <f t="shared" ca="1" si="401"/>
        <v/>
      </c>
      <c r="AK1108" s="9" t="str">
        <f t="shared" ca="1" si="402"/>
        <v/>
      </c>
      <c r="AL1108" s="9" t="str">
        <f t="shared" ca="1" si="403"/>
        <v/>
      </c>
      <c r="AM1108" s="9" t="str">
        <f t="shared" ca="1" si="404"/>
        <v/>
      </c>
      <c r="AN1108" s="9" t="str">
        <f t="shared" ca="1" si="405"/>
        <v/>
      </c>
      <c r="AO1108" s="9" t="str">
        <f t="shared" ca="1" si="406"/>
        <v/>
      </c>
      <c r="AP1108" s="9" t="str">
        <f t="shared" ca="1" si="407"/>
        <v/>
      </c>
      <c r="AQ1108" s="9"/>
      <c r="AR1108" s="9"/>
      <c r="AS1108" s="9"/>
      <c r="AT1108" s="9"/>
      <c r="AU1108" s="9"/>
    </row>
    <row r="1109" spans="1:47" x14ac:dyDescent="0.3">
      <c r="A1109" s="1">
        <v>45069</v>
      </c>
      <c r="B1109" s="6">
        <v>370.42001299999998</v>
      </c>
      <c r="C1109" s="6">
        <v>393.08999599999999</v>
      </c>
      <c r="D1109" s="6">
        <v>57.939999</v>
      </c>
      <c r="E1109" s="6">
        <v>186.070007</v>
      </c>
      <c r="F1109" s="6">
        <v>105.870003</v>
      </c>
      <c r="G1109" s="6">
        <v>40.240001999999997</v>
      </c>
      <c r="H1109" s="6">
        <v>139.320007</v>
      </c>
      <c r="I1109" s="6">
        <v>258.47000100000002</v>
      </c>
      <c r="J1109" s="6">
        <v>38.389999000000003</v>
      </c>
      <c r="K1109" s="6">
        <v>11.69</v>
      </c>
      <c r="N1109" s="19">
        <v>1105</v>
      </c>
      <c r="O1109" s="1">
        <v>45069</v>
      </c>
      <c r="P1109" s="5">
        <f t="shared" si="408"/>
        <v>-4.3906894995881587E-3</v>
      </c>
      <c r="Q1109" s="5">
        <f t="shared" si="409"/>
        <v>-2.1617151190825797E-2</v>
      </c>
      <c r="R1109" s="5">
        <f t="shared" si="410"/>
        <v>-2.0161284643225971E-2</v>
      </c>
      <c r="S1109" s="5">
        <f t="shared" si="411"/>
        <v>-3.0586377354664251E-3</v>
      </c>
      <c r="T1109" s="5">
        <f t="shared" si="412"/>
        <v>-3.7710424626960005E-3</v>
      </c>
      <c r="U1109" s="5">
        <f t="shared" si="413"/>
        <v>-1.0137309701038736E-2</v>
      </c>
      <c r="V1109" s="5">
        <f t="shared" si="414"/>
        <v>-6.296457460644906E-3</v>
      </c>
      <c r="W1109" s="5">
        <f t="shared" si="415"/>
        <v>-1.0889489678348121E-2</v>
      </c>
      <c r="X1109" s="5">
        <f t="shared" si="416"/>
        <v>-5.4552416930563888E-3</v>
      </c>
      <c r="Y1109" s="5">
        <f t="shared" si="417"/>
        <v>-3.9418101054044009E-2</v>
      </c>
      <c r="Z1109" s="33">
        <v>1105</v>
      </c>
      <c r="AE1109" s="20" t="str">
        <f t="shared" si="418"/>
        <v/>
      </c>
      <c r="AF1109" s="22" t="str">
        <f t="shared" si="419"/>
        <v/>
      </c>
      <c r="AG1109" s="9" t="str">
        <f t="shared" ca="1" si="398"/>
        <v/>
      </c>
      <c r="AH1109" s="9" t="str">
        <f t="shared" ca="1" si="399"/>
        <v/>
      </c>
      <c r="AI1109" s="9" t="str">
        <f t="shared" ca="1" si="400"/>
        <v/>
      </c>
      <c r="AJ1109" s="9" t="str">
        <f t="shared" ca="1" si="401"/>
        <v/>
      </c>
      <c r="AK1109" s="9" t="str">
        <f t="shared" ca="1" si="402"/>
        <v/>
      </c>
      <c r="AL1109" s="9" t="str">
        <f t="shared" ca="1" si="403"/>
        <v/>
      </c>
      <c r="AM1109" s="9" t="str">
        <f t="shared" ca="1" si="404"/>
        <v/>
      </c>
      <c r="AN1109" s="9" t="str">
        <f t="shared" ca="1" si="405"/>
        <v/>
      </c>
      <c r="AO1109" s="9" t="str">
        <f t="shared" ca="1" si="406"/>
        <v/>
      </c>
      <c r="AP1109" s="9" t="str">
        <f t="shared" ca="1" si="407"/>
        <v/>
      </c>
      <c r="AQ1109" s="9"/>
      <c r="AR1109" s="9"/>
      <c r="AS1109" s="9"/>
      <c r="AT1109" s="9"/>
      <c r="AU1109" s="9"/>
    </row>
    <row r="1110" spans="1:47" x14ac:dyDescent="0.3">
      <c r="A1110" s="1">
        <v>45070</v>
      </c>
      <c r="B1110" s="6">
        <v>365.76001000000002</v>
      </c>
      <c r="C1110" s="6">
        <v>395.39001500000001</v>
      </c>
      <c r="D1110" s="6">
        <v>57.57</v>
      </c>
      <c r="E1110" s="6">
        <v>184.88999899999999</v>
      </c>
      <c r="F1110" s="6">
        <v>103.709999</v>
      </c>
      <c r="G1110" s="6">
        <v>39.439999</v>
      </c>
      <c r="H1110" s="6">
        <v>135.63999899999999</v>
      </c>
      <c r="I1110" s="6">
        <v>255.28999300000001</v>
      </c>
      <c r="J1110" s="6">
        <v>37.610000999999997</v>
      </c>
      <c r="K1110" s="6">
        <v>11.66</v>
      </c>
      <c r="N1110" s="18">
        <v>1106</v>
      </c>
      <c r="O1110" s="1">
        <v>45070</v>
      </c>
      <c r="P1110" s="5">
        <f t="shared" si="408"/>
        <v>-1.2660124143174254E-2</v>
      </c>
      <c r="Q1110" s="5">
        <f t="shared" si="409"/>
        <v>5.8340744003925419E-3</v>
      </c>
      <c r="R1110" s="5">
        <f t="shared" si="410"/>
        <v>-6.4063763942522542E-3</v>
      </c>
      <c r="S1110" s="5">
        <f t="shared" si="411"/>
        <v>-6.3619363861596636E-3</v>
      </c>
      <c r="T1110" s="5">
        <f t="shared" si="412"/>
        <v>-2.0613421732556224E-2</v>
      </c>
      <c r="U1110" s="5">
        <f t="shared" si="413"/>
        <v>-2.0081071113806945E-2</v>
      </c>
      <c r="V1110" s="5">
        <f t="shared" si="414"/>
        <v>-2.6769185856860406E-2</v>
      </c>
      <c r="W1110" s="5">
        <f t="shared" si="415"/>
        <v>-1.2379510467887798E-2</v>
      </c>
      <c r="X1110" s="5">
        <f t="shared" si="416"/>
        <v>-2.0526983893338121E-2</v>
      </c>
      <c r="Y1110" s="5">
        <f t="shared" si="417"/>
        <v>-2.5695945616306497E-3</v>
      </c>
      <c r="Z1110" s="33">
        <v>1106</v>
      </c>
      <c r="AE1110" s="20" t="str">
        <f t="shared" si="418"/>
        <v/>
      </c>
      <c r="AF1110" s="22" t="str">
        <f t="shared" si="419"/>
        <v/>
      </c>
      <c r="AG1110" s="9" t="str">
        <f t="shared" ca="1" si="398"/>
        <v/>
      </c>
      <c r="AH1110" s="9" t="str">
        <f t="shared" ca="1" si="399"/>
        <v/>
      </c>
      <c r="AI1110" s="9" t="str">
        <f t="shared" ca="1" si="400"/>
        <v/>
      </c>
      <c r="AJ1110" s="9" t="str">
        <f t="shared" ca="1" si="401"/>
        <v/>
      </c>
      <c r="AK1110" s="9" t="str">
        <f t="shared" ca="1" si="402"/>
        <v/>
      </c>
      <c r="AL1110" s="9" t="str">
        <f t="shared" ca="1" si="403"/>
        <v/>
      </c>
      <c r="AM1110" s="9" t="str">
        <f t="shared" ca="1" si="404"/>
        <v/>
      </c>
      <c r="AN1110" s="9" t="str">
        <f t="shared" ca="1" si="405"/>
        <v/>
      </c>
      <c r="AO1110" s="9" t="str">
        <f t="shared" ca="1" si="406"/>
        <v/>
      </c>
      <c r="AP1110" s="9" t="str">
        <f t="shared" ca="1" si="407"/>
        <v/>
      </c>
      <c r="AQ1110" s="9"/>
      <c r="AR1110" s="9"/>
      <c r="AS1110" s="9"/>
      <c r="AT1110" s="9"/>
      <c r="AU1110" s="9"/>
    </row>
    <row r="1111" spans="1:47" x14ac:dyDescent="0.3">
      <c r="A1111" s="1">
        <v>45071</v>
      </c>
      <c r="B1111" s="6">
        <v>392.05999800000001</v>
      </c>
      <c r="C1111" s="6">
        <v>434.20001200000002</v>
      </c>
      <c r="D1111" s="6">
        <v>57.330002</v>
      </c>
      <c r="E1111" s="6">
        <v>183.800003</v>
      </c>
      <c r="F1111" s="6">
        <v>102.94000200000001</v>
      </c>
      <c r="G1111" s="6">
        <v>39</v>
      </c>
      <c r="H1111" s="6">
        <v>135.220001</v>
      </c>
      <c r="I1111" s="6">
        <v>255.759995</v>
      </c>
      <c r="J1111" s="6">
        <v>37.490001999999997</v>
      </c>
      <c r="K1111" s="6">
        <v>11.09</v>
      </c>
      <c r="N1111" s="19">
        <v>1107</v>
      </c>
      <c r="O1111" s="1">
        <v>45071</v>
      </c>
      <c r="P1111" s="5">
        <f t="shared" si="408"/>
        <v>6.943747625424028E-2</v>
      </c>
      <c r="Q1111" s="5">
        <f t="shared" si="409"/>
        <v>9.3632627572015487E-2</v>
      </c>
      <c r="R1111" s="5">
        <f t="shared" si="410"/>
        <v>-4.1775168816783536E-3</v>
      </c>
      <c r="S1111" s="5">
        <f t="shared" si="411"/>
        <v>-5.9128219899642811E-3</v>
      </c>
      <c r="T1111" s="5">
        <f t="shared" si="412"/>
        <v>-7.4522193059692373E-3</v>
      </c>
      <c r="U1111" s="5">
        <f t="shared" si="413"/>
        <v>-1.1218858249818327E-2</v>
      </c>
      <c r="V1111" s="5">
        <f t="shared" si="414"/>
        <v>-3.1012208270937286E-3</v>
      </c>
      <c r="W1111" s="5">
        <f t="shared" si="415"/>
        <v>1.8393587459033507E-3</v>
      </c>
      <c r="X1111" s="5">
        <f t="shared" si="416"/>
        <v>-3.1957149755392927E-3</v>
      </c>
      <c r="Y1111" s="5">
        <f t="shared" si="417"/>
        <v>-5.012037956007067E-2</v>
      </c>
      <c r="Z1111" s="33">
        <v>1107</v>
      </c>
      <c r="AE1111" s="20" t="str">
        <f t="shared" si="418"/>
        <v/>
      </c>
      <c r="AF1111" s="22" t="str">
        <f t="shared" si="419"/>
        <v/>
      </c>
      <c r="AG1111" s="9" t="str">
        <f t="shared" ca="1" si="398"/>
        <v/>
      </c>
      <c r="AH1111" s="9" t="str">
        <f t="shared" ca="1" si="399"/>
        <v/>
      </c>
      <c r="AI1111" s="9" t="str">
        <f t="shared" ca="1" si="400"/>
        <v/>
      </c>
      <c r="AJ1111" s="9" t="str">
        <f t="shared" ca="1" si="401"/>
        <v/>
      </c>
      <c r="AK1111" s="9" t="str">
        <f t="shared" ca="1" si="402"/>
        <v/>
      </c>
      <c r="AL1111" s="9" t="str">
        <f t="shared" ca="1" si="403"/>
        <v/>
      </c>
      <c r="AM1111" s="9" t="str">
        <f t="shared" ca="1" si="404"/>
        <v/>
      </c>
      <c r="AN1111" s="9" t="str">
        <f t="shared" ca="1" si="405"/>
        <v/>
      </c>
      <c r="AO1111" s="9" t="str">
        <f t="shared" ca="1" si="406"/>
        <v/>
      </c>
      <c r="AP1111" s="9" t="str">
        <f t="shared" ca="1" si="407"/>
        <v/>
      </c>
      <c r="AQ1111" s="9"/>
      <c r="AR1111" s="9"/>
      <c r="AS1111" s="9"/>
      <c r="AT1111" s="9"/>
      <c r="AU1111" s="9"/>
    </row>
    <row r="1112" spans="1:47" x14ac:dyDescent="0.3">
      <c r="A1112" s="1">
        <v>45072</v>
      </c>
      <c r="B1112" s="6">
        <v>415.39001500000001</v>
      </c>
      <c r="C1112" s="6">
        <v>444.73001099999999</v>
      </c>
      <c r="D1112" s="6">
        <v>57.610000999999997</v>
      </c>
      <c r="E1112" s="6">
        <v>183.58000200000001</v>
      </c>
      <c r="F1112" s="6">
        <v>103.91999800000001</v>
      </c>
      <c r="G1112" s="6">
        <v>39.229999999999997</v>
      </c>
      <c r="H1112" s="6">
        <v>137.029999</v>
      </c>
      <c r="I1112" s="6">
        <v>257.35000600000001</v>
      </c>
      <c r="J1112" s="6">
        <v>37.709999000000003</v>
      </c>
      <c r="K1112" s="6">
        <v>11.44</v>
      </c>
      <c r="N1112" s="18">
        <v>1108</v>
      </c>
      <c r="O1112" s="1">
        <v>45072</v>
      </c>
      <c r="P1112" s="5">
        <f t="shared" si="408"/>
        <v>5.7802989879397665E-2</v>
      </c>
      <c r="Q1112" s="5">
        <f t="shared" si="409"/>
        <v>2.3962096103933409E-2</v>
      </c>
      <c r="R1112" s="5">
        <f t="shared" si="410"/>
        <v>4.8720992963491635E-3</v>
      </c>
      <c r="S1112" s="5">
        <f t="shared" si="411"/>
        <v>-1.1976755582979619E-3</v>
      </c>
      <c r="T1112" s="5">
        <f t="shared" si="412"/>
        <v>9.4750394633686327E-3</v>
      </c>
      <c r="U1112" s="5">
        <f t="shared" si="413"/>
        <v>5.8801140918146146E-3</v>
      </c>
      <c r="V1112" s="5">
        <f t="shared" si="414"/>
        <v>1.3296783602550107E-2</v>
      </c>
      <c r="W1112" s="5">
        <f t="shared" si="415"/>
        <v>6.1975642113073883E-3</v>
      </c>
      <c r="X1112" s="5">
        <f t="shared" si="416"/>
        <v>5.8510006567221492E-3</v>
      </c>
      <c r="Y1112" s="5">
        <f t="shared" si="417"/>
        <v>3.1072184589376248E-2</v>
      </c>
      <c r="Z1112" s="33">
        <v>1108</v>
      </c>
      <c r="AE1112" s="20" t="str">
        <f t="shared" si="418"/>
        <v/>
      </c>
      <c r="AF1112" s="22" t="str">
        <f t="shared" si="419"/>
        <v/>
      </c>
      <c r="AG1112" s="9" t="str">
        <f t="shared" ca="1" si="398"/>
        <v/>
      </c>
      <c r="AH1112" s="9" t="str">
        <f t="shared" ca="1" si="399"/>
        <v/>
      </c>
      <c r="AI1112" s="9" t="str">
        <f t="shared" ca="1" si="400"/>
        <v/>
      </c>
      <c r="AJ1112" s="9" t="str">
        <f t="shared" ca="1" si="401"/>
        <v/>
      </c>
      <c r="AK1112" s="9" t="str">
        <f t="shared" ca="1" si="402"/>
        <v/>
      </c>
      <c r="AL1112" s="9" t="str">
        <f t="shared" ca="1" si="403"/>
        <v/>
      </c>
      <c r="AM1112" s="9" t="str">
        <f t="shared" ca="1" si="404"/>
        <v/>
      </c>
      <c r="AN1112" s="9" t="str">
        <f t="shared" ca="1" si="405"/>
        <v/>
      </c>
      <c r="AO1112" s="9" t="str">
        <f t="shared" ca="1" si="406"/>
        <v/>
      </c>
      <c r="AP1112" s="9" t="str">
        <f t="shared" ca="1" si="407"/>
        <v/>
      </c>
      <c r="AQ1112" s="9"/>
      <c r="AR1112" s="9"/>
      <c r="AS1112" s="9"/>
      <c r="AT1112" s="9"/>
      <c r="AU1112" s="9"/>
    </row>
    <row r="1113" spans="1:47" x14ac:dyDescent="0.3">
      <c r="A1113" s="1">
        <v>45076</v>
      </c>
      <c r="B1113" s="6">
        <v>417.209991</v>
      </c>
      <c r="C1113" s="6">
        <v>464.82998700000002</v>
      </c>
      <c r="D1113" s="6">
        <v>57.75</v>
      </c>
      <c r="E1113" s="6">
        <v>181.61000100000001</v>
      </c>
      <c r="F1113" s="6">
        <v>104.16999800000001</v>
      </c>
      <c r="G1113" s="6">
        <v>39.200001</v>
      </c>
      <c r="H1113" s="6">
        <v>136.94000199999999</v>
      </c>
      <c r="I1113" s="6">
        <v>256.64999399999999</v>
      </c>
      <c r="J1113" s="6">
        <v>38.279998999999997</v>
      </c>
      <c r="K1113" s="6">
        <v>11.3</v>
      </c>
      <c r="N1113" s="19">
        <v>1109</v>
      </c>
      <c r="O1113" s="1">
        <v>45076</v>
      </c>
      <c r="P1113" s="5">
        <f t="shared" si="408"/>
        <v>4.3717965063428113E-3</v>
      </c>
      <c r="Q1113" s="5">
        <f t="shared" si="409"/>
        <v>4.420433819230711E-2</v>
      </c>
      <c r="R1113" s="5">
        <f t="shared" si="410"/>
        <v>2.4271682995138212E-3</v>
      </c>
      <c r="S1113" s="5">
        <f t="shared" si="411"/>
        <v>-1.0789014448665885E-2</v>
      </c>
      <c r="T1113" s="5">
        <f t="shared" si="412"/>
        <v>2.4028076802012446E-3</v>
      </c>
      <c r="U1113" s="5">
        <f t="shared" si="413"/>
        <v>-7.6498791484049759E-4</v>
      </c>
      <c r="V1113" s="5">
        <f t="shared" si="414"/>
        <v>-6.5698436258438916E-4</v>
      </c>
      <c r="W1113" s="5">
        <f t="shared" si="415"/>
        <v>-2.7237837851449911E-3</v>
      </c>
      <c r="X1113" s="5">
        <f t="shared" si="416"/>
        <v>1.5002255709350624E-2</v>
      </c>
      <c r="Y1113" s="5">
        <f t="shared" si="417"/>
        <v>-1.2313260233356901E-2</v>
      </c>
      <c r="Z1113" s="33">
        <v>1109</v>
      </c>
      <c r="AE1113" s="20" t="str">
        <f t="shared" si="418"/>
        <v/>
      </c>
      <c r="AF1113" s="22" t="str">
        <f t="shared" si="419"/>
        <v/>
      </c>
      <c r="AG1113" s="9" t="str">
        <f t="shared" ca="1" si="398"/>
        <v/>
      </c>
      <c r="AH1113" s="9" t="str">
        <f t="shared" ca="1" si="399"/>
        <v/>
      </c>
      <c r="AI1113" s="9" t="str">
        <f t="shared" ca="1" si="400"/>
        <v/>
      </c>
      <c r="AJ1113" s="9" t="str">
        <f t="shared" ca="1" si="401"/>
        <v/>
      </c>
      <c r="AK1113" s="9" t="str">
        <f t="shared" ca="1" si="402"/>
        <v/>
      </c>
      <c r="AL1113" s="9" t="str">
        <f t="shared" ca="1" si="403"/>
        <v/>
      </c>
      <c r="AM1113" s="9" t="str">
        <f t="shared" ca="1" si="404"/>
        <v/>
      </c>
      <c r="AN1113" s="9" t="str">
        <f t="shared" ca="1" si="405"/>
        <v/>
      </c>
      <c r="AO1113" s="9" t="str">
        <f t="shared" ca="1" si="406"/>
        <v/>
      </c>
      <c r="AP1113" s="9" t="str">
        <f t="shared" ca="1" si="407"/>
        <v/>
      </c>
      <c r="AQ1113" s="9"/>
      <c r="AR1113" s="9"/>
      <c r="AS1113" s="9"/>
      <c r="AT1113" s="9"/>
      <c r="AU1113" s="9"/>
    </row>
    <row r="1114" spans="1:47" x14ac:dyDescent="0.3">
      <c r="A1114" s="1">
        <v>45077</v>
      </c>
      <c r="B1114" s="6">
        <v>417.790009</v>
      </c>
      <c r="C1114" s="6">
        <v>454.959991</v>
      </c>
      <c r="D1114" s="6">
        <v>58.619999</v>
      </c>
      <c r="E1114" s="6">
        <v>182.35000600000001</v>
      </c>
      <c r="F1114" s="6">
        <v>104.470001</v>
      </c>
      <c r="G1114" s="6">
        <v>39.669998</v>
      </c>
      <c r="H1114" s="6">
        <v>133.33000200000001</v>
      </c>
      <c r="I1114" s="6">
        <v>248.86000100000001</v>
      </c>
      <c r="J1114" s="6">
        <v>37.189999</v>
      </c>
      <c r="K1114" s="6">
        <v>11.28</v>
      </c>
      <c r="N1114" s="18">
        <v>1110</v>
      </c>
      <c r="O1114" s="1">
        <v>45077</v>
      </c>
      <c r="P1114" s="5">
        <f t="shared" si="408"/>
        <v>1.3892648941052862E-3</v>
      </c>
      <c r="Q1114" s="5">
        <f t="shared" si="409"/>
        <v>-2.146223616088001E-2</v>
      </c>
      <c r="R1114" s="5">
        <f t="shared" si="410"/>
        <v>1.495256882181905E-2</v>
      </c>
      <c r="S1114" s="5">
        <f t="shared" si="411"/>
        <v>4.0664139217332172E-3</v>
      </c>
      <c r="T1114" s="5">
        <f t="shared" si="412"/>
        <v>2.8757976245708905E-3</v>
      </c>
      <c r="U1114" s="5">
        <f t="shared" si="413"/>
        <v>1.1918411803685478E-2</v>
      </c>
      <c r="V1114" s="5">
        <f t="shared" si="414"/>
        <v>-2.6715615170111163E-2</v>
      </c>
      <c r="W1114" s="5">
        <f t="shared" si="415"/>
        <v>-3.0822772262361742E-2</v>
      </c>
      <c r="X1114" s="5">
        <f t="shared" si="416"/>
        <v>-2.8887659413421401E-2</v>
      </c>
      <c r="Y1114" s="5">
        <f t="shared" si="417"/>
        <v>-1.7714796483821156E-3</v>
      </c>
      <c r="Z1114" s="33">
        <v>1110</v>
      </c>
      <c r="AE1114" s="20" t="str">
        <f t="shared" si="418"/>
        <v/>
      </c>
      <c r="AF1114" s="22" t="str">
        <f t="shared" si="419"/>
        <v/>
      </c>
      <c r="AG1114" s="9" t="str">
        <f t="shared" ca="1" si="398"/>
        <v/>
      </c>
      <c r="AH1114" s="9" t="str">
        <f t="shared" ca="1" si="399"/>
        <v/>
      </c>
      <c r="AI1114" s="9" t="str">
        <f t="shared" ca="1" si="400"/>
        <v/>
      </c>
      <c r="AJ1114" s="9" t="str">
        <f t="shared" ca="1" si="401"/>
        <v/>
      </c>
      <c r="AK1114" s="9" t="str">
        <f t="shared" ca="1" si="402"/>
        <v/>
      </c>
      <c r="AL1114" s="9" t="str">
        <f t="shared" ca="1" si="403"/>
        <v/>
      </c>
      <c r="AM1114" s="9" t="str">
        <f t="shared" ca="1" si="404"/>
        <v/>
      </c>
      <c r="AN1114" s="9" t="str">
        <f t="shared" ca="1" si="405"/>
        <v/>
      </c>
      <c r="AO1114" s="9" t="str">
        <f t="shared" ca="1" si="406"/>
        <v/>
      </c>
      <c r="AP1114" s="9" t="str">
        <f t="shared" ca="1" si="407"/>
        <v/>
      </c>
      <c r="AQ1114" s="9"/>
      <c r="AR1114" s="9"/>
      <c r="AS1114" s="9"/>
      <c r="AT1114" s="9"/>
      <c r="AU1114" s="9"/>
    </row>
    <row r="1115" spans="1:47" x14ac:dyDescent="0.3">
      <c r="A1115" s="1">
        <v>45078</v>
      </c>
      <c r="B1115" s="6">
        <v>426.75</v>
      </c>
      <c r="C1115" s="6">
        <v>454.54998799999998</v>
      </c>
      <c r="D1115" s="6">
        <v>59.360000999999997</v>
      </c>
      <c r="E1115" s="6">
        <v>182.19000199999999</v>
      </c>
      <c r="F1115" s="6">
        <v>104.620003</v>
      </c>
      <c r="G1115" s="6">
        <v>40.090000000000003</v>
      </c>
      <c r="H1115" s="6">
        <v>135.05999800000001</v>
      </c>
      <c r="I1115" s="6">
        <v>252.66999799999999</v>
      </c>
      <c r="J1115" s="6">
        <v>37.75</v>
      </c>
      <c r="K1115" s="6">
        <v>11.35</v>
      </c>
      <c r="N1115" s="19">
        <v>1111</v>
      </c>
      <c r="O1115" s="1">
        <v>45078</v>
      </c>
      <c r="P1115" s="5">
        <f t="shared" si="408"/>
        <v>2.1219426193685994E-2</v>
      </c>
      <c r="Q1115" s="5">
        <f t="shared" si="409"/>
        <v>-9.0159104845434176E-4</v>
      </c>
      <c r="R1115" s="5">
        <f t="shared" si="410"/>
        <v>1.2544697481764103E-2</v>
      </c>
      <c r="S1115" s="5">
        <f t="shared" si="411"/>
        <v>-8.7784060330077008E-4</v>
      </c>
      <c r="T1115" s="5">
        <f t="shared" si="412"/>
        <v>1.4348081961275401E-3</v>
      </c>
      <c r="U1115" s="5">
        <f t="shared" si="413"/>
        <v>1.0531742544109542E-2</v>
      </c>
      <c r="V1115" s="5">
        <f t="shared" si="414"/>
        <v>1.2891836210720374E-2</v>
      </c>
      <c r="W1115" s="5">
        <f t="shared" si="415"/>
        <v>1.5193788218105861E-2</v>
      </c>
      <c r="X1115" s="5">
        <f t="shared" si="416"/>
        <v>1.4945594647003995E-2</v>
      </c>
      <c r="Y1115" s="5">
        <f t="shared" si="417"/>
        <v>6.1864978574989763E-3</v>
      </c>
      <c r="Z1115" s="33">
        <v>1111</v>
      </c>
      <c r="AE1115" s="20" t="str">
        <f t="shared" si="418"/>
        <v/>
      </c>
      <c r="AF1115" s="22" t="str">
        <f t="shared" si="419"/>
        <v/>
      </c>
      <c r="AG1115" s="9" t="str">
        <f t="shared" ca="1" si="398"/>
        <v/>
      </c>
      <c r="AH1115" s="9" t="str">
        <f t="shared" ca="1" si="399"/>
        <v/>
      </c>
      <c r="AI1115" s="9" t="str">
        <f t="shared" ca="1" si="400"/>
        <v/>
      </c>
      <c r="AJ1115" s="9" t="str">
        <f t="shared" ca="1" si="401"/>
        <v/>
      </c>
      <c r="AK1115" s="9" t="str">
        <f t="shared" ca="1" si="402"/>
        <v/>
      </c>
      <c r="AL1115" s="9" t="str">
        <f t="shared" ca="1" si="403"/>
        <v/>
      </c>
      <c r="AM1115" s="9" t="str">
        <f t="shared" ca="1" si="404"/>
        <v/>
      </c>
      <c r="AN1115" s="9" t="str">
        <f t="shared" ca="1" si="405"/>
        <v/>
      </c>
      <c r="AO1115" s="9" t="str">
        <f t="shared" ca="1" si="406"/>
        <v/>
      </c>
      <c r="AP1115" s="9" t="str">
        <f t="shared" ca="1" si="407"/>
        <v/>
      </c>
      <c r="AQ1115" s="9"/>
      <c r="AR1115" s="9"/>
      <c r="AS1115" s="9"/>
      <c r="AT1115" s="9"/>
      <c r="AU1115" s="9"/>
    </row>
    <row r="1116" spans="1:47" x14ac:dyDescent="0.3">
      <c r="A1116" s="1">
        <v>45079</v>
      </c>
      <c r="B1116" s="6">
        <v>436.36999500000002</v>
      </c>
      <c r="C1116" s="6">
        <v>449.35998499999999</v>
      </c>
      <c r="D1116" s="6">
        <v>59.48</v>
      </c>
      <c r="E1116" s="6">
        <v>184.05999800000001</v>
      </c>
      <c r="F1116" s="6">
        <v>107.620003</v>
      </c>
      <c r="G1116" s="6">
        <v>41.16</v>
      </c>
      <c r="H1116" s="6">
        <v>139.86000100000001</v>
      </c>
      <c r="I1116" s="6">
        <v>259.709991</v>
      </c>
      <c r="J1116" s="6">
        <v>38.669998</v>
      </c>
      <c r="K1116" s="6">
        <v>11.75</v>
      </c>
      <c r="N1116" s="18">
        <v>1112</v>
      </c>
      <c r="O1116" s="1">
        <v>45079</v>
      </c>
      <c r="P1116" s="5">
        <f t="shared" si="408"/>
        <v>2.2292134191892989E-2</v>
      </c>
      <c r="Q1116" s="5">
        <f t="shared" si="409"/>
        <v>-1.1483577324762413E-2</v>
      </c>
      <c r="R1116" s="5">
        <f t="shared" si="410"/>
        <v>2.0195058864682135E-3</v>
      </c>
      <c r="S1116" s="5">
        <f t="shared" si="411"/>
        <v>1.0211670989544317E-2</v>
      </c>
      <c r="T1116" s="5">
        <f t="shared" si="412"/>
        <v>2.8271765319462565E-2</v>
      </c>
      <c r="U1116" s="5">
        <f t="shared" si="413"/>
        <v>2.6339984311433157E-2</v>
      </c>
      <c r="V1116" s="5">
        <f t="shared" si="414"/>
        <v>3.4922820087265584E-2</v>
      </c>
      <c r="W1116" s="5">
        <f t="shared" si="415"/>
        <v>2.7481307657839862E-2</v>
      </c>
      <c r="X1116" s="5">
        <f t="shared" si="416"/>
        <v>2.4078578204491413E-2</v>
      </c>
      <c r="Y1116" s="5">
        <f t="shared" si="417"/>
        <v>3.4635496662756338E-2</v>
      </c>
      <c r="Z1116" s="33">
        <v>1112</v>
      </c>
      <c r="AE1116" s="20" t="str">
        <f t="shared" si="418"/>
        <v/>
      </c>
      <c r="AF1116" s="22" t="str">
        <f t="shared" si="419"/>
        <v/>
      </c>
      <c r="AG1116" s="9" t="str">
        <f t="shared" ca="1" si="398"/>
        <v/>
      </c>
      <c r="AH1116" s="9" t="str">
        <f t="shared" ca="1" si="399"/>
        <v/>
      </c>
      <c r="AI1116" s="9" t="str">
        <f t="shared" ca="1" si="400"/>
        <v/>
      </c>
      <c r="AJ1116" s="9" t="str">
        <f t="shared" ca="1" si="401"/>
        <v/>
      </c>
      <c r="AK1116" s="9" t="str">
        <f t="shared" ca="1" si="402"/>
        <v/>
      </c>
      <c r="AL1116" s="9" t="str">
        <f t="shared" ca="1" si="403"/>
        <v/>
      </c>
      <c r="AM1116" s="9" t="str">
        <f t="shared" ca="1" si="404"/>
        <v/>
      </c>
      <c r="AN1116" s="9" t="str">
        <f t="shared" ca="1" si="405"/>
        <v/>
      </c>
      <c r="AO1116" s="9" t="str">
        <f t="shared" ca="1" si="406"/>
        <v/>
      </c>
      <c r="AP1116" s="9" t="str">
        <f t="shared" ca="1" si="407"/>
        <v/>
      </c>
      <c r="AQ1116" s="9"/>
      <c r="AR1116" s="9"/>
      <c r="AS1116" s="9"/>
      <c r="AT1116" s="9"/>
      <c r="AU1116" s="9"/>
    </row>
    <row r="1117" spans="1:47" x14ac:dyDescent="0.3">
      <c r="A1117" s="1">
        <v>45082</v>
      </c>
      <c r="B1117" s="6">
        <v>434.17999300000002</v>
      </c>
      <c r="C1117" s="6">
        <v>450.16000400000001</v>
      </c>
      <c r="D1117" s="6">
        <v>59.259998000000003</v>
      </c>
      <c r="E1117" s="6">
        <v>184.19000199999999</v>
      </c>
      <c r="F1117" s="6">
        <v>108.66999800000001</v>
      </c>
      <c r="G1117" s="6">
        <v>41.189999</v>
      </c>
      <c r="H1117" s="6">
        <v>137.88000500000001</v>
      </c>
      <c r="I1117" s="6">
        <v>259.38000499999998</v>
      </c>
      <c r="J1117" s="6">
        <v>37.959999000000003</v>
      </c>
      <c r="K1117" s="6">
        <v>11.63</v>
      </c>
      <c r="N1117" s="19">
        <v>1113</v>
      </c>
      <c r="O1117" s="1">
        <v>45082</v>
      </c>
      <c r="P1117" s="5">
        <f t="shared" si="408"/>
        <v>-5.031317328179412E-3</v>
      </c>
      <c r="Q1117" s="5">
        <f t="shared" si="409"/>
        <v>1.7787691673845662E-3</v>
      </c>
      <c r="R1117" s="5">
        <f t="shared" si="410"/>
        <v>-3.7056131961137467E-3</v>
      </c>
      <c r="S1117" s="5">
        <f t="shared" si="411"/>
        <v>7.0606384467537928E-4</v>
      </c>
      <c r="T1117" s="5">
        <f t="shared" si="412"/>
        <v>9.709216733284079E-3</v>
      </c>
      <c r="U1117" s="5">
        <f t="shared" si="413"/>
        <v>7.2857320440305627E-4</v>
      </c>
      <c r="V1117" s="5">
        <f t="shared" si="414"/>
        <v>-1.4258151513646499E-2</v>
      </c>
      <c r="W1117" s="5">
        <f t="shared" si="415"/>
        <v>-1.2714020574222577E-3</v>
      </c>
      <c r="X1117" s="5">
        <f t="shared" si="416"/>
        <v>-1.8531106501317705E-2</v>
      </c>
      <c r="Y1117" s="5">
        <f t="shared" si="417"/>
        <v>-1.0265274059594792E-2</v>
      </c>
      <c r="Z1117" s="33">
        <v>1113</v>
      </c>
      <c r="AE1117" s="20" t="str">
        <f t="shared" si="418"/>
        <v/>
      </c>
      <c r="AF1117" s="22" t="str">
        <f t="shared" si="419"/>
        <v/>
      </c>
      <c r="AG1117" s="9" t="str">
        <f t="shared" ca="1" si="398"/>
        <v/>
      </c>
      <c r="AH1117" s="9" t="str">
        <f t="shared" ca="1" si="399"/>
        <v/>
      </c>
      <c r="AI1117" s="9" t="str">
        <f t="shared" ca="1" si="400"/>
        <v/>
      </c>
      <c r="AJ1117" s="9" t="str">
        <f t="shared" ca="1" si="401"/>
        <v/>
      </c>
      <c r="AK1117" s="9" t="str">
        <f t="shared" ca="1" si="402"/>
        <v/>
      </c>
      <c r="AL1117" s="9" t="str">
        <f t="shared" ca="1" si="403"/>
        <v/>
      </c>
      <c r="AM1117" s="9" t="str">
        <f t="shared" ca="1" si="404"/>
        <v/>
      </c>
      <c r="AN1117" s="9" t="str">
        <f t="shared" ca="1" si="405"/>
        <v/>
      </c>
      <c r="AO1117" s="9" t="str">
        <f t="shared" ca="1" si="406"/>
        <v/>
      </c>
      <c r="AP1117" s="9" t="str">
        <f t="shared" ca="1" si="407"/>
        <v/>
      </c>
      <c r="AQ1117" s="9"/>
      <c r="AR1117" s="9"/>
      <c r="AS1117" s="9"/>
      <c r="AT1117" s="9"/>
      <c r="AU1117" s="9"/>
    </row>
    <row r="1118" spans="1:47" x14ac:dyDescent="0.3">
      <c r="A1118" s="1">
        <v>45083</v>
      </c>
      <c r="B1118" s="6">
        <v>432.89001500000001</v>
      </c>
      <c r="C1118" s="6">
        <v>443.83999599999999</v>
      </c>
      <c r="D1118" s="6">
        <v>58.330002</v>
      </c>
      <c r="E1118" s="6">
        <v>181.55999800000001</v>
      </c>
      <c r="F1118" s="6">
        <v>109.849998</v>
      </c>
      <c r="G1118" s="6">
        <v>41.529998999999997</v>
      </c>
      <c r="H1118" s="6">
        <v>139.020004</v>
      </c>
      <c r="I1118" s="6">
        <v>262.76998900000001</v>
      </c>
      <c r="J1118" s="6">
        <v>38.5</v>
      </c>
      <c r="K1118" s="6">
        <v>12.1</v>
      </c>
      <c r="N1118" s="18">
        <v>1114</v>
      </c>
      <c r="O1118" s="1">
        <v>45083</v>
      </c>
      <c r="P1118" s="5">
        <f t="shared" si="408"/>
        <v>-2.975489729403989E-3</v>
      </c>
      <c r="Q1118" s="5">
        <f t="shared" si="409"/>
        <v>-1.4138955896542989E-2</v>
      </c>
      <c r="R1118" s="5">
        <f t="shared" si="410"/>
        <v>-1.5817933342621243E-2</v>
      </c>
      <c r="S1118" s="5">
        <f t="shared" si="411"/>
        <v>-1.4381677816741541E-2</v>
      </c>
      <c r="T1118" s="5">
        <f t="shared" si="412"/>
        <v>1.0800031953557014E-2</v>
      </c>
      <c r="U1118" s="5">
        <f t="shared" si="413"/>
        <v>8.2205493934310037E-3</v>
      </c>
      <c r="V1118" s="5">
        <f t="shared" si="414"/>
        <v>8.2340585330962553E-3</v>
      </c>
      <c r="W1118" s="5">
        <f t="shared" si="415"/>
        <v>1.2984895797070368E-2</v>
      </c>
      <c r="X1118" s="5">
        <f t="shared" si="416"/>
        <v>1.4125293895531075E-2</v>
      </c>
      <c r="Y1118" s="5">
        <f t="shared" si="417"/>
        <v>3.9617486072122302E-2</v>
      </c>
      <c r="Z1118" s="33">
        <v>1114</v>
      </c>
      <c r="AE1118" s="20" t="str">
        <f t="shared" si="418"/>
        <v/>
      </c>
      <c r="AF1118" s="22" t="str">
        <f t="shared" si="419"/>
        <v/>
      </c>
      <c r="AG1118" s="9" t="str">
        <f t="shared" ca="1" si="398"/>
        <v/>
      </c>
      <c r="AH1118" s="9" t="str">
        <f t="shared" ca="1" si="399"/>
        <v/>
      </c>
      <c r="AI1118" s="9" t="str">
        <f t="shared" ca="1" si="400"/>
        <v/>
      </c>
      <c r="AJ1118" s="9" t="str">
        <f t="shared" ca="1" si="401"/>
        <v/>
      </c>
      <c r="AK1118" s="9" t="str">
        <f t="shared" ca="1" si="402"/>
        <v/>
      </c>
      <c r="AL1118" s="9" t="str">
        <f t="shared" ca="1" si="403"/>
        <v/>
      </c>
      <c r="AM1118" s="9" t="str">
        <f t="shared" ca="1" si="404"/>
        <v/>
      </c>
      <c r="AN1118" s="9" t="str">
        <f t="shared" ca="1" si="405"/>
        <v/>
      </c>
      <c r="AO1118" s="9" t="str">
        <f t="shared" ca="1" si="406"/>
        <v/>
      </c>
      <c r="AP1118" s="9" t="str">
        <f t="shared" ca="1" si="407"/>
        <v/>
      </c>
      <c r="AQ1118" s="9"/>
      <c r="AR1118" s="9"/>
      <c r="AS1118" s="9"/>
      <c r="AT1118" s="9"/>
      <c r="AU1118" s="9"/>
    </row>
    <row r="1119" spans="1:47" x14ac:dyDescent="0.3">
      <c r="A1119" s="1">
        <v>45084</v>
      </c>
      <c r="B1119" s="6">
        <v>418.32000699999998</v>
      </c>
      <c r="C1119" s="6">
        <v>435.32000699999998</v>
      </c>
      <c r="D1119" s="6">
        <v>56.900002000000001</v>
      </c>
      <c r="E1119" s="6">
        <v>180.11000100000001</v>
      </c>
      <c r="F1119" s="6">
        <v>113.25</v>
      </c>
      <c r="G1119" s="6">
        <v>42.240001999999997</v>
      </c>
      <c r="H1119" s="6">
        <v>143.55999800000001</v>
      </c>
      <c r="I1119" s="6">
        <v>269.85998499999999</v>
      </c>
      <c r="J1119" s="6">
        <v>39.610000999999997</v>
      </c>
      <c r="K1119" s="6">
        <v>13.12</v>
      </c>
      <c r="N1119" s="19">
        <v>1115</v>
      </c>
      <c r="O1119" s="1">
        <v>45084</v>
      </c>
      <c r="P1119" s="5">
        <f t="shared" si="408"/>
        <v>-3.4236982195383715E-2</v>
      </c>
      <c r="Q1119" s="5">
        <f t="shared" si="409"/>
        <v>-1.9382719206224319E-2</v>
      </c>
      <c r="R1119" s="5">
        <f t="shared" si="410"/>
        <v>-2.4821198771549778E-2</v>
      </c>
      <c r="S1119" s="5">
        <f t="shared" si="411"/>
        <v>-8.0183856714939224E-3</v>
      </c>
      <c r="T1119" s="5">
        <f t="shared" si="412"/>
        <v>3.0481983739169785E-2</v>
      </c>
      <c r="U1119" s="5">
        <f t="shared" si="413"/>
        <v>1.6951653182806916E-2</v>
      </c>
      <c r="V1119" s="5">
        <f t="shared" si="414"/>
        <v>3.2135215902771345E-2</v>
      </c>
      <c r="W1119" s="5">
        <f t="shared" si="415"/>
        <v>2.6624167436860212E-2</v>
      </c>
      <c r="X1119" s="5">
        <f t="shared" si="416"/>
        <v>2.8423395586236272E-2</v>
      </c>
      <c r="Y1119" s="5">
        <f t="shared" si="417"/>
        <v>8.0932330913247488E-2</v>
      </c>
      <c r="Z1119" s="33">
        <v>1115</v>
      </c>
      <c r="AE1119" s="20" t="str">
        <f t="shared" si="418"/>
        <v/>
      </c>
      <c r="AF1119" s="22" t="str">
        <f t="shared" si="419"/>
        <v/>
      </c>
      <c r="AG1119" s="9" t="str">
        <f t="shared" ca="1" si="398"/>
        <v/>
      </c>
      <c r="AH1119" s="9" t="str">
        <f t="shared" ca="1" si="399"/>
        <v/>
      </c>
      <c r="AI1119" s="9" t="str">
        <f t="shared" ca="1" si="400"/>
        <v/>
      </c>
      <c r="AJ1119" s="9" t="str">
        <f t="shared" ca="1" si="401"/>
        <v/>
      </c>
      <c r="AK1119" s="9" t="str">
        <f t="shared" ca="1" si="402"/>
        <v/>
      </c>
      <c r="AL1119" s="9" t="str">
        <f t="shared" ca="1" si="403"/>
        <v/>
      </c>
      <c r="AM1119" s="9" t="str">
        <f t="shared" ca="1" si="404"/>
        <v/>
      </c>
      <c r="AN1119" s="9" t="str">
        <f t="shared" ca="1" si="405"/>
        <v/>
      </c>
      <c r="AO1119" s="9" t="str">
        <f t="shared" ca="1" si="406"/>
        <v/>
      </c>
      <c r="AP1119" s="9" t="str">
        <f t="shared" ca="1" si="407"/>
        <v/>
      </c>
      <c r="AQ1119" s="9"/>
      <c r="AR1119" s="9"/>
      <c r="AS1119" s="9"/>
      <c r="AT1119" s="9"/>
      <c r="AU1119" s="9"/>
    </row>
    <row r="1120" spans="1:47" x14ac:dyDescent="0.3">
      <c r="A1120" s="1">
        <v>45085</v>
      </c>
      <c r="B1120" s="6">
        <v>439.02999899999998</v>
      </c>
      <c r="C1120" s="6">
        <v>437.69000199999999</v>
      </c>
      <c r="D1120" s="6">
        <v>57.529998999999997</v>
      </c>
      <c r="E1120" s="6">
        <v>182.10000600000001</v>
      </c>
      <c r="F1120" s="6">
        <v>113.279999</v>
      </c>
      <c r="G1120" s="6">
        <v>42.09</v>
      </c>
      <c r="H1120" s="6">
        <v>142.300003</v>
      </c>
      <c r="I1120" s="6">
        <v>269.32998700000002</v>
      </c>
      <c r="J1120" s="6">
        <v>39.860000999999997</v>
      </c>
      <c r="K1120" s="6">
        <v>14.02</v>
      </c>
      <c r="N1120" s="18">
        <v>1116</v>
      </c>
      <c r="O1120" s="1">
        <v>45085</v>
      </c>
      <c r="P1120" s="5">
        <f t="shared" si="408"/>
        <v>4.8321038978911865E-2</v>
      </c>
      <c r="Q1120" s="5">
        <f t="shared" si="409"/>
        <v>5.4294928986662327E-3</v>
      </c>
      <c r="R1120" s="5">
        <f t="shared" si="410"/>
        <v>1.1011157211296961E-2</v>
      </c>
      <c r="S1120" s="5">
        <f t="shared" si="411"/>
        <v>1.098823878136225E-2</v>
      </c>
      <c r="T1120" s="5">
        <f t="shared" si="412"/>
        <v>2.6485675458265715E-4</v>
      </c>
      <c r="U1120" s="5">
        <f t="shared" si="413"/>
        <v>-3.5575039640103217E-3</v>
      </c>
      <c r="V1120" s="5">
        <f t="shared" si="414"/>
        <v>-8.8155261699221343E-3</v>
      </c>
      <c r="W1120" s="5">
        <f t="shared" si="415"/>
        <v>-1.9659051474121701E-3</v>
      </c>
      <c r="X1120" s="5">
        <f t="shared" si="416"/>
        <v>6.2917029924806833E-3</v>
      </c>
      <c r="Y1120" s="5">
        <f t="shared" si="417"/>
        <v>6.6347098090501058E-2</v>
      </c>
      <c r="Z1120" s="33">
        <v>1116</v>
      </c>
      <c r="AE1120" s="20" t="str">
        <f t="shared" si="418"/>
        <v/>
      </c>
      <c r="AF1120" s="22" t="str">
        <f t="shared" si="419"/>
        <v/>
      </c>
      <c r="AG1120" s="9" t="str">
        <f t="shared" ca="1" si="398"/>
        <v/>
      </c>
      <c r="AH1120" s="9" t="str">
        <f t="shared" ca="1" si="399"/>
        <v/>
      </c>
      <c r="AI1120" s="9" t="str">
        <f t="shared" ca="1" si="400"/>
        <v/>
      </c>
      <c r="AJ1120" s="9" t="str">
        <f t="shared" ca="1" si="401"/>
        <v/>
      </c>
      <c r="AK1120" s="9" t="str">
        <f t="shared" ca="1" si="402"/>
        <v/>
      </c>
      <c r="AL1120" s="9" t="str">
        <f t="shared" ca="1" si="403"/>
        <v/>
      </c>
      <c r="AM1120" s="9" t="str">
        <f t="shared" ca="1" si="404"/>
        <v/>
      </c>
      <c r="AN1120" s="9" t="str">
        <f t="shared" ca="1" si="405"/>
        <v/>
      </c>
      <c r="AO1120" s="9" t="str">
        <f t="shared" ca="1" si="406"/>
        <v/>
      </c>
      <c r="AP1120" s="9" t="str">
        <f t="shared" ca="1" si="407"/>
        <v/>
      </c>
      <c r="AQ1120" s="9"/>
      <c r="AR1120" s="9"/>
      <c r="AS1120" s="9"/>
      <c r="AT1120" s="9"/>
      <c r="AU1120" s="9"/>
    </row>
    <row r="1121" spans="1:47" x14ac:dyDescent="0.3">
      <c r="A1121" s="1">
        <v>45086</v>
      </c>
      <c r="B1121" s="6">
        <v>454</v>
      </c>
      <c r="C1121" s="6">
        <v>438.77999899999998</v>
      </c>
      <c r="D1121" s="6">
        <v>57.25</v>
      </c>
      <c r="E1121" s="6">
        <v>182.35000600000001</v>
      </c>
      <c r="F1121" s="6">
        <v>113.239998</v>
      </c>
      <c r="G1121" s="6">
        <v>42.549999</v>
      </c>
      <c r="H1121" s="6">
        <v>141.13999899999999</v>
      </c>
      <c r="I1121" s="6">
        <v>267.57998700000002</v>
      </c>
      <c r="J1121" s="6">
        <v>39.630001</v>
      </c>
      <c r="K1121" s="6">
        <v>13.84</v>
      </c>
      <c r="N1121" s="19">
        <v>1117</v>
      </c>
      <c r="O1121" s="1">
        <v>45086</v>
      </c>
      <c r="P1121" s="5">
        <f t="shared" si="408"/>
        <v>3.3529452448960155E-2</v>
      </c>
      <c r="Q1121" s="5">
        <f t="shared" si="409"/>
        <v>2.4872444252163799E-3</v>
      </c>
      <c r="R1121" s="5">
        <f t="shared" si="410"/>
        <v>-4.8788910586174336E-3</v>
      </c>
      <c r="S1121" s="5">
        <f t="shared" si="411"/>
        <v>1.3719304759542113E-3</v>
      </c>
      <c r="T1121" s="5">
        <f t="shared" si="412"/>
        <v>-3.531785356310257E-4</v>
      </c>
      <c r="U1121" s="5">
        <f t="shared" si="413"/>
        <v>1.0869648735140848E-2</v>
      </c>
      <c r="V1121" s="5">
        <f t="shared" si="414"/>
        <v>-8.1852276905067644E-3</v>
      </c>
      <c r="W1121" s="5">
        <f t="shared" si="415"/>
        <v>-6.5188068089794939E-3</v>
      </c>
      <c r="X1121" s="5">
        <f t="shared" si="416"/>
        <v>-5.786907436703197E-3</v>
      </c>
      <c r="Y1121" s="5">
        <f t="shared" si="417"/>
        <v>-1.2921931416920449E-2</v>
      </c>
      <c r="Z1121" s="33">
        <v>1117</v>
      </c>
      <c r="AE1121" s="20" t="str">
        <f t="shared" si="418"/>
        <v/>
      </c>
      <c r="AF1121" s="22" t="str">
        <f t="shared" si="419"/>
        <v/>
      </c>
      <c r="AG1121" s="9" t="str">
        <f t="shared" ca="1" si="398"/>
        <v/>
      </c>
      <c r="AH1121" s="9" t="str">
        <f t="shared" ca="1" si="399"/>
        <v/>
      </c>
      <c r="AI1121" s="9" t="str">
        <f t="shared" ca="1" si="400"/>
        <v/>
      </c>
      <c r="AJ1121" s="9" t="str">
        <f t="shared" ca="1" si="401"/>
        <v/>
      </c>
      <c r="AK1121" s="9" t="str">
        <f t="shared" ca="1" si="402"/>
        <v/>
      </c>
      <c r="AL1121" s="9" t="str">
        <f t="shared" ca="1" si="403"/>
        <v/>
      </c>
      <c r="AM1121" s="9" t="str">
        <f t="shared" ca="1" si="404"/>
        <v/>
      </c>
      <c r="AN1121" s="9" t="str">
        <f t="shared" ca="1" si="405"/>
        <v/>
      </c>
      <c r="AO1121" s="9" t="str">
        <f t="shared" ca="1" si="406"/>
        <v/>
      </c>
      <c r="AP1121" s="9" t="str">
        <f t="shared" ca="1" si="407"/>
        <v/>
      </c>
      <c r="AQ1121" s="9"/>
      <c r="AR1121" s="9"/>
      <c r="AS1121" s="9"/>
      <c r="AT1121" s="9"/>
      <c r="AU1121" s="9"/>
    </row>
    <row r="1122" spans="1:47" x14ac:dyDescent="0.3">
      <c r="A1122" s="1">
        <v>45089</v>
      </c>
      <c r="B1122" s="6">
        <v>474.63000499999998</v>
      </c>
      <c r="C1122" s="6">
        <v>446.040009</v>
      </c>
      <c r="D1122" s="6">
        <v>57.91</v>
      </c>
      <c r="E1122" s="6">
        <v>181.89999399999999</v>
      </c>
      <c r="F1122" s="6">
        <v>111.949997</v>
      </c>
      <c r="G1122" s="6">
        <v>42.48</v>
      </c>
      <c r="H1122" s="6">
        <v>143.070007</v>
      </c>
      <c r="I1122" s="6">
        <v>267.26001000000002</v>
      </c>
      <c r="J1122" s="6">
        <v>39.900002000000001</v>
      </c>
      <c r="K1122" s="6">
        <v>13.97</v>
      </c>
      <c r="N1122" s="18">
        <v>1118</v>
      </c>
      <c r="O1122" s="1">
        <v>45089</v>
      </c>
      <c r="P1122" s="5">
        <f t="shared" si="408"/>
        <v>4.4438365622255727E-2</v>
      </c>
      <c r="Q1122" s="5">
        <f t="shared" si="409"/>
        <v>1.6410508042855196E-2</v>
      </c>
      <c r="R1122" s="5">
        <f t="shared" si="410"/>
        <v>1.146243880334942E-2</v>
      </c>
      <c r="S1122" s="5">
        <f t="shared" si="411"/>
        <v>-2.4708976195259823E-3</v>
      </c>
      <c r="T1122" s="5">
        <f t="shared" si="412"/>
        <v>-1.1457126335009123E-2</v>
      </c>
      <c r="U1122" s="5">
        <f t="shared" si="413"/>
        <v>-1.6464545839369304E-3</v>
      </c>
      <c r="V1122" s="5">
        <f t="shared" si="414"/>
        <v>1.3581771417819754E-2</v>
      </c>
      <c r="W1122" s="5">
        <f t="shared" si="415"/>
        <v>-1.1965336922089558E-3</v>
      </c>
      <c r="X1122" s="5">
        <f t="shared" si="416"/>
        <v>6.7899415853774044E-3</v>
      </c>
      <c r="Y1122" s="5">
        <f t="shared" si="417"/>
        <v>9.3492230793469997E-3</v>
      </c>
      <c r="Z1122" s="33">
        <v>1118</v>
      </c>
      <c r="AE1122" s="20" t="str">
        <f t="shared" si="418"/>
        <v/>
      </c>
      <c r="AF1122" s="22" t="str">
        <f t="shared" si="419"/>
        <v/>
      </c>
      <c r="AG1122" s="9" t="str">
        <f t="shared" ca="1" si="398"/>
        <v/>
      </c>
      <c r="AH1122" s="9" t="str">
        <f t="shared" ca="1" si="399"/>
        <v/>
      </c>
      <c r="AI1122" s="9" t="str">
        <f t="shared" ca="1" si="400"/>
        <v/>
      </c>
      <c r="AJ1122" s="9" t="str">
        <f t="shared" ca="1" si="401"/>
        <v/>
      </c>
      <c r="AK1122" s="9" t="str">
        <f t="shared" ca="1" si="402"/>
        <v/>
      </c>
      <c r="AL1122" s="9" t="str">
        <f t="shared" ca="1" si="403"/>
        <v/>
      </c>
      <c r="AM1122" s="9" t="str">
        <f t="shared" ca="1" si="404"/>
        <v/>
      </c>
      <c r="AN1122" s="9" t="str">
        <f t="shared" ca="1" si="405"/>
        <v/>
      </c>
      <c r="AO1122" s="9" t="str">
        <f t="shared" ca="1" si="406"/>
        <v/>
      </c>
      <c r="AP1122" s="9" t="str">
        <f t="shared" ca="1" si="407"/>
        <v/>
      </c>
      <c r="AQ1122" s="9"/>
      <c r="AR1122" s="9"/>
      <c r="AS1122" s="9"/>
      <c r="AT1122" s="9"/>
      <c r="AU1122" s="9"/>
    </row>
    <row r="1123" spans="1:47" x14ac:dyDescent="0.3">
      <c r="A1123" s="1">
        <v>45090</v>
      </c>
      <c r="B1123" s="6">
        <v>478.98998999999998</v>
      </c>
      <c r="C1123" s="6">
        <v>449.98001099999999</v>
      </c>
      <c r="D1123" s="6">
        <v>58.18</v>
      </c>
      <c r="E1123" s="6">
        <v>181.53999300000001</v>
      </c>
      <c r="F1123" s="6">
        <v>112.529999</v>
      </c>
      <c r="G1123" s="6">
        <v>42.619999</v>
      </c>
      <c r="H1123" s="6">
        <v>145.14999399999999</v>
      </c>
      <c r="I1123" s="6">
        <v>273.63000499999998</v>
      </c>
      <c r="J1123" s="6">
        <v>40.209999000000003</v>
      </c>
      <c r="K1123" s="6">
        <v>13.79</v>
      </c>
      <c r="N1123" s="19">
        <v>1119</v>
      </c>
      <c r="O1123" s="1">
        <v>45090</v>
      </c>
      <c r="P1123" s="5">
        <f t="shared" si="408"/>
        <v>9.1441358254023865E-3</v>
      </c>
      <c r="Q1123" s="5">
        <f t="shared" si="409"/>
        <v>8.7945075030445956E-3</v>
      </c>
      <c r="R1123" s="5">
        <f t="shared" si="410"/>
        <v>4.6515718293572567E-3</v>
      </c>
      <c r="S1123" s="5">
        <f t="shared" si="411"/>
        <v>-1.9810759994340382E-3</v>
      </c>
      <c r="T1123" s="5">
        <f t="shared" si="412"/>
        <v>5.1675276283006527E-3</v>
      </c>
      <c r="U1123" s="5">
        <f t="shared" si="413"/>
        <v>3.2902262736247507E-3</v>
      </c>
      <c r="V1123" s="5">
        <f t="shared" si="414"/>
        <v>1.4433579228749396E-2</v>
      </c>
      <c r="W1123" s="5">
        <f t="shared" si="415"/>
        <v>2.3554842363364664E-2</v>
      </c>
      <c r="X1123" s="5">
        <f t="shared" si="416"/>
        <v>7.7393220186171927E-3</v>
      </c>
      <c r="Y1123" s="5">
        <f t="shared" si="417"/>
        <v>-1.2968481463660114E-2</v>
      </c>
      <c r="Z1123" s="33">
        <v>1119</v>
      </c>
      <c r="AE1123" s="20" t="str">
        <f t="shared" si="418"/>
        <v/>
      </c>
      <c r="AF1123" s="22" t="str">
        <f t="shared" si="419"/>
        <v/>
      </c>
      <c r="AG1123" s="9" t="str">
        <f t="shared" ca="1" si="398"/>
        <v/>
      </c>
      <c r="AH1123" s="9" t="str">
        <f t="shared" ca="1" si="399"/>
        <v/>
      </c>
      <c r="AI1123" s="9" t="str">
        <f t="shared" ca="1" si="400"/>
        <v/>
      </c>
      <c r="AJ1123" s="9" t="str">
        <f t="shared" ca="1" si="401"/>
        <v/>
      </c>
      <c r="AK1123" s="9" t="str">
        <f t="shared" ca="1" si="402"/>
        <v/>
      </c>
      <c r="AL1123" s="9" t="str">
        <f t="shared" ca="1" si="403"/>
        <v/>
      </c>
      <c r="AM1123" s="9" t="str">
        <f t="shared" ca="1" si="404"/>
        <v/>
      </c>
      <c r="AN1123" s="9" t="str">
        <f t="shared" ca="1" si="405"/>
        <v/>
      </c>
      <c r="AO1123" s="9" t="str">
        <f t="shared" ca="1" si="406"/>
        <v/>
      </c>
      <c r="AP1123" s="9" t="str">
        <f t="shared" ca="1" si="407"/>
        <v/>
      </c>
      <c r="AQ1123" s="9"/>
      <c r="AR1123" s="9"/>
      <c r="AS1123" s="9"/>
      <c r="AT1123" s="9"/>
      <c r="AU1123" s="9"/>
    </row>
    <row r="1124" spans="1:47" x14ac:dyDescent="0.3">
      <c r="A1124" s="1">
        <v>45091</v>
      </c>
      <c r="B1124" s="6">
        <v>479.52999899999998</v>
      </c>
      <c r="C1124" s="6">
        <v>446.04998799999998</v>
      </c>
      <c r="D1124" s="6">
        <v>58.48</v>
      </c>
      <c r="E1124" s="6">
        <v>183.16999799999999</v>
      </c>
      <c r="F1124" s="6">
        <v>111.760002</v>
      </c>
      <c r="G1124" s="6">
        <v>43.110000999999997</v>
      </c>
      <c r="H1124" s="6">
        <v>145.179993</v>
      </c>
      <c r="I1124" s="6">
        <v>271.77999899999998</v>
      </c>
      <c r="J1124" s="6">
        <v>40.139999000000003</v>
      </c>
      <c r="K1124" s="6">
        <v>13.67</v>
      </c>
      <c r="N1124" s="18">
        <v>1120</v>
      </c>
      <c r="O1124" s="1">
        <v>45091</v>
      </c>
      <c r="P1124" s="5">
        <f t="shared" si="408"/>
        <v>1.1267559640470214E-3</v>
      </c>
      <c r="Q1124" s="5">
        <f t="shared" si="409"/>
        <v>-8.7721353207895029E-3</v>
      </c>
      <c r="R1124" s="5">
        <f t="shared" si="410"/>
        <v>5.1431623744673605E-3</v>
      </c>
      <c r="S1124" s="5">
        <f t="shared" si="411"/>
        <v>8.9386959138217648E-3</v>
      </c>
      <c r="T1124" s="5">
        <f t="shared" si="412"/>
        <v>-6.8661110311899892E-3</v>
      </c>
      <c r="U1124" s="5">
        <f t="shared" si="413"/>
        <v>1.1431408748209053E-2</v>
      </c>
      <c r="V1124" s="5">
        <f t="shared" si="414"/>
        <v>2.06654506596148E-4</v>
      </c>
      <c r="W1124" s="5">
        <f t="shared" si="415"/>
        <v>-6.7839353201220101E-3</v>
      </c>
      <c r="X1124" s="5">
        <f t="shared" si="416"/>
        <v>-1.7423775843603015E-3</v>
      </c>
      <c r="Y1124" s="5">
        <f t="shared" si="417"/>
        <v>-8.7400410693521495E-3</v>
      </c>
      <c r="Z1124" s="33">
        <v>1120</v>
      </c>
      <c r="AE1124" s="20" t="str">
        <f t="shared" si="418"/>
        <v/>
      </c>
      <c r="AF1124" s="22" t="str">
        <f t="shared" si="419"/>
        <v/>
      </c>
      <c r="AG1124" s="9" t="str">
        <f t="shared" ca="1" si="398"/>
        <v/>
      </c>
      <c r="AH1124" s="9" t="str">
        <f t="shared" ca="1" si="399"/>
        <v/>
      </c>
      <c r="AI1124" s="9" t="str">
        <f t="shared" ca="1" si="400"/>
        <v/>
      </c>
      <c r="AJ1124" s="9" t="str">
        <f t="shared" ca="1" si="401"/>
        <v/>
      </c>
      <c r="AK1124" s="9" t="str">
        <f t="shared" ca="1" si="402"/>
        <v/>
      </c>
      <c r="AL1124" s="9" t="str">
        <f t="shared" ca="1" si="403"/>
        <v/>
      </c>
      <c r="AM1124" s="9" t="str">
        <f t="shared" ca="1" si="404"/>
        <v/>
      </c>
      <c r="AN1124" s="9" t="str">
        <f t="shared" ca="1" si="405"/>
        <v/>
      </c>
      <c r="AO1124" s="9" t="str">
        <f t="shared" ca="1" si="406"/>
        <v/>
      </c>
      <c r="AP1124" s="9" t="str">
        <f t="shared" ca="1" si="407"/>
        <v/>
      </c>
      <c r="AQ1124" s="9"/>
      <c r="AR1124" s="9"/>
      <c r="AS1124" s="9"/>
      <c r="AT1124" s="9"/>
      <c r="AU1124" s="9"/>
    </row>
    <row r="1125" spans="1:47" x14ac:dyDescent="0.3">
      <c r="A1125" s="1">
        <v>45092</v>
      </c>
      <c r="B1125" s="6">
        <v>490.91000400000001</v>
      </c>
      <c r="C1125" s="6">
        <v>446.36999500000002</v>
      </c>
      <c r="D1125" s="6">
        <v>58.799999</v>
      </c>
      <c r="E1125" s="6">
        <v>185.71000699999999</v>
      </c>
      <c r="F1125" s="6">
        <v>112.139999</v>
      </c>
      <c r="G1125" s="6">
        <v>43.029998999999997</v>
      </c>
      <c r="H1125" s="6">
        <v>147.08000200000001</v>
      </c>
      <c r="I1125" s="6">
        <v>274.26998900000001</v>
      </c>
      <c r="J1125" s="6">
        <v>40.590000000000003</v>
      </c>
      <c r="K1125" s="6">
        <v>13.13</v>
      </c>
      <c r="N1125" s="19">
        <v>1121</v>
      </c>
      <c r="O1125" s="1">
        <v>45092</v>
      </c>
      <c r="P1125" s="5">
        <f t="shared" si="408"/>
        <v>2.3454364299212459E-2</v>
      </c>
      <c r="Q1125" s="5">
        <f t="shared" si="409"/>
        <v>7.171668492675405E-4</v>
      </c>
      <c r="R1125" s="5">
        <f t="shared" si="410"/>
        <v>5.4570224562553709E-3</v>
      </c>
      <c r="S1125" s="5">
        <f t="shared" si="411"/>
        <v>1.3771682444831377E-2</v>
      </c>
      <c r="T1125" s="5">
        <f t="shared" si="412"/>
        <v>3.3943489339052784E-3</v>
      </c>
      <c r="U1125" s="5">
        <f t="shared" si="413"/>
        <v>-1.8574883446094131E-3</v>
      </c>
      <c r="V1125" s="5">
        <f t="shared" si="414"/>
        <v>1.3002366390427402E-2</v>
      </c>
      <c r="W1125" s="5">
        <f t="shared" si="415"/>
        <v>9.1200707392472217E-3</v>
      </c>
      <c r="X1125" s="5">
        <f t="shared" si="416"/>
        <v>1.1148412395419863E-2</v>
      </c>
      <c r="Y1125" s="5">
        <f t="shared" si="417"/>
        <v>-4.030396242115325E-2</v>
      </c>
      <c r="Z1125" s="33">
        <v>1121</v>
      </c>
      <c r="AE1125" s="20" t="str">
        <f t="shared" si="418"/>
        <v/>
      </c>
      <c r="AF1125" s="22" t="str">
        <f t="shared" si="419"/>
        <v/>
      </c>
      <c r="AG1125" s="9" t="str">
        <f t="shared" ca="1" si="398"/>
        <v/>
      </c>
      <c r="AH1125" s="9" t="str">
        <f t="shared" ca="1" si="399"/>
        <v/>
      </c>
      <c r="AI1125" s="9" t="str">
        <f t="shared" ca="1" si="400"/>
        <v/>
      </c>
      <c r="AJ1125" s="9" t="str">
        <f t="shared" ca="1" si="401"/>
        <v/>
      </c>
      <c r="AK1125" s="9" t="str">
        <f t="shared" ca="1" si="402"/>
        <v/>
      </c>
      <c r="AL1125" s="9" t="str">
        <f t="shared" ca="1" si="403"/>
        <v/>
      </c>
      <c r="AM1125" s="9" t="str">
        <f t="shared" ca="1" si="404"/>
        <v/>
      </c>
      <c r="AN1125" s="9" t="str">
        <f t="shared" ca="1" si="405"/>
        <v/>
      </c>
      <c r="AO1125" s="9" t="str">
        <f t="shared" ca="1" si="406"/>
        <v/>
      </c>
      <c r="AP1125" s="9" t="str">
        <f t="shared" ca="1" si="407"/>
        <v/>
      </c>
      <c r="AQ1125" s="9"/>
      <c r="AR1125" s="9"/>
      <c r="AS1125" s="9"/>
      <c r="AT1125" s="9"/>
      <c r="AU1125" s="9"/>
    </row>
    <row r="1126" spans="1:47" x14ac:dyDescent="0.3">
      <c r="A1126" s="1">
        <v>45093</v>
      </c>
      <c r="B1126" s="6">
        <v>495.17999300000002</v>
      </c>
      <c r="C1126" s="6">
        <v>441.19000199999999</v>
      </c>
      <c r="D1126" s="6">
        <v>58.450001</v>
      </c>
      <c r="E1126" s="6">
        <v>186.03999300000001</v>
      </c>
      <c r="F1126" s="6">
        <v>113.110001</v>
      </c>
      <c r="G1126" s="6">
        <v>43.419998</v>
      </c>
      <c r="H1126" s="6">
        <v>147.729996</v>
      </c>
      <c r="I1126" s="6">
        <v>273.86999500000002</v>
      </c>
      <c r="J1126" s="6">
        <v>40.040000999999997</v>
      </c>
      <c r="K1126" s="6">
        <v>12.8</v>
      </c>
      <c r="N1126" s="18">
        <v>1122</v>
      </c>
      <c r="O1126" s="1">
        <v>45093</v>
      </c>
      <c r="P1126" s="5">
        <f t="shared" si="408"/>
        <v>8.6604989441086393E-3</v>
      </c>
      <c r="Q1126" s="5">
        <f t="shared" si="409"/>
        <v>-1.1672567108412003E-2</v>
      </c>
      <c r="R1126" s="5">
        <f t="shared" si="410"/>
        <v>-5.9701328710612452E-3</v>
      </c>
      <c r="S1126" s="5">
        <f t="shared" si="411"/>
        <v>1.7753118314403186E-3</v>
      </c>
      <c r="T1126" s="5">
        <f t="shared" si="412"/>
        <v>8.6127236061391416E-3</v>
      </c>
      <c r="U1126" s="5">
        <f t="shared" si="413"/>
        <v>9.0225947775142631E-3</v>
      </c>
      <c r="V1126" s="5">
        <f t="shared" si="414"/>
        <v>4.4095862259800655E-3</v>
      </c>
      <c r="W1126" s="5">
        <f t="shared" si="415"/>
        <v>-1.4594595638900835E-3</v>
      </c>
      <c r="X1126" s="5">
        <f t="shared" si="416"/>
        <v>-1.3642751428762079E-2</v>
      </c>
      <c r="Y1126" s="5">
        <f t="shared" si="417"/>
        <v>-2.5454517389133343E-2</v>
      </c>
      <c r="Z1126" s="33">
        <v>1122</v>
      </c>
      <c r="AE1126" s="20" t="str">
        <f t="shared" si="418"/>
        <v/>
      </c>
      <c r="AF1126" s="22" t="str">
        <f t="shared" si="419"/>
        <v/>
      </c>
      <c r="AG1126" s="9" t="str">
        <f t="shared" ca="1" si="398"/>
        <v/>
      </c>
      <c r="AH1126" s="9" t="str">
        <f t="shared" ca="1" si="399"/>
        <v/>
      </c>
      <c r="AI1126" s="9" t="str">
        <f t="shared" ca="1" si="400"/>
        <v/>
      </c>
      <c r="AJ1126" s="9" t="str">
        <f t="shared" ca="1" si="401"/>
        <v/>
      </c>
      <c r="AK1126" s="9" t="str">
        <f t="shared" ca="1" si="402"/>
        <v/>
      </c>
      <c r="AL1126" s="9" t="str">
        <f t="shared" ca="1" si="403"/>
        <v/>
      </c>
      <c r="AM1126" s="9" t="str">
        <f t="shared" ca="1" si="404"/>
        <v/>
      </c>
      <c r="AN1126" s="9" t="str">
        <f t="shared" ca="1" si="405"/>
        <v/>
      </c>
      <c r="AO1126" s="9" t="str">
        <f t="shared" ca="1" si="406"/>
        <v/>
      </c>
      <c r="AP1126" s="9" t="str">
        <f t="shared" ca="1" si="407"/>
        <v/>
      </c>
      <c r="AQ1126" s="9"/>
      <c r="AR1126" s="9"/>
      <c r="AS1126" s="9"/>
      <c r="AT1126" s="9"/>
      <c r="AU1126" s="9"/>
    </row>
    <row r="1127" spans="1:47" x14ac:dyDescent="0.3">
      <c r="A1127" s="1">
        <v>45097</v>
      </c>
      <c r="B1127" s="6">
        <v>485.85998499999999</v>
      </c>
      <c r="C1127" s="6">
        <v>435.5</v>
      </c>
      <c r="D1127" s="6">
        <v>58.360000999999997</v>
      </c>
      <c r="E1127" s="6">
        <v>185.30999800000001</v>
      </c>
      <c r="F1127" s="6">
        <v>111.58000199999999</v>
      </c>
      <c r="G1127" s="6">
        <v>42.889999000000003</v>
      </c>
      <c r="H1127" s="6">
        <v>143.429993</v>
      </c>
      <c r="I1127" s="6">
        <v>273.01998900000001</v>
      </c>
      <c r="J1127" s="6">
        <v>39.450001</v>
      </c>
      <c r="K1127" s="6">
        <v>12.19</v>
      </c>
      <c r="N1127" s="19">
        <v>1123</v>
      </c>
      <c r="O1127" s="1">
        <v>45097</v>
      </c>
      <c r="P1127" s="5">
        <f t="shared" si="408"/>
        <v>-1.9000833011528186E-2</v>
      </c>
      <c r="Q1127" s="5">
        <f t="shared" si="409"/>
        <v>-1.2980829905276586E-2</v>
      </c>
      <c r="R1127" s="5">
        <f t="shared" si="410"/>
        <v>-1.540964237108502E-3</v>
      </c>
      <c r="S1127" s="5">
        <f t="shared" si="411"/>
        <v>-3.9315791463869201E-3</v>
      </c>
      <c r="T1127" s="5">
        <f t="shared" si="412"/>
        <v>-1.3618965042499678E-2</v>
      </c>
      <c r="U1127" s="5">
        <f t="shared" si="413"/>
        <v>-1.2281443175091245E-2</v>
      </c>
      <c r="V1127" s="5">
        <f t="shared" si="414"/>
        <v>-2.953919375526752E-2</v>
      </c>
      <c r="W1127" s="5">
        <f t="shared" si="415"/>
        <v>-3.1085107035195006E-3</v>
      </c>
      <c r="X1127" s="5">
        <f t="shared" si="416"/>
        <v>-1.4844906781619004E-2</v>
      </c>
      <c r="Y1127" s="5">
        <f t="shared" si="417"/>
        <v>-4.8829227432391396E-2</v>
      </c>
      <c r="Z1127" s="33">
        <v>1123</v>
      </c>
      <c r="AE1127" s="20" t="str">
        <f t="shared" si="418"/>
        <v/>
      </c>
      <c r="AF1127" s="22" t="str">
        <f t="shared" si="419"/>
        <v/>
      </c>
      <c r="AG1127" s="9" t="str">
        <f t="shared" ca="1" si="398"/>
        <v/>
      </c>
      <c r="AH1127" s="9" t="str">
        <f t="shared" ca="1" si="399"/>
        <v/>
      </c>
      <c r="AI1127" s="9" t="str">
        <f t="shared" ca="1" si="400"/>
        <v/>
      </c>
      <c r="AJ1127" s="9" t="str">
        <f t="shared" ca="1" si="401"/>
        <v/>
      </c>
      <c r="AK1127" s="9" t="str">
        <f t="shared" ca="1" si="402"/>
        <v/>
      </c>
      <c r="AL1127" s="9" t="str">
        <f t="shared" ca="1" si="403"/>
        <v/>
      </c>
      <c r="AM1127" s="9" t="str">
        <f t="shared" ca="1" si="404"/>
        <v/>
      </c>
      <c r="AN1127" s="9" t="str">
        <f t="shared" ca="1" si="405"/>
        <v/>
      </c>
      <c r="AO1127" s="9" t="str">
        <f t="shared" ca="1" si="406"/>
        <v/>
      </c>
      <c r="AP1127" s="9" t="str">
        <f t="shared" ca="1" si="407"/>
        <v/>
      </c>
      <c r="AQ1127" s="9"/>
      <c r="AR1127" s="9"/>
      <c r="AS1127" s="9"/>
      <c r="AT1127" s="9"/>
      <c r="AU1127" s="9"/>
    </row>
    <row r="1128" spans="1:47" x14ac:dyDescent="0.3">
      <c r="A1128" s="1">
        <v>45098</v>
      </c>
      <c r="B1128" s="6">
        <v>477.48001099999999</v>
      </c>
      <c r="C1128" s="6">
        <v>426.33999599999999</v>
      </c>
      <c r="D1128" s="6">
        <v>58.41</v>
      </c>
      <c r="E1128" s="6">
        <v>185.429993</v>
      </c>
      <c r="F1128" s="6">
        <v>110.949997</v>
      </c>
      <c r="G1128" s="6">
        <v>42.450001</v>
      </c>
      <c r="H1128" s="6">
        <v>144.25</v>
      </c>
      <c r="I1128" s="6">
        <v>272.88000499999998</v>
      </c>
      <c r="J1128" s="6">
        <v>39.549999</v>
      </c>
      <c r="K1128" s="6">
        <v>12.37</v>
      </c>
      <c r="N1128" s="18">
        <v>1124</v>
      </c>
      <c r="O1128" s="1">
        <v>45098</v>
      </c>
      <c r="P1128" s="5">
        <f t="shared" si="408"/>
        <v>-1.7398188420394468E-2</v>
      </c>
      <c r="Q1128" s="5">
        <f t="shared" si="409"/>
        <v>-2.1257655669692378E-2</v>
      </c>
      <c r="R1128" s="5">
        <f t="shared" si="410"/>
        <v>8.5636726260935919E-4</v>
      </c>
      <c r="S1128" s="5">
        <f t="shared" si="411"/>
        <v>6.4732700600468943E-4</v>
      </c>
      <c r="T1128" s="5">
        <f t="shared" si="412"/>
        <v>-5.6622180023456333E-3</v>
      </c>
      <c r="U1128" s="5">
        <f t="shared" si="413"/>
        <v>-1.0311738898848708E-2</v>
      </c>
      <c r="V1128" s="5">
        <f t="shared" si="414"/>
        <v>5.7008428863831841E-3</v>
      </c>
      <c r="W1128" s="5">
        <f t="shared" si="415"/>
        <v>-5.1285585127981703E-4</v>
      </c>
      <c r="X1128" s="5">
        <f t="shared" si="416"/>
        <v>2.53159628878701E-3</v>
      </c>
      <c r="Y1128" s="5">
        <f t="shared" si="417"/>
        <v>1.4658242911216448E-2</v>
      </c>
      <c r="Z1128" s="33">
        <v>1124</v>
      </c>
      <c r="AE1128" s="20" t="str">
        <f t="shared" si="418"/>
        <v/>
      </c>
      <c r="AF1128" s="22" t="str">
        <f t="shared" si="419"/>
        <v/>
      </c>
      <c r="AG1128" s="9" t="str">
        <f t="shared" ca="1" si="398"/>
        <v/>
      </c>
      <c r="AH1128" s="9" t="str">
        <f t="shared" ca="1" si="399"/>
        <v/>
      </c>
      <c r="AI1128" s="9" t="str">
        <f t="shared" ca="1" si="400"/>
        <v/>
      </c>
      <c r="AJ1128" s="9" t="str">
        <f t="shared" ca="1" si="401"/>
        <v/>
      </c>
      <c r="AK1128" s="9" t="str">
        <f t="shared" ca="1" si="402"/>
        <v/>
      </c>
      <c r="AL1128" s="9" t="str">
        <f t="shared" ca="1" si="403"/>
        <v/>
      </c>
      <c r="AM1128" s="9" t="str">
        <f t="shared" ca="1" si="404"/>
        <v/>
      </c>
      <c r="AN1128" s="9" t="str">
        <f t="shared" ca="1" si="405"/>
        <v/>
      </c>
      <c r="AO1128" s="9" t="str">
        <f t="shared" ca="1" si="406"/>
        <v/>
      </c>
      <c r="AP1128" s="9" t="str">
        <f t="shared" ca="1" si="407"/>
        <v/>
      </c>
      <c r="AQ1128" s="9"/>
      <c r="AR1128" s="9"/>
      <c r="AS1128" s="9"/>
      <c r="AT1128" s="9"/>
      <c r="AU1128" s="9"/>
    </row>
    <row r="1129" spans="1:47" x14ac:dyDescent="0.3">
      <c r="A1129" s="1">
        <v>45099</v>
      </c>
      <c r="B1129" s="6">
        <v>477.57998700000002</v>
      </c>
      <c r="C1129" s="6">
        <v>426.13000499999998</v>
      </c>
      <c r="D1129" s="6">
        <v>59.689999</v>
      </c>
      <c r="E1129" s="6">
        <v>187.35000600000001</v>
      </c>
      <c r="F1129" s="6">
        <v>108.279999</v>
      </c>
      <c r="G1129" s="6">
        <v>41.209999000000003</v>
      </c>
      <c r="H1129" s="6">
        <v>142.61000100000001</v>
      </c>
      <c r="I1129" s="6">
        <v>273.540009</v>
      </c>
      <c r="J1129" s="6">
        <v>38.970001000000003</v>
      </c>
      <c r="K1129" s="6">
        <v>12.09</v>
      </c>
      <c r="N1129" s="19">
        <v>1125</v>
      </c>
      <c r="O1129" s="1">
        <v>45099</v>
      </c>
      <c r="P1129" s="5">
        <f t="shared" si="408"/>
        <v>2.0936066964292359E-4</v>
      </c>
      <c r="Q1129" s="5">
        <f t="shared" si="409"/>
        <v>-4.9266485389766435E-4</v>
      </c>
      <c r="R1129" s="5">
        <f t="shared" si="410"/>
        <v>2.1677377375115471E-2</v>
      </c>
      <c r="S1129" s="5">
        <f t="shared" si="411"/>
        <v>1.0301142676119954E-2</v>
      </c>
      <c r="T1129" s="5">
        <f t="shared" si="412"/>
        <v>-2.4359166828611042E-2</v>
      </c>
      <c r="U1129" s="5">
        <f t="shared" si="413"/>
        <v>-2.964601522971121E-2</v>
      </c>
      <c r="V1129" s="5">
        <f t="shared" si="414"/>
        <v>-1.1434266627402248E-2</v>
      </c>
      <c r="W1129" s="5">
        <f t="shared" si="415"/>
        <v>2.4157399218941839E-3</v>
      </c>
      <c r="X1129" s="5">
        <f t="shared" si="416"/>
        <v>-1.4773523917830145E-2</v>
      </c>
      <c r="Y1129" s="5">
        <f t="shared" si="417"/>
        <v>-2.2895521777695192E-2</v>
      </c>
      <c r="Z1129" s="33">
        <v>1125</v>
      </c>
      <c r="AE1129" s="20" t="str">
        <f t="shared" si="418"/>
        <v/>
      </c>
      <c r="AF1129" s="22" t="str">
        <f t="shared" si="419"/>
        <v/>
      </c>
      <c r="AG1129" s="9" t="str">
        <f t="shared" ca="1" si="398"/>
        <v/>
      </c>
      <c r="AH1129" s="9" t="str">
        <f t="shared" ca="1" si="399"/>
        <v/>
      </c>
      <c r="AI1129" s="9" t="str">
        <f t="shared" ca="1" si="400"/>
        <v/>
      </c>
      <c r="AJ1129" s="9" t="str">
        <f t="shared" ca="1" si="401"/>
        <v/>
      </c>
      <c r="AK1129" s="9" t="str">
        <f t="shared" ca="1" si="402"/>
        <v/>
      </c>
      <c r="AL1129" s="9" t="str">
        <f t="shared" ca="1" si="403"/>
        <v/>
      </c>
      <c r="AM1129" s="9" t="str">
        <f t="shared" ca="1" si="404"/>
        <v/>
      </c>
      <c r="AN1129" s="9" t="str">
        <f t="shared" ca="1" si="405"/>
        <v/>
      </c>
      <c r="AO1129" s="9" t="str">
        <f t="shared" ca="1" si="406"/>
        <v/>
      </c>
      <c r="AP1129" s="9" t="str">
        <f t="shared" ca="1" si="407"/>
        <v/>
      </c>
      <c r="AQ1129" s="9"/>
      <c r="AR1129" s="9"/>
      <c r="AS1129" s="9"/>
      <c r="AT1129" s="9"/>
      <c r="AU1129" s="9"/>
    </row>
    <row r="1130" spans="1:47" x14ac:dyDescent="0.3">
      <c r="A1130" s="1">
        <v>45100</v>
      </c>
      <c r="B1130" s="6">
        <v>484.72000100000002</v>
      </c>
      <c r="C1130" s="6">
        <v>419.55999800000001</v>
      </c>
      <c r="D1130" s="6">
        <v>59.110000999999997</v>
      </c>
      <c r="E1130" s="6">
        <v>186.070007</v>
      </c>
      <c r="F1130" s="6">
        <v>105.860001</v>
      </c>
      <c r="G1130" s="6">
        <v>40.229999999999997</v>
      </c>
      <c r="H1130" s="6">
        <v>141.13000500000001</v>
      </c>
      <c r="I1130" s="6">
        <v>273.61999500000002</v>
      </c>
      <c r="J1130" s="6">
        <v>38.479999999999997</v>
      </c>
      <c r="K1130" s="6">
        <v>11.79</v>
      </c>
      <c r="N1130" s="18">
        <v>1126</v>
      </c>
      <c r="O1130" s="1">
        <v>45100</v>
      </c>
      <c r="P1130" s="5">
        <f t="shared" si="408"/>
        <v>1.4839748765686138E-2</v>
      </c>
      <c r="Q1130" s="5">
        <f t="shared" si="409"/>
        <v>-1.5537937442463002E-2</v>
      </c>
      <c r="R1130" s="5">
        <f t="shared" si="410"/>
        <v>-9.7643536734442482E-3</v>
      </c>
      <c r="S1130" s="5">
        <f t="shared" si="411"/>
        <v>-6.8555726455165975E-3</v>
      </c>
      <c r="T1130" s="5">
        <f t="shared" si="412"/>
        <v>-2.2602979634504448E-2</v>
      </c>
      <c r="U1130" s="5">
        <f t="shared" si="413"/>
        <v>-2.4067935123074192E-2</v>
      </c>
      <c r="V1130" s="5">
        <f t="shared" si="414"/>
        <v>-1.0432151906563063E-2</v>
      </c>
      <c r="W1130" s="5">
        <f t="shared" si="415"/>
        <v>2.923678630931373E-4</v>
      </c>
      <c r="X1130" s="5">
        <f t="shared" si="416"/>
        <v>-1.2653519213876686E-2</v>
      </c>
      <c r="Y1130" s="5">
        <f t="shared" si="417"/>
        <v>-2.5126950077421759E-2</v>
      </c>
      <c r="Z1130" s="33">
        <v>1126</v>
      </c>
      <c r="AE1130" s="20" t="str">
        <f t="shared" si="418"/>
        <v/>
      </c>
      <c r="AF1130" s="22" t="str">
        <f t="shared" si="419"/>
        <v/>
      </c>
      <c r="AG1130" s="9" t="str">
        <f t="shared" ca="1" si="398"/>
        <v/>
      </c>
      <c r="AH1130" s="9" t="str">
        <f t="shared" ca="1" si="399"/>
        <v/>
      </c>
      <c r="AI1130" s="9" t="str">
        <f t="shared" ca="1" si="400"/>
        <v/>
      </c>
      <c r="AJ1130" s="9" t="str">
        <f t="shared" ca="1" si="401"/>
        <v/>
      </c>
      <c r="AK1130" s="9" t="str">
        <f t="shared" ca="1" si="402"/>
        <v/>
      </c>
      <c r="AL1130" s="9" t="str">
        <f t="shared" ca="1" si="403"/>
        <v/>
      </c>
      <c r="AM1130" s="9" t="str">
        <f t="shared" ca="1" si="404"/>
        <v/>
      </c>
      <c r="AN1130" s="9" t="str">
        <f t="shared" ca="1" si="405"/>
        <v/>
      </c>
      <c r="AO1130" s="9" t="str">
        <f t="shared" ca="1" si="406"/>
        <v/>
      </c>
      <c r="AP1130" s="9" t="str">
        <f t="shared" ca="1" si="407"/>
        <v/>
      </c>
      <c r="AQ1130" s="9"/>
      <c r="AR1130" s="9"/>
      <c r="AS1130" s="9"/>
      <c r="AT1130" s="9"/>
      <c r="AU1130" s="9"/>
    </row>
    <row r="1131" spans="1:47" x14ac:dyDescent="0.3">
      <c r="A1131" s="1">
        <v>45103</v>
      </c>
      <c r="B1131" s="6">
        <v>479.51001000000002</v>
      </c>
      <c r="C1131" s="6">
        <v>417.209991</v>
      </c>
      <c r="D1131" s="6">
        <v>57.709999000000003</v>
      </c>
      <c r="E1131" s="6">
        <v>184.88999899999999</v>
      </c>
      <c r="F1131" s="6">
        <v>108.739998</v>
      </c>
      <c r="G1131" s="6">
        <v>41.490001999999997</v>
      </c>
      <c r="H1131" s="6">
        <v>143.10000600000001</v>
      </c>
      <c r="I1131" s="6">
        <v>277.790009</v>
      </c>
      <c r="J1131" s="6">
        <v>38.959999000000003</v>
      </c>
      <c r="K1131" s="6">
        <v>11.78</v>
      </c>
      <c r="N1131" s="19">
        <v>1127</v>
      </c>
      <c r="O1131" s="1">
        <v>45103</v>
      </c>
      <c r="P1131" s="5">
        <f t="shared" si="408"/>
        <v>-1.0806636681777495E-2</v>
      </c>
      <c r="Q1131" s="5">
        <f t="shared" si="409"/>
        <v>-5.6168677397457996E-3</v>
      </c>
      <c r="R1131" s="5">
        <f t="shared" si="410"/>
        <v>-2.3969680359033619E-2</v>
      </c>
      <c r="S1131" s="5">
        <f t="shared" si="411"/>
        <v>-6.3619363861596636E-3</v>
      </c>
      <c r="T1131" s="5">
        <f t="shared" si="412"/>
        <v>2.6842217448998458E-2</v>
      </c>
      <c r="U1131" s="5">
        <f t="shared" si="413"/>
        <v>3.0839496587465168E-2</v>
      </c>
      <c r="V1131" s="5">
        <f t="shared" si="414"/>
        <v>1.3862241636882109E-2</v>
      </c>
      <c r="W1131" s="5">
        <f t="shared" si="415"/>
        <v>1.5125200732225216E-2</v>
      </c>
      <c r="X1131" s="5">
        <f t="shared" si="416"/>
        <v>1.2396827309477339E-2</v>
      </c>
      <c r="Y1131" s="5">
        <f t="shared" si="417"/>
        <v>-8.4853632583886359E-4</v>
      </c>
      <c r="Z1131" s="33">
        <v>1127</v>
      </c>
      <c r="AE1131" s="20" t="str">
        <f t="shared" si="418"/>
        <v/>
      </c>
      <c r="AF1131" s="22" t="str">
        <f t="shared" si="419"/>
        <v/>
      </c>
      <c r="AG1131" s="9" t="str">
        <f t="shared" ca="1" si="398"/>
        <v/>
      </c>
      <c r="AH1131" s="9" t="str">
        <f t="shared" ca="1" si="399"/>
        <v/>
      </c>
      <c r="AI1131" s="9" t="str">
        <f t="shared" ca="1" si="400"/>
        <v/>
      </c>
      <c r="AJ1131" s="9" t="str">
        <f t="shared" ca="1" si="401"/>
        <v/>
      </c>
      <c r="AK1131" s="9" t="str">
        <f t="shared" ca="1" si="402"/>
        <v/>
      </c>
      <c r="AL1131" s="9" t="str">
        <f t="shared" ca="1" si="403"/>
        <v/>
      </c>
      <c r="AM1131" s="9" t="str">
        <f t="shared" ca="1" si="404"/>
        <v/>
      </c>
      <c r="AN1131" s="9" t="str">
        <f t="shared" ca="1" si="405"/>
        <v/>
      </c>
      <c r="AO1131" s="9" t="str">
        <f t="shared" ca="1" si="406"/>
        <v/>
      </c>
      <c r="AP1131" s="9" t="str">
        <f t="shared" ca="1" si="407"/>
        <v/>
      </c>
      <c r="AQ1131" s="9"/>
      <c r="AR1131" s="9"/>
      <c r="AS1131" s="9"/>
      <c r="AT1131" s="9"/>
      <c r="AU1131" s="9"/>
    </row>
    <row r="1132" spans="1:47" x14ac:dyDescent="0.3">
      <c r="A1132" s="1">
        <v>45104</v>
      </c>
      <c r="B1132" s="6">
        <v>489.26998900000001</v>
      </c>
      <c r="C1132" s="6">
        <v>426.77999899999998</v>
      </c>
      <c r="D1132" s="6">
        <v>58.130001</v>
      </c>
      <c r="E1132" s="6">
        <v>186.220001</v>
      </c>
      <c r="F1132" s="6">
        <v>109.739998</v>
      </c>
      <c r="G1132" s="6">
        <v>42.209999000000003</v>
      </c>
      <c r="H1132" s="6">
        <v>144.78999300000001</v>
      </c>
      <c r="I1132" s="6">
        <v>283.17999300000002</v>
      </c>
      <c r="J1132" s="6">
        <v>39.25</v>
      </c>
      <c r="K1132" s="6">
        <v>12.27</v>
      </c>
      <c r="N1132" s="18">
        <v>1128</v>
      </c>
      <c r="O1132" s="1">
        <v>45104</v>
      </c>
      <c r="P1132" s="5">
        <f t="shared" si="408"/>
        <v>2.0149691836459177E-2</v>
      </c>
      <c r="Q1132" s="5">
        <f t="shared" si="409"/>
        <v>2.2678985043592493E-2</v>
      </c>
      <c r="R1132" s="5">
        <f t="shared" si="410"/>
        <v>7.2514475212247399E-3</v>
      </c>
      <c r="S1132" s="5">
        <f t="shared" si="411"/>
        <v>7.1677275967360786E-3</v>
      </c>
      <c r="T1132" s="5">
        <f t="shared" si="412"/>
        <v>9.1542200806553047E-3</v>
      </c>
      <c r="U1132" s="5">
        <f t="shared" si="413"/>
        <v>1.7204653554176892E-2</v>
      </c>
      <c r="V1132" s="5">
        <f t="shared" si="414"/>
        <v>1.1740639956323438E-2</v>
      </c>
      <c r="W1132" s="5">
        <f t="shared" si="415"/>
        <v>1.9217248186889729E-2</v>
      </c>
      <c r="X1132" s="5">
        <f t="shared" si="416"/>
        <v>7.4159911214344721E-3</v>
      </c>
      <c r="Y1132" s="5">
        <f t="shared" si="417"/>
        <v>4.0754080499379529E-2</v>
      </c>
      <c r="Z1132" s="33">
        <v>1128</v>
      </c>
      <c r="AE1132" s="20" t="str">
        <f t="shared" si="418"/>
        <v/>
      </c>
      <c r="AF1132" s="22" t="str">
        <f t="shared" si="419"/>
        <v/>
      </c>
      <c r="AG1132" s="9" t="str">
        <f t="shared" ca="1" si="398"/>
        <v/>
      </c>
      <c r="AH1132" s="9" t="str">
        <f t="shared" ca="1" si="399"/>
        <v/>
      </c>
      <c r="AI1132" s="9" t="str">
        <f t="shared" ca="1" si="400"/>
        <v/>
      </c>
      <c r="AJ1132" s="9" t="str">
        <f t="shared" ca="1" si="401"/>
        <v/>
      </c>
      <c r="AK1132" s="9" t="str">
        <f t="shared" ca="1" si="402"/>
        <v/>
      </c>
      <c r="AL1132" s="9" t="str">
        <f t="shared" ca="1" si="403"/>
        <v/>
      </c>
      <c r="AM1132" s="9" t="str">
        <f t="shared" ca="1" si="404"/>
        <v/>
      </c>
      <c r="AN1132" s="9" t="str">
        <f t="shared" ca="1" si="405"/>
        <v/>
      </c>
      <c r="AO1132" s="9" t="str">
        <f t="shared" ca="1" si="406"/>
        <v/>
      </c>
      <c r="AP1132" s="9" t="str">
        <f t="shared" ca="1" si="407"/>
        <v/>
      </c>
      <c r="AQ1132" s="9"/>
      <c r="AR1132" s="9"/>
      <c r="AS1132" s="9"/>
      <c r="AT1132" s="9"/>
      <c r="AU1132" s="9"/>
    </row>
    <row r="1133" spans="1:47" x14ac:dyDescent="0.3">
      <c r="A1133" s="1">
        <v>45105</v>
      </c>
      <c r="B1133" s="6">
        <v>482.42999300000002</v>
      </c>
      <c r="C1133" s="6">
        <v>427.14999399999999</v>
      </c>
      <c r="D1133" s="6">
        <v>57.150002000000001</v>
      </c>
      <c r="E1133" s="6">
        <v>183.699997</v>
      </c>
      <c r="F1133" s="6">
        <v>108.019997</v>
      </c>
      <c r="G1133" s="6">
        <v>42.18</v>
      </c>
      <c r="H1133" s="6">
        <v>143.35000600000001</v>
      </c>
      <c r="I1133" s="6">
        <v>283.19000199999999</v>
      </c>
      <c r="J1133" s="6">
        <v>38.840000000000003</v>
      </c>
      <c r="K1133" s="6">
        <v>12.45</v>
      </c>
      <c r="N1133" s="19">
        <v>1129</v>
      </c>
      <c r="O1133" s="1">
        <v>45105</v>
      </c>
      <c r="P1133" s="5">
        <f t="shared" si="408"/>
        <v>-1.407864383029616E-2</v>
      </c>
      <c r="Q1133" s="5">
        <f t="shared" si="409"/>
        <v>8.6656992068845687E-4</v>
      </c>
      <c r="R1133" s="5">
        <f t="shared" si="410"/>
        <v>-1.7002473679635685E-2</v>
      </c>
      <c r="S1133" s="5">
        <f t="shared" si="411"/>
        <v>-1.3624799940270748E-2</v>
      </c>
      <c r="T1133" s="5">
        <f t="shared" si="412"/>
        <v>-1.5797546013823945E-2</v>
      </c>
      <c r="U1133" s="5">
        <f t="shared" si="413"/>
        <v>-7.1096105271019284E-4</v>
      </c>
      <c r="V1133" s="5">
        <f t="shared" si="414"/>
        <v>-9.995134262472791E-3</v>
      </c>
      <c r="W1133" s="5">
        <f t="shared" si="415"/>
        <v>3.5344386494164376E-5</v>
      </c>
      <c r="X1133" s="5">
        <f t="shared" si="416"/>
        <v>-1.0500800805293184E-2</v>
      </c>
      <c r="Y1133" s="5">
        <f t="shared" si="417"/>
        <v>1.456336418789651E-2</v>
      </c>
      <c r="Z1133" s="33">
        <v>1129</v>
      </c>
      <c r="AE1133" s="20" t="str">
        <f t="shared" si="418"/>
        <v/>
      </c>
      <c r="AF1133" s="22" t="str">
        <f t="shared" si="419"/>
        <v/>
      </c>
      <c r="AG1133" s="9" t="str">
        <f t="shared" ca="1" si="398"/>
        <v/>
      </c>
      <c r="AH1133" s="9" t="str">
        <f t="shared" ca="1" si="399"/>
        <v/>
      </c>
      <c r="AI1133" s="9" t="str">
        <f t="shared" ca="1" si="400"/>
        <v/>
      </c>
      <c r="AJ1133" s="9" t="str">
        <f t="shared" ca="1" si="401"/>
        <v/>
      </c>
      <c r="AK1133" s="9" t="str">
        <f t="shared" ca="1" si="402"/>
        <v/>
      </c>
      <c r="AL1133" s="9" t="str">
        <f t="shared" ca="1" si="403"/>
        <v/>
      </c>
      <c r="AM1133" s="9" t="str">
        <f t="shared" ca="1" si="404"/>
        <v/>
      </c>
      <c r="AN1133" s="9" t="str">
        <f t="shared" ca="1" si="405"/>
        <v/>
      </c>
      <c r="AO1133" s="9" t="str">
        <f t="shared" ca="1" si="406"/>
        <v/>
      </c>
      <c r="AP1133" s="9" t="str">
        <f t="shared" ca="1" si="407"/>
        <v/>
      </c>
      <c r="AQ1133" s="9"/>
      <c r="AR1133" s="9"/>
      <c r="AS1133" s="9"/>
      <c r="AT1133" s="9"/>
      <c r="AU1133" s="9"/>
    </row>
    <row r="1134" spans="1:47" x14ac:dyDescent="0.3">
      <c r="A1134" s="1">
        <v>45106</v>
      </c>
      <c r="B1134" s="6">
        <v>483.76998900000001</v>
      </c>
      <c r="C1134" s="6">
        <v>427.89999399999999</v>
      </c>
      <c r="D1134" s="6">
        <v>57.419998</v>
      </c>
      <c r="E1134" s="6">
        <v>183.88000500000001</v>
      </c>
      <c r="F1134" s="6">
        <v>108.610001</v>
      </c>
      <c r="G1134" s="6">
        <v>42.880001</v>
      </c>
      <c r="H1134" s="6">
        <v>144.64999399999999</v>
      </c>
      <c r="I1134" s="6">
        <v>286.959991</v>
      </c>
      <c r="J1134" s="6">
        <v>38.090000000000003</v>
      </c>
      <c r="K1134" s="6">
        <v>12.42</v>
      </c>
      <c r="N1134" s="18">
        <v>1130</v>
      </c>
      <c r="O1134" s="1">
        <v>45106</v>
      </c>
      <c r="P1134" s="5">
        <f t="shared" si="408"/>
        <v>2.7737463963721466E-3</v>
      </c>
      <c r="Q1134" s="5">
        <f t="shared" si="409"/>
        <v>1.7542838497636886E-3</v>
      </c>
      <c r="R1134" s="5">
        <f t="shared" si="410"/>
        <v>4.7132146254032625E-3</v>
      </c>
      <c r="S1134" s="5">
        <f t="shared" si="411"/>
        <v>9.7942223956832414E-4</v>
      </c>
      <c r="T1134" s="5">
        <f t="shared" si="412"/>
        <v>5.4471261070899923E-3</v>
      </c>
      <c r="U1134" s="5">
        <f t="shared" si="413"/>
        <v>1.64593650328132E-2</v>
      </c>
      <c r="V1134" s="5">
        <f t="shared" si="414"/>
        <v>9.02775575773394E-3</v>
      </c>
      <c r="W1134" s="5">
        <f t="shared" si="415"/>
        <v>1.3224744336711365E-2</v>
      </c>
      <c r="X1134" s="5">
        <f t="shared" si="416"/>
        <v>-1.9498862932611452E-2</v>
      </c>
      <c r="Y1134" s="5">
        <f t="shared" si="417"/>
        <v>-2.4125464053838782E-3</v>
      </c>
      <c r="Z1134" s="33">
        <v>1130</v>
      </c>
      <c r="AE1134" s="20" t="str">
        <f t="shared" si="418"/>
        <v/>
      </c>
      <c r="AF1134" s="22" t="str">
        <f t="shared" si="419"/>
        <v/>
      </c>
      <c r="AG1134" s="9" t="str">
        <f t="shared" ca="1" si="398"/>
        <v/>
      </c>
      <c r="AH1134" s="9" t="str">
        <f t="shared" ca="1" si="399"/>
        <v/>
      </c>
      <c r="AI1134" s="9" t="str">
        <f t="shared" ca="1" si="400"/>
        <v/>
      </c>
      <c r="AJ1134" s="9" t="str">
        <f t="shared" ca="1" si="401"/>
        <v/>
      </c>
      <c r="AK1134" s="9" t="str">
        <f t="shared" ca="1" si="402"/>
        <v/>
      </c>
      <c r="AL1134" s="9" t="str">
        <f t="shared" ca="1" si="403"/>
        <v/>
      </c>
      <c r="AM1134" s="9" t="str">
        <f t="shared" ca="1" si="404"/>
        <v/>
      </c>
      <c r="AN1134" s="9" t="str">
        <f t="shared" ca="1" si="405"/>
        <v/>
      </c>
      <c r="AO1134" s="9" t="str">
        <f t="shared" ca="1" si="406"/>
        <v/>
      </c>
      <c r="AP1134" s="9" t="str">
        <f t="shared" ca="1" si="407"/>
        <v/>
      </c>
      <c r="AQ1134" s="9"/>
      <c r="AR1134" s="9"/>
      <c r="AS1134" s="9"/>
      <c r="AT1134" s="9"/>
      <c r="AU1134" s="9"/>
    </row>
    <row r="1135" spans="1:47" x14ac:dyDescent="0.3">
      <c r="A1135" s="1">
        <v>45107</v>
      </c>
      <c r="B1135" s="6">
        <v>488.98998999999998</v>
      </c>
      <c r="C1135" s="6">
        <v>435.41000400000001</v>
      </c>
      <c r="D1135" s="6">
        <v>57.439999</v>
      </c>
      <c r="E1135" s="6">
        <v>185.220001</v>
      </c>
      <c r="F1135" s="6">
        <v>108.870003</v>
      </c>
      <c r="G1135" s="6">
        <v>42.959999000000003</v>
      </c>
      <c r="H1135" s="6">
        <v>147.64999399999999</v>
      </c>
      <c r="I1135" s="6">
        <v>288.19000199999999</v>
      </c>
      <c r="J1135" s="6">
        <v>38.580002</v>
      </c>
      <c r="K1135" s="6">
        <v>12.54</v>
      </c>
      <c r="N1135" s="19">
        <v>1131</v>
      </c>
      <c r="O1135" s="1">
        <v>45107</v>
      </c>
      <c r="P1135" s="5">
        <f t="shared" si="408"/>
        <v>1.0732454497165226E-2</v>
      </c>
      <c r="Q1135" s="5">
        <f t="shared" si="409"/>
        <v>1.7398615708952455E-2</v>
      </c>
      <c r="R1135" s="5">
        <f t="shared" si="410"/>
        <v>3.4826746864993898E-4</v>
      </c>
      <c r="S1135" s="5">
        <f t="shared" si="411"/>
        <v>7.2609150114342144E-3</v>
      </c>
      <c r="T1135" s="5">
        <f t="shared" si="412"/>
        <v>2.3910439496889254E-3</v>
      </c>
      <c r="U1135" s="5">
        <f t="shared" si="413"/>
        <v>1.8638868396999291E-3</v>
      </c>
      <c r="V1135" s="5">
        <f t="shared" si="414"/>
        <v>2.0527577610580064E-2</v>
      </c>
      <c r="W1135" s="5">
        <f t="shared" si="415"/>
        <v>4.2771899162222932E-3</v>
      </c>
      <c r="X1135" s="5">
        <f t="shared" si="416"/>
        <v>1.2782278827400758E-2</v>
      </c>
      <c r="Y1135" s="5">
        <f t="shared" si="417"/>
        <v>9.6154586994419734E-3</v>
      </c>
      <c r="Z1135" s="33">
        <v>1131</v>
      </c>
      <c r="AE1135" s="20" t="str">
        <f t="shared" si="418"/>
        <v/>
      </c>
      <c r="AF1135" s="22" t="str">
        <f t="shared" si="419"/>
        <v/>
      </c>
      <c r="AG1135" s="9" t="str">
        <f t="shared" ca="1" si="398"/>
        <v/>
      </c>
      <c r="AH1135" s="9" t="str">
        <f t="shared" ca="1" si="399"/>
        <v/>
      </c>
      <c r="AI1135" s="9" t="str">
        <f t="shared" ca="1" si="400"/>
        <v/>
      </c>
      <c r="AJ1135" s="9" t="str">
        <f t="shared" ca="1" si="401"/>
        <v/>
      </c>
      <c r="AK1135" s="9" t="str">
        <f t="shared" ca="1" si="402"/>
        <v/>
      </c>
      <c r="AL1135" s="9" t="str">
        <f t="shared" ca="1" si="403"/>
        <v/>
      </c>
      <c r="AM1135" s="9" t="str">
        <f t="shared" ca="1" si="404"/>
        <v/>
      </c>
      <c r="AN1135" s="9" t="str">
        <f t="shared" ca="1" si="405"/>
        <v/>
      </c>
      <c r="AO1135" s="9" t="str">
        <f t="shared" ca="1" si="406"/>
        <v/>
      </c>
      <c r="AP1135" s="9" t="str">
        <f t="shared" ca="1" si="407"/>
        <v/>
      </c>
      <c r="AQ1135" s="9"/>
      <c r="AR1135" s="9"/>
      <c r="AS1135" s="9"/>
      <c r="AT1135" s="9"/>
      <c r="AU1135" s="9"/>
    </row>
    <row r="1136" spans="1:47" x14ac:dyDescent="0.3">
      <c r="A1136" s="1">
        <v>45110</v>
      </c>
      <c r="B1136" s="6">
        <v>485.209991</v>
      </c>
      <c r="C1136" s="6">
        <v>434.01001000000002</v>
      </c>
      <c r="D1136" s="6">
        <v>56.950001</v>
      </c>
      <c r="E1136" s="6">
        <v>185.60000600000001</v>
      </c>
      <c r="F1136" s="6">
        <v>110.120003</v>
      </c>
      <c r="G1136" s="6">
        <v>43.66</v>
      </c>
      <c r="H1136" s="6">
        <v>147.13999899999999</v>
      </c>
      <c r="I1136" s="6">
        <v>286.85998499999999</v>
      </c>
      <c r="J1136" s="6">
        <v>38.950001</v>
      </c>
      <c r="K1136" s="6">
        <v>13.01</v>
      </c>
      <c r="N1136" s="18">
        <v>1132</v>
      </c>
      <c r="O1136" s="1">
        <v>45110</v>
      </c>
      <c r="P1136" s="5">
        <f t="shared" si="408"/>
        <v>-7.7602505511541959E-3</v>
      </c>
      <c r="Q1136" s="5">
        <f t="shared" si="409"/>
        <v>-3.2205267592035911E-3</v>
      </c>
      <c r="R1136" s="5">
        <f t="shared" si="410"/>
        <v>-8.5671998780443466E-3</v>
      </c>
      <c r="S1136" s="5">
        <f t="shared" si="411"/>
        <v>2.0495395385779422E-3</v>
      </c>
      <c r="T1136" s="5">
        <f t="shared" si="412"/>
        <v>1.1416170068525125E-2</v>
      </c>
      <c r="U1136" s="5">
        <f t="shared" si="413"/>
        <v>1.6162924198656076E-2</v>
      </c>
      <c r="V1136" s="5">
        <f t="shared" si="414"/>
        <v>-3.4600598454202929E-3</v>
      </c>
      <c r="W1136" s="5">
        <f t="shared" si="415"/>
        <v>-4.6257522012428352E-3</v>
      </c>
      <c r="X1136" s="5">
        <f t="shared" si="416"/>
        <v>9.5447386727844311E-3</v>
      </c>
      <c r="Y1136" s="5">
        <f t="shared" si="417"/>
        <v>3.6794757319639229E-2</v>
      </c>
      <c r="Z1136" s="33">
        <v>1132</v>
      </c>
      <c r="AE1136" s="20" t="str">
        <f t="shared" si="418"/>
        <v/>
      </c>
      <c r="AF1136" s="22" t="str">
        <f t="shared" si="419"/>
        <v/>
      </c>
      <c r="AG1136" s="9" t="str">
        <f t="shared" ca="1" si="398"/>
        <v/>
      </c>
      <c r="AH1136" s="9" t="str">
        <f t="shared" ca="1" si="399"/>
        <v/>
      </c>
      <c r="AI1136" s="9" t="str">
        <f t="shared" ca="1" si="400"/>
        <v/>
      </c>
      <c r="AJ1136" s="9" t="str">
        <f t="shared" ca="1" si="401"/>
        <v/>
      </c>
      <c r="AK1136" s="9" t="str">
        <f t="shared" ca="1" si="402"/>
        <v/>
      </c>
      <c r="AL1136" s="9" t="str">
        <f t="shared" ca="1" si="403"/>
        <v/>
      </c>
      <c r="AM1136" s="9" t="str">
        <f t="shared" ca="1" si="404"/>
        <v/>
      </c>
      <c r="AN1136" s="9" t="str">
        <f t="shared" ca="1" si="405"/>
        <v/>
      </c>
      <c r="AO1136" s="9" t="str">
        <f t="shared" ca="1" si="406"/>
        <v/>
      </c>
      <c r="AP1136" s="9" t="str">
        <f t="shared" ca="1" si="407"/>
        <v/>
      </c>
      <c r="AQ1136" s="9"/>
      <c r="AR1136" s="9"/>
      <c r="AS1136" s="9"/>
      <c r="AT1136" s="9"/>
      <c r="AU1136" s="9"/>
    </row>
    <row r="1137" spans="1:47" x14ac:dyDescent="0.3">
      <c r="A1137" s="1">
        <v>45112</v>
      </c>
      <c r="B1137" s="6">
        <v>487.26001000000002</v>
      </c>
      <c r="C1137" s="6">
        <v>432.73998999999998</v>
      </c>
      <c r="D1137" s="6">
        <v>56.970001000000003</v>
      </c>
      <c r="E1137" s="6">
        <v>186.58000200000001</v>
      </c>
      <c r="F1137" s="6">
        <v>109.529999</v>
      </c>
      <c r="G1137" s="6">
        <v>43.389999000000003</v>
      </c>
      <c r="H1137" s="6">
        <v>145</v>
      </c>
      <c r="I1137" s="6">
        <v>283.709991</v>
      </c>
      <c r="J1137" s="6">
        <v>38.229999999999997</v>
      </c>
      <c r="K1137" s="6">
        <v>12.83</v>
      </c>
      <c r="N1137" s="19">
        <v>1133</v>
      </c>
      <c r="O1137" s="1">
        <v>45112</v>
      </c>
      <c r="P1137" s="5">
        <f t="shared" si="408"/>
        <v>4.2161136787494322E-3</v>
      </c>
      <c r="Q1137" s="5">
        <f t="shared" si="409"/>
        <v>-2.9305356998328576E-3</v>
      </c>
      <c r="R1137" s="5">
        <f t="shared" si="410"/>
        <v>3.511235929487056E-4</v>
      </c>
      <c r="S1137" s="5">
        <f t="shared" si="411"/>
        <v>5.2662595723915557E-3</v>
      </c>
      <c r="T1137" s="5">
        <f t="shared" si="412"/>
        <v>-5.3722323116773127E-3</v>
      </c>
      <c r="U1137" s="5">
        <f t="shared" si="413"/>
        <v>-6.203374358323582E-3</v>
      </c>
      <c r="V1137" s="5">
        <f t="shared" si="414"/>
        <v>-1.465076528729535E-2</v>
      </c>
      <c r="W1137" s="5">
        <f t="shared" si="415"/>
        <v>-1.1041681602753381E-2</v>
      </c>
      <c r="X1137" s="5">
        <f t="shared" si="416"/>
        <v>-1.8658250282376578E-2</v>
      </c>
      <c r="Y1137" s="5">
        <f t="shared" si="417"/>
        <v>-1.3932113896868796E-2</v>
      </c>
      <c r="Z1137" s="33">
        <v>1133</v>
      </c>
      <c r="AE1137" s="20" t="str">
        <f t="shared" si="418"/>
        <v/>
      </c>
      <c r="AF1137" s="22" t="str">
        <f t="shared" si="419"/>
        <v/>
      </c>
      <c r="AG1137" s="9" t="str">
        <f t="shared" ca="1" si="398"/>
        <v/>
      </c>
      <c r="AH1137" s="9" t="str">
        <f t="shared" ca="1" si="399"/>
        <v/>
      </c>
      <c r="AI1137" s="9" t="str">
        <f t="shared" ca="1" si="400"/>
        <v/>
      </c>
      <c r="AJ1137" s="9" t="str">
        <f t="shared" ca="1" si="401"/>
        <v/>
      </c>
      <c r="AK1137" s="9" t="str">
        <f t="shared" ca="1" si="402"/>
        <v/>
      </c>
      <c r="AL1137" s="9" t="str">
        <f t="shared" ca="1" si="403"/>
        <v/>
      </c>
      <c r="AM1137" s="9" t="str">
        <f t="shared" ca="1" si="404"/>
        <v/>
      </c>
      <c r="AN1137" s="9" t="str">
        <f t="shared" ca="1" si="405"/>
        <v/>
      </c>
      <c r="AO1137" s="9" t="str">
        <f t="shared" ca="1" si="406"/>
        <v/>
      </c>
      <c r="AP1137" s="9" t="str">
        <f t="shared" ca="1" si="407"/>
        <v/>
      </c>
      <c r="AQ1137" s="9"/>
      <c r="AR1137" s="9"/>
      <c r="AS1137" s="9"/>
      <c r="AT1137" s="9"/>
      <c r="AU1137" s="9"/>
    </row>
    <row r="1138" spans="1:47" x14ac:dyDescent="0.3">
      <c r="A1138" s="1">
        <v>45113</v>
      </c>
      <c r="B1138" s="6">
        <v>481.290009</v>
      </c>
      <c r="C1138" s="6">
        <v>431.10998499999999</v>
      </c>
      <c r="D1138" s="6">
        <v>56.610000999999997</v>
      </c>
      <c r="E1138" s="6">
        <v>186.60000600000001</v>
      </c>
      <c r="F1138" s="6">
        <v>109.989998</v>
      </c>
      <c r="G1138" s="6">
        <v>43.349997999999999</v>
      </c>
      <c r="H1138" s="6">
        <v>143.929993</v>
      </c>
      <c r="I1138" s="6">
        <v>281.209991</v>
      </c>
      <c r="J1138" s="6">
        <v>38.049999</v>
      </c>
      <c r="K1138" s="6">
        <v>12.67</v>
      </c>
      <c r="N1138" s="18">
        <v>1134</v>
      </c>
      <c r="O1138" s="1">
        <v>45113</v>
      </c>
      <c r="P1138" s="5">
        <f t="shared" si="408"/>
        <v>-1.2327864314460101E-2</v>
      </c>
      <c r="Q1138" s="5">
        <f t="shared" si="409"/>
        <v>-3.7738194864331645E-3</v>
      </c>
      <c r="R1138" s="5">
        <f t="shared" si="410"/>
        <v>-6.3391653321103409E-3</v>
      </c>
      <c r="S1138" s="5">
        <f t="shared" si="411"/>
        <v>1.0720831550628892E-4</v>
      </c>
      <c r="T1138" s="5">
        <f t="shared" si="412"/>
        <v>4.1909591798175213E-3</v>
      </c>
      <c r="U1138" s="5">
        <f t="shared" si="413"/>
        <v>-9.2231967302593761E-4</v>
      </c>
      <c r="V1138" s="5">
        <f t="shared" si="414"/>
        <v>-7.4067207807492902E-3</v>
      </c>
      <c r="W1138" s="5">
        <f t="shared" si="415"/>
        <v>-8.8508687956803129E-3</v>
      </c>
      <c r="X1138" s="5">
        <f t="shared" si="416"/>
        <v>-4.7194896818358424E-3</v>
      </c>
      <c r="Y1138" s="5">
        <f t="shared" si="417"/>
        <v>-1.2549184294497402E-2</v>
      </c>
      <c r="Z1138" s="33">
        <v>1134</v>
      </c>
      <c r="AE1138" s="20" t="str">
        <f t="shared" si="418"/>
        <v/>
      </c>
      <c r="AF1138" s="22" t="str">
        <f t="shared" si="419"/>
        <v/>
      </c>
      <c r="AG1138" s="9" t="str">
        <f t="shared" ca="1" si="398"/>
        <v/>
      </c>
      <c r="AH1138" s="9" t="str">
        <f t="shared" ca="1" si="399"/>
        <v/>
      </c>
      <c r="AI1138" s="9" t="str">
        <f t="shared" ca="1" si="400"/>
        <v/>
      </c>
      <c r="AJ1138" s="9" t="str">
        <f t="shared" ca="1" si="401"/>
        <v/>
      </c>
      <c r="AK1138" s="9" t="str">
        <f t="shared" ca="1" si="402"/>
        <v/>
      </c>
      <c r="AL1138" s="9" t="str">
        <f t="shared" ca="1" si="403"/>
        <v/>
      </c>
      <c r="AM1138" s="9" t="str">
        <f t="shared" ca="1" si="404"/>
        <v/>
      </c>
      <c r="AN1138" s="9" t="str">
        <f t="shared" ca="1" si="405"/>
        <v/>
      </c>
      <c r="AO1138" s="9" t="str">
        <f t="shared" ca="1" si="406"/>
        <v/>
      </c>
      <c r="AP1138" s="9" t="str">
        <f t="shared" ca="1" si="407"/>
        <v/>
      </c>
      <c r="AQ1138" s="9"/>
      <c r="AR1138" s="9"/>
      <c r="AS1138" s="9"/>
      <c r="AT1138" s="9"/>
      <c r="AU1138" s="9"/>
    </row>
    <row r="1139" spans="1:47" x14ac:dyDescent="0.3">
      <c r="A1139" s="1">
        <v>45114</v>
      </c>
      <c r="B1139" s="6">
        <v>485.26998900000001</v>
      </c>
      <c r="C1139" s="6">
        <v>431.290009</v>
      </c>
      <c r="D1139" s="6">
        <v>55.869999</v>
      </c>
      <c r="E1139" s="6">
        <v>183.08000200000001</v>
      </c>
      <c r="F1139" s="6">
        <v>108.779999</v>
      </c>
      <c r="G1139" s="6">
        <v>42.650002000000001</v>
      </c>
      <c r="H1139" s="6">
        <v>146.10000600000001</v>
      </c>
      <c r="I1139" s="6">
        <v>280.73001099999999</v>
      </c>
      <c r="J1139" s="6">
        <v>37.939999</v>
      </c>
      <c r="K1139" s="6">
        <v>12.54</v>
      </c>
      <c r="N1139" s="19">
        <v>1135</v>
      </c>
      <c r="O1139" s="1">
        <v>45114</v>
      </c>
      <c r="P1139" s="5">
        <f t="shared" si="408"/>
        <v>8.235396669246494E-3</v>
      </c>
      <c r="Q1139" s="5">
        <f t="shared" si="409"/>
        <v>4.1749537075000946E-4</v>
      </c>
      <c r="R1139" s="5">
        <f t="shared" si="410"/>
        <v>-1.3158120140928058E-2</v>
      </c>
      <c r="S1139" s="5">
        <f t="shared" si="411"/>
        <v>-1.9044093857956319E-2</v>
      </c>
      <c r="T1139" s="5">
        <f t="shared" si="412"/>
        <v>-1.1061949583605563E-2</v>
      </c>
      <c r="U1139" s="5">
        <f t="shared" si="413"/>
        <v>-1.6279336259443576E-2</v>
      </c>
      <c r="V1139" s="5">
        <f t="shared" si="414"/>
        <v>1.4964338184589573E-2</v>
      </c>
      <c r="W1139" s="5">
        <f t="shared" si="415"/>
        <v>-1.7082966687473205E-3</v>
      </c>
      <c r="X1139" s="5">
        <f t="shared" si="416"/>
        <v>-2.8951198770241931E-3</v>
      </c>
      <c r="Y1139" s="5">
        <f t="shared" si="417"/>
        <v>-1.0313459128273101E-2</v>
      </c>
      <c r="Z1139" s="33">
        <v>1135</v>
      </c>
      <c r="AE1139" s="20" t="str">
        <f t="shared" si="418"/>
        <v/>
      </c>
      <c r="AF1139" s="22" t="str">
        <f t="shared" si="419"/>
        <v/>
      </c>
      <c r="AG1139" s="9" t="str">
        <f t="shared" ca="1" si="398"/>
        <v/>
      </c>
      <c r="AH1139" s="9" t="str">
        <f t="shared" ca="1" si="399"/>
        <v/>
      </c>
      <c r="AI1139" s="9" t="str">
        <f t="shared" ca="1" si="400"/>
        <v/>
      </c>
      <c r="AJ1139" s="9" t="str">
        <f t="shared" ca="1" si="401"/>
        <v/>
      </c>
      <c r="AK1139" s="9" t="str">
        <f t="shared" ca="1" si="402"/>
        <v/>
      </c>
      <c r="AL1139" s="9" t="str">
        <f t="shared" ca="1" si="403"/>
        <v/>
      </c>
      <c r="AM1139" s="9" t="str">
        <f t="shared" ca="1" si="404"/>
        <v/>
      </c>
      <c r="AN1139" s="9" t="str">
        <f t="shared" ca="1" si="405"/>
        <v/>
      </c>
      <c r="AO1139" s="9" t="str">
        <f t="shared" ca="1" si="406"/>
        <v/>
      </c>
      <c r="AP1139" s="9" t="str">
        <f t="shared" ca="1" si="407"/>
        <v/>
      </c>
      <c r="AQ1139" s="9"/>
      <c r="AR1139" s="9"/>
      <c r="AS1139" s="9"/>
      <c r="AT1139" s="9"/>
      <c r="AU1139" s="9"/>
    </row>
    <row r="1140" spans="1:47" x14ac:dyDescent="0.3">
      <c r="A1140" s="1">
        <v>45117</v>
      </c>
      <c r="B1140" s="6">
        <v>496.35000600000001</v>
      </c>
      <c r="C1140" s="6">
        <v>445.72000100000002</v>
      </c>
      <c r="D1140" s="6">
        <v>56.380001</v>
      </c>
      <c r="E1140" s="6">
        <v>184.300003</v>
      </c>
      <c r="F1140" s="6">
        <v>109.16999800000001</v>
      </c>
      <c r="G1140" s="6">
        <v>42.709999000000003</v>
      </c>
      <c r="H1140" s="6">
        <v>148.449997</v>
      </c>
      <c r="I1140" s="6">
        <v>285.39001500000001</v>
      </c>
      <c r="J1140" s="6">
        <v>38.130001</v>
      </c>
      <c r="K1140" s="6">
        <v>12.95</v>
      </c>
      <c r="N1140" s="18">
        <v>1136</v>
      </c>
      <c r="O1140" s="1">
        <v>45117</v>
      </c>
      <c r="P1140" s="5">
        <f t="shared" si="408"/>
        <v>2.2575920723890031E-2</v>
      </c>
      <c r="Q1140" s="5">
        <f t="shared" si="409"/>
        <v>3.2910215887378122E-2</v>
      </c>
      <c r="R1140" s="5">
        <f t="shared" si="410"/>
        <v>9.0869578503885926E-3</v>
      </c>
      <c r="S1140" s="5">
        <f t="shared" si="411"/>
        <v>6.64165424395796E-3</v>
      </c>
      <c r="T1140" s="5">
        <f t="shared" si="412"/>
        <v>3.5787971701783969E-3</v>
      </c>
      <c r="U1140" s="5">
        <f t="shared" si="413"/>
        <v>1.4057406086496864E-3</v>
      </c>
      <c r="V1140" s="5">
        <f t="shared" si="414"/>
        <v>1.5956821176529308E-2</v>
      </c>
      <c r="W1140" s="5">
        <f t="shared" si="415"/>
        <v>1.6463325937560506E-2</v>
      </c>
      <c r="X1140" s="5">
        <f t="shared" si="416"/>
        <v>4.9954619460794688E-3</v>
      </c>
      <c r="Y1140" s="5">
        <f t="shared" si="417"/>
        <v>3.217225294077216E-2</v>
      </c>
      <c r="Z1140" s="33">
        <v>1136</v>
      </c>
      <c r="AE1140" s="20" t="str">
        <f t="shared" si="418"/>
        <v/>
      </c>
      <c r="AF1140" s="22" t="str">
        <f t="shared" si="419"/>
        <v/>
      </c>
      <c r="AG1140" s="9" t="str">
        <f t="shared" ca="1" si="398"/>
        <v/>
      </c>
      <c r="AH1140" s="9" t="str">
        <f t="shared" ca="1" si="399"/>
        <v/>
      </c>
      <c r="AI1140" s="9" t="str">
        <f t="shared" ca="1" si="400"/>
        <v/>
      </c>
      <c r="AJ1140" s="9" t="str">
        <f t="shared" ca="1" si="401"/>
        <v/>
      </c>
      <c r="AK1140" s="9" t="str">
        <f t="shared" ca="1" si="402"/>
        <v/>
      </c>
      <c r="AL1140" s="9" t="str">
        <f t="shared" ca="1" si="403"/>
        <v/>
      </c>
      <c r="AM1140" s="9" t="str">
        <f t="shared" ca="1" si="404"/>
        <v/>
      </c>
      <c r="AN1140" s="9" t="str">
        <f t="shared" ca="1" si="405"/>
        <v/>
      </c>
      <c r="AO1140" s="9" t="str">
        <f t="shared" ca="1" si="406"/>
        <v/>
      </c>
      <c r="AP1140" s="9" t="str">
        <f t="shared" ca="1" si="407"/>
        <v/>
      </c>
      <c r="AQ1140" s="9"/>
      <c r="AR1140" s="9"/>
      <c r="AS1140" s="9"/>
      <c r="AT1140" s="9"/>
      <c r="AU1140" s="9"/>
    </row>
    <row r="1141" spans="1:47" x14ac:dyDescent="0.3">
      <c r="A1141" s="1">
        <v>45118</v>
      </c>
      <c r="B1141" s="6">
        <v>504.73998999999998</v>
      </c>
      <c r="C1141" s="6">
        <v>438.70001200000002</v>
      </c>
      <c r="D1141" s="6">
        <v>55.529998999999997</v>
      </c>
      <c r="E1141" s="6">
        <v>183.979996</v>
      </c>
      <c r="F1141" s="6">
        <v>110.94000200000001</v>
      </c>
      <c r="G1141" s="6">
        <v>43.32</v>
      </c>
      <c r="H1141" s="6">
        <v>149.46000699999999</v>
      </c>
      <c r="I1141" s="6">
        <v>291.20001200000002</v>
      </c>
      <c r="J1141" s="6">
        <v>38.849997999999999</v>
      </c>
      <c r="K1141" s="6">
        <v>13.3</v>
      </c>
      <c r="N1141" s="19">
        <v>1137</v>
      </c>
      <c r="O1141" s="1">
        <v>45118</v>
      </c>
      <c r="P1141" s="5">
        <f t="shared" si="408"/>
        <v>1.6762090272521204E-2</v>
      </c>
      <c r="Q1141" s="5">
        <f t="shared" si="409"/>
        <v>-1.587511889670172E-2</v>
      </c>
      <c r="R1141" s="5">
        <f t="shared" si="410"/>
        <v>-1.5191106177520584E-2</v>
      </c>
      <c r="S1141" s="5">
        <f t="shared" si="411"/>
        <v>-1.7378466460680822E-3</v>
      </c>
      <c r="T1141" s="5">
        <f t="shared" si="412"/>
        <v>1.6083250682724339E-2</v>
      </c>
      <c r="U1141" s="5">
        <f t="shared" si="413"/>
        <v>1.4181360693135438E-2</v>
      </c>
      <c r="V1141" s="5">
        <f t="shared" si="414"/>
        <v>6.7806643364725422E-3</v>
      </c>
      <c r="W1141" s="5">
        <f t="shared" si="415"/>
        <v>2.015363908519209E-2</v>
      </c>
      <c r="X1141" s="5">
        <f t="shared" si="416"/>
        <v>1.8706625238062987E-2</v>
      </c>
      <c r="Y1141" s="5">
        <f t="shared" si="417"/>
        <v>2.6668247082161489E-2</v>
      </c>
      <c r="Z1141" s="33">
        <v>1137</v>
      </c>
      <c r="AE1141" s="20" t="str">
        <f t="shared" si="418"/>
        <v/>
      </c>
      <c r="AF1141" s="22" t="str">
        <f t="shared" si="419"/>
        <v/>
      </c>
      <c r="AG1141" s="9" t="str">
        <f t="shared" ca="1" si="398"/>
        <v/>
      </c>
      <c r="AH1141" s="9" t="str">
        <f t="shared" ca="1" si="399"/>
        <v/>
      </c>
      <c r="AI1141" s="9" t="str">
        <f t="shared" ca="1" si="400"/>
        <v/>
      </c>
      <c r="AJ1141" s="9" t="str">
        <f t="shared" ca="1" si="401"/>
        <v/>
      </c>
      <c r="AK1141" s="9" t="str">
        <f t="shared" ca="1" si="402"/>
        <v/>
      </c>
      <c r="AL1141" s="9" t="str">
        <f t="shared" ca="1" si="403"/>
        <v/>
      </c>
      <c r="AM1141" s="9" t="str">
        <f t="shared" ca="1" si="404"/>
        <v/>
      </c>
      <c r="AN1141" s="9" t="str">
        <f t="shared" ca="1" si="405"/>
        <v/>
      </c>
      <c r="AO1141" s="9" t="str">
        <f t="shared" ca="1" si="406"/>
        <v/>
      </c>
      <c r="AP1141" s="9" t="str">
        <f t="shared" ca="1" si="407"/>
        <v/>
      </c>
      <c r="AQ1141" s="9"/>
      <c r="AR1141" s="9"/>
      <c r="AS1141" s="9"/>
      <c r="AT1141" s="9"/>
      <c r="AU1141" s="9"/>
    </row>
    <row r="1142" spans="1:47" x14ac:dyDescent="0.3">
      <c r="A1142" s="1">
        <v>45119</v>
      </c>
      <c r="B1142" s="6">
        <v>507.35998499999999</v>
      </c>
      <c r="C1142" s="6">
        <v>441.35000600000001</v>
      </c>
      <c r="D1142" s="6">
        <v>56.209999000000003</v>
      </c>
      <c r="E1142" s="6">
        <v>183.16999799999999</v>
      </c>
      <c r="F1142" s="6">
        <v>111.18</v>
      </c>
      <c r="G1142" s="6">
        <v>43.189999</v>
      </c>
      <c r="H1142" s="6">
        <v>150.66999799999999</v>
      </c>
      <c r="I1142" s="6">
        <v>292.76001000000002</v>
      </c>
      <c r="J1142" s="6">
        <v>38.68</v>
      </c>
      <c r="K1142" s="6">
        <v>13.16</v>
      </c>
      <c r="N1142" s="18">
        <v>1138</v>
      </c>
      <c r="O1142" s="1">
        <v>45119</v>
      </c>
      <c r="P1142" s="5">
        <f t="shared" si="408"/>
        <v>5.1773558287345062E-3</v>
      </c>
      <c r="Q1142" s="5">
        <f t="shared" si="409"/>
        <v>6.0223895351819981E-3</v>
      </c>
      <c r="R1142" s="5">
        <f t="shared" si="410"/>
        <v>1.2171261978322979E-2</v>
      </c>
      <c r="S1142" s="5">
        <f t="shared" si="411"/>
        <v>-4.412361854210436E-3</v>
      </c>
      <c r="T1142" s="5">
        <f t="shared" si="412"/>
        <v>2.1609768704723541E-3</v>
      </c>
      <c r="U1142" s="5">
        <f t="shared" si="413"/>
        <v>-3.0054583136881101E-3</v>
      </c>
      <c r="V1142" s="5">
        <f t="shared" si="414"/>
        <v>8.0631562017377967E-3</v>
      </c>
      <c r="W1142" s="5">
        <f t="shared" si="415"/>
        <v>5.3428373593764665E-3</v>
      </c>
      <c r="X1142" s="5">
        <f t="shared" si="416"/>
        <v>-4.3853547485100753E-3</v>
      </c>
      <c r="Y1142" s="5">
        <f t="shared" si="417"/>
        <v>-1.0582109330536972E-2</v>
      </c>
      <c r="Z1142" s="33">
        <v>1138</v>
      </c>
      <c r="AE1142" s="20" t="str">
        <f t="shared" si="418"/>
        <v/>
      </c>
      <c r="AF1142" s="22" t="str">
        <f t="shared" si="419"/>
        <v/>
      </c>
      <c r="AG1142" s="9" t="str">
        <f t="shared" ca="1" si="398"/>
        <v/>
      </c>
      <c r="AH1142" s="9" t="str">
        <f t="shared" ca="1" si="399"/>
        <v/>
      </c>
      <c r="AI1142" s="9" t="str">
        <f t="shared" ca="1" si="400"/>
        <v/>
      </c>
      <c r="AJ1142" s="9" t="str">
        <f t="shared" ca="1" si="401"/>
        <v/>
      </c>
      <c r="AK1142" s="9" t="str">
        <f t="shared" ca="1" si="402"/>
        <v/>
      </c>
      <c r="AL1142" s="9" t="str">
        <f t="shared" ca="1" si="403"/>
        <v/>
      </c>
      <c r="AM1142" s="9" t="str">
        <f t="shared" ca="1" si="404"/>
        <v/>
      </c>
      <c r="AN1142" s="9" t="str">
        <f t="shared" ca="1" si="405"/>
        <v/>
      </c>
      <c r="AO1142" s="9" t="str">
        <f t="shared" ca="1" si="406"/>
        <v/>
      </c>
      <c r="AP1142" s="9" t="str">
        <f t="shared" ca="1" si="407"/>
        <v/>
      </c>
      <c r="AQ1142" s="9"/>
      <c r="AR1142" s="9"/>
      <c r="AS1142" s="9"/>
      <c r="AT1142" s="9"/>
      <c r="AU1142" s="9"/>
    </row>
    <row r="1143" spans="1:47" x14ac:dyDescent="0.3">
      <c r="A1143" s="1">
        <v>45120</v>
      </c>
      <c r="B1143" s="6">
        <v>517.28002900000001</v>
      </c>
      <c r="C1143" s="6">
        <v>448.83999599999999</v>
      </c>
      <c r="D1143" s="6">
        <v>56.740001999999997</v>
      </c>
      <c r="E1143" s="6">
        <v>187.529999</v>
      </c>
      <c r="F1143" s="6">
        <v>111.93</v>
      </c>
      <c r="G1143" s="6">
        <v>43.419998</v>
      </c>
      <c r="H1143" s="6">
        <v>150.08000200000001</v>
      </c>
      <c r="I1143" s="6">
        <v>290.58999599999999</v>
      </c>
      <c r="J1143" s="6">
        <v>39.409999999999997</v>
      </c>
      <c r="K1143" s="6">
        <v>13.1</v>
      </c>
      <c r="N1143" s="19">
        <v>1139</v>
      </c>
      <c r="O1143" s="1">
        <v>45120</v>
      </c>
      <c r="P1143" s="5">
        <f t="shared" si="408"/>
        <v>1.9363588814371429E-2</v>
      </c>
      <c r="Q1143" s="5">
        <f t="shared" si="409"/>
        <v>1.6828242823909229E-2</v>
      </c>
      <c r="R1143" s="5">
        <f t="shared" si="410"/>
        <v>9.3848054056518953E-3</v>
      </c>
      <c r="S1143" s="5">
        <f t="shared" si="411"/>
        <v>2.352415482604359E-2</v>
      </c>
      <c r="T1143" s="5">
        <f t="shared" si="412"/>
        <v>6.7231663758528125E-3</v>
      </c>
      <c r="U1143" s="5">
        <f t="shared" si="413"/>
        <v>5.311154569320224E-3</v>
      </c>
      <c r="V1143" s="5">
        <f t="shared" si="414"/>
        <v>-3.9235029550137952E-3</v>
      </c>
      <c r="W1143" s="5">
        <f t="shared" si="415"/>
        <v>-7.4398696739901501E-3</v>
      </c>
      <c r="X1143" s="5">
        <f t="shared" si="416"/>
        <v>1.8696920621818658E-2</v>
      </c>
      <c r="Y1143" s="5">
        <f t="shared" si="417"/>
        <v>-4.5696956900652969E-3</v>
      </c>
      <c r="Z1143" s="33">
        <v>1139</v>
      </c>
      <c r="AE1143" s="20" t="str">
        <f t="shared" si="418"/>
        <v/>
      </c>
      <c r="AF1143" s="22" t="str">
        <f t="shared" si="419"/>
        <v/>
      </c>
      <c r="AG1143" s="9" t="str">
        <f t="shared" ca="1" si="398"/>
        <v/>
      </c>
      <c r="AH1143" s="9" t="str">
        <f t="shared" ca="1" si="399"/>
        <v/>
      </c>
      <c r="AI1143" s="9" t="str">
        <f t="shared" ca="1" si="400"/>
        <v/>
      </c>
      <c r="AJ1143" s="9" t="str">
        <f t="shared" ca="1" si="401"/>
        <v/>
      </c>
      <c r="AK1143" s="9" t="str">
        <f t="shared" ca="1" si="402"/>
        <v/>
      </c>
      <c r="AL1143" s="9" t="str">
        <f t="shared" ca="1" si="403"/>
        <v/>
      </c>
      <c r="AM1143" s="9" t="str">
        <f t="shared" ca="1" si="404"/>
        <v/>
      </c>
      <c r="AN1143" s="9" t="str">
        <f t="shared" ca="1" si="405"/>
        <v/>
      </c>
      <c r="AO1143" s="9" t="str">
        <f t="shared" ca="1" si="406"/>
        <v/>
      </c>
      <c r="AP1143" s="9" t="str">
        <f t="shared" ca="1" si="407"/>
        <v/>
      </c>
      <c r="AQ1143" s="9"/>
      <c r="AR1143" s="9"/>
      <c r="AS1143" s="9"/>
      <c r="AT1143" s="9"/>
      <c r="AU1143" s="9"/>
    </row>
    <row r="1144" spans="1:47" x14ac:dyDescent="0.3">
      <c r="A1144" s="1">
        <v>45121</v>
      </c>
      <c r="B1144" s="6">
        <v>514.830017</v>
      </c>
      <c r="C1144" s="6">
        <v>454.10998499999999</v>
      </c>
      <c r="D1144" s="6">
        <v>57.310001</v>
      </c>
      <c r="E1144" s="6">
        <v>188.21000699999999</v>
      </c>
      <c r="F1144" s="6">
        <v>111.949997</v>
      </c>
      <c r="G1144" s="6">
        <v>43.369999</v>
      </c>
      <c r="H1144" s="6">
        <v>148.320007</v>
      </c>
      <c r="I1144" s="6">
        <v>292.959991</v>
      </c>
      <c r="J1144" s="6">
        <v>39.32</v>
      </c>
      <c r="K1144" s="6">
        <v>12.4</v>
      </c>
      <c r="N1144" s="18">
        <v>1140</v>
      </c>
      <c r="O1144" s="1">
        <v>45121</v>
      </c>
      <c r="P1144" s="5">
        <f t="shared" si="408"/>
        <v>-4.7475879366724255E-3</v>
      </c>
      <c r="Q1144" s="5">
        <f t="shared" si="409"/>
        <v>1.1672958526134838E-2</v>
      </c>
      <c r="R1144" s="5">
        <f t="shared" si="410"/>
        <v>9.9956813834012562E-3</v>
      </c>
      <c r="S1144" s="5">
        <f t="shared" si="411"/>
        <v>3.6195706156190114E-3</v>
      </c>
      <c r="T1144" s="5">
        <f t="shared" si="412"/>
        <v>1.7864034590958969E-4</v>
      </c>
      <c r="U1144" s="5">
        <f t="shared" si="413"/>
        <v>-1.1521835985603844E-3</v>
      </c>
      <c r="V1144" s="5">
        <f t="shared" si="414"/>
        <v>-1.1796349571343063E-2</v>
      </c>
      <c r="W1144" s="5">
        <f t="shared" si="415"/>
        <v>8.1227249885751137E-3</v>
      </c>
      <c r="X1144" s="5">
        <f t="shared" si="416"/>
        <v>-2.286295927946407E-3</v>
      </c>
      <c r="Y1144" s="5">
        <f t="shared" si="417"/>
        <v>-5.4915757596114653E-2</v>
      </c>
      <c r="Z1144" s="33">
        <v>1140</v>
      </c>
      <c r="AE1144" s="20" t="str">
        <f t="shared" si="418"/>
        <v/>
      </c>
      <c r="AF1144" s="22" t="str">
        <f t="shared" si="419"/>
        <v/>
      </c>
      <c r="AG1144" s="9" t="str">
        <f t="shared" ca="1" si="398"/>
        <v/>
      </c>
      <c r="AH1144" s="9" t="str">
        <f t="shared" ca="1" si="399"/>
        <v/>
      </c>
      <c r="AI1144" s="9" t="str">
        <f t="shared" ca="1" si="400"/>
        <v/>
      </c>
      <c r="AJ1144" s="9" t="str">
        <f t="shared" ca="1" si="401"/>
        <v/>
      </c>
      <c r="AK1144" s="9" t="str">
        <f t="shared" ca="1" si="402"/>
        <v/>
      </c>
      <c r="AL1144" s="9" t="str">
        <f t="shared" ca="1" si="403"/>
        <v/>
      </c>
      <c r="AM1144" s="9" t="str">
        <f t="shared" ca="1" si="404"/>
        <v/>
      </c>
      <c r="AN1144" s="9" t="str">
        <f t="shared" ca="1" si="405"/>
        <v/>
      </c>
      <c r="AO1144" s="9" t="str">
        <f t="shared" ca="1" si="406"/>
        <v/>
      </c>
      <c r="AP1144" s="9" t="str">
        <f t="shared" ca="1" si="407"/>
        <v/>
      </c>
      <c r="AQ1144" s="9"/>
      <c r="AR1144" s="9"/>
      <c r="AS1144" s="9"/>
      <c r="AT1144" s="9"/>
      <c r="AU1144" s="9"/>
    </row>
    <row r="1145" spans="1:47" x14ac:dyDescent="0.3">
      <c r="A1145" s="1">
        <v>45124</v>
      </c>
      <c r="B1145" s="6">
        <v>522</v>
      </c>
      <c r="C1145" s="6">
        <v>461.17999300000002</v>
      </c>
      <c r="D1145" s="6">
        <v>57.290000999999997</v>
      </c>
      <c r="E1145" s="6">
        <v>185.63000500000001</v>
      </c>
      <c r="F1145" s="6">
        <v>110.75</v>
      </c>
      <c r="G1145" s="6">
        <v>42.84</v>
      </c>
      <c r="H1145" s="6">
        <v>148.89999399999999</v>
      </c>
      <c r="I1145" s="6">
        <v>294.76001000000002</v>
      </c>
      <c r="J1145" s="6">
        <v>40.290000999999997</v>
      </c>
      <c r="K1145" s="6">
        <v>12.31</v>
      </c>
      <c r="N1145" s="19">
        <v>1141</v>
      </c>
      <c r="O1145" s="1">
        <v>45124</v>
      </c>
      <c r="P1145" s="5">
        <f t="shared" si="408"/>
        <v>1.3830805779709144E-2</v>
      </c>
      <c r="Q1145" s="5">
        <f t="shared" si="409"/>
        <v>1.5448980730783362E-2</v>
      </c>
      <c r="R1145" s="5">
        <f t="shared" si="410"/>
        <v>-3.4904013706822033E-4</v>
      </c>
      <c r="S1145" s="5">
        <f t="shared" si="411"/>
        <v>-1.3802925738536743E-2</v>
      </c>
      <c r="T1145" s="5">
        <f t="shared" si="412"/>
        <v>-1.0776907321840924E-2</v>
      </c>
      <c r="U1145" s="5">
        <f t="shared" si="413"/>
        <v>-1.2295689210313564E-2</v>
      </c>
      <c r="V1145" s="5">
        <f t="shared" si="414"/>
        <v>3.9027503816645675E-3</v>
      </c>
      <c r="W1145" s="5">
        <f t="shared" si="415"/>
        <v>6.1254496194212433E-3</v>
      </c>
      <c r="X1145" s="5">
        <f t="shared" si="416"/>
        <v>2.4370028744344373E-2</v>
      </c>
      <c r="Y1145" s="5">
        <f t="shared" si="417"/>
        <v>-7.2845324146289872E-3</v>
      </c>
      <c r="Z1145" s="33">
        <v>1141</v>
      </c>
      <c r="AE1145" s="20" t="str">
        <f t="shared" si="418"/>
        <v/>
      </c>
      <c r="AF1145" s="22" t="str">
        <f t="shared" si="419"/>
        <v/>
      </c>
      <c r="AG1145" s="9" t="str">
        <f t="shared" ca="1" si="398"/>
        <v/>
      </c>
      <c r="AH1145" s="9" t="str">
        <f t="shared" ca="1" si="399"/>
        <v/>
      </c>
      <c r="AI1145" s="9" t="str">
        <f t="shared" ca="1" si="400"/>
        <v/>
      </c>
      <c r="AJ1145" s="9" t="str">
        <f t="shared" ca="1" si="401"/>
        <v/>
      </c>
      <c r="AK1145" s="9" t="str">
        <f t="shared" ca="1" si="402"/>
        <v/>
      </c>
      <c r="AL1145" s="9" t="str">
        <f t="shared" ca="1" si="403"/>
        <v/>
      </c>
      <c r="AM1145" s="9" t="str">
        <f t="shared" ca="1" si="404"/>
        <v/>
      </c>
      <c r="AN1145" s="9" t="str">
        <f t="shared" ca="1" si="405"/>
        <v/>
      </c>
      <c r="AO1145" s="9" t="str">
        <f t="shared" ca="1" si="406"/>
        <v/>
      </c>
      <c r="AP1145" s="9" t="str">
        <f t="shared" ca="1" si="407"/>
        <v/>
      </c>
      <c r="AQ1145" s="9"/>
      <c r="AR1145" s="9"/>
      <c r="AS1145" s="9"/>
      <c r="AT1145" s="9"/>
      <c r="AU1145" s="9"/>
    </row>
    <row r="1146" spans="1:47" x14ac:dyDescent="0.3">
      <c r="A1146" s="1">
        <v>45125</v>
      </c>
      <c r="B1146" s="6">
        <v>532.22997999999995</v>
      </c>
      <c r="C1146" s="6">
        <v>462.92999300000002</v>
      </c>
      <c r="D1146" s="6">
        <v>56.549999</v>
      </c>
      <c r="E1146" s="6">
        <v>184.449997</v>
      </c>
      <c r="F1146" s="6">
        <v>110.620003</v>
      </c>
      <c r="G1146" s="6">
        <v>42.41</v>
      </c>
      <c r="H1146" s="6">
        <v>150.33999600000001</v>
      </c>
      <c r="I1146" s="6">
        <v>295.08999599999999</v>
      </c>
      <c r="J1146" s="6">
        <v>40.880001</v>
      </c>
      <c r="K1146" s="6">
        <v>12.77</v>
      </c>
      <c r="N1146" s="18">
        <v>1142</v>
      </c>
      <c r="O1146" s="1">
        <v>45125</v>
      </c>
      <c r="P1146" s="5">
        <f t="shared" si="408"/>
        <v>1.9408101280288532E-2</v>
      </c>
      <c r="Q1146" s="5">
        <f t="shared" si="409"/>
        <v>3.7874324884244002E-3</v>
      </c>
      <c r="R1146" s="5">
        <f t="shared" si="410"/>
        <v>-1.30009209968761E-2</v>
      </c>
      <c r="S1146" s="5">
        <f t="shared" si="411"/>
        <v>-6.37706437831874E-3</v>
      </c>
      <c r="T1146" s="5">
        <f t="shared" si="412"/>
        <v>-1.1744772388436525E-3</v>
      </c>
      <c r="U1146" s="5">
        <f t="shared" si="413"/>
        <v>-1.0088062093048862E-2</v>
      </c>
      <c r="V1146" s="5">
        <f t="shared" si="414"/>
        <v>9.6244697485015351E-3</v>
      </c>
      <c r="W1146" s="5">
        <f t="shared" si="415"/>
        <v>1.118881176804283E-3</v>
      </c>
      <c r="X1146" s="5">
        <f t="shared" si="416"/>
        <v>1.4537646333978107E-2</v>
      </c>
      <c r="Y1146" s="5">
        <f t="shared" si="417"/>
        <v>3.6686729848085811E-2</v>
      </c>
      <c r="Z1146" s="33">
        <v>1142</v>
      </c>
      <c r="AE1146" s="20" t="str">
        <f t="shared" si="418"/>
        <v/>
      </c>
      <c r="AF1146" s="22" t="str">
        <f t="shared" si="419"/>
        <v/>
      </c>
      <c r="AG1146" s="9" t="str">
        <f t="shared" ca="1" si="398"/>
        <v/>
      </c>
      <c r="AH1146" s="9" t="str">
        <f t="shared" ca="1" si="399"/>
        <v/>
      </c>
      <c r="AI1146" s="9" t="str">
        <f t="shared" ca="1" si="400"/>
        <v/>
      </c>
      <c r="AJ1146" s="9" t="str">
        <f t="shared" ca="1" si="401"/>
        <v/>
      </c>
      <c r="AK1146" s="9" t="str">
        <f t="shared" ca="1" si="402"/>
        <v/>
      </c>
      <c r="AL1146" s="9" t="str">
        <f t="shared" ca="1" si="403"/>
        <v/>
      </c>
      <c r="AM1146" s="9" t="str">
        <f t="shared" ca="1" si="404"/>
        <v/>
      </c>
      <c r="AN1146" s="9" t="str">
        <f t="shared" ca="1" si="405"/>
        <v/>
      </c>
      <c r="AO1146" s="9" t="str">
        <f t="shared" ca="1" si="406"/>
        <v/>
      </c>
      <c r="AP1146" s="9" t="str">
        <f t="shared" ca="1" si="407"/>
        <v/>
      </c>
      <c r="AQ1146" s="9"/>
      <c r="AR1146" s="9"/>
      <c r="AS1146" s="9"/>
      <c r="AT1146" s="9"/>
      <c r="AU1146" s="9"/>
    </row>
    <row r="1147" spans="1:47" x14ac:dyDescent="0.3">
      <c r="A1147" s="1">
        <v>45126</v>
      </c>
      <c r="B1147" s="6">
        <v>527.169983</v>
      </c>
      <c r="C1147" s="6">
        <v>457.32998700000002</v>
      </c>
      <c r="D1147" s="6">
        <v>57.25</v>
      </c>
      <c r="E1147" s="6">
        <v>186.259995</v>
      </c>
      <c r="F1147" s="6">
        <v>111.389999</v>
      </c>
      <c r="G1147" s="6">
        <v>42.759998000000003</v>
      </c>
      <c r="H1147" s="6">
        <v>150.13000500000001</v>
      </c>
      <c r="I1147" s="6">
        <v>294.30999800000001</v>
      </c>
      <c r="J1147" s="6">
        <v>37.659999999999997</v>
      </c>
      <c r="K1147" s="6">
        <v>13.28</v>
      </c>
      <c r="N1147" s="19">
        <v>1143</v>
      </c>
      <c r="O1147" s="1">
        <v>45126</v>
      </c>
      <c r="P1147" s="5">
        <f t="shared" si="408"/>
        <v>-9.5526442420161058E-3</v>
      </c>
      <c r="Q1147" s="5">
        <f t="shared" si="409"/>
        <v>-1.217063709458888E-2</v>
      </c>
      <c r="R1147" s="5">
        <f t="shared" si="410"/>
        <v>1.2302457555685748E-2</v>
      </c>
      <c r="S1147" s="5">
        <f t="shared" si="411"/>
        <v>9.7651124712009162E-3</v>
      </c>
      <c r="T1147" s="5">
        <f t="shared" si="412"/>
        <v>6.9366161932304235E-3</v>
      </c>
      <c r="U1147" s="5">
        <f t="shared" si="413"/>
        <v>8.2188558976594873E-3</v>
      </c>
      <c r="V1147" s="5">
        <f t="shared" si="414"/>
        <v>-1.3977504142810475E-3</v>
      </c>
      <c r="W1147" s="5">
        <f t="shared" si="415"/>
        <v>-2.646754201846005E-3</v>
      </c>
      <c r="X1147" s="5">
        <f t="shared" si="416"/>
        <v>-8.2042447128282001E-2</v>
      </c>
      <c r="Y1147" s="5">
        <f t="shared" si="417"/>
        <v>3.9160474003839894E-2</v>
      </c>
      <c r="Z1147" s="33">
        <v>1143</v>
      </c>
      <c r="AE1147" s="20" t="str">
        <f t="shared" si="418"/>
        <v/>
      </c>
      <c r="AF1147" s="22" t="str">
        <f t="shared" si="419"/>
        <v/>
      </c>
      <c r="AG1147" s="9" t="str">
        <f t="shared" ca="1" si="398"/>
        <v/>
      </c>
      <c r="AH1147" s="9" t="str">
        <f t="shared" ca="1" si="399"/>
        <v/>
      </c>
      <c r="AI1147" s="9" t="str">
        <f t="shared" ca="1" si="400"/>
        <v/>
      </c>
      <c r="AJ1147" s="9" t="str">
        <f t="shared" ca="1" si="401"/>
        <v/>
      </c>
      <c r="AK1147" s="9" t="str">
        <f t="shared" ca="1" si="402"/>
        <v/>
      </c>
      <c r="AL1147" s="9" t="str">
        <f t="shared" ca="1" si="403"/>
        <v/>
      </c>
      <c r="AM1147" s="9" t="str">
        <f t="shared" ca="1" si="404"/>
        <v/>
      </c>
      <c r="AN1147" s="9" t="str">
        <f t="shared" ca="1" si="405"/>
        <v/>
      </c>
      <c r="AO1147" s="9" t="str">
        <f t="shared" ca="1" si="406"/>
        <v/>
      </c>
      <c r="AP1147" s="9" t="str">
        <f t="shared" ca="1" si="407"/>
        <v/>
      </c>
      <c r="AQ1147" s="9"/>
      <c r="AR1147" s="9"/>
      <c r="AS1147" s="9"/>
      <c r="AT1147" s="9"/>
      <c r="AU1147" s="9"/>
    </row>
    <row r="1148" spans="1:47" x14ac:dyDescent="0.3">
      <c r="A1148" s="1">
        <v>45127</v>
      </c>
      <c r="B1148" s="6">
        <v>516.88000499999998</v>
      </c>
      <c r="C1148" s="6">
        <v>451.709991</v>
      </c>
      <c r="D1148" s="6">
        <v>57.580002</v>
      </c>
      <c r="E1148" s="6">
        <v>189.300003</v>
      </c>
      <c r="F1148" s="6">
        <v>112.120003</v>
      </c>
      <c r="G1148" s="6">
        <v>43.080002</v>
      </c>
      <c r="H1148" s="6">
        <v>149.949997</v>
      </c>
      <c r="I1148" s="6">
        <v>272.73998999999998</v>
      </c>
      <c r="J1148" s="6">
        <v>37.919998</v>
      </c>
      <c r="K1148" s="6">
        <v>13.11</v>
      </c>
      <c r="N1148" s="18">
        <v>1144</v>
      </c>
      <c r="O1148" s="1">
        <v>45127</v>
      </c>
      <c r="P1148" s="5">
        <f t="shared" si="408"/>
        <v>-1.9712295997576037E-2</v>
      </c>
      <c r="Q1148" s="5">
        <f t="shared" si="409"/>
        <v>-1.2364841456783715E-2</v>
      </c>
      <c r="R1148" s="5">
        <f t="shared" si="410"/>
        <v>5.7476774839628495E-3</v>
      </c>
      <c r="S1148" s="5">
        <f t="shared" si="411"/>
        <v>1.6189553813822557E-2</v>
      </c>
      <c r="T1148" s="5">
        <f t="shared" si="412"/>
        <v>6.5322051740012675E-3</v>
      </c>
      <c r="U1148" s="5">
        <f t="shared" si="413"/>
        <v>7.4558593292834508E-3</v>
      </c>
      <c r="V1148" s="5">
        <f t="shared" si="414"/>
        <v>-1.1997335403335827E-3</v>
      </c>
      <c r="W1148" s="5">
        <f t="shared" si="415"/>
        <v>-7.6114703034930495E-2</v>
      </c>
      <c r="X1148" s="5">
        <f t="shared" si="416"/>
        <v>6.880101415197252E-3</v>
      </c>
      <c r="Y1148" s="5">
        <f t="shared" si="417"/>
        <v>-1.2883846272679368E-2</v>
      </c>
      <c r="Z1148" s="33">
        <v>1144</v>
      </c>
      <c r="AE1148" s="20" t="str">
        <f t="shared" si="418"/>
        <v/>
      </c>
      <c r="AF1148" s="22" t="str">
        <f t="shared" si="419"/>
        <v/>
      </c>
      <c r="AG1148" s="9" t="str">
        <f t="shared" ca="1" si="398"/>
        <v/>
      </c>
      <c r="AH1148" s="9" t="str">
        <f t="shared" ca="1" si="399"/>
        <v/>
      </c>
      <c r="AI1148" s="9" t="str">
        <f t="shared" ca="1" si="400"/>
        <v/>
      </c>
      <c r="AJ1148" s="9" t="str">
        <f t="shared" ca="1" si="401"/>
        <v/>
      </c>
      <c r="AK1148" s="9" t="str">
        <f t="shared" ca="1" si="402"/>
        <v/>
      </c>
      <c r="AL1148" s="9" t="str">
        <f t="shared" ca="1" si="403"/>
        <v/>
      </c>
      <c r="AM1148" s="9" t="str">
        <f t="shared" ca="1" si="404"/>
        <v/>
      </c>
      <c r="AN1148" s="9" t="str">
        <f t="shared" ca="1" si="405"/>
        <v/>
      </c>
      <c r="AO1148" s="9" t="str">
        <f t="shared" ca="1" si="406"/>
        <v/>
      </c>
      <c r="AP1148" s="9" t="str">
        <f t="shared" ca="1" si="407"/>
        <v/>
      </c>
      <c r="AQ1148" s="9"/>
      <c r="AR1148" s="9"/>
      <c r="AS1148" s="9"/>
      <c r="AT1148" s="9"/>
      <c r="AU1148" s="9"/>
    </row>
    <row r="1149" spans="1:47" x14ac:dyDescent="0.3">
      <c r="A1149" s="1">
        <v>45128</v>
      </c>
      <c r="B1149" s="6">
        <v>520.22997999999995</v>
      </c>
      <c r="C1149" s="6">
        <v>454</v>
      </c>
      <c r="D1149" s="6">
        <v>58.099997999999999</v>
      </c>
      <c r="E1149" s="6">
        <v>190.16000399999999</v>
      </c>
      <c r="F1149" s="6">
        <v>112.900002</v>
      </c>
      <c r="G1149" s="6">
        <v>43.27</v>
      </c>
      <c r="H1149" s="6">
        <v>152.11999499999999</v>
      </c>
      <c r="I1149" s="6">
        <v>275.54998799999998</v>
      </c>
      <c r="J1149" s="6">
        <v>32.869999</v>
      </c>
      <c r="K1149" s="6">
        <v>12.93</v>
      </c>
      <c r="N1149" s="19">
        <v>1145</v>
      </c>
      <c r="O1149" s="1">
        <v>45128</v>
      </c>
      <c r="P1149" s="5">
        <f t="shared" si="408"/>
        <v>6.4602341106976182E-3</v>
      </c>
      <c r="Q1149" s="5">
        <f t="shared" si="409"/>
        <v>5.0568369625742411E-3</v>
      </c>
      <c r="R1149" s="5">
        <f t="shared" si="410"/>
        <v>8.9903095161451251E-3</v>
      </c>
      <c r="S1149" s="5">
        <f t="shared" si="411"/>
        <v>4.5327700237184918E-3</v>
      </c>
      <c r="T1149" s="5">
        <f t="shared" si="412"/>
        <v>6.9327358167748498E-3</v>
      </c>
      <c r="U1149" s="5">
        <f t="shared" si="413"/>
        <v>4.4006555233513222E-3</v>
      </c>
      <c r="V1149" s="5">
        <f t="shared" si="414"/>
        <v>1.4367765002921506E-2</v>
      </c>
      <c r="W1149" s="5">
        <f t="shared" si="415"/>
        <v>1.0250133015246804E-2</v>
      </c>
      <c r="X1149" s="5">
        <f t="shared" si="416"/>
        <v>-0.14291826739095409</v>
      </c>
      <c r="Y1149" s="5">
        <f t="shared" si="417"/>
        <v>-1.3825104991842318E-2</v>
      </c>
      <c r="Z1149" s="33">
        <v>1145</v>
      </c>
      <c r="AE1149" s="20" t="str">
        <f t="shared" si="418"/>
        <v/>
      </c>
      <c r="AF1149" s="22" t="str">
        <f t="shared" si="419"/>
        <v/>
      </c>
      <c r="AG1149" s="9" t="str">
        <f t="shared" ca="1" si="398"/>
        <v/>
      </c>
      <c r="AH1149" s="9" t="str">
        <f t="shared" ca="1" si="399"/>
        <v/>
      </c>
      <c r="AI1149" s="9" t="str">
        <f t="shared" ca="1" si="400"/>
        <v/>
      </c>
      <c r="AJ1149" s="9" t="str">
        <f t="shared" ca="1" si="401"/>
        <v/>
      </c>
      <c r="AK1149" s="9" t="str">
        <f t="shared" ca="1" si="402"/>
        <v/>
      </c>
      <c r="AL1149" s="9" t="str">
        <f t="shared" ca="1" si="403"/>
        <v/>
      </c>
      <c r="AM1149" s="9" t="str">
        <f t="shared" ca="1" si="404"/>
        <v/>
      </c>
      <c r="AN1149" s="9" t="str">
        <f t="shared" ca="1" si="405"/>
        <v/>
      </c>
      <c r="AO1149" s="9" t="str">
        <f t="shared" ca="1" si="406"/>
        <v/>
      </c>
      <c r="AP1149" s="9" t="str">
        <f t="shared" ca="1" si="407"/>
        <v/>
      </c>
      <c r="AQ1149" s="9"/>
      <c r="AR1149" s="9"/>
      <c r="AS1149" s="9"/>
      <c r="AT1149" s="9"/>
      <c r="AU1149" s="9"/>
    </row>
    <row r="1150" spans="1:47" x14ac:dyDescent="0.3">
      <c r="A1150" s="1">
        <v>45131</v>
      </c>
      <c r="B1150" s="6">
        <v>523.85998500000005</v>
      </c>
      <c r="C1150" s="6">
        <v>450.75</v>
      </c>
      <c r="D1150" s="6">
        <v>58.380001</v>
      </c>
      <c r="E1150" s="6">
        <v>190.91999799999999</v>
      </c>
      <c r="F1150" s="6">
        <v>112.83000199999999</v>
      </c>
      <c r="G1150" s="6">
        <v>43.23</v>
      </c>
      <c r="H1150" s="6">
        <v>152.08999600000001</v>
      </c>
      <c r="I1150" s="6">
        <v>274.60998499999999</v>
      </c>
      <c r="J1150" s="6">
        <v>32.630001</v>
      </c>
      <c r="K1150" s="6">
        <v>12.61</v>
      </c>
      <c r="N1150" s="18">
        <v>1146</v>
      </c>
      <c r="O1150" s="1">
        <v>45131</v>
      </c>
      <c r="P1150" s="5">
        <f t="shared" si="408"/>
        <v>6.9534613831338261E-3</v>
      </c>
      <c r="Q1150" s="5">
        <f t="shared" si="409"/>
        <v>-7.1843359579213603E-3</v>
      </c>
      <c r="R1150" s="5">
        <f t="shared" si="410"/>
        <v>4.8077531206653628E-3</v>
      </c>
      <c r="S1150" s="5">
        <f t="shared" si="411"/>
        <v>3.988637575247706E-3</v>
      </c>
      <c r="T1150" s="5">
        <f t="shared" si="412"/>
        <v>-6.2020999427143779E-4</v>
      </c>
      <c r="U1150" s="5">
        <f t="shared" si="413"/>
        <v>-9.2485555725319935E-4</v>
      </c>
      <c r="V1150" s="5">
        <f t="shared" si="414"/>
        <v>-1.9722560721031353E-4</v>
      </c>
      <c r="W1150" s="5">
        <f t="shared" si="415"/>
        <v>-3.4172021261250616E-3</v>
      </c>
      <c r="X1150" s="5">
        <f t="shared" si="416"/>
        <v>-7.328216001376577E-3</v>
      </c>
      <c r="Y1150" s="5">
        <f t="shared" si="417"/>
        <v>-2.5060042806937959E-2</v>
      </c>
      <c r="Z1150" s="33">
        <v>1146</v>
      </c>
      <c r="AE1150" s="20" t="str">
        <f t="shared" si="418"/>
        <v/>
      </c>
      <c r="AF1150" s="22" t="str">
        <f t="shared" si="419"/>
        <v/>
      </c>
      <c r="AG1150" s="9" t="str">
        <f t="shared" ca="1" si="398"/>
        <v/>
      </c>
      <c r="AH1150" s="9" t="str">
        <f t="shared" ca="1" si="399"/>
        <v/>
      </c>
      <c r="AI1150" s="9" t="str">
        <f t="shared" ca="1" si="400"/>
        <v/>
      </c>
      <c r="AJ1150" s="9" t="str">
        <f t="shared" ca="1" si="401"/>
        <v/>
      </c>
      <c r="AK1150" s="9" t="str">
        <f t="shared" ca="1" si="402"/>
        <v/>
      </c>
      <c r="AL1150" s="9" t="str">
        <f t="shared" ca="1" si="403"/>
        <v/>
      </c>
      <c r="AM1150" s="9" t="str">
        <f t="shared" ca="1" si="404"/>
        <v/>
      </c>
      <c r="AN1150" s="9" t="str">
        <f t="shared" ca="1" si="405"/>
        <v/>
      </c>
      <c r="AO1150" s="9" t="str">
        <f t="shared" ca="1" si="406"/>
        <v/>
      </c>
      <c r="AP1150" s="9" t="str">
        <f t="shared" ca="1" si="407"/>
        <v/>
      </c>
      <c r="AQ1150" s="9"/>
      <c r="AR1150" s="9"/>
      <c r="AS1150" s="9"/>
      <c r="AT1150" s="9"/>
      <c r="AU1150" s="9"/>
    </row>
    <row r="1151" spans="1:47" x14ac:dyDescent="0.3">
      <c r="A1151" s="1">
        <v>45132</v>
      </c>
      <c r="B1151" s="6">
        <v>525.34002699999996</v>
      </c>
      <c r="C1151" s="6">
        <v>456.45001200000002</v>
      </c>
      <c r="D1151" s="6">
        <v>58.080002</v>
      </c>
      <c r="E1151" s="6">
        <v>191.36000100000001</v>
      </c>
      <c r="F1151" s="6">
        <v>110.80999799999999</v>
      </c>
      <c r="G1151" s="6">
        <v>42.25</v>
      </c>
      <c r="H1151" s="6">
        <v>146.509995</v>
      </c>
      <c r="I1151" s="6">
        <v>273.13000499999998</v>
      </c>
      <c r="J1151" s="6">
        <v>32.080002</v>
      </c>
      <c r="K1151" s="6">
        <v>12.53</v>
      </c>
      <c r="N1151" s="19">
        <v>1147</v>
      </c>
      <c r="O1151" s="1">
        <v>45132</v>
      </c>
      <c r="P1151" s="5">
        <f t="shared" si="408"/>
        <v>2.8212790026416719E-3</v>
      </c>
      <c r="Q1151" s="5">
        <f t="shared" si="409"/>
        <v>1.2566329217508462E-2</v>
      </c>
      <c r="R1151" s="5">
        <f t="shared" si="410"/>
        <v>-5.1519776033205466E-3</v>
      </c>
      <c r="S1151" s="5">
        <f t="shared" si="411"/>
        <v>2.3019943259156069E-3</v>
      </c>
      <c r="T1151" s="5">
        <f t="shared" si="412"/>
        <v>-1.8065273976815392E-2</v>
      </c>
      <c r="U1151" s="5">
        <f t="shared" si="413"/>
        <v>-2.2930344876357516E-2</v>
      </c>
      <c r="V1151" s="5">
        <f t="shared" si="414"/>
        <v>-3.7378773198202299E-2</v>
      </c>
      <c r="W1151" s="5">
        <f t="shared" si="415"/>
        <v>-5.4039640291066232E-3</v>
      </c>
      <c r="X1151" s="5">
        <f t="shared" si="416"/>
        <v>-1.6999295909421487E-2</v>
      </c>
      <c r="Y1151" s="5">
        <f t="shared" si="417"/>
        <v>-6.3643810688512343E-3</v>
      </c>
      <c r="Z1151" s="33">
        <v>1147</v>
      </c>
      <c r="AE1151" s="20" t="str">
        <f t="shared" si="418"/>
        <v/>
      </c>
      <c r="AF1151" s="22" t="str">
        <f t="shared" si="419"/>
        <v/>
      </c>
      <c r="AG1151" s="9" t="str">
        <f t="shared" ca="1" si="398"/>
        <v/>
      </c>
      <c r="AH1151" s="9" t="str">
        <f t="shared" ca="1" si="399"/>
        <v/>
      </c>
      <c r="AI1151" s="9" t="str">
        <f t="shared" ca="1" si="400"/>
        <v/>
      </c>
      <c r="AJ1151" s="9" t="str">
        <f t="shared" ca="1" si="401"/>
        <v/>
      </c>
      <c r="AK1151" s="9" t="str">
        <f t="shared" ca="1" si="402"/>
        <v/>
      </c>
      <c r="AL1151" s="9" t="str">
        <f t="shared" ca="1" si="403"/>
        <v/>
      </c>
      <c r="AM1151" s="9" t="str">
        <f t="shared" ca="1" si="404"/>
        <v/>
      </c>
      <c r="AN1151" s="9" t="str">
        <f t="shared" ca="1" si="405"/>
        <v/>
      </c>
      <c r="AO1151" s="9" t="str">
        <f t="shared" ca="1" si="406"/>
        <v/>
      </c>
      <c r="AP1151" s="9" t="str">
        <f t="shared" ca="1" si="407"/>
        <v/>
      </c>
      <c r="AQ1151" s="9"/>
      <c r="AR1151" s="9"/>
      <c r="AS1151" s="9"/>
      <c r="AT1151" s="9"/>
      <c r="AU1151" s="9"/>
    </row>
    <row r="1152" spans="1:47" x14ac:dyDescent="0.3">
      <c r="A1152" s="1">
        <v>45133</v>
      </c>
      <c r="B1152" s="6">
        <v>514.54998799999998</v>
      </c>
      <c r="C1152" s="6">
        <v>449.32998700000002</v>
      </c>
      <c r="D1152" s="6">
        <v>58.169998</v>
      </c>
      <c r="E1152" s="6">
        <v>191.60000600000001</v>
      </c>
      <c r="F1152" s="6">
        <v>111.849998</v>
      </c>
      <c r="G1152" s="6">
        <v>42.509998000000003</v>
      </c>
      <c r="H1152" s="6">
        <v>146.800003</v>
      </c>
      <c r="I1152" s="6">
        <v>269</v>
      </c>
      <c r="J1152" s="6">
        <v>32.810001</v>
      </c>
      <c r="K1152" s="6">
        <v>12.76</v>
      </c>
      <c r="N1152" s="18">
        <v>1148</v>
      </c>
      <c r="O1152" s="1">
        <v>45133</v>
      </c>
      <c r="P1152" s="5">
        <f t="shared" si="408"/>
        <v>-2.0753014459056668E-2</v>
      </c>
      <c r="Q1152" s="5">
        <f t="shared" si="409"/>
        <v>-1.5721635853900722E-2</v>
      </c>
      <c r="R1152" s="5">
        <f t="shared" si="410"/>
        <v>1.5483185888839745E-3</v>
      </c>
      <c r="S1152" s="5">
        <f t="shared" si="411"/>
        <v>1.253420863980242E-3</v>
      </c>
      <c r="T1152" s="5">
        <f t="shared" si="412"/>
        <v>9.3416651557263562E-3</v>
      </c>
      <c r="U1152" s="5">
        <f t="shared" si="413"/>
        <v>6.1349415197613612E-3</v>
      </c>
      <c r="V1152" s="5">
        <f t="shared" si="414"/>
        <v>1.9774852305245181E-3</v>
      </c>
      <c r="W1152" s="5">
        <f t="shared" si="415"/>
        <v>-1.5236511022907425E-2</v>
      </c>
      <c r="X1152" s="5">
        <f t="shared" si="416"/>
        <v>2.2500532109071048E-2</v>
      </c>
      <c r="Y1152" s="5">
        <f t="shared" si="417"/>
        <v>1.8189509008666831E-2</v>
      </c>
      <c r="Z1152" s="33">
        <v>1148</v>
      </c>
      <c r="AE1152" s="20" t="str">
        <f t="shared" si="418"/>
        <v/>
      </c>
      <c r="AF1152" s="22" t="str">
        <f t="shared" si="419"/>
        <v/>
      </c>
      <c r="AG1152" s="9" t="str">
        <f t="shared" ca="1" si="398"/>
        <v/>
      </c>
      <c r="AH1152" s="9" t="str">
        <f t="shared" ca="1" si="399"/>
        <v/>
      </c>
      <c r="AI1152" s="9" t="str">
        <f t="shared" ca="1" si="400"/>
        <v/>
      </c>
      <c r="AJ1152" s="9" t="str">
        <f t="shared" ca="1" si="401"/>
        <v/>
      </c>
      <c r="AK1152" s="9" t="str">
        <f t="shared" ca="1" si="402"/>
        <v/>
      </c>
      <c r="AL1152" s="9" t="str">
        <f t="shared" ca="1" si="403"/>
        <v/>
      </c>
      <c r="AM1152" s="9" t="str">
        <f t="shared" ca="1" si="404"/>
        <v/>
      </c>
      <c r="AN1152" s="9" t="str">
        <f t="shared" ca="1" si="405"/>
        <v/>
      </c>
      <c r="AO1152" s="9" t="str">
        <f t="shared" ca="1" si="406"/>
        <v/>
      </c>
      <c r="AP1152" s="9" t="str">
        <f t="shared" ca="1" si="407"/>
        <v/>
      </c>
      <c r="AQ1152" s="9"/>
      <c r="AR1152" s="9"/>
      <c r="AS1152" s="9"/>
      <c r="AT1152" s="9"/>
      <c r="AU1152" s="9"/>
    </row>
    <row r="1153" spans="1:47" x14ac:dyDescent="0.3">
      <c r="A1153" s="1">
        <v>45134</v>
      </c>
      <c r="B1153" s="6">
        <v>513.96997099999999</v>
      </c>
      <c r="C1153" s="6">
        <v>448.73998999999998</v>
      </c>
      <c r="D1153" s="6">
        <v>57.560001</v>
      </c>
      <c r="E1153" s="6">
        <v>188.529999</v>
      </c>
      <c r="F1153" s="6">
        <v>108.790001</v>
      </c>
      <c r="G1153" s="6">
        <v>40.610000999999997</v>
      </c>
      <c r="H1153" s="6">
        <v>145.78999300000001</v>
      </c>
      <c r="I1153" s="6">
        <v>269.79998799999998</v>
      </c>
      <c r="J1153" s="6">
        <v>33.450001</v>
      </c>
      <c r="K1153" s="6">
        <v>12.29</v>
      </c>
      <c r="N1153" s="19">
        <v>1149</v>
      </c>
      <c r="O1153" s="1">
        <v>45134</v>
      </c>
      <c r="P1153" s="5">
        <f t="shared" si="408"/>
        <v>-1.1278673912168793E-3</v>
      </c>
      <c r="Q1153" s="5">
        <f t="shared" si="409"/>
        <v>-1.3139223000225774E-3</v>
      </c>
      <c r="R1153" s="5">
        <f t="shared" si="410"/>
        <v>-1.0541824148342913E-2</v>
      </c>
      <c r="S1153" s="5">
        <f t="shared" si="411"/>
        <v>-1.6152756737703704E-2</v>
      </c>
      <c r="T1153" s="5">
        <f t="shared" si="412"/>
        <v>-2.7739242430035057E-2</v>
      </c>
      <c r="U1153" s="5">
        <f t="shared" si="413"/>
        <v>-4.5724929000261455E-2</v>
      </c>
      <c r="V1153" s="5">
        <f t="shared" si="414"/>
        <v>-6.9039545139199902E-3</v>
      </c>
      <c r="W1153" s="5">
        <f t="shared" si="415"/>
        <v>2.9695196944247602E-3</v>
      </c>
      <c r="X1153" s="5">
        <f t="shared" si="416"/>
        <v>1.9318439018080846E-2</v>
      </c>
      <c r="Y1153" s="5">
        <f t="shared" si="417"/>
        <v>-3.7529354338700367E-2</v>
      </c>
      <c r="Z1153" s="33">
        <v>1149</v>
      </c>
      <c r="AE1153" s="20" t="str">
        <f t="shared" si="418"/>
        <v/>
      </c>
      <c r="AF1153" s="22" t="str">
        <f t="shared" si="419"/>
        <v/>
      </c>
      <c r="AG1153" s="9" t="str">
        <f t="shared" ca="1" si="398"/>
        <v/>
      </c>
      <c r="AH1153" s="9" t="str">
        <f t="shared" ca="1" si="399"/>
        <v/>
      </c>
      <c r="AI1153" s="9" t="str">
        <f t="shared" ca="1" si="400"/>
        <v/>
      </c>
      <c r="AJ1153" s="9" t="str">
        <f t="shared" ca="1" si="401"/>
        <v/>
      </c>
      <c r="AK1153" s="9" t="str">
        <f t="shared" ca="1" si="402"/>
        <v/>
      </c>
      <c r="AL1153" s="9" t="str">
        <f t="shared" ca="1" si="403"/>
        <v/>
      </c>
      <c r="AM1153" s="9" t="str">
        <f t="shared" ca="1" si="404"/>
        <v/>
      </c>
      <c r="AN1153" s="9" t="str">
        <f t="shared" ca="1" si="405"/>
        <v/>
      </c>
      <c r="AO1153" s="9" t="str">
        <f t="shared" ca="1" si="406"/>
        <v/>
      </c>
      <c r="AP1153" s="9" t="str">
        <f t="shared" ca="1" si="407"/>
        <v/>
      </c>
      <c r="AQ1153" s="9"/>
      <c r="AR1153" s="9"/>
      <c r="AS1153" s="9"/>
      <c r="AT1153" s="9"/>
      <c r="AU1153" s="9"/>
    </row>
    <row r="1154" spans="1:47" x14ac:dyDescent="0.3">
      <c r="A1154" s="1">
        <v>45135</v>
      </c>
      <c r="B1154" s="6">
        <v>528.86999500000002</v>
      </c>
      <c r="C1154" s="6">
        <v>450.89999399999999</v>
      </c>
      <c r="D1154" s="6">
        <v>58.150002000000001</v>
      </c>
      <c r="E1154" s="6">
        <v>190.30999800000001</v>
      </c>
      <c r="F1154" s="6">
        <v>108.510002</v>
      </c>
      <c r="G1154" s="6">
        <v>40.240001999999997</v>
      </c>
      <c r="H1154" s="6">
        <v>145.69000199999999</v>
      </c>
      <c r="I1154" s="6">
        <v>272.08999599999999</v>
      </c>
      <c r="J1154" s="6">
        <v>33.299999</v>
      </c>
      <c r="K1154" s="6">
        <v>12.79</v>
      </c>
      <c r="N1154" s="18">
        <v>1150</v>
      </c>
      <c r="O1154" s="1">
        <v>45135</v>
      </c>
      <c r="P1154" s="5">
        <f t="shared" si="408"/>
        <v>2.8577803942107703E-2</v>
      </c>
      <c r="Q1154" s="5">
        <f t="shared" si="409"/>
        <v>4.8019389733067732E-3</v>
      </c>
      <c r="R1154" s="5">
        <f t="shared" si="410"/>
        <v>1.0198013966139138E-2</v>
      </c>
      <c r="S1154" s="5">
        <f t="shared" si="411"/>
        <v>9.3971709054705976E-3</v>
      </c>
      <c r="T1154" s="5">
        <f t="shared" si="412"/>
        <v>-2.5770745614154818E-3</v>
      </c>
      <c r="U1154" s="5">
        <f t="shared" si="413"/>
        <v>-9.152790829411072E-3</v>
      </c>
      <c r="V1154" s="5">
        <f t="shared" si="414"/>
        <v>-6.8609170877988624E-4</v>
      </c>
      <c r="W1154" s="5">
        <f t="shared" si="415"/>
        <v>8.4519799221629832E-3</v>
      </c>
      <c r="X1154" s="5">
        <f t="shared" si="416"/>
        <v>-4.4944495132355784E-3</v>
      </c>
      <c r="Y1154" s="5">
        <f t="shared" si="417"/>
        <v>3.9877692012807782E-2</v>
      </c>
      <c r="Z1154" s="33">
        <v>1150</v>
      </c>
      <c r="AE1154" s="20" t="str">
        <f t="shared" si="418"/>
        <v/>
      </c>
      <c r="AF1154" s="22" t="str">
        <f t="shared" si="419"/>
        <v/>
      </c>
      <c r="AG1154" s="9" t="str">
        <f t="shared" ca="1" si="398"/>
        <v/>
      </c>
      <c r="AH1154" s="9" t="str">
        <f t="shared" ca="1" si="399"/>
        <v/>
      </c>
      <c r="AI1154" s="9" t="str">
        <f t="shared" ca="1" si="400"/>
        <v/>
      </c>
      <c r="AJ1154" s="9" t="str">
        <f t="shared" ca="1" si="401"/>
        <v/>
      </c>
      <c r="AK1154" s="9" t="str">
        <f t="shared" ca="1" si="402"/>
        <v/>
      </c>
      <c r="AL1154" s="9" t="str">
        <f t="shared" ca="1" si="403"/>
        <v/>
      </c>
      <c r="AM1154" s="9" t="str">
        <f t="shared" ca="1" si="404"/>
        <v/>
      </c>
      <c r="AN1154" s="9" t="str">
        <f t="shared" ca="1" si="405"/>
        <v/>
      </c>
      <c r="AO1154" s="9" t="str">
        <f t="shared" ca="1" si="406"/>
        <v/>
      </c>
      <c r="AP1154" s="9" t="str">
        <f t="shared" ca="1" si="407"/>
        <v/>
      </c>
      <c r="AQ1154" s="9"/>
      <c r="AR1154" s="9"/>
      <c r="AS1154" s="9"/>
      <c r="AT1154" s="9"/>
      <c r="AU1154" s="9"/>
    </row>
    <row r="1155" spans="1:47" x14ac:dyDescent="0.3">
      <c r="A1155" s="1">
        <v>45138</v>
      </c>
      <c r="B1155" s="6">
        <v>546.169983</v>
      </c>
      <c r="C1155" s="6">
        <v>451.79998799999998</v>
      </c>
      <c r="D1155" s="6">
        <v>57.490001999999997</v>
      </c>
      <c r="E1155" s="6">
        <v>187.46000699999999</v>
      </c>
      <c r="F1155" s="6">
        <v>109.089996</v>
      </c>
      <c r="G1155" s="6">
        <v>40.880001</v>
      </c>
      <c r="H1155" s="6">
        <v>145.970001</v>
      </c>
      <c r="I1155" s="6">
        <v>272.44000199999999</v>
      </c>
      <c r="J1155" s="6">
        <v>34.229999999999997</v>
      </c>
      <c r="K1155" s="6">
        <v>13.07</v>
      </c>
      <c r="N1155" s="19">
        <v>1151</v>
      </c>
      <c r="O1155" s="1">
        <v>45138</v>
      </c>
      <c r="P1155" s="5">
        <f t="shared" si="408"/>
        <v>3.2187605957771287E-2</v>
      </c>
      <c r="Q1155" s="5">
        <f t="shared" si="409"/>
        <v>1.994005353159003E-3</v>
      </c>
      <c r="R1155" s="5">
        <f t="shared" si="410"/>
        <v>-1.1414858934624236E-2</v>
      </c>
      <c r="S1155" s="5">
        <f t="shared" si="411"/>
        <v>-1.5088784360128248E-2</v>
      </c>
      <c r="T1155" s="5">
        <f t="shared" si="412"/>
        <v>5.3308398790954392E-3</v>
      </c>
      <c r="U1155" s="5">
        <f t="shared" si="413"/>
        <v>1.5779394864016461E-2</v>
      </c>
      <c r="V1155" s="5">
        <f t="shared" si="414"/>
        <v>1.9200375995267922E-3</v>
      </c>
      <c r="W1155" s="5">
        <f t="shared" si="415"/>
        <v>1.2855344957566188E-3</v>
      </c>
      <c r="X1155" s="5">
        <f t="shared" si="416"/>
        <v>2.7545085585726138E-2</v>
      </c>
      <c r="Y1155" s="5">
        <f t="shared" si="417"/>
        <v>2.1655912045379259E-2</v>
      </c>
      <c r="Z1155" s="33">
        <v>1151</v>
      </c>
      <c r="AE1155" s="20" t="str">
        <f t="shared" si="418"/>
        <v/>
      </c>
      <c r="AF1155" s="22" t="str">
        <f t="shared" si="419"/>
        <v/>
      </c>
      <c r="AG1155" s="9" t="str">
        <f t="shared" ca="1" si="398"/>
        <v/>
      </c>
      <c r="AH1155" s="9" t="str">
        <f t="shared" ca="1" si="399"/>
        <v/>
      </c>
      <c r="AI1155" s="9" t="str">
        <f t="shared" ca="1" si="400"/>
        <v/>
      </c>
      <c r="AJ1155" s="9" t="str">
        <f t="shared" ca="1" si="401"/>
        <v/>
      </c>
      <c r="AK1155" s="9" t="str">
        <f t="shared" ca="1" si="402"/>
        <v/>
      </c>
      <c r="AL1155" s="9" t="str">
        <f t="shared" ca="1" si="403"/>
        <v/>
      </c>
      <c r="AM1155" s="9" t="str">
        <f t="shared" ca="1" si="404"/>
        <v/>
      </c>
      <c r="AN1155" s="9" t="str">
        <f t="shared" ca="1" si="405"/>
        <v/>
      </c>
      <c r="AO1155" s="9" t="str">
        <f t="shared" ca="1" si="406"/>
        <v/>
      </c>
      <c r="AP1155" s="9" t="str">
        <f t="shared" ca="1" si="407"/>
        <v/>
      </c>
      <c r="AQ1155" s="9"/>
      <c r="AR1155" s="9"/>
      <c r="AS1155" s="9"/>
      <c r="AT1155" s="9"/>
      <c r="AU1155" s="9"/>
    </row>
    <row r="1156" spans="1:47" x14ac:dyDescent="0.3">
      <c r="A1156" s="1">
        <v>45139</v>
      </c>
      <c r="B1156" s="6">
        <v>549.09997599999997</v>
      </c>
      <c r="C1156" s="6">
        <v>453.51001000000002</v>
      </c>
      <c r="D1156" s="6">
        <v>57.709999000000003</v>
      </c>
      <c r="E1156" s="6">
        <v>186.820007</v>
      </c>
      <c r="F1156" s="6">
        <v>108.410004</v>
      </c>
      <c r="G1156" s="6">
        <v>40.5</v>
      </c>
      <c r="H1156" s="6">
        <v>145.479996</v>
      </c>
      <c r="I1156" s="6">
        <v>275</v>
      </c>
      <c r="J1156" s="6">
        <v>33.959999000000003</v>
      </c>
      <c r="K1156" s="6">
        <v>12.87</v>
      </c>
      <c r="N1156" s="18">
        <v>1152</v>
      </c>
      <c r="O1156" s="1">
        <v>45139</v>
      </c>
      <c r="P1156" s="5">
        <f t="shared" si="408"/>
        <v>5.3502791075264108E-3</v>
      </c>
      <c r="Q1156" s="5">
        <f t="shared" si="409"/>
        <v>3.7777646054788189E-3</v>
      </c>
      <c r="R1156" s="5">
        <f t="shared" si="410"/>
        <v>3.8193969709978495E-3</v>
      </c>
      <c r="S1156" s="5">
        <f t="shared" si="411"/>
        <v>-3.4199027457147706E-3</v>
      </c>
      <c r="T1156" s="5">
        <f t="shared" si="412"/>
        <v>-6.2528203725275341E-3</v>
      </c>
      <c r="U1156" s="5">
        <f t="shared" si="413"/>
        <v>-9.3389962447947943E-3</v>
      </c>
      <c r="V1156" s="5">
        <f t="shared" si="414"/>
        <v>-3.3625353696098495E-3</v>
      </c>
      <c r="W1156" s="5">
        <f t="shared" si="415"/>
        <v>9.3526839523877265E-3</v>
      </c>
      <c r="X1156" s="5">
        <f t="shared" si="416"/>
        <v>-7.9191205453552141E-3</v>
      </c>
      <c r="Y1156" s="5">
        <f t="shared" si="417"/>
        <v>-1.5420506028095355E-2</v>
      </c>
      <c r="Z1156" s="33">
        <v>1152</v>
      </c>
      <c r="AE1156" s="20" t="str">
        <f t="shared" si="418"/>
        <v/>
      </c>
      <c r="AF1156" s="22" t="str">
        <f t="shared" si="419"/>
        <v/>
      </c>
      <c r="AG1156" s="9" t="str">
        <f t="shared" ca="1" si="398"/>
        <v/>
      </c>
      <c r="AH1156" s="9" t="str">
        <f t="shared" ca="1" si="399"/>
        <v/>
      </c>
      <c r="AI1156" s="9" t="str">
        <f t="shared" ca="1" si="400"/>
        <v/>
      </c>
      <c r="AJ1156" s="9" t="str">
        <f t="shared" ca="1" si="401"/>
        <v/>
      </c>
      <c r="AK1156" s="9" t="str">
        <f t="shared" ca="1" si="402"/>
        <v/>
      </c>
      <c r="AL1156" s="9" t="str">
        <f t="shared" ca="1" si="403"/>
        <v/>
      </c>
      <c r="AM1156" s="9" t="str">
        <f t="shared" ca="1" si="404"/>
        <v/>
      </c>
      <c r="AN1156" s="9" t="str">
        <f t="shared" ca="1" si="405"/>
        <v/>
      </c>
      <c r="AO1156" s="9" t="str">
        <f t="shared" ca="1" si="406"/>
        <v/>
      </c>
      <c r="AP1156" s="9" t="str">
        <f t="shared" ca="1" si="407"/>
        <v/>
      </c>
      <c r="AQ1156" s="9"/>
      <c r="AR1156" s="9"/>
      <c r="AS1156" s="9"/>
      <c r="AT1156" s="9"/>
      <c r="AU1156" s="9"/>
    </row>
    <row r="1157" spans="1:47" x14ac:dyDescent="0.3">
      <c r="A1157" s="1">
        <v>45140</v>
      </c>
      <c r="B1157" s="6">
        <v>530.29998799999998</v>
      </c>
      <c r="C1157" s="6">
        <v>441.17999300000002</v>
      </c>
      <c r="D1157" s="6">
        <v>57.630001</v>
      </c>
      <c r="E1157" s="6">
        <v>188.30999800000001</v>
      </c>
      <c r="F1157" s="6">
        <v>107.19000200000001</v>
      </c>
      <c r="G1157" s="6">
        <v>40.470001000000003</v>
      </c>
      <c r="H1157" s="6">
        <v>142.970001</v>
      </c>
      <c r="I1157" s="6">
        <v>273.61999500000002</v>
      </c>
      <c r="J1157" s="6">
        <v>33.790000999999997</v>
      </c>
      <c r="K1157" s="6">
        <v>12.55</v>
      </c>
      <c r="N1157" s="19">
        <v>1153</v>
      </c>
      <c r="O1157" s="1">
        <v>45140</v>
      </c>
      <c r="P1157" s="5">
        <f t="shared" si="408"/>
        <v>-3.483766906255701E-2</v>
      </c>
      <c r="Q1157" s="5">
        <f t="shared" si="409"/>
        <v>-2.7564402509310252E-2</v>
      </c>
      <c r="R1157" s="5">
        <f t="shared" si="410"/>
        <v>-1.3871685942071666E-3</v>
      </c>
      <c r="S1157" s="5">
        <f t="shared" si="411"/>
        <v>7.9439064628413925E-3</v>
      </c>
      <c r="T1157" s="5">
        <f t="shared" si="412"/>
        <v>-1.1317393208279965E-2</v>
      </c>
      <c r="U1157" s="5">
        <f t="shared" si="413"/>
        <v>-7.4099051505800229E-4</v>
      </c>
      <c r="V1157" s="5">
        <f t="shared" si="414"/>
        <v>-1.7403767588052486E-2</v>
      </c>
      <c r="W1157" s="5">
        <f t="shared" si="415"/>
        <v>-5.0308334481214316E-3</v>
      </c>
      <c r="X1157" s="5">
        <f t="shared" si="416"/>
        <v>-5.0184016759860376E-3</v>
      </c>
      <c r="Y1157" s="5">
        <f t="shared" si="417"/>
        <v>-2.5178356030242259E-2</v>
      </c>
      <c r="Z1157" s="33">
        <v>1153</v>
      </c>
      <c r="AE1157" s="20" t="str">
        <f t="shared" si="418"/>
        <v/>
      </c>
      <c r="AF1157" s="22" t="str">
        <f t="shared" si="419"/>
        <v/>
      </c>
      <c r="AG1157" s="9" t="str">
        <f t="shared" ref="AG1157:AG1220" ca="1" si="420">IF($AE1157="","",OFFSET(P$4,$AE1157,0))</f>
        <v/>
      </c>
      <c r="AH1157" s="9" t="str">
        <f t="shared" ref="AH1157:AH1220" ca="1" si="421">IF($AE1157="","",OFFSET(Q$4,$AE1157,0))</f>
        <v/>
      </c>
      <c r="AI1157" s="9" t="str">
        <f t="shared" ref="AI1157:AI1220" ca="1" si="422">IF($AE1157="","",OFFSET(R$4,$AE1157,0))</f>
        <v/>
      </c>
      <c r="AJ1157" s="9" t="str">
        <f t="shared" ref="AJ1157:AJ1220" ca="1" si="423">IF($AE1157="","",OFFSET(S$4,$AE1157,0))</f>
        <v/>
      </c>
      <c r="AK1157" s="9" t="str">
        <f t="shared" ref="AK1157:AK1220" ca="1" si="424">IF($AE1157="","",OFFSET(T$4,$AE1157,0))</f>
        <v/>
      </c>
      <c r="AL1157" s="9" t="str">
        <f t="shared" ref="AL1157:AL1220" ca="1" si="425">IF($AE1157="","",OFFSET(U$4,$AE1157,0))</f>
        <v/>
      </c>
      <c r="AM1157" s="9" t="str">
        <f t="shared" ref="AM1157:AM1220" ca="1" si="426">IF($AE1157="","",OFFSET(V$4,$AE1157,0))</f>
        <v/>
      </c>
      <c r="AN1157" s="9" t="str">
        <f t="shared" ref="AN1157:AN1220" ca="1" si="427">IF($AE1157="","",OFFSET(W$4,$AE1157,0))</f>
        <v/>
      </c>
      <c r="AO1157" s="9" t="str">
        <f t="shared" ref="AO1157:AO1220" ca="1" si="428">IF($AE1157="","",OFFSET(X$4,$AE1157,0))</f>
        <v/>
      </c>
      <c r="AP1157" s="9" t="str">
        <f t="shared" ref="AP1157:AP1220" ca="1" si="429">IF($AE1157="","",OFFSET(Y$4,$AE1157,0))</f>
        <v/>
      </c>
      <c r="AQ1157" s="9"/>
      <c r="AR1157" s="9"/>
      <c r="AS1157" s="9"/>
      <c r="AT1157" s="9"/>
      <c r="AU1157" s="9"/>
    </row>
    <row r="1158" spans="1:47" x14ac:dyDescent="0.3">
      <c r="A1158" s="1">
        <v>45141</v>
      </c>
      <c r="B1158" s="6">
        <v>523.76000999999997</v>
      </c>
      <c r="C1158" s="6">
        <v>440.11999500000002</v>
      </c>
      <c r="D1158" s="6">
        <v>57.98</v>
      </c>
      <c r="E1158" s="6">
        <v>187.11999499999999</v>
      </c>
      <c r="F1158" s="6">
        <v>106.489998</v>
      </c>
      <c r="G1158" s="6">
        <v>40.25</v>
      </c>
      <c r="H1158" s="6">
        <v>142.71000699999999</v>
      </c>
      <c r="I1158" s="6">
        <v>273.51998900000001</v>
      </c>
      <c r="J1158" s="6">
        <v>33.189999</v>
      </c>
      <c r="K1158" s="6">
        <v>12.89</v>
      </c>
      <c r="N1158" s="18">
        <v>1154</v>
      </c>
      <c r="O1158" s="1">
        <v>45141</v>
      </c>
      <c r="P1158" s="5">
        <f t="shared" ref="P1158:P1221" si="430">LN(B1158/B1157)</f>
        <v>-1.240927828883338E-2</v>
      </c>
      <c r="Q1158" s="5">
        <f t="shared" ref="Q1158:Q1221" si="431">LN(C1158/C1157)</f>
        <v>-2.4055339284722206E-3</v>
      </c>
      <c r="R1158" s="5">
        <f t="shared" ref="R1158:R1221" si="432">LN(D1158/D1157)</f>
        <v>6.0548406928610165E-3</v>
      </c>
      <c r="S1158" s="5">
        <f t="shared" ref="S1158:S1221" si="433">LN(E1158/E1157)</f>
        <v>-6.3394348216628642E-3</v>
      </c>
      <c r="T1158" s="5">
        <f t="shared" ref="T1158:T1221" si="434">LN(F1158/F1157)</f>
        <v>-6.5519141156989884E-3</v>
      </c>
      <c r="U1158" s="5">
        <f t="shared" ref="U1158:U1221" si="435">LN(G1158/G1157)</f>
        <v>-5.4509797328630713E-3</v>
      </c>
      <c r="V1158" s="5">
        <f t="shared" ref="V1158:V1221" si="436">LN(H1158/H1157)</f>
        <v>-1.8201768727264995E-3</v>
      </c>
      <c r="W1158" s="5">
        <f t="shared" ref="W1158:W1221" si="437">LN(I1158/I1157)</f>
        <v>-3.655591038424121E-4</v>
      </c>
      <c r="X1158" s="5">
        <f t="shared" ref="X1158:X1221" si="438">LN(J1158/J1157)</f>
        <v>-1.7916334718426939E-2</v>
      </c>
      <c r="Y1158" s="5">
        <f t="shared" ref="Y1158:Y1221" si="439">LN(K1158/K1157)</f>
        <v>2.6731151373303189E-2</v>
      </c>
      <c r="Z1158" s="33">
        <v>1154</v>
      </c>
      <c r="AE1158" s="20" t="str">
        <f t="shared" ref="AE1158:AE1221" si="440">IF(AE1157="","",IF(AE1157+1&lt;=$AC$5,AE1157+1,""))</f>
        <v/>
      </c>
      <c r="AF1158" s="22" t="str">
        <f t="shared" ref="AF1158:AF1221" si="441">IF(AE1158="","",VLOOKUP(AE1158,N1157:O2414,2))</f>
        <v/>
      </c>
      <c r="AG1158" s="9" t="str">
        <f t="shared" ca="1" si="420"/>
        <v/>
      </c>
      <c r="AH1158" s="9" t="str">
        <f t="shared" ca="1" si="421"/>
        <v/>
      </c>
      <c r="AI1158" s="9" t="str">
        <f t="shared" ca="1" si="422"/>
        <v/>
      </c>
      <c r="AJ1158" s="9" t="str">
        <f t="shared" ca="1" si="423"/>
        <v/>
      </c>
      <c r="AK1158" s="9" t="str">
        <f t="shared" ca="1" si="424"/>
        <v/>
      </c>
      <c r="AL1158" s="9" t="str">
        <f t="shared" ca="1" si="425"/>
        <v/>
      </c>
      <c r="AM1158" s="9" t="str">
        <f t="shared" ca="1" si="426"/>
        <v/>
      </c>
      <c r="AN1158" s="9" t="str">
        <f t="shared" ca="1" si="427"/>
        <v/>
      </c>
      <c r="AO1158" s="9" t="str">
        <f t="shared" ca="1" si="428"/>
        <v/>
      </c>
      <c r="AP1158" s="9" t="str">
        <f t="shared" ca="1" si="429"/>
        <v/>
      </c>
      <c r="AQ1158" s="9"/>
      <c r="AR1158" s="9"/>
      <c r="AS1158" s="9"/>
      <c r="AT1158" s="9"/>
      <c r="AU1158" s="9"/>
    </row>
    <row r="1159" spans="1:47" x14ac:dyDescent="0.3">
      <c r="A1159" s="1">
        <v>45142</v>
      </c>
      <c r="B1159" s="6">
        <v>526.88000499999998</v>
      </c>
      <c r="C1159" s="6">
        <v>441.42001299999998</v>
      </c>
      <c r="D1159" s="6">
        <v>55.110000999999997</v>
      </c>
      <c r="E1159" s="6">
        <v>184.60000600000001</v>
      </c>
      <c r="F1159" s="6">
        <v>108.540001</v>
      </c>
      <c r="G1159" s="6">
        <v>40.029998999999997</v>
      </c>
      <c r="H1159" s="6">
        <v>142.270004</v>
      </c>
      <c r="I1159" s="6">
        <v>272.23001099999999</v>
      </c>
      <c r="J1159" s="6">
        <v>33.93</v>
      </c>
      <c r="K1159" s="6">
        <v>13.97</v>
      </c>
      <c r="N1159" s="19">
        <v>1155</v>
      </c>
      <c r="O1159" s="1">
        <v>45142</v>
      </c>
      <c r="P1159" s="5">
        <f t="shared" si="430"/>
        <v>5.9392448923310396E-3</v>
      </c>
      <c r="Q1159" s="5">
        <f t="shared" si="431"/>
        <v>2.9494269814638232E-3</v>
      </c>
      <c r="R1159" s="5">
        <f t="shared" si="432"/>
        <v>-5.0766917452838449E-2</v>
      </c>
      <c r="S1159" s="5">
        <f t="shared" si="433"/>
        <v>-1.3558740983642421E-2</v>
      </c>
      <c r="T1159" s="5">
        <f t="shared" si="434"/>
        <v>1.9067712602266092E-2</v>
      </c>
      <c r="U1159" s="5">
        <f t="shared" si="435"/>
        <v>-5.4808558413545405E-3</v>
      </c>
      <c r="V1159" s="5">
        <f t="shared" si="436"/>
        <v>-3.0879593841904147E-3</v>
      </c>
      <c r="W1159" s="5">
        <f t="shared" si="437"/>
        <v>-4.7273674846303182E-3</v>
      </c>
      <c r="X1159" s="5">
        <f t="shared" si="438"/>
        <v>2.2050983193813076E-2</v>
      </c>
      <c r="Y1159" s="5">
        <f t="shared" si="439"/>
        <v>8.0460356317774359E-2</v>
      </c>
      <c r="Z1159" s="33">
        <v>1155</v>
      </c>
      <c r="AE1159" s="20" t="str">
        <f t="shared" si="440"/>
        <v/>
      </c>
      <c r="AF1159" s="22" t="str">
        <f t="shared" si="441"/>
        <v/>
      </c>
      <c r="AG1159" s="9" t="str">
        <f t="shared" ca="1" si="420"/>
        <v/>
      </c>
      <c r="AH1159" s="9" t="str">
        <f t="shared" ca="1" si="421"/>
        <v/>
      </c>
      <c r="AI1159" s="9" t="str">
        <f t="shared" ca="1" si="422"/>
        <v/>
      </c>
      <c r="AJ1159" s="9" t="str">
        <f t="shared" ca="1" si="423"/>
        <v/>
      </c>
      <c r="AK1159" s="9" t="str">
        <f t="shared" ca="1" si="424"/>
        <v/>
      </c>
      <c r="AL1159" s="9" t="str">
        <f t="shared" ca="1" si="425"/>
        <v/>
      </c>
      <c r="AM1159" s="9" t="str">
        <f t="shared" ca="1" si="426"/>
        <v/>
      </c>
      <c r="AN1159" s="9" t="str">
        <f t="shared" ca="1" si="427"/>
        <v/>
      </c>
      <c r="AO1159" s="9" t="str">
        <f t="shared" ca="1" si="428"/>
        <v/>
      </c>
      <c r="AP1159" s="9" t="str">
        <f t="shared" ca="1" si="429"/>
        <v/>
      </c>
      <c r="AQ1159" s="9"/>
      <c r="AR1159" s="9"/>
      <c r="AS1159" s="9"/>
      <c r="AT1159" s="9"/>
      <c r="AU1159" s="9"/>
    </row>
    <row r="1160" spans="1:47" x14ac:dyDescent="0.3">
      <c r="A1160" s="1">
        <v>45145</v>
      </c>
      <c r="B1160" s="6">
        <v>529.72997999999995</v>
      </c>
      <c r="C1160" s="6">
        <v>444</v>
      </c>
      <c r="D1160" s="6">
        <v>58.490001999999997</v>
      </c>
      <c r="E1160" s="6">
        <v>186.88999899999999</v>
      </c>
      <c r="F1160" s="6">
        <v>109.900002</v>
      </c>
      <c r="G1160" s="6">
        <v>40.389999000000003</v>
      </c>
      <c r="H1160" s="6">
        <v>143.38000500000001</v>
      </c>
      <c r="I1160" s="6">
        <v>273.73998999999998</v>
      </c>
      <c r="J1160" s="6">
        <v>34.049999</v>
      </c>
      <c r="K1160" s="6">
        <v>14.47</v>
      </c>
      <c r="N1160" s="18">
        <v>1156</v>
      </c>
      <c r="O1160" s="1">
        <v>45145</v>
      </c>
      <c r="P1160" s="5">
        <f t="shared" si="430"/>
        <v>5.3945769053710254E-3</v>
      </c>
      <c r="Q1160" s="5">
        <f t="shared" si="431"/>
        <v>5.8277298095871996E-3</v>
      </c>
      <c r="R1160" s="5">
        <f t="shared" si="432"/>
        <v>5.9524627608142096E-2</v>
      </c>
      <c r="S1160" s="5">
        <f t="shared" si="433"/>
        <v>1.2328848560010241E-2</v>
      </c>
      <c r="T1160" s="5">
        <f t="shared" si="434"/>
        <v>1.2452101759485714E-2</v>
      </c>
      <c r="U1160" s="5">
        <f t="shared" si="435"/>
        <v>8.9530567934997547E-3</v>
      </c>
      <c r="V1160" s="5">
        <f t="shared" si="436"/>
        <v>7.7717945184625848E-3</v>
      </c>
      <c r="W1160" s="5">
        <f t="shared" si="437"/>
        <v>5.5313766221275302E-3</v>
      </c>
      <c r="X1160" s="5">
        <f t="shared" si="438"/>
        <v>3.5304244308064945E-3</v>
      </c>
      <c r="Y1160" s="5">
        <f t="shared" si="439"/>
        <v>3.5165367374522062E-2</v>
      </c>
      <c r="Z1160" s="33">
        <v>1156</v>
      </c>
      <c r="AE1160" s="20" t="str">
        <f t="shared" si="440"/>
        <v/>
      </c>
      <c r="AF1160" s="22" t="str">
        <f t="shared" si="441"/>
        <v/>
      </c>
      <c r="AG1160" s="9" t="str">
        <f t="shared" ca="1" si="420"/>
        <v/>
      </c>
      <c r="AH1160" s="9" t="str">
        <f t="shared" ca="1" si="421"/>
        <v/>
      </c>
      <c r="AI1160" s="9" t="str">
        <f t="shared" ca="1" si="422"/>
        <v/>
      </c>
      <c r="AJ1160" s="9" t="str">
        <f t="shared" ca="1" si="423"/>
        <v/>
      </c>
      <c r="AK1160" s="9" t="str">
        <f t="shared" ca="1" si="424"/>
        <v/>
      </c>
      <c r="AL1160" s="9" t="str">
        <f t="shared" ca="1" si="425"/>
        <v/>
      </c>
      <c r="AM1160" s="9" t="str">
        <f t="shared" ca="1" si="426"/>
        <v/>
      </c>
      <c r="AN1160" s="9" t="str">
        <f t="shared" ca="1" si="427"/>
        <v/>
      </c>
      <c r="AO1160" s="9" t="str">
        <f t="shared" ca="1" si="428"/>
        <v/>
      </c>
      <c r="AP1160" s="9" t="str">
        <f t="shared" ca="1" si="429"/>
        <v/>
      </c>
      <c r="AQ1160" s="9"/>
      <c r="AR1160" s="9"/>
      <c r="AS1160" s="9"/>
      <c r="AT1160" s="9"/>
      <c r="AU1160" s="9"/>
    </row>
    <row r="1161" spans="1:47" x14ac:dyDescent="0.3">
      <c r="A1161" s="1">
        <v>45146</v>
      </c>
      <c r="B1161" s="6">
        <v>520.59997599999997</v>
      </c>
      <c r="C1161" s="6">
        <v>435.98998999999998</v>
      </c>
      <c r="D1161" s="6">
        <v>57.41</v>
      </c>
      <c r="E1161" s="6">
        <v>184.44000199999999</v>
      </c>
      <c r="F1161" s="6">
        <v>108.620003</v>
      </c>
      <c r="G1161" s="6">
        <v>39.689999</v>
      </c>
      <c r="H1161" s="6">
        <v>143.990005</v>
      </c>
      <c r="I1161" s="6">
        <v>272.89001500000001</v>
      </c>
      <c r="J1161" s="6">
        <v>33.299999</v>
      </c>
      <c r="K1161" s="6">
        <v>14.42</v>
      </c>
      <c r="N1161" s="19">
        <v>1157</v>
      </c>
      <c r="O1161" s="1">
        <v>45146</v>
      </c>
      <c r="P1161" s="5">
        <f t="shared" si="430"/>
        <v>-1.7385458563441245E-2</v>
      </c>
      <c r="Q1161" s="5">
        <f t="shared" si="431"/>
        <v>-1.8205278062342168E-2</v>
      </c>
      <c r="R1161" s="5">
        <f t="shared" si="432"/>
        <v>-1.8637329469267671E-2</v>
      </c>
      <c r="S1161" s="5">
        <f t="shared" si="433"/>
        <v>-1.3195984949330511E-2</v>
      </c>
      <c r="T1161" s="5">
        <f t="shared" si="434"/>
        <v>-1.1715299382015855E-2</v>
      </c>
      <c r="U1161" s="5">
        <f t="shared" si="435"/>
        <v>-1.7482963217007198E-2</v>
      </c>
      <c r="V1161" s="5">
        <f t="shared" si="436"/>
        <v>4.245404147719253E-3</v>
      </c>
      <c r="W1161" s="5">
        <f t="shared" si="437"/>
        <v>-3.1098757011409853E-3</v>
      </c>
      <c r="X1161" s="5">
        <f t="shared" si="438"/>
        <v>-2.2272636270577649E-2</v>
      </c>
      <c r="Y1161" s="5">
        <f t="shared" si="439"/>
        <v>-3.4614087865894871E-3</v>
      </c>
      <c r="Z1161" s="33">
        <v>1157</v>
      </c>
      <c r="AE1161" s="20" t="str">
        <f t="shared" si="440"/>
        <v/>
      </c>
      <c r="AF1161" s="22" t="str">
        <f t="shared" si="441"/>
        <v/>
      </c>
      <c r="AG1161" s="9" t="str">
        <f t="shared" ca="1" si="420"/>
        <v/>
      </c>
      <c r="AH1161" s="9" t="str">
        <f t="shared" ca="1" si="421"/>
        <v/>
      </c>
      <c r="AI1161" s="9" t="str">
        <f t="shared" ca="1" si="422"/>
        <v/>
      </c>
      <c r="AJ1161" s="9" t="str">
        <f t="shared" ca="1" si="423"/>
        <v/>
      </c>
      <c r="AK1161" s="9" t="str">
        <f t="shared" ca="1" si="424"/>
        <v/>
      </c>
      <c r="AL1161" s="9" t="str">
        <f t="shared" ca="1" si="425"/>
        <v/>
      </c>
      <c r="AM1161" s="9" t="str">
        <f t="shared" ca="1" si="426"/>
        <v/>
      </c>
      <c r="AN1161" s="9" t="str">
        <f t="shared" ca="1" si="427"/>
        <v/>
      </c>
      <c r="AO1161" s="9" t="str">
        <f t="shared" ca="1" si="428"/>
        <v/>
      </c>
      <c r="AP1161" s="9" t="str">
        <f t="shared" ca="1" si="429"/>
        <v/>
      </c>
      <c r="AQ1161" s="9"/>
      <c r="AR1161" s="9"/>
      <c r="AS1161" s="9"/>
      <c r="AT1161" s="9"/>
      <c r="AU1161" s="9"/>
    </row>
    <row r="1162" spans="1:47" x14ac:dyDescent="0.3">
      <c r="A1162" s="1">
        <v>45147</v>
      </c>
      <c r="B1162" s="6">
        <v>513.78002900000001</v>
      </c>
      <c r="C1162" s="6">
        <v>428.959991</v>
      </c>
      <c r="D1162" s="6">
        <v>57.509998000000003</v>
      </c>
      <c r="E1162" s="6">
        <v>183.979996</v>
      </c>
      <c r="F1162" s="6">
        <v>108.639999</v>
      </c>
      <c r="G1162" s="6">
        <v>39.409999999999997</v>
      </c>
      <c r="H1162" s="6">
        <v>143.58000200000001</v>
      </c>
      <c r="I1162" s="6">
        <v>272.55999800000001</v>
      </c>
      <c r="J1162" s="6">
        <v>33.290000999999997</v>
      </c>
      <c r="K1162" s="6">
        <v>14.11</v>
      </c>
      <c r="N1162" s="18">
        <v>1158</v>
      </c>
      <c r="O1162" s="1">
        <v>45147</v>
      </c>
      <c r="P1162" s="5">
        <f t="shared" si="430"/>
        <v>-1.3186731749264101E-2</v>
      </c>
      <c r="Q1162" s="5">
        <f t="shared" si="431"/>
        <v>-1.6255630863210926E-2</v>
      </c>
      <c r="R1162" s="5">
        <f t="shared" si="432"/>
        <v>1.7403067695562749E-3</v>
      </c>
      <c r="S1162" s="5">
        <f t="shared" si="433"/>
        <v>-2.4971838746221243E-3</v>
      </c>
      <c r="T1162" s="5">
        <f t="shared" si="434"/>
        <v>1.8407437975134186E-4</v>
      </c>
      <c r="U1162" s="5">
        <f t="shared" si="435"/>
        <v>-7.0796503927981393E-3</v>
      </c>
      <c r="V1162" s="5">
        <f t="shared" si="436"/>
        <v>-2.8515023669586298E-3</v>
      </c>
      <c r="W1162" s="5">
        <f t="shared" si="437"/>
        <v>-1.2100725360864042E-3</v>
      </c>
      <c r="X1162" s="5">
        <f t="shared" si="438"/>
        <v>-3.0028533038387555E-4</v>
      </c>
      <c r="Y1162" s="5">
        <f t="shared" si="439"/>
        <v>-2.1732365992080373E-2</v>
      </c>
      <c r="Z1162" s="33">
        <v>1158</v>
      </c>
      <c r="AE1162" s="20" t="str">
        <f t="shared" si="440"/>
        <v/>
      </c>
      <c r="AF1162" s="22" t="str">
        <f t="shared" si="441"/>
        <v/>
      </c>
      <c r="AG1162" s="9" t="str">
        <f t="shared" ca="1" si="420"/>
        <v/>
      </c>
      <c r="AH1162" s="9" t="str">
        <f t="shared" ca="1" si="421"/>
        <v/>
      </c>
      <c r="AI1162" s="9" t="str">
        <f t="shared" ca="1" si="422"/>
        <v/>
      </c>
      <c r="AJ1162" s="9" t="str">
        <f t="shared" ca="1" si="423"/>
        <v/>
      </c>
      <c r="AK1162" s="9" t="str">
        <f t="shared" ca="1" si="424"/>
        <v/>
      </c>
      <c r="AL1162" s="9" t="str">
        <f t="shared" ca="1" si="425"/>
        <v/>
      </c>
      <c r="AM1162" s="9" t="str">
        <f t="shared" ca="1" si="426"/>
        <v/>
      </c>
      <c r="AN1162" s="9" t="str">
        <f t="shared" ca="1" si="427"/>
        <v/>
      </c>
      <c r="AO1162" s="9" t="str">
        <f t="shared" ca="1" si="428"/>
        <v/>
      </c>
      <c r="AP1162" s="9" t="str">
        <f t="shared" ca="1" si="429"/>
        <v/>
      </c>
      <c r="AQ1162" s="9"/>
      <c r="AR1162" s="9"/>
      <c r="AS1162" s="9"/>
      <c r="AT1162" s="9"/>
      <c r="AU1162" s="9"/>
    </row>
    <row r="1163" spans="1:47" x14ac:dyDescent="0.3">
      <c r="A1163" s="1">
        <v>45148</v>
      </c>
      <c r="B1163" s="6">
        <v>515.830017</v>
      </c>
      <c r="C1163" s="6">
        <v>431.39001500000001</v>
      </c>
      <c r="D1163" s="6">
        <v>58.099997999999999</v>
      </c>
      <c r="E1163" s="6">
        <v>183.75</v>
      </c>
      <c r="F1163" s="6">
        <v>107.699997</v>
      </c>
      <c r="G1163" s="6">
        <v>39.450001</v>
      </c>
      <c r="H1163" s="6">
        <v>142.36999499999999</v>
      </c>
      <c r="I1163" s="6">
        <v>268.48998999999998</v>
      </c>
      <c r="J1163" s="6">
        <v>33.270000000000003</v>
      </c>
      <c r="K1163" s="6">
        <v>14.12</v>
      </c>
      <c r="N1163" s="19">
        <v>1159</v>
      </c>
      <c r="O1163" s="1">
        <v>45148</v>
      </c>
      <c r="P1163" s="5">
        <f t="shared" si="430"/>
        <v>3.982072080268349E-3</v>
      </c>
      <c r="Q1163" s="5">
        <f t="shared" si="431"/>
        <v>5.648934607967007E-3</v>
      </c>
      <c r="R1163" s="5">
        <f t="shared" si="432"/>
        <v>1.0206818485355301E-2</v>
      </c>
      <c r="S1163" s="5">
        <f t="shared" si="433"/>
        <v>-1.2508962145712692E-3</v>
      </c>
      <c r="T1163" s="5">
        <f t="shared" si="434"/>
        <v>-8.6900982984839462E-3</v>
      </c>
      <c r="U1163" s="5">
        <f t="shared" si="435"/>
        <v>1.0144814335131152E-3</v>
      </c>
      <c r="V1163" s="5">
        <f t="shared" si="436"/>
        <v>-8.4631175719581883E-3</v>
      </c>
      <c r="W1163" s="5">
        <f t="shared" si="437"/>
        <v>-1.5045133952725184E-2</v>
      </c>
      <c r="X1163" s="5">
        <f t="shared" si="438"/>
        <v>-6.0099159559834424E-4</v>
      </c>
      <c r="Y1163" s="5">
        <f t="shared" si="439"/>
        <v>7.0846620037341745E-4</v>
      </c>
      <c r="Z1163" s="33">
        <v>1159</v>
      </c>
      <c r="AE1163" s="20" t="str">
        <f t="shared" si="440"/>
        <v/>
      </c>
      <c r="AF1163" s="22" t="str">
        <f t="shared" si="441"/>
        <v/>
      </c>
      <c r="AG1163" s="9" t="str">
        <f t="shared" ca="1" si="420"/>
        <v/>
      </c>
      <c r="AH1163" s="9" t="str">
        <f t="shared" ca="1" si="421"/>
        <v/>
      </c>
      <c r="AI1163" s="9" t="str">
        <f t="shared" ca="1" si="422"/>
        <v/>
      </c>
      <c r="AJ1163" s="9" t="str">
        <f t="shared" ca="1" si="423"/>
        <v/>
      </c>
      <c r="AK1163" s="9" t="str">
        <f t="shared" ca="1" si="424"/>
        <v/>
      </c>
      <c r="AL1163" s="9" t="str">
        <f t="shared" ca="1" si="425"/>
        <v/>
      </c>
      <c r="AM1163" s="9" t="str">
        <f t="shared" ca="1" si="426"/>
        <v/>
      </c>
      <c r="AN1163" s="9" t="str">
        <f t="shared" ca="1" si="427"/>
        <v/>
      </c>
      <c r="AO1163" s="9" t="str">
        <f t="shared" ca="1" si="428"/>
        <v/>
      </c>
      <c r="AP1163" s="9" t="str">
        <f t="shared" ca="1" si="429"/>
        <v/>
      </c>
      <c r="AQ1163" s="9"/>
      <c r="AR1163" s="9"/>
      <c r="AS1163" s="9"/>
      <c r="AT1163" s="9"/>
      <c r="AU1163" s="9"/>
    </row>
    <row r="1164" spans="1:47" x14ac:dyDescent="0.3">
      <c r="A1164" s="1">
        <v>45149</v>
      </c>
      <c r="B1164" s="6">
        <v>508.45001200000002</v>
      </c>
      <c r="C1164" s="6">
        <v>428.459991</v>
      </c>
      <c r="D1164" s="6">
        <v>58.18</v>
      </c>
      <c r="E1164" s="6">
        <v>184.03999300000001</v>
      </c>
      <c r="F1164" s="6">
        <v>107.860001</v>
      </c>
      <c r="G1164" s="6">
        <v>39.689999</v>
      </c>
      <c r="H1164" s="6">
        <v>142.970001</v>
      </c>
      <c r="I1164" s="6">
        <v>270.33999599999999</v>
      </c>
      <c r="J1164" s="6">
        <v>33.130001</v>
      </c>
      <c r="K1164" s="6">
        <v>13.7</v>
      </c>
      <c r="N1164" s="18">
        <v>1160</v>
      </c>
      <c r="O1164" s="1">
        <v>45149</v>
      </c>
      <c r="P1164" s="5">
        <f t="shared" si="430"/>
        <v>-1.4410380952527948E-2</v>
      </c>
      <c r="Q1164" s="5">
        <f t="shared" si="431"/>
        <v>-6.8152243310265976E-3</v>
      </c>
      <c r="R1164" s="5">
        <f t="shared" si="432"/>
        <v>1.3760236325985593E-3</v>
      </c>
      <c r="S1164" s="5">
        <f t="shared" si="433"/>
        <v>1.5769491591113391E-3</v>
      </c>
      <c r="T1164" s="5">
        <f t="shared" si="434"/>
        <v>1.4845428731692348E-3</v>
      </c>
      <c r="U1164" s="5">
        <f t="shared" si="435"/>
        <v>6.0651689592850951E-3</v>
      </c>
      <c r="V1164" s="5">
        <f t="shared" si="436"/>
        <v>4.2055575296516485E-3</v>
      </c>
      <c r="W1164" s="5">
        <f t="shared" si="437"/>
        <v>6.8667791973468116E-3</v>
      </c>
      <c r="X1164" s="5">
        <f t="shared" si="438"/>
        <v>-4.2168435344582464E-3</v>
      </c>
      <c r="Y1164" s="5">
        <f t="shared" si="439"/>
        <v>-3.0196399231016812E-2</v>
      </c>
      <c r="Z1164" s="33">
        <v>1160</v>
      </c>
      <c r="AE1164" s="20" t="str">
        <f t="shared" si="440"/>
        <v/>
      </c>
      <c r="AF1164" s="22" t="str">
        <f t="shared" si="441"/>
        <v/>
      </c>
      <c r="AG1164" s="9" t="str">
        <f t="shared" ca="1" si="420"/>
        <v/>
      </c>
      <c r="AH1164" s="9" t="str">
        <f t="shared" ca="1" si="421"/>
        <v/>
      </c>
      <c r="AI1164" s="9" t="str">
        <f t="shared" ca="1" si="422"/>
        <v/>
      </c>
      <c r="AJ1164" s="9" t="str">
        <f t="shared" ca="1" si="423"/>
        <v/>
      </c>
      <c r="AK1164" s="9" t="str">
        <f t="shared" ca="1" si="424"/>
        <v/>
      </c>
      <c r="AL1164" s="9" t="str">
        <f t="shared" ca="1" si="425"/>
        <v/>
      </c>
      <c r="AM1164" s="9" t="str">
        <f t="shared" ca="1" si="426"/>
        <v/>
      </c>
      <c r="AN1164" s="9" t="str">
        <f t="shared" ca="1" si="427"/>
        <v/>
      </c>
      <c r="AO1164" s="9" t="str">
        <f t="shared" ca="1" si="428"/>
        <v/>
      </c>
      <c r="AP1164" s="9" t="str">
        <f t="shared" ca="1" si="429"/>
        <v/>
      </c>
      <c r="AQ1164" s="9"/>
      <c r="AR1164" s="9"/>
      <c r="AS1164" s="9"/>
      <c r="AT1164" s="9"/>
      <c r="AU1164" s="9"/>
    </row>
    <row r="1165" spans="1:47" x14ac:dyDescent="0.3">
      <c r="A1165" s="1">
        <v>45152</v>
      </c>
      <c r="B1165" s="6">
        <v>522.25</v>
      </c>
      <c r="C1165" s="6">
        <v>434.85000600000001</v>
      </c>
      <c r="D1165" s="6">
        <v>59.009998000000003</v>
      </c>
      <c r="E1165" s="6">
        <v>183.61999499999999</v>
      </c>
      <c r="F1165" s="6">
        <v>106.08000199999999</v>
      </c>
      <c r="G1165" s="6">
        <v>39.029998999999997</v>
      </c>
      <c r="H1165" s="6">
        <v>142.479996</v>
      </c>
      <c r="I1165" s="6">
        <v>270.63000499999998</v>
      </c>
      <c r="J1165" s="6">
        <v>32.990001999999997</v>
      </c>
      <c r="K1165" s="6">
        <v>13.53</v>
      </c>
      <c r="N1165" s="19">
        <v>1161</v>
      </c>
      <c r="O1165" s="1">
        <v>45152</v>
      </c>
      <c r="P1165" s="5">
        <f t="shared" si="430"/>
        <v>2.6779494598388208E-2</v>
      </c>
      <c r="Q1165" s="5">
        <f t="shared" si="431"/>
        <v>1.4803794050023541E-2</v>
      </c>
      <c r="R1165" s="5">
        <f t="shared" si="432"/>
        <v>1.4165234109460618E-2</v>
      </c>
      <c r="S1165" s="5">
        <f t="shared" si="433"/>
        <v>-2.2847097666531587E-3</v>
      </c>
      <c r="T1165" s="5">
        <f t="shared" si="434"/>
        <v>-1.6640553889110957E-2</v>
      </c>
      <c r="U1165" s="5">
        <f t="shared" si="435"/>
        <v>-1.6768686028504207E-2</v>
      </c>
      <c r="V1165" s="5">
        <f t="shared" si="436"/>
        <v>-3.4332141282568851E-3</v>
      </c>
      <c r="W1165" s="5">
        <f t="shared" si="437"/>
        <v>1.0721815525670728E-3</v>
      </c>
      <c r="X1165" s="5">
        <f t="shared" si="438"/>
        <v>-4.23470063100742E-3</v>
      </c>
      <c r="Y1165" s="5">
        <f t="shared" si="439"/>
        <v>-1.2486390651382533E-2</v>
      </c>
      <c r="Z1165" s="33">
        <v>1161</v>
      </c>
      <c r="AE1165" s="20" t="str">
        <f t="shared" si="440"/>
        <v/>
      </c>
      <c r="AF1165" s="22" t="str">
        <f t="shared" si="441"/>
        <v/>
      </c>
      <c r="AG1165" s="9" t="str">
        <f t="shared" ca="1" si="420"/>
        <v/>
      </c>
      <c r="AH1165" s="9" t="str">
        <f t="shared" ca="1" si="421"/>
        <v/>
      </c>
      <c r="AI1165" s="9" t="str">
        <f t="shared" ca="1" si="422"/>
        <v/>
      </c>
      <c r="AJ1165" s="9" t="str">
        <f t="shared" ca="1" si="423"/>
        <v/>
      </c>
      <c r="AK1165" s="9" t="str">
        <f t="shared" ca="1" si="424"/>
        <v/>
      </c>
      <c r="AL1165" s="9" t="str">
        <f t="shared" ca="1" si="425"/>
        <v/>
      </c>
      <c r="AM1165" s="9" t="str">
        <f t="shared" ca="1" si="426"/>
        <v/>
      </c>
      <c r="AN1165" s="9" t="str">
        <f t="shared" ca="1" si="427"/>
        <v/>
      </c>
      <c r="AO1165" s="9" t="str">
        <f t="shared" ca="1" si="428"/>
        <v/>
      </c>
      <c r="AP1165" s="9" t="str">
        <f t="shared" ca="1" si="429"/>
        <v/>
      </c>
      <c r="AQ1165" s="9"/>
      <c r="AR1165" s="9"/>
      <c r="AS1165" s="9"/>
      <c r="AT1165" s="9"/>
      <c r="AU1165" s="9"/>
    </row>
    <row r="1166" spans="1:47" x14ac:dyDescent="0.3">
      <c r="A1166" s="1">
        <v>45153</v>
      </c>
      <c r="B1166" s="6">
        <v>518.70001200000002</v>
      </c>
      <c r="C1166" s="6">
        <v>436.73998999999998</v>
      </c>
      <c r="D1166" s="6">
        <v>58.209999000000003</v>
      </c>
      <c r="E1166" s="6">
        <v>181.35000600000001</v>
      </c>
      <c r="F1166" s="6">
        <v>106.019997</v>
      </c>
      <c r="G1166" s="6">
        <v>38.369999</v>
      </c>
      <c r="H1166" s="6">
        <v>139.86000100000001</v>
      </c>
      <c r="I1166" s="6">
        <v>267.73998999999998</v>
      </c>
      <c r="J1166" s="6">
        <v>32.619999</v>
      </c>
      <c r="K1166" s="6">
        <v>13.42</v>
      </c>
      <c r="N1166" s="18">
        <v>1162</v>
      </c>
      <c r="O1166" s="1">
        <v>45153</v>
      </c>
      <c r="P1166" s="5">
        <f t="shared" si="430"/>
        <v>-6.820695944560899E-3</v>
      </c>
      <c r="Q1166" s="5">
        <f t="shared" si="431"/>
        <v>4.3368716276677034E-3</v>
      </c>
      <c r="R1166" s="5">
        <f t="shared" si="432"/>
        <v>-1.3649743072051088E-2</v>
      </c>
      <c r="S1166" s="5">
        <f t="shared" si="433"/>
        <v>-1.2439478671299097E-2</v>
      </c>
      <c r="T1166" s="5">
        <f t="shared" si="434"/>
        <v>-5.6581802813563363E-4</v>
      </c>
      <c r="U1166" s="5">
        <f t="shared" si="435"/>
        <v>-1.7054677374373176E-2</v>
      </c>
      <c r="V1166" s="5">
        <f t="shared" si="436"/>
        <v>-1.8559681481562219E-2</v>
      </c>
      <c r="W1166" s="5">
        <f t="shared" si="437"/>
        <v>-1.0736269803982835E-2</v>
      </c>
      <c r="X1166" s="5">
        <f t="shared" si="438"/>
        <v>-1.1278979328091666E-2</v>
      </c>
      <c r="Y1166" s="5">
        <f t="shared" si="439"/>
        <v>-8.1633106391608701E-3</v>
      </c>
      <c r="Z1166" s="33">
        <v>1162</v>
      </c>
      <c r="AE1166" s="20" t="str">
        <f t="shared" si="440"/>
        <v/>
      </c>
      <c r="AF1166" s="22" t="str">
        <f t="shared" si="441"/>
        <v/>
      </c>
      <c r="AG1166" s="9" t="str">
        <f t="shared" ca="1" si="420"/>
        <v/>
      </c>
      <c r="AH1166" s="9" t="str">
        <f t="shared" ca="1" si="421"/>
        <v/>
      </c>
      <c r="AI1166" s="9" t="str">
        <f t="shared" ca="1" si="422"/>
        <v/>
      </c>
      <c r="AJ1166" s="9" t="str">
        <f t="shared" ca="1" si="423"/>
        <v/>
      </c>
      <c r="AK1166" s="9" t="str">
        <f t="shared" ca="1" si="424"/>
        <v/>
      </c>
      <c r="AL1166" s="9" t="str">
        <f t="shared" ca="1" si="425"/>
        <v/>
      </c>
      <c r="AM1166" s="9" t="str">
        <f t="shared" ca="1" si="426"/>
        <v/>
      </c>
      <c r="AN1166" s="9" t="str">
        <f t="shared" ca="1" si="427"/>
        <v/>
      </c>
      <c r="AO1166" s="9" t="str">
        <f t="shared" ca="1" si="428"/>
        <v/>
      </c>
      <c r="AP1166" s="9" t="str">
        <f t="shared" ca="1" si="429"/>
        <v/>
      </c>
      <c r="AQ1166" s="9"/>
      <c r="AR1166" s="9"/>
      <c r="AS1166" s="9"/>
      <c r="AT1166" s="9"/>
      <c r="AU1166" s="9"/>
    </row>
    <row r="1167" spans="1:47" x14ac:dyDescent="0.3">
      <c r="A1167" s="1">
        <v>45154</v>
      </c>
      <c r="B1167" s="6">
        <v>514.48999000000003</v>
      </c>
      <c r="C1167" s="6">
        <v>428.209991</v>
      </c>
      <c r="D1167" s="6">
        <v>58.299999</v>
      </c>
      <c r="E1167" s="6">
        <v>181.21000699999999</v>
      </c>
      <c r="F1167" s="6">
        <v>105.94000200000001</v>
      </c>
      <c r="G1167" s="6">
        <v>38.200001</v>
      </c>
      <c r="H1167" s="6">
        <v>139.009995</v>
      </c>
      <c r="I1167" s="6">
        <v>267.70001200000002</v>
      </c>
      <c r="J1167" s="6">
        <v>32.299999</v>
      </c>
      <c r="K1167" s="6">
        <v>13.19</v>
      </c>
      <c r="N1167" s="19">
        <v>1163</v>
      </c>
      <c r="O1167" s="1">
        <v>45154</v>
      </c>
      <c r="P1167" s="5">
        <f t="shared" si="430"/>
        <v>-8.1496051895890327E-3</v>
      </c>
      <c r="Q1167" s="5">
        <f t="shared" si="431"/>
        <v>-1.9724321023039677E-2</v>
      </c>
      <c r="R1167" s="5">
        <f t="shared" si="432"/>
        <v>1.5449320993226677E-3</v>
      </c>
      <c r="S1167" s="5">
        <f t="shared" si="433"/>
        <v>-7.722804608248946E-4</v>
      </c>
      <c r="T1167" s="5">
        <f t="shared" si="434"/>
        <v>-7.5481226812076495E-4</v>
      </c>
      <c r="U1167" s="5">
        <f t="shared" si="435"/>
        <v>-4.4403364062933935E-3</v>
      </c>
      <c r="V1167" s="5">
        <f t="shared" si="436"/>
        <v>-6.0960924053626775E-3</v>
      </c>
      <c r="W1167" s="5">
        <f t="shared" si="437"/>
        <v>-1.4932765547934288E-4</v>
      </c>
      <c r="X1167" s="5">
        <f t="shared" si="438"/>
        <v>-9.8583672679700453E-3</v>
      </c>
      <c r="Y1167" s="5">
        <f t="shared" si="439"/>
        <v>-1.7287164814312563E-2</v>
      </c>
      <c r="Z1167" s="33">
        <v>1163</v>
      </c>
      <c r="AE1167" s="20" t="str">
        <f t="shared" si="440"/>
        <v/>
      </c>
      <c r="AF1167" s="22" t="str">
        <f t="shared" si="441"/>
        <v/>
      </c>
      <c r="AG1167" s="9" t="str">
        <f t="shared" ca="1" si="420"/>
        <v/>
      </c>
      <c r="AH1167" s="9" t="str">
        <f t="shared" ca="1" si="421"/>
        <v/>
      </c>
      <c r="AI1167" s="9" t="str">
        <f t="shared" ca="1" si="422"/>
        <v/>
      </c>
      <c r="AJ1167" s="9" t="str">
        <f t="shared" ca="1" si="423"/>
        <v/>
      </c>
      <c r="AK1167" s="9" t="str">
        <f t="shared" ca="1" si="424"/>
        <v/>
      </c>
      <c r="AL1167" s="9" t="str">
        <f t="shared" ca="1" si="425"/>
        <v/>
      </c>
      <c r="AM1167" s="9" t="str">
        <f t="shared" ca="1" si="426"/>
        <v/>
      </c>
      <c r="AN1167" s="9" t="str">
        <f t="shared" ca="1" si="427"/>
        <v/>
      </c>
      <c r="AO1167" s="9" t="str">
        <f t="shared" ca="1" si="428"/>
        <v/>
      </c>
      <c r="AP1167" s="9" t="str">
        <f t="shared" ca="1" si="429"/>
        <v/>
      </c>
      <c r="AQ1167" s="9"/>
      <c r="AR1167" s="9"/>
      <c r="AS1167" s="9"/>
      <c r="AT1167" s="9"/>
      <c r="AU1167" s="9"/>
    </row>
    <row r="1168" spans="1:47" x14ac:dyDescent="0.3">
      <c r="A1168" s="1">
        <v>45155</v>
      </c>
      <c r="B1168" s="6">
        <v>511.67001299999998</v>
      </c>
      <c r="C1168" s="6">
        <v>424.10000600000001</v>
      </c>
      <c r="D1168" s="6">
        <v>57.25</v>
      </c>
      <c r="E1168" s="6">
        <v>178.449997</v>
      </c>
      <c r="F1168" s="6">
        <v>106.339996</v>
      </c>
      <c r="G1168" s="6">
        <v>38.450001</v>
      </c>
      <c r="H1168" s="6">
        <v>139.720001</v>
      </c>
      <c r="I1168" s="6">
        <v>265.72000100000002</v>
      </c>
      <c r="J1168" s="6">
        <v>31.99</v>
      </c>
      <c r="K1168" s="6">
        <v>12.76</v>
      </c>
      <c r="N1168" s="18">
        <v>1164</v>
      </c>
      <c r="O1168" s="1">
        <v>45155</v>
      </c>
      <c r="P1168" s="5">
        <f t="shared" si="430"/>
        <v>-5.4961879055769576E-3</v>
      </c>
      <c r="Q1168" s="5">
        <f t="shared" si="431"/>
        <v>-9.6444178101118549E-3</v>
      </c>
      <c r="R1168" s="5">
        <f t="shared" si="432"/>
        <v>-1.8174433769438829E-2</v>
      </c>
      <c r="S1168" s="5">
        <f t="shared" si="433"/>
        <v>-1.5348185228542944E-2</v>
      </c>
      <c r="T1168" s="5">
        <f t="shared" si="434"/>
        <v>3.7685554660040186E-3</v>
      </c>
      <c r="U1168" s="5">
        <f t="shared" si="435"/>
        <v>6.5231801689153357E-3</v>
      </c>
      <c r="V1168" s="5">
        <f t="shared" si="436"/>
        <v>5.0945900754372758E-3</v>
      </c>
      <c r="W1168" s="5">
        <f t="shared" si="437"/>
        <v>-7.4238687922035859E-3</v>
      </c>
      <c r="X1168" s="5">
        <f t="shared" si="438"/>
        <v>-9.643845307431502E-3</v>
      </c>
      <c r="Y1168" s="5">
        <f t="shared" si="439"/>
        <v>-3.3143688812579418E-2</v>
      </c>
      <c r="Z1168" s="33">
        <v>1164</v>
      </c>
      <c r="AE1168" s="20" t="str">
        <f t="shared" si="440"/>
        <v/>
      </c>
      <c r="AF1168" s="22" t="str">
        <f t="shared" si="441"/>
        <v/>
      </c>
      <c r="AG1168" s="9" t="str">
        <f t="shared" ca="1" si="420"/>
        <v/>
      </c>
      <c r="AH1168" s="9" t="str">
        <f t="shared" ca="1" si="421"/>
        <v/>
      </c>
      <c r="AI1168" s="9" t="str">
        <f t="shared" ca="1" si="422"/>
        <v/>
      </c>
      <c r="AJ1168" s="9" t="str">
        <f t="shared" ca="1" si="423"/>
        <v/>
      </c>
      <c r="AK1168" s="9" t="str">
        <f t="shared" ca="1" si="424"/>
        <v/>
      </c>
      <c r="AL1168" s="9" t="str">
        <f t="shared" ca="1" si="425"/>
        <v/>
      </c>
      <c r="AM1168" s="9" t="str">
        <f t="shared" ca="1" si="426"/>
        <v/>
      </c>
      <c r="AN1168" s="9" t="str">
        <f t="shared" ca="1" si="427"/>
        <v/>
      </c>
      <c r="AO1168" s="9" t="str">
        <f t="shared" ca="1" si="428"/>
        <v/>
      </c>
      <c r="AP1168" s="9" t="str">
        <f t="shared" ca="1" si="429"/>
        <v/>
      </c>
      <c r="AQ1168" s="9"/>
      <c r="AR1168" s="9"/>
      <c r="AS1168" s="9"/>
      <c r="AT1168" s="9"/>
      <c r="AU1168" s="9"/>
    </row>
    <row r="1169" spans="1:47" x14ac:dyDescent="0.3">
      <c r="A1169" s="1">
        <v>45156</v>
      </c>
      <c r="B1169" s="6">
        <v>508.13000499999998</v>
      </c>
      <c r="C1169" s="6">
        <v>426.01998900000001</v>
      </c>
      <c r="D1169" s="6">
        <v>57.360000999999997</v>
      </c>
      <c r="E1169" s="6">
        <v>178.179993</v>
      </c>
      <c r="F1169" s="6">
        <v>106.19000200000001</v>
      </c>
      <c r="G1169" s="6">
        <v>38.409999999999997</v>
      </c>
      <c r="H1169" s="6">
        <v>140.570007</v>
      </c>
      <c r="I1169" s="6">
        <v>268.54998799999998</v>
      </c>
      <c r="J1169" s="6">
        <v>32.349997999999999</v>
      </c>
      <c r="K1169" s="6">
        <v>12.78</v>
      </c>
      <c r="N1169" s="19">
        <v>1165</v>
      </c>
      <c r="O1169" s="1">
        <v>45156</v>
      </c>
      <c r="P1169" s="5">
        <f t="shared" si="430"/>
        <v>-6.94258120488421E-3</v>
      </c>
      <c r="Q1169" s="5">
        <f t="shared" si="431"/>
        <v>4.5169770756022971E-3</v>
      </c>
      <c r="R1169" s="5">
        <f t="shared" si="432"/>
        <v>1.9195712907674816E-3</v>
      </c>
      <c r="S1169" s="5">
        <f t="shared" si="433"/>
        <v>-1.5141971183556219E-3</v>
      </c>
      <c r="T1169" s="5">
        <f t="shared" si="434"/>
        <v>-1.4115092110759727E-3</v>
      </c>
      <c r="U1169" s="5">
        <f t="shared" si="435"/>
        <v>-1.0408796016416794E-3</v>
      </c>
      <c r="V1169" s="5">
        <f t="shared" si="436"/>
        <v>6.0652080451247623E-3</v>
      </c>
      <c r="W1169" s="5">
        <f t="shared" si="437"/>
        <v>1.0593945106650597E-2</v>
      </c>
      <c r="X1169" s="5">
        <f t="shared" si="438"/>
        <v>1.119060516167888E-2</v>
      </c>
      <c r="Y1169" s="5">
        <f t="shared" si="439"/>
        <v>1.5661710327448761E-3</v>
      </c>
      <c r="Z1169" s="33">
        <v>1165</v>
      </c>
      <c r="AE1169" s="20" t="str">
        <f t="shared" si="440"/>
        <v/>
      </c>
      <c r="AF1169" s="22" t="str">
        <f t="shared" si="441"/>
        <v/>
      </c>
      <c r="AG1169" s="9" t="str">
        <f t="shared" ca="1" si="420"/>
        <v/>
      </c>
      <c r="AH1169" s="9" t="str">
        <f t="shared" ca="1" si="421"/>
        <v/>
      </c>
      <c r="AI1169" s="9" t="str">
        <f t="shared" ca="1" si="422"/>
        <v/>
      </c>
      <c r="AJ1169" s="9" t="str">
        <f t="shared" ca="1" si="423"/>
        <v/>
      </c>
      <c r="AK1169" s="9" t="str">
        <f t="shared" ca="1" si="424"/>
        <v/>
      </c>
      <c r="AL1169" s="9" t="str">
        <f t="shared" ca="1" si="425"/>
        <v/>
      </c>
      <c r="AM1169" s="9" t="str">
        <f t="shared" ca="1" si="426"/>
        <v/>
      </c>
      <c r="AN1169" s="9" t="str">
        <f t="shared" ca="1" si="427"/>
        <v/>
      </c>
      <c r="AO1169" s="9" t="str">
        <f t="shared" ca="1" si="428"/>
        <v/>
      </c>
      <c r="AP1169" s="9" t="str">
        <f t="shared" ca="1" si="429"/>
        <v/>
      </c>
      <c r="AQ1169" s="9"/>
      <c r="AR1169" s="9"/>
      <c r="AS1169" s="9"/>
      <c r="AT1169" s="9"/>
      <c r="AU1169" s="9"/>
    </row>
    <row r="1170" spans="1:47" x14ac:dyDescent="0.3">
      <c r="A1170" s="1">
        <v>45159</v>
      </c>
      <c r="B1170" s="6">
        <v>520.46997099999999</v>
      </c>
      <c r="C1170" s="6">
        <v>436.47000100000002</v>
      </c>
      <c r="D1170" s="6">
        <v>57.419998</v>
      </c>
      <c r="E1170" s="6">
        <v>177.050003</v>
      </c>
      <c r="F1170" s="6">
        <v>105.120003</v>
      </c>
      <c r="G1170" s="6">
        <v>38.090000000000003</v>
      </c>
      <c r="H1170" s="6">
        <v>139.89999399999999</v>
      </c>
      <c r="I1170" s="6">
        <v>267.19000199999999</v>
      </c>
      <c r="J1170" s="6">
        <v>32.290000999999997</v>
      </c>
      <c r="K1170" s="6">
        <v>12.65</v>
      </c>
      <c r="N1170" s="18">
        <v>1166</v>
      </c>
      <c r="O1170" s="1">
        <v>45159</v>
      </c>
      <c r="P1170" s="5">
        <f t="shared" si="430"/>
        <v>2.3994863595411225E-2</v>
      </c>
      <c r="Q1170" s="5">
        <f t="shared" si="431"/>
        <v>2.4233378982761265E-2</v>
      </c>
      <c r="R1170" s="5">
        <f t="shared" si="432"/>
        <v>1.0454261367316179E-3</v>
      </c>
      <c r="S1170" s="5">
        <f t="shared" si="433"/>
        <v>-6.3620405041032004E-3</v>
      </c>
      <c r="T1170" s="5">
        <f t="shared" si="434"/>
        <v>-1.0127377974806487E-2</v>
      </c>
      <c r="U1170" s="5">
        <f t="shared" si="435"/>
        <v>-8.3660618673005397E-3</v>
      </c>
      <c r="V1170" s="5">
        <f t="shared" si="436"/>
        <v>-4.7777963572697823E-3</v>
      </c>
      <c r="W1170" s="5">
        <f t="shared" si="437"/>
        <v>-5.0770483692893385E-3</v>
      </c>
      <c r="X1170" s="5">
        <f t="shared" si="438"/>
        <v>-1.8563433835818871E-3</v>
      </c>
      <c r="Y1170" s="5">
        <f t="shared" si="439"/>
        <v>-1.0224233775859428E-2</v>
      </c>
      <c r="Z1170" s="33">
        <v>1166</v>
      </c>
      <c r="AE1170" s="20" t="str">
        <f t="shared" si="440"/>
        <v/>
      </c>
      <c r="AF1170" s="22" t="str">
        <f t="shared" si="441"/>
        <v/>
      </c>
      <c r="AG1170" s="9" t="str">
        <f t="shared" ca="1" si="420"/>
        <v/>
      </c>
      <c r="AH1170" s="9" t="str">
        <f t="shared" ca="1" si="421"/>
        <v/>
      </c>
      <c r="AI1170" s="9" t="str">
        <f t="shared" ca="1" si="422"/>
        <v/>
      </c>
      <c r="AJ1170" s="9" t="str">
        <f t="shared" ca="1" si="423"/>
        <v/>
      </c>
      <c r="AK1170" s="9" t="str">
        <f t="shared" ca="1" si="424"/>
        <v/>
      </c>
      <c r="AL1170" s="9" t="str">
        <f t="shared" ca="1" si="425"/>
        <v/>
      </c>
      <c r="AM1170" s="9" t="str">
        <f t="shared" ca="1" si="426"/>
        <v/>
      </c>
      <c r="AN1170" s="9" t="str">
        <f t="shared" ca="1" si="427"/>
        <v/>
      </c>
      <c r="AO1170" s="9" t="str">
        <f t="shared" ca="1" si="428"/>
        <v/>
      </c>
      <c r="AP1170" s="9" t="str">
        <f t="shared" ca="1" si="429"/>
        <v/>
      </c>
      <c r="AQ1170" s="9"/>
      <c r="AR1170" s="9"/>
      <c r="AS1170" s="9"/>
      <c r="AT1170" s="9"/>
      <c r="AU1170" s="9"/>
    </row>
    <row r="1171" spans="1:47" x14ac:dyDescent="0.3">
      <c r="A1171" s="1">
        <v>45160</v>
      </c>
      <c r="B1171" s="6">
        <v>519.47997999999995</v>
      </c>
      <c r="C1171" s="6">
        <v>436.39001500000001</v>
      </c>
      <c r="D1171" s="6">
        <v>57.349997999999999</v>
      </c>
      <c r="E1171" s="6">
        <v>175.699997</v>
      </c>
      <c r="F1171" s="6">
        <v>105.110001</v>
      </c>
      <c r="G1171" s="6">
        <v>38.18</v>
      </c>
      <c r="H1171" s="6">
        <v>139.88999899999999</v>
      </c>
      <c r="I1171" s="6">
        <v>264.959991</v>
      </c>
      <c r="J1171" s="6">
        <v>32.259998000000003</v>
      </c>
      <c r="K1171" s="6">
        <v>12.54</v>
      </c>
      <c r="N1171" s="19">
        <v>1167</v>
      </c>
      <c r="O1171" s="1">
        <v>45160</v>
      </c>
      <c r="P1171" s="5">
        <f t="shared" si="430"/>
        <v>-1.9039210456249808E-3</v>
      </c>
      <c r="Q1171" s="5">
        <f t="shared" si="431"/>
        <v>-1.8327337432746574E-4</v>
      </c>
      <c r="R1171" s="5">
        <f t="shared" si="432"/>
        <v>-1.2198311600521718E-3</v>
      </c>
      <c r="S1171" s="5">
        <f t="shared" si="433"/>
        <v>-7.654217383786144E-3</v>
      </c>
      <c r="T1171" s="5">
        <f t="shared" si="434"/>
        <v>-9.5152926007147128E-5</v>
      </c>
      <c r="U1171" s="5">
        <f t="shared" si="435"/>
        <v>2.3600378070887124E-3</v>
      </c>
      <c r="V1171" s="5">
        <f t="shared" si="436"/>
        <v>-7.1446443792271222E-5</v>
      </c>
      <c r="W1171" s="5">
        <f t="shared" si="437"/>
        <v>-8.3811860682586527E-3</v>
      </c>
      <c r="X1171" s="5">
        <f t="shared" si="438"/>
        <v>-9.296050387428992E-4</v>
      </c>
      <c r="Y1171" s="5">
        <f t="shared" si="439"/>
        <v>-8.7336799687546662E-3</v>
      </c>
      <c r="Z1171" s="33">
        <v>1167</v>
      </c>
      <c r="AE1171" s="20" t="str">
        <f t="shared" si="440"/>
        <v/>
      </c>
      <c r="AF1171" s="22" t="str">
        <f t="shared" si="441"/>
        <v/>
      </c>
      <c r="AG1171" s="9" t="str">
        <f t="shared" ca="1" si="420"/>
        <v/>
      </c>
      <c r="AH1171" s="9" t="str">
        <f t="shared" ca="1" si="421"/>
        <v/>
      </c>
      <c r="AI1171" s="9" t="str">
        <f t="shared" ca="1" si="422"/>
        <v/>
      </c>
      <c r="AJ1171" s="9" t="str">
        <f t="shared" ca="1" si="423"/>
        <v/>
      </c>
      <c r="AK1171" s="9" t="str">
        <f t="shared" ca="1" si="424"/>
        <v/>
      </c>
      <c r="AL1171" s="9" t="str">
        <f t="shared" ca="1" si="425"/>
        <v/>
      </c>
      <c r="AM1171" s="9" t="str">
        <f t="shared" ca="1" si="426"/>
        <v/>
      </c>
      <c r="AN1171" s="9" t="str">
        <f t="shared" ca="1" si="427"/>
        <v/>
      </c>
      <c r="AO1171" s="9" t="str">
        <f t="shared" ca="1" si="428"/>
        <v/>
      </c>
      <c r="AP1171" s="9" t="str">
        <f t="shared" ca="1" si="429"/>
        <v/>
      </c>
      <c r="AQ1171" s="9"/>
      <c r="AR1171" s="9"/>
      <c r="AS1171" s="9"/>
      <c r="AT1171" s="9"/>
      <c r="AU1171" s="9"/>
    </row>
    <row r="1172" spans="1:47" x14ac:dyDescent="0.3">
      <c r="A1172" s="1">
        <v>45161</v>
      </c>
      <c r="B1172" s="6">
        <v>530.71002199999998</v>
      </c>
      <c r="C1172" s="6">
        <v>448.23998999999998</v>
      </c>
      <c r="D1172" s="6">
        <v>57.91</v>
      </c>
      <c r="E1172" s="6">
        <v>178.11999499999999</v>
      </c>
      <c r="F1172" s="6">
        <v>106.599998</v>
      </c>
      <c r="G1172" s="6">
        <v>38.840000000000003</v>
      </c>
      <c r="H1172" s="6">
        <v>142.050003</v>
      </c>
      <c r="I1172" s="6">
        <v>266.60000600000001</v>
      </c>
      <c r="J1172" s="6">
        <v>32.650002000000001</v>
      </c>
      <c r="K1172" s="6">
        <v>12.7</v>
      </c>
      <c r="N1172" s="18">
        <v>1168</v>
      </c>
      <c r="O1172" s="1">
        <v>45161</v>
      </c>
      <c r="P1172" s="5">
        <f t="shared" si="430"/>
        <v>2.1387501405869491E-2</v>
      </c>
      <c r="Q1172" s="5">
        <f t="shared" si="431"/>
        <v>2.6792407635363918E-2</v>
      </c>
      <c r="R1172" s="5">
        <f t="shared" si="432"/>
        <v>9.717272535902521E-3</v>
      </c>
      <c r="S1172" s="5">
        <f t="shared" si="433"/>
        <v>1.3679474264045281E-2</v>
      </c>
      <c r="T1172" s="5">
        <f t="shared" si="434"/>
        <v>1.4076062620912317E-2</v>
      </c>
      <c r="U1172" s="5">
        <f t="shared" si="435"/>
        <v>1.7138825125522762E-2</v>
      </c>
      <c r="V1172" s="5">
        <f t="shared" si="436"/>
        <v>1.5322737079655689E-2</v>
      </c>
      <c r="W1172" s="5">
        <f t="shared" si="437"/>
        <v>6.1705930207313709E-3</v>
      </c>
      <c r="X1172" s="5">
        <f t="shared" si="438"/>
        <v>1.2016906277400147E-2</v>
      </c>
      <c r="Y1172" s="5">
        <f t="shared" si="439"/>
        <v>1.2678458259770872E-2</v>
      </c>
      <c r="Z1172" s="33">
        <v>1168</v>
      </c>
      <c r="AE1172" s="20" t="str">
        <f t="shared" si="440"/>
        <v/>
      </c>
      <c r="AF1172" s="22" t="str">
        <f t="shared" si="441"/>
        <v/>
      </c>
      <c r="AG1172" s="9" t="str">
        <f t="shared" ca="1" si="420"/>
        <v/>
      </c>
      <c r="AH1172" s="9" t="str">
        <f t="shared" ca="1" si="421"/>
        <v/>
      </c>
      <c r="AI1172" s="9" t="str">
        <f t="shared" ca="1" si="422"/>
        <v/>
      </c>
      <c r="AJ1172" s="9" t="str">
        <f t="shared" ca="1" si="423"/>
        <v/>
      </c>
      <c r="AK1172" s="9" t="str">
        <f t="shared" ca="1" si="424"/>
        <v/>
      </c>
      <c r="AL1172" s="9" t="str">
        <f t="shared" ca="1" si="425"/>
        <v/>
      </c>
      <c r="AM1172" s="9" t="str">
        <f t="shared" ca="1" si="426"/>
        <v/>
      </c>
      <c r="AN1172" s="9" t="str">
        <f t="shared" ca="1" si="427"/>
        <v/>
      </c>
      <c r="AO1172" s="9" t="str">
        <f t="shared" ca="1" si="428"/>
        <v/>
      </c>
      <c r="AP1172" s="9" t="str">
        <f t="shared" ca="1" si="429"/>
        <v/>
      </c>
      <c r="AQ1172" s="9"/>
      <c r="AR1172" s="9"/>
      <c r="AS1172" s="9"/>
      <c r="AT1172" s="9"/>
      <c r="AU1172" s="9"/>
    </row>
    <row r="1173" spans="1:47" x14ac:dyDescent="0.3">
      <c r="A1173" s="1">
        <v>45162</v>
      </c>
      <c r="B1173" s="6">
        <v>512.42999299999997</v>
      </c>
      <c r="C1173" s="6">
        <v>435.85998499999999</v>
      </c>
      <c r="D1173" s="6">
        <v>57.029998999999997</v>
      </c>
      <c r="E1173" s="6">
        <v>177.179993</v>
      </c>
      <c r="F1173" s="6">
        <v>106.620003</v>
      </c>
      <c r="G1173" s="6">
        <v>38.720001000000003</v>
      </c>
      <c r="H1173" s="6">
        <v>141.35000600000001</v>
      </c>
      <c r="I1173" s="6">
        <v>262.07998700000002</v>
      </c>
      <c r="J1173" s="6">
        <v>32.310001</v>
      </c>
      <c r="K1173" s="6">
        <v>12.7</v>
      </c>
      <c r="N1173" s="19">
        <v>1169</v>
      </c>
      <c r="O1173" s="1">
        <v>45162</v>
      </c>
      <c r="P1173" s="5">
        <f t="shared" si="430"/>
        <v>-3.5051671490043138E-2</v>
      </c>
      <c r="Q1173" s="5">
        <f t="shared" si="431"/>
        <v>-2.800772449460753E-2</v>
      </c>
      <c r="R1173" s="5">
        <f t="shared" si="432"/>
        <v>-1.5312653603881973E-2</v>
      </c>
      <c r="S1173" s="5">
        <f t="shared" si="433"/>
        <v>-5.2913269064973605E-3</v>
      </c>
      <c r="T1173" s="5">
        <f t="shared" si="434"/>
        <v>1.87646561906675E-4</v>
      </c>
      <c r="U1173" s="5">
        <f t="shared" si="435"/>
        <v>-3.0943551883019786E-3</v>
      </c>
      <c r="V1173" s="5">
        <f t="shared" si="436"/>
        <v>-4.9400028320978227E-3</v>
      </c>
      <c r="W1173" s="5">
        <f t="shared" si="437"/>
        <v>-1.7099679188705662E-2</v>
      </c>
      <c r="X1173" s="5">
        <f t="shared" si="438"/>
        <v>-1.0468106191604284E-2</v>
      </c>
      <c r="Y1173" s="5">
        <f t="shared" si="439"/>
        <v>0</v>
      </c>
      <c r="Z1173" s="33">
        <v>1169</v>
      </c>
      <c r="AE1173" s="20" t="str">
        <f t="shared" si="440"/>
        <v/>
      </c>
      <c r="AF1173" s="22" t="str">
        <f t="shared" si="441"/>
        <v/>
      </c>
      <c r="AG1173" s="9" t="str">
        <f t="shared" ca="1" si="420"/>
        <v/>
      </c>
      <c r="AH1173" s="9" t="str">
        <f t="shared" ca="1" si="421"/>
        <v/>
      </c>
      <c r="AI1173" s="9" t="str">
        <f t="shared" ca="1" si="422"/>
        <v/>
      </c>
      <c r="AJ1173" s="9" t="str">
        <f t="shared" ca="1" si="423"/>
        <v/>
      </c>
      <c r="AK1173" s="9" t="str">
        <f t="shared" ca="1" si="424"/>
        <v/>
      </c>
      <c r="AL1173" s="9" t="str">
        <f t="shared" ca="1" si="425"/>
        <v/>
      </c>
      <c r="AM1173" s="9" t="str">
        <f t="shared" ca="1" si="426"/>
        <v/>
      </c>
      <c r="AN1173" s="9" t="str">
        <f t="shared" ca="1" si="427"/>
        <v/>
      </c>
      <c r="AO1173" s="9" t="str">
        <f t="shared" ca="1" si="428"/>
        <v/>
      </c>
      <c r="AP1173" s="9" t="str">
        <f t="shared" ca="1" si="429"/>
        <v/>
      </c>
      <c r="AQ1173" s="9"/>
      <c r="AR1173" s="9"/>
      <c r="AS1173" s="9"/>
      <c r="AT1173" s="9"/>
      <c r="AU1173" s="9"/>
    </row>
    <row r="1174" spans="1:47" x14ac:dyDescent="0.3">
      <c r="A1174" s="1">
        <v>45163</v>
      </c>
      <c r="B1174" s="6">
        <v>525.05999799999995</v>
      </c>
      <c r="C1174" s="6">
        <v>442.23998999999998</v>
      </c>
      <c r="D1174" s="6">
        <v>57.34</v>
      </c>
      <c r="E1174" s="6">
        <v>179.41999799999999</v>
      </c>
      <c r="F1174" s="6">
        <v>107.160004</v>
      </c>
      <c r="G1174" s="6">
        <v>39.169998</v>
      </c>
      <c r="H1174" s="6">
        <v>142.66999799999999</v>
      </c>
      <c r="I1174" s="6">
        <v>264.64999399999999</v>
      </c>
      <c r="J1174" s="6">
        <v>32.330002</v>
      </c>
      <c r="K1174" s="6">
        <v>12.27</v>
      </c>
      <c r="N1174" s="18">
        <v>1170</v>
      </c>
      <c r="O1174" s="1">
        <v>45163</v>
      </c>
      <c r="P1174" s="5">
        <f t="shared" si="430"/>
        <v>2.4348435309029588E-2</v>
      </c>
      <c r="Q1174" s="5">
        <f t="shared" si="431"/>
        <v>1.4531642074149665E-2</v>
      </c>
      <c r="R1174" s="5">
        <f t="shared" si="432"/>
        <v>5.4210328214073789E-3</v>
      </c>
      <c r="S1174" s="5">
        <f t="shared" si="433"/>
        <v>1.2563289508067664E-2</v>
      </c>
      <c r="T1174" s="5">
        <f t="shared" si="434"/>
        <v>5.0519424718436876E-3</v>
      </c>
      <c r="U1174" s="5">
        <f t="shared" si="435"/>
        <v>1.1554808383431986E-2</v>
      </c>
      <c r="V1174" s="5">
        <f t="shared" si="436"/>
        <v>9.2951305209357394E-3</v>
      </c>
      <c r="W1174" s="5">
        <f t="shared" si="437"/>
        <v>9.7584245710145411E-3</v>
      </c>
      <c r="X1174" s="5">
        <f t="shared" si="438"/>
        <v>6.1884281281074556E-4</v>
      </c>
      <c r="Y1174" s="5">
        <f t="shared" si="439"/>
        <v>-3.4444734741725526E-2</v>
      </c>
      <c r="Z1174" s="33">
        <v>1170</v>
      </c>
      <c r="AE1174" s="20" t="str">
        <f t="shared" si="440"/>
        <v/>
      </c>
      <c r="AF1174" s="22" t="str">
        <f t="shared" si="441"/>
        <v/>
      </c>
      <c r="AG1174" s="9" t="str">
        <f t="shared" ca="1" si="420"/>
        <v/>
      </c>
      <c r="AH1174" s="9" t="str">
        <f t="shared" ca="1" si="421"/>
        <v/>
      </c>
      <c r="AI1174" s="9" t="str">
        <f t="shared" ca="1" si="422"/>
        <v/>
      </c>
      <c r="AJ1174" s="9" t="str">
        <f t="shared" ca="1" si="423"/>
        <v/>
      </c>
      <c r="AK1174" s="9" t="str">
        <f t="shared" ca="1" si="424"/>
        <v/>
      </c>
      <c r="AL1174" s="9" t="str">
        <f t="shared" ca="1" si="425"/>
        <v/>
      </c>
      <c r="AM1174" s="9" t="str">
        <f t="shared" ca="1" si="426"/>
        <v/>
      </c>
      <c r="AN1174" s="9" t="str">
        <f t="shared" ca="1" si="427"/>
        <v/>
      </c>
      <c r="AO1174" s="9" t="str">
        <f t="shared" ca="1" si="428"/>
        <v/>
      </c>
      <c r="AP1174" s="9" t="str">
        <f t="shared" ca="1" si="429"/>
        <v/>
      </c>
      <c r="AQ1174" s="9"/>
      <c r="AR1174" s="9"/>
      <c r="AS1174" s="9"/>
      <c r="AT1174" s="9"/>
      <c r="AU1174" s="9"/>
    </row>
    <row r="1175" spans="1:47" x14ac:dyDescent="0.3">
      <c r="A1175" s="1">
        <v>45166</v>
      </c>
      <c r="B1175" s="6">
        <v>529.919983</v>
      </c>
      <c r="C1175" s="6">
        <v>443.67999300000002</v>
      </c>
      <c r="D1175" s="6">
        <v>57.709999000000003</v>
      </c>
      <c r="E1175" s="6">
        <v>180.25</v>
      </c>
      <c r="F1175" s="6">
        <v>107.879997</v>
      </c>
      <c r="G1175" s="6">
        <v>39.459999000000003</v>
      </c>
      <c r="H1175" s="6">
        <v>143.990005</v>
      </c>
      <c r="I1175" s="6">
        <v>265.10998499999999</v>
      </c>
      <c r="J1175" s="6">
        <v>32.540000999999997</v>
      </c>
      <c r="K1175" s="6">
        <v>12.79</v>
      </c>
      <c r="N1175" s="19">
        <v>1171</v>
      </c>
      <c r="O1175" s="1">
        <v>45166</v>
      </c>
      <c r="P1175" s="5">
        <f t="shared" si="430"/>
        <v>9.2134817098194349E-3</v>
      </c>
      <c r="Q1175" s="5">
        <f t="shared" si="431"/>
        <v>3.2508675632372704E-3</v>
      </c>
      <c r="R1175" s="5">
        <f t="shared" si="432"/>
        <v>6.4319909396316375E-3</v>
      </c>
      <c r="S1175" s="5">
        <f t="shared" si="433"/>
        <v>4.6153611809504362E-3</v>
      </c>
      <c r="T1175" s="5">
        <f t="shared" si="434"/>
        <v>6.6963884590843722E-3</v>
      </c>
      <c r="U1175" s="5">
        <f t="shared" si="435"/>
        <v>7.3763786340961821E-3</v>
      </c>
      <c r="V1175" s="5">
        <f t="shared" si="436"/>
        <v>9.2096303364533408E-3</v>
      </c>
      <c r="W1175" s="5">
        <f t="shared" si="437"/>
        <v>1.7366019851902696E-3</v>
      </c>
      <c r="X1175" s="5">
        <f t="shared" si="438"/>
        <v>6.4744789229113043E-3</v>
      </c>
      <c r="Y1175" s="5">
        <f t="shared" si="439"/>
        <v>4.1506356867931228E-2</v>
      </c>
      <c r="Z1175" s="33">
        <v>1171</v>
      </c>
      <c r="AE1175" s="20" t="str">
        <f t="shared" si="440"/>
        <v/>
      </c>
      <c r="AF1175" s="22" t="str">
        <f t="shared" si="441"/>
        <v/>
      </c>
      <c r="AG1175" s="9" t="str">
        <f t="shared" ca="1" si="420"/>
        <v/>
      </c>
      <c r="AH1175" s="9" t="str">
        <f t="shared" ca="1" si="421"/>
        <v/>
      </c>
      <c r="AI1175" s="9" t="str">
        <f t="shared" ca="1" si="422"/>
        <v/>
      </c>
      <c r="AJ1175" s="9" t="str">
        <f t="shared" ca="1" si="423"/>
        <v/>
      </c>
      <c r="AK1175" s="9" t="str">
        <f t="shared" ca="1" si="424"/>
        <v/>
      </c>
      <c r="AL1175" s="9" t="str">
        <f t="shared" ca="1" si="425"/>
        <v/>
      </c>
      <c r="AM1175" s="9" t="str">
        <f t="shared" ca="1" si="426"/>
        <v/>
      </c>
      <c r="AN1175" s="9" t="str">
        <f t="shared" ca="1" si="427"/>
        <v/>
      </c>
      <c r="AO1175" s="9" t="str">
        <f t="shared" ca="1" si="428"/>
        <v/>
      </c>
      <c r="AP1175" s="9" t="str">
        <f t="shared" ca="1" si="429"/>
        <v/>
      </c>
      <c r="AQ1175" s="9"/>
      <c r="AR1175" s="9"/>
      <c r="AS1175" s="9"/>
      <c r="AT1175" s="9"/>
      <c r="AU1175" s="9"/>
    </row>
    <row r="1176" spans="1:47" x14ac:dyDescent="0.3">
      <c r="A1176" s="1">
        <v>45167</v>
      </c>
      <c r="B1176" s="6">
        <v>540.57000700000003</v>
      </c>
      <c r="C1176" s="6">
        <v>451.57000699999998</v>
      </c>
      <c r="D1176" s="6">
        <v>58.490001999999997</v>
      </c>
      <c r="E1176" s="6">
        <v>180.929993</v>
      </c>
      <c r="F1176" s="6">
        <v>108.300003</v>
      </c>
      <c r="G1176" s="6">
        <v>39.759998000000003</v>
      </c>
      <c r="H1176" s="6">
        <v>146.58999600000001</v>
      </c>
      <c r="I1176" s="6">
        <v>266.89001500000001</v>
      </c>
      <c r="J1176" s="6">
        <v>32.830002</v>
      </c>
      <c r="K1176" s="6">
        <v>12.95</v>
      </c>
      <c r="N1176" s="18">
        <v>1172</v>
      </c>
      <c r="O1176" s="1">
        <v>45167</v>
      </c>
      <c r="P1176" s="5">
        <f t="shared" si="430"/>
        <v>1.9898131679601042E-2</v>
      </c>
      <c r="Q1176" s="5">
        <f t="shared" si="431"/>
        <v>1.762684901060492E-2</v>
      </c>
      <c r="R1176" s="5">
        <f t="shared" si="432"/>
        <v>1.3425382253957568E-2</v>
      </c>
      <c r="S1176" s="5">
        <f t="shared" si="433"/>
        <v>3.7654012769501124E-3</v>
      </c>
      <c r="T1176" s="5">
        <f t="shared" si="434"/>
        <v>3.8857112449229713E-3</v>
      </c>
      <c r="U1176" s="5">
        <f t="shared" si="435"/>
        <v>7.5738562342107935E-3</v>
      </c>
      <c r="V1176" s="5">
        <f t="shared" si="436"/>
        <v>1.7895659570136297E-2</v>
      </c>
      <c r="W1176" s="5">
        <f t="shared" si="437"/>
        <v>6.6918670775738048E-3</v>
      </c>
      <c r="X1176" s="5">
        <f t="shared" si="438"/>
        <v>8.8726599110910964E-3</v>
      </c>
      <c r="Y1176" s="5">
        <f t="shared" si="439"/>
        <v>1.2432172554795402E-2</v>
      </c>
      <c r="Z1176" s="33">
        <v>1172</v>
      </c>
      <c r="AE1176" s="20" t="str">
        <f t="shared" si="440"/>
        <v/>
      </c>
      <c r="AF1176" s="22" t="str">
        <f t="shared" si="441"/>
        <v/>
      </c>
      <c r="AG1176" s="9" t="str">
        <f t="shared" ca="1" si="420"/>
        <v/>
      </c>
      <c r="AH1176" s="9" t="str">
        <f t="shared" ca="1" si="421"/>
        <v/>
      </c>
      <c r="AI1176" s="9" t="str">
        <f t="shared" ca="1" si="422"/>
        <v/>
      </c>
      <c r="AJ1176" s="9" t="str">
        <f t="shared" ca="1" si="423"/>
        <v/>
      </c>
      <c r="AK1176" s="9" t="str">
        <f t="shared" ca="1" si="424"/>
        <v/>
      </c>
      <c r="AL1176" s="9" t="str">
        <f t="shared" ca="1" si="425"/>
        <v/>
      </c>
      <c r="AM1176" s="9" t="str">
        <f t="shared" ca="1" si="426"/>
        <v/>
      </c>
      <c r="AN1176" s="9" t="str">
        <f t="shared" ca="1" si="427"/>
        <v/>
      </c>
      <c r="AO1176" s="9" t="str">
        <f t="shared" ca="1" si="428"/>
        <v/>
      </c>
      <c r="AP1176" s="9" t="str">
        <f t="shared" ca="1" si="429"/>
        <v/>
      </c>
      <c r="AQ1176" s="9"/>
      <c r="AR1176" s="9"/>
      <c r="AS1176" s="9"/>
      <c r="AT1176" s="9"/>
      <c r="AU1176" s="9"/>
    </row>
    <row r="1177" spans="1:47" x14ac:dyDescent="0.3">
      <c r="A1177" s="1">
        <v>45168</v>
      </c>
      <c r="B1177" s="6">
        <v>545.35998500000005</v>
      </c>
      <c r="C1177" s="6">
        <v>457.27999899999998</v>
      </c>
      <c r="D1177" s="6">
        <v>58.150002000000001</v>
      </c>
      <c r="E1177" s="6">
        <v>181.08000200000001</v>
      </c>
      <c r="F1177" s="6">
        <v>108.32</v>
      </c>
      <c r="G1177" s="6">
        <v>40.259998000000003</v>
      </c>
      <c r="H1177" s="6">
        <v>148.240005</v>
      </c>
      <c r="I1177" s="6">
        <v>268.88000499999998</v>
      </c>
      <c r="J1177" s="6">
        <v>32.919998</v>
      </c>
      <c r="K1177" s="6">
        <v>13.11</v>
      </c>
      <c r="N1177" s="19">
        <v>1173</v>
      </c>
      <c r="O1177" s="1">
        <v>45168</v>
      </c>
      <c r="P1177" s="5">
        <f t="shared" si="430"/>
        <v>8.8219481936353244E-3</v>
      </c>
      <c r="Q1177" s="5">
        <f t="shared" si="431"/>
        <v>1.2565477453722612E-2</v>
      </c>
      <c r="R1177" s="5">
        <f t="shared" si="432"/>
        <v>-5.8299202903311633E-3</v>
      </c>
      <c r="S1177" s="5">
        <f t="shared" si="433"/>
        <v>8.2875617059138926E-4</v>
      </c>
      <c r="T1177" s="5">
        <f t="shared" si="434"/>
        <v>1.8462745618909725E-4</v>
      </c>
      <c r="U1177" s="5">
        <f t="shared" si="435"/>
        <v>1.2497039047984101E-2</v>
      </c>
      <c r="V1177" s="5">
        <f t="shared" si="436"/>
        <v>1.1193068691243162E-2</v>
      </c>
      <c r="W1177" s="5">
        <f t="shared" si="437"/>
        <v>7.4285573171985978E-3</v>
      </c>
      <c r="X1177" s="5">
        <f t="shared" si="438"/>
        <v>2.737522622136045E-3</v>
      </c>
      <c r="Y1177" s="5">
        <f t="shared" si="439"/>
        <v>1.2279509630061781E-2</v>
      </c>
      <c r="Z1177" s="33">
        <v>1173</v>
      </c>
      <c r="AE1177" s="20" t="str">
        <f t="shared" si="440"/>
        <v/>
      </c>
      <c r="AF1177" s="22" t="str">
        <f t="shared" si="441"/>
        <v/>
      </c>
      <c r="AG1177" s="9" t="str">
        <f t="shared" ca="1" si="420"/>
        <v/>
      </c>
      <c r="AH1177" s="9" t="str">
        <f t="shared" ca="1" si="421"/>
        <v/>
      </c>
      <c r="AI1177" s="9" t="str">
        <f t="shared" ca="1" si="422"/>
        <v/>
      </c>
      <c r="AJ1177" s="9" t="str">
        <f t="shared" ca="1" si="423"/>
        <v/>
      </c>
      <c r="AK1177" s="9" t="str">
        <f t="shared" ca="1" si="424"/>
        <v/>
      </c>
      <c r="AL1177" s="9" t="str">
        <f t="shared" ca="1" si="425"/>
        <v/>
      </c>
      <c r="AM1177" s="9" t="str">
        <f t="shared" ca="1" si="426"/>
        <v/>
      </c>
      <c r="AN1177" s="9" t="str">
        <f t="shared" ca="1" si="427"/>
        <v/>
      </c>
      <c r="AO1177" s="9" t="str">
        <f t="shared" ca="1" si="428"/>
        <v/>
      </c>
      <c r="AP1177" s="9" t="str">
        <f t="shared" ca="1" si="429"/>
        <v/>
      </c>
      <c r="AQ1177" s="9"/>
      <c r="AR1177" s="9"/>
      <c r="AS1177" s="9"/>
      <c r="AT1177" s="9"/>
      <c r="AU1177" s="9"/>
    </row>
    <row r="1178" spans="1:47" x14ac:dyDescent="0.3">
      <c r="A1178" s="1">
        <v>45169</v>
      </c>
      <c r="B1178" s="6">
        <v>559.34002699999996</v>
      </c>
      <c r="C1178" s="6">
        <v>458.89001500000001</v>
      </c>
      <c r="D1178" s="6">
        <v>57.41</v>
      </c>
      <c r="E1178" s="6">
        <v>177.91999799999999</v>
      </c>
      <c r="F1178" s="6">
        <v>107.620003</v>
      </c>
      <c r="G1178" s="6">
        <v>39.900002000000001</v>
      </c>
      <c r="H1178" s="6">
        <v>148.300003</v>
      </c>
      <c r="I1178" s="6">
        <v>268.60000600000001</v>
      </c>
      <c r="J1178" s="6">
        <v>32.610000999999997</v>
      </c>
      <c r="K1178" s="6">
        <v>13.14</v>
      </c>
      <c r="N1178" s="18">
        <v>1174</v>
      </c>
      <c r="O1178" s="1">
        <v>45169</v>
      </c>
      <c r="P1178" s="5">
        <f t="shared" si="430"/>
        <v>2.5311465960557333E-2</v>
      </c>
      <c r="Q1178" s="5">
        <f t="shared" si="431"/>
        <v>3.514670056346883E-3</v>
      </c>
      <c r="R1178" s="5">
        <f t="shared" si="432"/>
        <v>-1.2807409178936548E-2</v>
      </c>
      <c r="S1178" s="5">
        <f t="shared" si="433"/>
        <v>-1.7604933791389627E-2</v>
      </c>
      <c r="T1178" s="5">
        <f t="shared" si="434"/>
        <v>-6.4832772268321485E-3</v>
      </c>
      <c r="U1178" s="5">
        <f t="shared" si="435"/>
        <v>-8.9819965134155851E-3</v>
      </c>
      <c r="V1178" s="5">
        <f t="shared" si="436"/>
        <v>4.0465366695944518E-4</v>
      </c>
      <c r="W1178" s="5">
        <f t="shared" si="437"/>
        <v>-1.0418955853199539E-3</v>
      </c>
      <c r="X1178" s="5">
        <f t="shared" si="438"/>
        <v>-9.4612945888585334E-3</v>
      </c>
      <c r="Y1178" s="5">
        <f t="shared" si="439"/>
        <v>2.2857152808560825E-3</v>
      </c>
      <c r="Z1178" s="33">
        <v>1174</v>
      </c>
      <c r="AE1178" s="20" t="str">
        <f t="shared" si="440"/>
        <v/>
      </c>
      <c r="AF1178" s="22" t="str">
        <f t="shared" si="441"/>
        <v/>
      </c>
      <c r="AG1178" s="9" t="str">
        <f t="shared" ca="1" si="420"/>
        <v/>
      </c>
      <c r="AH1178" s="9" t="str">
        <f t="shared" ca="1" si="421"/>
        <v/>
      </c>
      <c r="AI1178" s="9" t="str">
        <f t="shared" ca="1" si="422"/>
        <v/>
      </c>
      <c r="AJ1178" s="9" t="str">
        <f t="shared" ca="1" si="423"/>
        <v/>
      </c>
      <c r="AK1178" s="9" t="str">
        <f t="shared" ca="1" si="424"/>
        <v/>
      </c>
      <c r="AL1178" s="9" t="str">
        <f t="shared" ca="1" si="425"/>
        <v/>
      </c>
      <c r="AM1178" s="9" t="str">
        <f t="shared" ca="1" si="426"/>
        <v/>
      </c>
      <c r="AN1178" s="9" t="str">
        <f t="shared" ca="1" si="427"/>
        <v/>
      </c>
      <c r="AO1178" s="9" t="str">
        <f t="shared" ca="1" si="428"/>
        <v/>
      </c>
      <c r="AP1178" s="9" t="str">
        <f t="shared" ca="1" si="429"/>
        <v/>
      </c>
      <c r="AQ1178" s="9"/>
      <c r="AR1178" s="9"/>
      <c r="AS1178" s="9"/>
      <c r="AT1178" s="9"/>
      <c r="AU1178" s="9"/>
    </row>
    <row r="1179" spans="1:47" x14ac:dyDescent="0.3">
      <c r="A1179" s="1">
        <v>45170</v>
      </c>
      <c r="B1179" s="6">
        <v>563.21002199999998</v>
      </c>
      <c r="C1179" s="6">
        <v>460.45001200000002</v>
      </c>
      <c r="D1179" s="6">
        <v>56.549999</v>
      </c>
      <c r="E1179" s="6">
        <v>175.320007</v>
      </c>
      <c r="F1179" s="6">
        <v>106.739998</v>
      </c>
      <c r="G1179" s="6">
        <v>39.729999999999997</v>
      </c>
      <c r="H1179" s="6">
        <v>148.699997</v>
      </c>
      <c r="I1179" s="6">
        <v>270.51998900000001</v>
      </c>
      <c r="J1179" s="6">
        <v>32.599997999999999</v>
      </c>
      <c r="K1179" s="6">
        <v>11.56</v>
      </c>
      <c r="N1179" s="19">
        <v>1175</v>
      </c>
      <c r="O1179" s="1">
        <v>45170</v>
      </c>
      <c r="P1179" s="5">
        <f t="shared" si="430"/>
        <v>6.8950339195066835E-3</v>
      </c>
      <c r="Q1179" s="5">
        <f t="shared" si="431"/>
        <v>3.3937356178318726E-3</v>
      </c>
      <c r="R1179" s="5">
        <f t="shared" si="432"/>
        <v>-1.5093319300882039E-2</v>
      </c>
      <c r="S1179" s="5">
        <f t="shared" si="433"/>
        <v>-1.4721084343611955E-2</v>
      </c>
      <c r="T1179" s="5">
        <f t="shared" si="434"/>
        <v>-8.2105797684523026E-3</v>
      </c>
      <c r="U1179" s="5">
        <f t="shared" si="435"/>
        <v>-4.2698041946222952E-3</v>
      </c>
      <c r="V1179" s="5">
        <f t="shared" si="436"/>
        <v>2.6935639181093303E-3</v>
      </c>
      <c r="W1179" s="5">
        <f t="shared" si="437"/>
        <v>7.1226856171243153E-3</v>
      </c>
      <c r="X1179" s="5">
        <f t="shared" si="438"/>
        <v>-3.0679344370048225E-4</v>
      </c>
      <c r="Y1179" s="5">
        <f t="shared" si="439"/>
        <v>-0.12811014981223309</v>
      </c>
      <c r="Z1179" s="33">
        <v>1175</v>
      </c>
      <c r="AE1179" s="20" t="str">
        <f t="shared" si="440"/>
        <v/>
      </c>
      <c r="AF1179" s="22" t="str">
        <f t="shared" si="441"/>
        <v/>
      </c>
      <c r="AG1179" s="9" t="str">
        <f t="shared" ca="1" si="420"/>
        <v/>
      </c>
      <c r="AH1179" s="9" t="str">
        <f t="shared" ca="1" si="421"/>
        <v/>
      </c>
      <c r="AI1179" s="9" t="str">
        <f t="shared" ca="1" si="422"/>
        <v/>
      </c>
      <c r="AJ1179" s="9" t="str">
        <f t="shared" ca="1" si="423"/>
        <v/>
      </c>
      <c r="AK1179" s="9" t="str">
        <f t="shared" ca="1" si="424"/>
        <v/>
      </c>
      <c r="AL1179" s="9" t="str">
        <f t="shared" ca="1" si="425"/>
        <v/>
      </c>
      <c r="AM1179" s="9" t="str">
        <f t="shared" ca="1" si="426"/>
        <v/>
      </c>
      <c r="AN1179" s="9" t="str">
        <f t="shared" ca="1" si="427"/>
        <v/>
      </c>
      <c r="AO1179" s="9" t="str">
        <f t="shared" ca="1" si="428"/>
        <v/>
      </c>
      <c r="AP1179" s="9" t="str">
        <f t="shared" ca="1" si="429"/>
        <v/>
      </c>
      <c r="AQ1179" s="9"/>
      <c r="AR1179" s="9"/>
      <c r="AS1179" s="9"/>
      <c r="AT1179" s="9"/>
      <c r="AU1179" s="9"/>
    </row>
    <row r="1180" spans="1:47" x14ac:dyDescent="0.3">
      <c r="A1180" s="1">
        <v>45174</v>
      </c>
      <c r="B1180" s="6">
        <v>564.88000499999998</v>
      </c>
      <c r="C1180" s="6">
        <v>466.85000600000001</v>
      </c>
      <c r="D1180" s="6">
        <v>55.959999000000003</v>
      </c>
      <c r="E1180" s="6">
        <v>174.16000399999999</v>
      </c>
      <c r="F1180" s="6">
        <v>105.269997</v>
      </c>
      <c r="G1180" s="6">
        <v>39.419998</v>
      </c>
      <c r="H1180" s="6">
        <v>143.779999</v>
      </c>
      <c r="I1180" s="6">
        <v>263.26998900000001</v>
      </c>
      <c r="J1180" s="6">
        <v>32.18</v>
      </c>
      <c r="K1180" s="6">
        <v>11.64</v>
      </c>
      <c r="N1180" s="18">
        <v>1176</v>
      </c>
      <c r="O1180" s="1">
        <v>45174</v>
      </c>
      <c r="P1180" s="5">
        <f t="shared" si="430"/>
        <v>2.9607286297026652E-3</v>
      </c>
      <c r="Q1180" s="5">
        <f t="shared" si="431"/>
        <v>1.3803721553191244E-2</v>
      </c>
      <c r="R1180" s="5">
        <f t="shared" si="432"/>
        <v>-1.048805295129005E-2</v>
      </c>
      <c r="S1180" s="5">
        <f t="shared" si="433"/>
        <v>-6.6384755839203188E-3</v>
      </c>
      <c r="T1180" s="5">
        <f t="shared" si="434"/>
        <v>-1.3867502403594873E-2</v>
      </c>
      <c r="U1180" s="5">
        <f t="shared" si="435"/>
        <v>-7.8333188376018305E-3</v>
      </c>
      <c r="V1180" s="5">
        <f t="shared" si="436"/>
        <v>-3.3646486690605229E-2</v>
      </c>
      <c r="W1180" s="5">
        <f t="shared" si="437"/>
        <v>-2.7165912288953729E-2</v>
      </c>
      <c r="X1180" s="5">
        <f t="shared" si="438"/>
        <v>-1.2967085458729618E-2</v>
      </c>
      <c r="Y1180" s="5">
        <f t="shared" si="439"/>
        <v>6.8965790590604587E-3</v>
      </c>
      <c r="Z1180" s="33">
        <v>1176</v>
      </c>
      <c r="AE1180" s="20" t="str">
        <f t="shared" si="440"/>
        <v/>
      </c>
      <c r="AF1180" s="22" t="str">
        <f t="shared" si="441"/>
        <v/>
      </c>
      <c r="AG1180" s="9" t="str">
        <f t="shared" ca="1" si="420"/>
        <v/>
      </c>
      <c r="AH1180" s="9" t="str">
        <f t="shared" ca="1" si="421"/>
        <v/>
      </c>
      <c r="AI1180" s="9" t="str">
        <f t="shared" ca="1" si="422"/>
        <v/>
      </c>
      <c r="AJ1180" s="9" t="str">
        <f t="shared" ca="1" si="423"/>
        <v/>
      </c>
      <c r="AK1180" s="9" t="str">
        <f t="shared" ca="1" si="424"/>
        <v/>
      </c>
      <c r="AL1180" s="9" t="str">
        <f t="shared" ca="1" si="425"/>
        <v/>
      </c>
      <c r="AM1180" s="9" t="str">
        <f t="shared" ca="1" si="426"/>
        <v/>
      </c>
      <c r="AN1180" s="9" t="str">
        <f t="shared" ca="1" si="427"/>
        <v/>
      </c>
      <c r="AO1180" s="9" t="str">
        <f t="shared" ca="1" si="428"/>
        <v/>
      </c>
      <c r="AP1180" s="9" t="str">
        <f t="shared" ca="1" si="429"/>
        <v/>
      </c>
      <c r="AQ1180" s="9"/>
      <c r="AR1180" s="9"/>
      <c r="AS1180" s="9"/>
      <c r="AT1180" s="9"/>
      <c r="AU1180" s="9"/>
    </row>
    <row r="1181" spans="1:47" x14ac:dyDescent="0.3">
      <c r="A1181" s="1">
        <v>45175</v>
      </c>
      <c r="B1181" s="6">
        <v>561.94000200000005</v>
      </c>
      <c r="C1181" s="6">
        <v>465.69000199999999</v>
      </c>
      <c r="D1181" s="6">
        <v>56.279998999999997</v>
      </c>
      <c r="E1181" s="6">
        <v>174.729996</v>
      </c>
      <c r="F1181" s="6">
        <v>104.760002</v>
      </c>
      <c r="G1181" s="6">
        <v>39.07</v>
      </c>
      <c r="H1181" s="6">
        <v>143.86000100000001</v>
      </c>
      <c r="I1181" s="6">
        <v>262.5</v>
      </c>
      <c r="J1181" s="6">
        <v>32.400002000000001</v>
      </c>
      <c r="K1181" s="6">
        <v>11.49</v>
      </c>
      <c r="N1181" s="19">
        <v>1177</v>
      </c>
      <c r="O1181" s="1">
        <v>45175</v>
      </c>
      <c r="P1181" s="5">
        <f t="shared" si="430"/>
        <v>-5.2182418719967909E-3</v>
      </c>
      <c r="Q1181" s="5">
        <f t="shared" si="431"/>
        <v>-2.4878387808644959E-3</v>
      </c>
      <c r="R1181" s="5">
        <f t="shared" si="432"/>
        <v>5.7020825505134671E-3</v>
      </c>
      <c r="S1181" s="5">
        <f t="shared" si="433"/>
        <v>3.2674625648062387E-3</v>
      </c>
      <c r="T1181" s="5">
        <f t="shared" si="434"/>
        <v>-4.8564110343183092E-3</v>
      </c>
      <c r="U1181" s="5">
        <f t="shared" si="435"/>
        <v>-8.9183419219264395E-3</v>
      </c>
      <c r="V1181" s="5">
        <f t="shared" si="436"/>
        <v>5.5626478975762865E-4</v>
      </c>
      <c r="W1181" s="5">
        <f t="shared" si="437"/>
        <v>-2.9289977236783087E-3</v>
      </c>
      <c r="X1181" s="5">
        <f t="shared" si="438"/>
        <v>6.813342962439713E-3</v>
      </c>
      <c r="Y1181" s="5">
        <f t="shared" si="439"/>
        <v>-1.2970350442627517E-2</v>
      </c>
      <c r="Z1181" s="33">
        <v>1177</v>
      </c>
      <c r="AE1181" s="20" t="str">
        <f t="shared" si="440"/>
        <v/>
      </c>
      <c r="AF1181" s="22" t="str">
        <f t="shared" si="441"/>
        <v/>
      </c>
      <c r="AG1181" s="9" t="str">
        <f t="shared" ca="1" si="420"/>
        <v/>
      </c>
      <c r="AH1181" s="9" t="str">
        <f t="shared" ca="1" si="421"/>
        <v/>
      </c>
      <c r="AI1181" s="9" t="str">
        <f t="shared" ca="1" si="422"/>
        <v/>
      </c>
      <c r="AJ1181" s="9" t="str">
        <f t="shared" ca="1" si="423"/>
        <v/>
      </c>
      <c r="AK1181" s="9" t="str">
        <f t="shared" ca="1" si="424"/>
        <v/>
      </c>
      <c r="AL1181" s="9" t="str">
        <f t="shared" ca="1" si="425"/>
        <v/>
      </c>
      <c r="AM1181" s="9" t="str">
        <f t="shared" ca="1" si="426"/>
        <v/>
      </c>
      <c r="AN1181" s="9" t="str">
        <f t="shared" ca="1" si="427"/>
        <v/>
      </c>
      <c r="AO1181" s="9" t="str">
        <f t="shared" ca="1" si="428"/>
        <v/>
      </c>
      <c r="AP1181" s="9" t="str">
        <f t="shared" ca="1" si="429"/>
        <v/>
      </c>
      <c r="AQ1181" s="9"/>
      <c r="AR1181" s="9"/>
      <c r="AS1181" s="9"/>
      <c r="AT1181" s="9"/>
      <c r="AU1181" s="9"/>
    </row>
    <row r="1182" spans="1:47" x14ac:dyDescent="0.3">
      <c r="A1182" s="1">
        <v>45176</v>
      </c>
      <c r="B1182" s="6">
        <v>560.46002199999998</v>
      </c>
      <c r="C1182" s="6">
        <v>458.08999599999999</v>
      </c>
      <c r="D1182" s="6">
        <v>56.639999000000003</v>
      </c>
      <c r="E1182" s="6">
        <v>176.39999399999999</v>
      </c>
      <c r="F1182" s="6">
        <v>103.989998</v>
      </c>
      <c r="G1182" s="6">
        <v>39.119999</v>
      </c>
      <c r="H1182" s="6">
        <v>141.720001</v>
      </c>
      <c r="I1182" s="6">
        <v>258.75</v>
      </c>
      <c r="J1182" s="6">
        <v>32.040000999999997</v>
      </c>
      <c r="K1182" s="6">
        <v>11.03</v>
      </c>
      <c r="N1182" s="18">
        <v>1178</v>
      </c>
      <c r="O1182" s="1">
        <v>45176</v>
      </c>
      <c r="P1182" s="5">
        <f t="shared" si="430"/>
        <v>-2.6371718212502069E-3</v>
      </c>
      <c r="Q1182" s="5">
        <f t="shared" si="431"/>
        <v>-1.6454518373552596E-2</v>
      </c>
      <c r="R1182" s="5">
        <f t="shared" si="432"/>
        <v>6.3762172522103099E-3</v>
      </c>
      <c r="S1182" s="5">
        <f t="shared" si="433"/>
        <v>9.5122071006006909E-3</v>
      </c>
      <c r="T1182" s="5">
        <f t="shared" si="434"/>
        <v>-7.3773172912444873E-3</v>
      </c>
      <c r="U1182" s="5">
        <f t="shared" si="435"/>
        <v>1.2789105372648774E-3</v>
      </c>
      <c r="V1182" s="5">
        <f t="shared" si="436"/>
        <v>-1.4987324336974493E-2</v>
      </c>
      <c r="W1182" s="5">
        <f t="shared" si="437"/>
        <v>-1.4388737452099556E-2</v>
      </c>
      <c r="X1182" s="5">
        <f t="shared" si="438"/>
        <v>-1.1173331115532682E-2</v>
      </c>
      <c r="Y1182" s="5">
        <f t="shared" si="439"/>
        <v>-4.0858258595253265E-2</v>
      </c>
      <c r="Z1182" s="33">
        <v>1178</v>
      </c>
      <c r="AE1182" s="20" t="str">
        <f t="shared" si="440"/>
        <v/>
      </c>
      <c r="AF1182" s="22" t="str">
        <f t="shared" si="441"/>
        <v/>
      </c>
      <c r="AG1182" s="9" t="str">
        <f t="shared" ca="1" si="420"/>
        <v/>
      </c>
      <c r="AH1182" s="9" t="str">
        <f t="shared" ca="1" si="421"/>
        <v/>
      </c>
      <c r="AI1182" s="9" t="str">
        <f t="shared" ca="1" si="422"/>
        <v/>
      </c>
      <c r="AJ1182" s="9" t="str">
        <f t="shared" ca="1" si="423"/>
        <v/>
      </c>
      <c r="AK1182" s="9" t="str">
        <f t="shared" ca="1" si="424"/>
        <v/>
      </c>
      <c r="AL1182" s="9" t="str">
        <f t="shared" ca="1" si="425"/>
        <v/>
      </c>
      <c r="AM1182" s="9" t="str">
        <f t="shared" ca="1" si="426"/>
        <v/>
      </c>
      <c r="AN1182" s="9" t="str">
        <f t="shared" ca="1" si="427"/>
        <v/>
      </c>
      <c r="AO1182" s="9" t="str">
        <f t="shared" ca="1" si="428"/>
        <v/>
      </c>
      <c r="AP1182" s="9" t="str">
        <f t="shared" ca="1" si="429"/>
        <v/>
      </c>
      <c r="AQ1182" s="9"/>
      <c r="AR1182" s="9"/>
      <c r="AS1182" s="9"/>
      <c r="AT1182" s="9"/>
      <c r="AU1182" s="9"/>
    </row>
    <row r="1183" spans="1:47" x14ac:dyDescent="0.3">
      <c r="A1183" s="1">
        <v>45177</v>
      </c>
      <c r="B1183" s="6">
        <v>560.35998500000005</v>
      </c>
      <c r="C1183" s="6">
        <v>459.14001500000001</v>
      </c>
      <c r="D1183" s="6">
        <v>56.369999</v>
      </c>
      <c r="E1183" s="6">
        <v>176.270004</v>
      </c>
      <c r="F1183" s="6">
        <v>102.989998</v>
      </c>
      <c r="G1183" s="6">
        <v>38.659999999999997</v>
      </c>
      <c r="H1183" s="6">
        <v>142.11000100000001</v>
      </c>
      <c r="I1183" s="6">
        <v>259.73998999999998</v>
      </c>
      <c r="J1183" s="6">
        <v>31.75</v>
      </c>
      <c r="K1183" s="6">
        <v>11.32</v>
      </c>
      <c r="N1183" s="19">
        <v>1179</v>
      </c>
      <c r="O1183" s="1">
        <v>45177</v>
      </c>
      <c r="P1183" s="5">
        <f t="shared" si="430"/>
        <v>-1.7850680687491076E-4</v>
      </c>
      <c r="Q1183" s="5">
        <f t="shared" si="431"/>
        <v>2.289544489587232E-3</v>
      </c>
      <c r="R1183" s="5">
        <f t="shared" si="432"/>
        <v>-4.7783473765460492E-3</v>
      </c>
      <c r="S1183" s="5">
        <f t="shared" si="433"/>
        <v>-7.3717643476262822E-4</v>
      </c>
      <c r="T1183" s="5">
        <f t="shared" si="434"/>
        <v>-9.6628447211736419E-3</v>
      </c>
      <c r="U1183" s="5">
        <f t="shared" si="435"/>
        <v>-1.1828345824059337E-2</v>
      </c>
      <c r="V1183" s="5">
        <f t="shared" si="436"/>
        <v>2.7481255871344024E-3</v>
      </c>
      <c r="W1183" s="5">
        <f t="shared" si="437"/>
        <v>3.8187476023261459E-3</v>
      </c>
      <c r="X1183" s="5">
        <f t="shared" si="438"/>
        <v>-9.0924280724434745E-3</v>
      </c>
      <c r="Y1183" s="5">
        <f t="shared" si="439"/>
        <v>2.5952239509625837E-2</v>
      </c>
      <c r="Z1183" s="33">
        <v>1179</v>
      </c>
      <c r="AE1183" s="20" t="str">
        <f t="shared" si="440"/>
        <v/>
      </c>
      <c r="AF1183" s="22" t="str">
        <f t="shared" si="441"/>
        <v/>
      </c>
      <c r="AG1183" s="9" t="str">
        <f t="shared" ca="1" si="420"/>
        <v/>
      </c>
      <c r="AH1183" s="9" t="str">
        <f t="shared" ca="1" si="421"/>
        <v/>
      </c>
      <c r="AI1183" s="9" t="str">
        <f t="shared" ca="1" si="422"/>
        <v/>
      </c>
      <c r="AJ1183" s="9" t="str">
        <f t="shared" ca="1" si="423"/>
        <v/>
      </c>
      <c r="AK1183" s="9" t="str">
        <f t="shared" ca="1" si="424"/>
        <v/>
      </c>
      <c r="AL1183" s="9" t="str">
        <f t="shared" ca="1" si="425"/>
        <v/>
      </c>
      <c r="AM1183" s="9" t="str">
        <f t="shared" ca="1" si="426"/>
        <v/>
      </c>
      <c r="AN1183" s="9" t="str">
        <f t="shared" ca="1" si="427"/>
        <v/>
      </c>
      <c r="AO1183" s="9" t="str">
        <f t="shared" ca="1" si="428"/>
        <v/>
      </c>
      <c r="AP1183" s="9" t="str">
        <f t="shared" ca="1" si="429"/>
        <v/>
      </c>
      <c r="AQ1183" s="9"/>
      <c r="AR1183" s="9"/>
      <c r="AS1183" s="9"/>
      <c r="AT1183" s="9"/>
      <c r="AU1183" s="9"/>
    </row>
    <row r="1184" spans="1:47" x14ac:dyDescent="0.3">
      <c r="A1184" s="1">
        <v>45180</v>
      </c>
      <c r="B1184" s="6">
        <v>564.5</v>
      </c>
      <c r="C1184" s="6">
        <v>461.82000699999998</v>
      </c>
      <c r="D1184" s="6">
        <v>56.779998999999997</v>
      </c>
      <c r="E1184" s="6">
        <v>178.929993</v>
      </c>
      <c r="F1184" s="6">
        <v>101.75</v>
      </c>
      <c r="G1184" s="6">
        <v>38.529998999999997</v>
      </c>
      <c r="H1184" s="6">
        <v>140.220001</v>
      </c>
      <c r="I1184" s="6">
        <v>261.25</v>
      </c>
      <c r="J1184" s="6">
        <v>31.940000999999999</v>
      </c>
      <c r="K1184" s="6">
        <v>11.58</v>
      </c>
      <c r="N1184" s="18">
        <v>1180</v>
      </c>
      <c r="O1184" s="1">
        <v>45180</v>
      </c>
      <c r="P1184" s="5">
        <f t="shared" si="430"/>
        <v>7.3609760303097174E-3</v>
      </c>
      <c r="Q1184" s="5">
        <f t="shared" si="431"/>
        <v>5.8200128145028812E-3</v>
      </c>
      <c r="R1184" s="5">
        <f t="shared" si="432"/>
        <v>7.247049079438855E-3</v>
      </c>
      <c r="S1184" s="5">
        <f t="shared" si="433"/>
        <v>1.4977695658003321E-2</v>
      </c>
      <c r="T1184" s="5">
        <f t="shared" si="434"/>
        <v>-1.2113052395644695E-2</v>
      </c>
      <c r="U1184" s="5">
        <f t="shared" si="435"/>
        <v>-3.3683410959211885E-3</v>
      </c>
      <c r="V1184" s="5">
        <f t="shared" si="436"/>
        <v>-1.3388787730100887E-2</v>
      </c>
      <c r="W1184" s="5">
        <f t="shared" si="437"/>
        <v>5.7967110971159572E-3</v>
      </c>
      <c r="X1184" s="5">
        <f t="shared" si="438"/>
        <v>5.9664487568690415E-3</v>
      </c>
      <c r="Y1184" s="5">
        <f t="shared" si="439"/>
        <v>2.2708399369812251E-2</v>
      </c>
      <c r="Z1184" s="33">
        <v>1180</v>
      </c>
      <c r="AE1184" s="20" t="str">
        <f t="shared" si="440"/>
        <v/>
      </c>
      <c r="AF1184" s="22" t="str">
        <f t="shared" si="441"/>
        <v/>
      </c>
      <c r="AG1184" s="9" t="str">
        <f t="shared" ca="1" si="420"/>
        <v/>
      </c>
      <c r="AH1184" s="9" t="str">
        <f t="shared" ca="1" si="421"/>
        <v/>
      </c>
      <c r="AI1184" s="9" t="str">
        <f t="shared" ca="1" si="422"/>
        <v/>
      </c>
      <c r="AJ1184" s="9" t="str">
        <f t="shared" ca="1" si="423"/>
        <v/>
      </c>
      <c r="AK1184" s="9" t="str">
        <f t="shared" ca="1" si="424"/>
        <v/>
      </c>
      <c r="AL1184" s="9" t="str">
        <f t="shared" ca="1" si="425"/>
        <v/>
      </c>
      <c r="AM1184" s="9" t="str">
        <f t="shared" ca="1" si="426"/>
        <v/>
      </c>
      <c r="AN1184" s="9" t="str">
        <f t="shared" ca="1" si="427"/>
        <v/>
      </c>
      <c r="AO1184" s="9" t="str">
        <f t="shared" ca="1" si="428"/>
        <v/>
      </c>
      <c r="AP1184" s="9" t="str">
        <f t="shared" ca="1" si="429"/>
        <v/>
      </c>
      <c r="AQ1184" s="9"/>
      <c r="AR1184" s="9"/>
      <c r="AS1184" s="9"/>
      <c r="AT1184" s="9"/>
      <c r="AU1184" s="9"/>
    </row>
    <row r="1185" spans="1:47" x14ac:dyDescent="0.3">
      <c r="A1185" s="1">
        <v>45181</v>
      </c>
      <c r="B1185" s="6">
        <v>542.21002199999998</v>
      </c>
      <c r="C1185" s="6">
        <v>454.35998499999999</v>
      </c>
      <c r="D1185" s="6">
        <v>56.150002000000001</v>
      </c>
      <c r="E1185" s="6">
        <v>178.270004</v>
      </c>
      <c r="F1185" s="6">
        <v>103.459999</v>
      </c>
      <c r="G1185" s="6">
        <v>38.729999999999997</v>
      </c>
      <c r="H1185" s="6">
        <v>140.86999499999999</v>
      </c>
      <c r="I1185" s="6">
        <v>262.39999399999999</v>
      </c>
      <c r="J1185" s="6">
        <v>31.92</v>
      </c>
      <c r="K1185" s="6">
        <v>11.33</v>
      </c>
      <c r="N1185" s="19">
        <v>1181</v>
      </c>
      <c r="O1185" s="1">
        <v>45181</v>
      </c>
      <c r="P1185" s="5">
        <f t="shared" si="430"/>
        <v>-4.0286962741717398E-2</v>
      </c>
      <c r="Q1185" s="5">
        <f t="shared" si="431"/>
        <v>-1.6285417581950779E-2</v>
      </c>
      <c r="R1185" s="5">
        <f t="shared" si="432"/>
        <v>-1.1157416629660176E-2</v>
      </c>
      <c r="S1185" s="5">
        <f t="shared" si="433"/>
        <v>-3.695351380680445E-3</v>
      </c>
      <c r="T1185" s="5">
        <f t="shared" si="434"/>
        <v>1.6666230587093267E-2</v>
      </c>
      <c r="U1185" s="5">
        <f t="shared" si="435"/>
        <v>5.1773608423972221E-3</v>
      </c>
      <c r="V1185" s="5">
        <f t="shared" si="436"/>
        <v>4.624818868025426E-3</v>
      </c>
      <c r="W1185" s="5">
        <f t="shared" si="437"/>
        <v>4.3922309250592102E-3</v>
      </c>
      <c r="X1185" s="5">
        <f t="shared" si="438"/>
        <v>-6.2640151396160402E-4</v>
      </c>
      <c r="Y1185" s="5">
        <f t="shared" si="439"/>
        <v>-2.1825397104934242E-2</v>
      </c>
      <c r="Z1185" s="33">
        <v>1181</v>
      </c>
      <c r="AE1185" s="20" t="str">
        <f t="shared" si="440"/>
        <v/>
      </c>
      <c r="AF1185" s="22" t="str">
        <f t="shared" si="441"/>
        <v/>
      </c>
      <c r="AG1185" s="9" t="str">
        <f t="shared" ca="1" si="420"/>
        <v/>
      </c>
      <c r="AH1185" s="9" t="str">
        <f t="shared" ca="1" si="421"/>
        <v/>
      </c>
      <c r="AI1185" s="9" t="str">
        <f t="shared" ca="1" si="422"/>
        <v/>
      </c>
      <c r="AJ1185" s="9" t="str">
        <f t="shared" ca="1" si="423"/>
        <v/>
      </c>
      <c r="AK1185" s="9" t="str">
        <f t="shared" ca="1" si="424"/>
        <v/>
      </c>
      <c r="AL1185" s="9" t="str">
        <f t="shared" ca="1" si="425"/>
        <v/>
      </c>
      <c r="AM1185" s="9" t="str">
        <f t="shared" ca="1" si="426"/>
        <v/>
      </c>
      <c r="AN1185" s="9" t="str">
        <f t="shared" ca="1" si="427"/>
        <v/>
      </c>
      <c r="AO1185" s="9" t="str">
        <f t="shared" ca="1" si="428"/>
        <v/>
      </c>
      <c r="AP1185" s="9" t="str">
        <f t="shared" ca="1" si="429"/>
        <v/>
      </c>
      <c r="AQ1185" s="9"/>
      <c r="AR1185" s="9"/>
      <c r="AS1185" s="9"/>
      <c r="AT1185" s="9"/>
      <c r="AU1185" s="9"/>
    </row>
    <row r="1186" spans="1:47" x14ac:dyDescent="0.3">
      <c r="A1186" s="1">
        <v>45182</v>
      </c>
      <c r="B1186" s="6">
        <v>553.55999799999995</v>
      </c>
      <c r="C1186" s="6">
        <v>466.85998499999999</v>
      </c>
      <c r="D1186" s="6">
        <v>56.52</v>
      </c>
      <c r="E1186" s="6">
        <v>179.679993</v>
      </c>
      <c r="F1186" s="6">
        <v>102.07</v>
      </c>
      <c r="G1186" s="6">
        <v>38.220001000000003</v>
      </c>
      <c r="H1186" s="6">
        <v>141.199997</v>
      </c>
      <c r="I1186" s="6">
        <v>261.05999800000001</v>
      </c>
      <c r="J1186" s="6">
        <v>30.639999</v>
      </c>
      <c r="K1186" s="6">
        <v>11.41</v>
      </c>
      <c r="N1186" s="18">
        <v>1182</v>
      </c>
      <c r="O1186" s="1">
        <v>45182</v>
      </c>
      <c r="P1186" s="5">
        <f t="shared" si="430"/>
        <v>2.0716722896752301E-2</v>
      </c>
      <c r="Q1186" s="5">
        <f t="shared" si="431"/>
        <v>2.7139592377596167E-2</v>
      </c>
      <c r="R1186" s="5">
        <f t="shared" si="432"/>
        <v>6.567841012997162E-3</v>
      </c>
      <c r="S1186" s="5">
        <f t="shared" si="433"/>
        <v>7.8781746303392929E-3</v>
      </c>
      <c r="T1186" s="5">
        <f t="shared" si="434"/>
        <v>-1.3526202494390694E-2</v>
      </c>
      <c r="U1186" s="5">
        <f t="shared" si="435"/>
        <v>-1.3255528550222162E-2</v>
      </c>
      <c r="V1186" s="5">
        <f t="shared" si="436"/>
        <v>2.3398600341853651E-3</v>
      </c>
      <c r="W1186" s="5">
        <f t="shared" si="437"/>
        <v>-5.1197759045103512E-3</v>
      </c>
      <c r="X1186" s="5">
        <f t="shared" si="438"/>
        <v>-4.0926460346293742E-2</v>
      </c>
      <c r="Y1186" s="5">
        <f t="shared" si="439"/>
        <v>7.036088834069241E-3</v>
      </c>
      <c r="Z1186" s="33">
        <v>1182</v>
      </c>
      <c r="AE1186" s="20" t="str">
        <f t="shared" si="440"/>
        <v/>
      </c>
      <c r="AF1186" s="22" t="str">
        <f t="shared" si="441"/>
        <v/>
      </c>
      <c r="AG1186" s="9" t="str">
        <f t="shared" ca="1" si="420"/>
        <v/>
      </c>
      <c r="AH1186" s="9" t="str">
        <f t="shared" ca="1" si="421"/>
        <v/>
      </c>
      <c r="AI1186" s="9" t="str">
        <f t="shared" ca="1" si="422"/>
        <v/>
      </c>
      <c r="AJ1186" s="9" t="str">
        <f t="shared" ca="1" si="423"/>
        <v/>
      </c>
      <c r="AK1186" s="9" t="str">
        <f t="shared" ca="1" si="424"/>
        <v/>
      </c>
      <c r="AL1186" s="9" t="str">
        <f t="shared" ca="1" si="425"/>
        <v/>
      </c>
      <c r="AM1186" s="9" t="str">
        <f t="shared" ca="1" si="426"/>
        <v/>
      </c>
      <c r="AN1186" s="9" t="str">
        <f t="shared" ca="1" si="427"/>
        <v/>
      </c>
      <c r="AO1186" s="9" t="str">
        <f t="shared" ca="1" si="428"/>
        <v/>
      </c>
      <c r="AP1186" s="9" t="str">
        <f t="shared" ca="1" si="429"/>
        <v/>
      </c>
      <c r="AQ1186" s="9"/>
      <c r="AR1186" s="9"/>
      <c r="AS1186" s="9"/>
      <c r="AT1186" s="9"/>
      <c r="AU1186" s="9"/>
    </row>
    <row r="1187" spans="1:47" x14ac:dyDescent="0.3">
      <c r="A1187" s="1">
        <v>45183</v>
      </c>
      <c r="B1187" s="6">
        <v>552.15997300000004</v>
      </c>
      <c r="C1187" s="6">
        <v>466.14999399999999</v>
      </c>
      <c r="D1187" s="6">
        <v>56.869999</v>
      </c>
      <c r="E1187" s="6">
        <v>181.229996</v>
      </c>
      <c r="F1187" s="6">
        <v>103.41999800000001</v>
      </c>
      <c r="G1187" s="6">
        <v>38.439999</v>
      </c>
      <c r="H1187" s="6">
        <v>144.16000399999999</v>
      </c>
      <c r="I1187" s="6">
        <v>263.91000400000001</v>
      </c>
      <c r="J1187" s="6">
        <v>31.049999</v>
      </c>
      <c r="K1187" s="6">
        <v>11.73</v>
      </c>
      <c r="N1187" s="19">
        <v>1183</v>
      </c>
      <c r="O1187" s="1">
        <v>45183</v>
      </c>
      <c r="P1187" s="5">
        <f t="shared" si="430"/>
        <v>-2.5323332939293352E-3</v>
      </c>
      <c r="Q1187" s="5">
        <f t="shared" si="431"/>
        <v>-1.5219368560376975E-3</v>
      </c>
      <c r="R1187" s="5">
        <f t="shared" si="432"/>
        <v>6.1733859184179216E-3</v>
      </c>
      <c r="S1187" s="5">
        <f t="shared" si="433"/>
        <v>8.5894687153739799E-3</v>
      </c>
      <c r="T1187" s="5">
        <f t="shared" si="434"/>
        <v>1.3139495214049012E-2</v>
      </c>
      <c r="U1187" s="5">
        <f t="shared" si="435"/>
        <v>5.739593111084562E-3</v>
      </c>
      <c r="V1187" s="5">
        <f t="shared" si="436"/>
        <v>2.0746517794292658E-2</v>
      </c>
      <c r="W1187" s="5">
        <f t="shared" si="437"/>
        <v>1.0857892789805326E-2</v>
      </c>
      <c r="X1187" s="5">
        <f t="shared" si="438"/>
        <v>1.3292463938053743E-2</v>
      </c>
      <c r="Y1187" s="5">
        <f t="shared" si="439"/>
        <v>2.765949879139985E-2</v>
      </c>
      <c r="Z1187" s="33">
        <v>1183</v>
      </c>
      <c r="AE1187" s="20" t="str">
        <f t="shared" si="440"/>
        <v/>
      </c>
      <c r="AF1187" s="22" t="str">
        <f t="shared" si="441"/>
        <v/>
      </c>
      <c r="AG1187" s="9" t="str">
        <f t="shared" ca="1" si="420"/>
        <v/>
      </c>
      <c r="AH1187" s="9" t="str">
        <f t="shared" ca="1" si="421"/>
        <v/>
      </c>
      <c r="AI1187" s="9" t="str">
        <f t="shared" ca="1" si="422"/>
        <v/>
      </c>
      <c r="AJ1187" s="9" t="str">
        <f t="shared" ca="1" si="423"/>
        <v/>
      </c>
      <c r="AK1187" s="9" t="str">
        <f t="shared" ca="1" si="424"/>
        <v/>
      </c>
      <c r="AL1187" s="9" t="str">
        <f t="shared" ca="1" si="425"/>
        <v/>
      </c>
      <c r="AM1187" s="9" t="str">
        <f t="shared" ca="1" si="426"/>
        <v/>
      </c>
      <c r="AN1187" s="9" t="str">
        <f t="shared" ca="1" si="427"/>
        <v/>
      </c>
      <c r="AO1187" s="9" t="str">
        <f t="shared" ca="1" si="428"/>
        <v/>
      </c>
      <c r="AP1187" s="9" t="str">
        <f t="shared" ca="1" si="429"/>
        <v/>
      </c>
      <c r="AQ1187" s="9"/>
      <c r="AR1187" s="9"/>
      <c r="AS1187" s="9"/>
      <c r="AT1187" s="9"/>
      <c r="AU1187" s="9"/>
    </row>
    <row r="1188" spans="1:47" x14ac:dyDescent="0.3">
      <c r="A1188" s="1">
        <v>45184</v>
      </c>
      <c r="B1188" s="6">
        <v>528.89001499999995</v>
      </c>
      <c r="C1188" s="6">
        <v>451.92999300000002</v>
      </c>
      <c r="D1188" s="6">
        <v>56.139999000000003</v>
      </c>
      <c r="E1188" s="6">
        <v>179.83999600000001</v>
      </c>
      <c r="F1188" s="6">
        <v>102.870003</v>
      </c>
      <c r="G1188" s="6">
        <v>38.229999999999997</v>
      </c>
      <c r="H1188" s="6">
        <v>144.449997</v>
      </c>
      <c r="I1188" s="6">
        <v>260.42001299999998</v>
      </c>
      <c r="J1188" s="6">
        <v>30.74</v>
      </c>
      <c r="K1188" s="6">
        <v>11.84</v>
      </c>
      <c r="N1188" s="18">
        <v>1184</v>
      </c>
      <c r="O1188" s="1">
        <v>45184</v>
      </c>
      <c r="P1188" s="5">
        <f t="shared" si="430"/>
        <v>-4.3057311362162141E-2</v>
      </c>
      <c r="Q1188" s="5">
        <f t="shared" si="431"/>
        <v>-3.0980172778011496E-2</v>
      </c>
      <c r="R1188" s="5">
        <f t="shared" si="432"/>
        <v>-1.2919390613619772E-2</v>
      </c>
      <c r="S1188" s="5">
        <f t="shared" si="433"/>
        <v>-7.6993762840251272E-3</v>
      </c>
      <c r="T1188" s="5">
        <f t="shared" si="434"/>
        <v>-5.3322633234965796E-3</v>
      </c>
      <c r="U1188" s="5">
        <f t="shared" si="435"/>
        <v>-5.4780103792019426E-3</v>
      </c>
      <c r="V1188" s="5">
        <f t="shared" si="436"/>
        <v>2.0095845368368675E-3</v>
      </c>
      <c r="W1188" s="5">
        <f t="shared" si="437"/>
        <v>-1.3312388869432973E-2</v>
      </c>
      <c r="X1188" s="5">
        <f t="shared" si="438"/>
        <v>-1.0034038062918369E-2</v>
      </c>
      <c r="Y1188" s="5">
        <f t="shared" si="439"/>
        <v>9.3339667904755053E-3</v>
      </c>
      <c r="Z1188" s="33">
        <v>1184</v>
      </c>
      <c r="AE1188" s="20" t="str">
        <f t="shared" si="440"/>
        <v/>
      </c>
      <c r="AF1188" s="22" t="str">
        <f t="shared" si="441"/>
        <v/>
      </c>
      <c r="AG1188" s="9" t="str">
        <f t="shared" ca="1" si="420"/>
        <v/>
      </c>
      <c r="AH1188" s="9" t="str">
        <f t="shared" ca="1" si="421"/>
        <v/>
      </c>
      <c r="AI1188" s="9" t="str">
        <f t="shared" ca="1" si="422"/>
        <v/>
      </c>
      <c r="AJ1188" s="9" t="str">
        <f t="shared" ca="1" si="423"/>
        <v/>
      </c>
      <c r="AK1188" s="9" t="str">
        <f t="shared" ca="1" si="424"/>
        <v/>
      </c>
      <c r="AL1188" s="9" t="str">
        <f t="shared" ca="1" si="425"/>
        <v/>
      </c>
      <c r="AM1188" s="9" t="str">
        <f t="shared" ca="1" si="426"/>
        <v/>
      </c>
      <c r="AN1188" s="9" t="str">
        <f t="shared" ca="1" si="427"/>
        <v/>
      </c>
      <c r="AO1188" s="9" t="str">
        <f t="shared" ca="1" si="428"/>
        <v/>
      </c>
      <c r="AP1188" s="9" t="str">
        <f t="shared" ca="1" si="429"/>
        <v/>
      </c>
      <c r="AQ1188" s="9"/>
      <c r="AR1188" s="9"/>
      <c r="AS1188" s="9"/>
      <c r="AT1188" s="9"/>
      <c r="AU1188" s="9"/>
    </row>
    <row r="1189" spans="1:47" x14ac:dyDescent="0.3">
      <c r="A1189" s="1">
        <v>45187</v>
      </c>
      <c r="B1189" s="6">
        <v>532.419983</v>
      </c>
      <c r="C1189" s="6">
        <v>460.01001000000002</v>
      </c>
      <c r="D1189" s="6">
        <v>56.27</v>
      </c>
      <c r="E1189" s="6">
        <v>179.38000500000001</v>
      </c>
      <c r="F1189" s="6">
        <v>101.949997</v>
      </c>
      <c r="G1189" s="6">
        <v>37.939999</v>
      </c>
      <c r="H1189" s="6">
        <v>143.529999</v>
      </c>
      <c r="I1189" s="6">
        <v>260.69000199999999</v>
      </c>
      <c r="J1189" s="6">
        <v>30.450001</v>
      </c>
      <c r="K1189" s="6">
        <v>11.66</v>
      </c>
      <c r="N1189" s="19">
        <v>1185</v>
      </c>
      <c r="O1189" s="1">
        <v>45187</v>
      </c>
      <c r="P1189" s="5">
        <f t="shared" si="430"/>
        <v>6.6521205370866964E-3</v>
      </c>
      <c r="Q1189" s="5">
        <f t="shared" si="431"/>
        <v>1.772096502264392E-2</v>
      </c>
      <c r="R1189" s="5">
        <f t="shared" si="432"/>
        <v>2.312980324062611E-3</v>
      </c>
      <c r="S1189" s="5">
        <f t="shared" si="433"/>
        <v>-2.5610558996889726E-3</v>
      </c>
      <c r="T1189" s="5">
        <f t="shared" si="434"/>
        <v>-8.9836167116850614E-3</v>
      </c>
      <c r="U1189" s="5">
        <f t="shared" si="435"/>
        <v>-7.6146095588599232E-3</v>
      </c>
      <c r="V1189" s="5">
        <f t="shared" si="436"/>
        <v>-6.3893405277075915E-3</v>
      </c>
      <c r="W1189" s="5">
        <f t="shared" si="437"/>
        <v>1.0362073895580088E-3</v>
      </c>
      <c r="X1189" s="5">
        <f t="shared" si="438"/>
        <v>-9.4787111138217583E-3</v>
      </c>
      <c r="Y1189" s="5">
        <f t="shared" si="439"/>
        <v>-1.5319448533513231E-2</v>
      </c>
      <c r="Z1189" s="33">
        <v>1185</v>
      </c>
      <c r="AE1189" s="20" t="str">
        <f t="shared" si="440"/>
        <v/>
      </c>
      <c r="AF1189" s="22" t="str">
        <f t="shared" si="441"/>
        <v/>
      </c>
      <c r="AG1189" s="9" t="str">
        <f t="shared" ca="1" si="420"/>
        <v/>
      </c>
      <c r="AH1189" s="9" t="str">
        <f t="shared" ca="1" si="421"/>
        <v/>
      </c>
      <c r="AI1189" s="9" t="str">
        <f t="shared" ca="1" si="422"/>
        <v/>
      </c>
      <c r="AJ1189" s="9" t="str">
        <f t="shared" ca="1" si="423"/>
        <v/>
      </c>
      <c r="AK1189" s="9" t="str">
        <f t="shared" ca="1" si="424"/>
        <v/>
      </c>
      <c r="AL1189" s="9" t="str">
        <f t="shared" ca="1" si="425"/>
        <v/>
      </c>
      <c r="AM1189" s="9" t="str">
        <f t="shared" ca="1" si="426"/>
        <v/>
      </c>
      <c r="AN1189" s="9" t="str">
        <f t="shared" ca="1" si="427"/>
        <v/>
      </c>
      <c r="AO1189" s="9" t="str">
        <f t="shared" ca="1" si="428"/>
        <v/>
      </c>
      <c r="AP1189" s="9" t="str">
        <f t="shared" ca="1" si="429"/>
        <v/>
      </c>
      <c r="AQ1189" s="9"/>
      <c r="AR1189" s="9"/>
      <c r="AS1189" s="9"/>
      <c r="AT1189" s="9"/>
      <c r="AU1189" s="9"/>
    </row>
    <row r="1190" spans="1:47" x14ac:dyDescent="0.3">
      <c r="A1190" s="1">
        <v>45188</v>
      </c>
      <c r="B1190" s="6">
        <v>541.69000200000005</v>
      </c>
      <c r="C1190" s="6">
        <v>460.01998900000001</v>
      </c>
      <c r="D1190" s="6">
        <v>56.009998000000003</v>
      </c>
      <c r="E1190" s="6">
        <v>178.320007</v>
      </c>
      <c r="F1190" s="6">
        <v>101.970001</v>
      </c>
      <c r="G1190" s="6">
        <v>37.830002</v>
      </c>
      <c r="H1190" s="6">
        <v>143.75</v>
      </c>
      <c r="I1190" s="6">
        <v>260.10000600000001</v>
      </c>
      <c r="J1190" s="6">
        <v>30.290001</v>
      </c>
      <c r="K1190" s="6">
        <v>11.64</v>
      </c>
      <c r="N1190" s="18">
        <v>1186</v>
      </c>
      <c r="O1190" s="1">
        <v>45188</v>
      </c>
      <c r="P1190" s="5">
        <f t="shared" si="430"/>
        <v>1.7261266157422891E-2</v>
      </c>
      <c r="Q1190" s="5">
        <f t="shared" si="431"/>
        <v>2.1692770912393941E-5</v>
      </c>
      <c r="R1190" s="5">
        <f t="shared" si="432"/>
        <v>-4.6313229313566084E-3</v>
      </c>
      <c r="S1190" s="5">
        <f t="shared" si="433"/>
        <v>-5.9267602307601242E-3</v>
      </c>
      <c r="T1190" s="5">
        <f t="shared" si="434"/>
        <v>1.9619458866566709E-4</v>
      </c>
      <c r="U1190" s="5">
        <f t="shared" si="435"/>
        <v>-2.9034466364308161E-3</v>
      </c>
      <c r="V1190" s="5">
        <f t="shared" si="436"/>
        <v>1.5316140613553806E-3</v>
      </c>
      <c r="W1190" s="5">
        <f t="shared" si="437"/>
        <v>-2.2657740868436342E-3</v>
      </c>
      <c r="X1190" s="5">
        <f t="shared" si="438"/>
        <v>-5.2683689432865173E-3</v>
      </c>
      <c r="Y1190" s="5">
        <f t="shared" si="439"/>
        <v>-1.7167386190544741E-3</v>
      </c>
      <c r="Z1190" s="33">
        <v>1186</v>
      </c>
      <c r="AE1190" s="20" t="str">
        <f t="shared" si="440"/>
        <v/>
      </c>
      <c r="AF1190" s="22" t="str">
        <f t="shared" si="441"/>
        <v/>
      </c>
      <c r="AG1190" s="9" t="str">
        <f t="shared" ca="1" si="420"/>
        <v/>
      </c>
      <c r="AH1190" s="9" t="str">
        <f t="shared" ca="1" si="421"/>
        <v/>
      </c>
      <c r="AI1190" s="9" t="str">
        <f t="shared" ca="1" si="422"/>
        <v/>
      </c>
      <c r="AJ1190" s="9" t="str">
        <f t="shared" ca="1" si="423"/>
        <v/>
      </c>
      <c r="AK1190" s="9" t="str">
        <f t="shared" ca="1" si="424"/>
        <v/>
      </c>
      <c r="AL1190" s="9" t="str">
        <f t="shared" ca="1" si="425"/>
        <v/>
      </c>
      <c r="AM1190" s="9" t="str">
        <f t="shared" ca="1" si="426"/>
        <v/>
      </c>
      <c r="AN1190" s="9" t="str">
        <f t="shared" ca="1" si="427"/>
        <v/>
      </c>
      <c r="AO1190" s="9" t="str">
        <f t="shared" ca="1" si="428"/>
        <v/>
      </c>
      <c r="AP1190" s="9" t="str">
        <f t="shared" ca="1" si="429"/>
        <v/>
      </c>
      <c r="AQ1190" s="9"/>
      <c r="AR1190" s="9"/>
      <c r="AS1190" s="9"/>
      <c r="AT1190" s="9"/>
      <c r="AU1190" s="9"/>
    </row>
    <row r="1191" spans="1:47" x14ac:dyDescent="0.3">
      <c r="A1191" s="1">
        <v>45189</v>
      </c>
      <c r="B1191" s="6">
        <v>535.78002900000001</v>
      </c>
      <c r="C1191" s="6">
        <v>453.27999899999998</v>
      </c>
      <c r="D1191" s="6">
        <v>55.759998000000003</v>
      </c>
      <c r="E1191" s="6">
        <v>178.38000500000001</v>
      </c>
      <c r="F1191" s="6">
        <v>102.199997</v>
      </c>
      <c r="G1191" s="6">
        <v>37.93</v>
      </c>
      <c r="H1191" s="6">
        <v>143.5</v>
      </c>
      <c r="I1191" s="6">
        <v>255.729996</v>
      </c>
      <c r="J1191" s="6">
        <v>29.82</v>
      </c>
      <c r="K1191" s="6">
        <v>11.5</v>
      </c>
      <c r="N1191" s="19">
        <v>1187</v>
      </c>
      <c r="O1191" s="1">
        <v>45189</v>
      </c>
      <c r="P1191" s="5">
        <f t="shared" si="430"/>
        <v>-1.0970202603607924E-2</v>
      </c>
      <c r="Q1191" s="5">
        <f t="shared" si="431"/>
        <v>-1.4759909010789461E-2</v>
      </c>
      <c r="R1191" s="5">
        <f t="shared" si="432"/>
        <v>-4.4734799295689503E-3</v>
      </c>
      <c r="S1191" s="5">
        <f t="shared" si="433"/>
        <v>3.3640593522507524E-4</v>
      </c>
      <c r="T1191" s="5">
        <f t="shared" si="434"/>
        <v>2.2529862324560889E-3</v>
      </c>
      <c r="U1191" s="5">
        <f t="shared" si="435"/>
        <v>2.6398641877770383E-3</v>
      </c>
      <c r="V1191" s="5">
        <f t="shared" si="436"/>
        <v>-1.7406444777839894E-3</v>
      </c>
      <c r="W1191" s="5">
        <f t="shared" si="437"/>
        <v>-1.694401075882794E-2</v>
      </c>
      <c r="X1191" s="5">
        <f t="shared" si="438"/>
        <v>-1.5638348716749101E-2</v>
      </c>
      <c r="Y1191" s="5">
        <f t="shared" si="439"/>
        <v>-1.2100406934087453E-2</v>
      </c>
      <c r="Z1191" s="33">
        <v>1187</v>
      </c>
      <c r="AE1191" s="20" t="str">
        <f t="shared" si="440"/>
        <v/>
      </c>
      <c r="AF1191" s="22" t="str">
        <f t="shared" si="441"/>
        <v/>
      </c>
      <c r="AG1191" s="9" t="str">
        <f t="shared" ca="1" si="420"/>
        <v/>
      </c>
      <c r="AH1191" s="9" t="str">
        <f t="shared" ca="1" si="421"/>
        <v/>
      </c>
      <c r="AI1191" s="9" t="str">
        <f t="shared" ca="1" si="422"/>
        <v/>
      </c>
      <c r="AJ1191" s="9" t="str">
        <f t="shared" ca="1" si="423"/>
        <v/>
      </c>
      <c r="AK1191" s="9" t="str">
        <f t="shared" ca="1" si="424"/>
        <v/>
      </c>
      <c r="AL1191" s="9" t="str">
        <f t="shared" ca="1" si="425"/>
        <v/>
      </c>
      <c r="AM1191" s="9" t="str">
        <f t="shared" ca="1" si="426"/>
        <v/>
      </c>
      <c r="AN1191" s="9" t="str">
        <f t="shared" ca="1" si="427"/>
        <v/>
      </c>
      <c r="AO1191" s="9" t="str">
        <f t="shared" ca="1" si="428"/>
        <v/>
      </c>
      <c r="AP1191" s="9" t="str">
        <f t="shared" ca="1" si="429"/>
        <v/>
      </c>
      <c r="AQ1191" s="9"/>
      <c r="AR1191" s="9"/>
      <c r="AS1191" s="9"/>
      <c r="AT1191" s="9"/>
      <c r="AU1191" s="9"/>
    </row>
    <row r="1192" spans="1:47" x14ac:dyDescent="0.3">
      <c r="A1192" s="1">
        <v>45190</v>
      </c>
      <c r="B1192" s="6">
        <v>513.88000499999998</v>
      </c>
      <c r="C1192" s="6">
        <v>444.26998900000001</v>
      </c>
      <c r="D1192" s="6">
        <v>54.75</v>
      </c>
      <c r="E1192" s="6">
        <v>175.38000500000001</v>
      </c>
      <c r="F1192" s="6">
        <v>99.209998999999996</v>
      </c>
      <c r="G1192" s="6">
        <v>36.700001</v>
      </c>
      <c r="H1192" s="6">
        <v>141.55999800000001</v>
      </c>
      <c r="I1192" s="6">
        <v>255.13999899999999</v>
      </c>
      <c r="J1192" s="6">
        <v>29.309999000000001</v>
      </c>
      <c r="K1192" s="6">
        <v>11.51</v>
      </c>
      <c r="N1192" s="18">
        <v>1188</v>
      </c>
      <c r="O1192" s="1">
        <v>45190</v>
      </c>
      <c r="P1192" s="5">
        <f t="shared" si="430"/>
        <v>-4.1733898286254983E-2</v>
      </c>
      <c r="Q1192" s="5">
        <f t="shared" si="431"/>
        <v>-2.0077572918261333E-2</v>
      </c>
      <c r="R1192" s="5">
        <f t="shared" si="432"/>
        <v>-1.827936188765196E-2</v>
      </c>
      <c r="S1192" s="5">
        <f t="shared" si="433"/>
        <v>-1.6961057407377838E-2</v>
      </c>
      <c r="T1192" s="5">
        <f t="shared" si="434"/>
        <v>-2.9692842833214255E-2</v>
      </c>
      <c r="U1192" s="5">
        <f t="shared" si="435"/>
        <v>-3.2965573392326954E-2</v>
      </c>
      <c r="V1192" s="5">
        <f t="shared" si="436"/>
        <v>-1.3611393850698046E-2</v>
      </c>
      <c r="W1192" s="5">
        <f t="shared" si="437"/>
        <v>-2.3097745731013005E-3</v>
      </c>
      <c r="X1192" s="5">
        <f t="shared" si="438"/>
        <v>-1.7250588731840284E-2</v>
      </c>
      <c r="Y1192" s="5">
        <f t="shared" si="439"/>
        <v>8.6918736458693388E-4</v>
      </c>
      <c r="Z1192" s="33">
        <v>1188</v>
      </c>
      <c r="AE1192" s="20" t="str">
        <f t="shared" si="440"/>
        <v/>
      </c>
      <c r="AF1192" s="22" t="str">
        <f t="shared" si="441"/>
        <v/>
      </c>
      <c r="AG1192" s="9" t="str">
        <f t="shared" ca="1" si="420"/>
        <v/>
      </c>
      <c r="AH1192" s="9" t="str">
        <f t="shared" ca="1" si="421"/>
        <v/>
      </c>
      <c r="AI1192" s="9" t="str">
        <f t="shared" ca="1" si="422"/>
        <v/>
      </c>
      <c r="AJ1192" s="9" t="str">
        <f t="shared" ca="1" si="423"/>
        <v/>
      </c>
      <c r="AK1192" s="9" t="str">
        <f t="shared" ca="1" si="424"/>
        <v/>
      </c>
      <c r="AL1192" s="9" t="str">
        <f t="shared" ca="1" si="425"/>
        <v/>
      </c>
      <c r="AM1192" s="9" t="str">
        <f t="shared" ca="1" si="426"/>
        <v/>
      </c>
      <c r="AN1192" s="9" t="str">
        <f t="shared" ca="1" si="427"/>
        <v/>
      </c>
      <c r="AO1192" s="9" t="str">
        <f t="shared" ca="1" si="428"/>
        <v/>
      </c>
      <c r="AP1192" s="9" t="str">
        <f t="shared" ca="1" si="429"/>
        <v/>
      </c>
      <c r="AQ1192" s="9"/>
      <c r="AR1192" s="9"/>
      <c r="AS1192" s="9"/>
      <c r="AT1192" s="9"/>
      <c r="AU1192" s="9"/>
    </row>
    <row r="1193" spans="1:47" x14ac:dyDescent="0.3">
      <c r="A1193" s="1">
        <v>45191</v>
      </c>
      <c r="B1193" s="6">
        <v>512.90002400000003</v>
      </c>
      <c r="C1193" s="6">
        <v>446.85000600000001</v>
      </c>
      <c r="D1193" s="6">
        <v>54.52</v>
      </c>
      <c r="E1193" s="6">
        <v>175.270004</v>
      </c>
      <c r="F1193" s="6">
        <v>97.949996999999996</v>
      </c>
      <c r="G1193" s="6">
        <v>36.229999999999997</v>
      </c>
      <c r="H1193" s="6">
        <v>141.35000600000001</v>
      </c>
      <c r="I1193" s="6">
        <v>255.86000100000001</v>
      </c>
      <c r="J1193" s="6">
        <v>28.85</v>
      </c>
      <c r="K1193" s="6">
        <v>11.1</v>
      </c>
      <c r="N1193" s="19">
        <v>1189</v>
      </c>
      <c r="O1193" s="1">
        <v>45191</v>
      </c>
      <c r="P1193" s="5">
        <f t="shared" si="430"/>
        <v>-1.9088437053380199E-3</v>
      </c>
      <c r="Q1193" s="5">
        <f t="shared" si="431"/>
        <v>5.7905202969224141E-3</v>
      </c>
      <c r="R1193" s="5">
        <f t="shared" si="432"/>
        <v>-4.2097618682783123E-3</v>
      </c>
      <c r="S1193" s="5">
        <f t="shared" si="433"/>
        <v>-6.274119537151028E-4</v>
      </c>
      <c r="T1193" s="5">
        <f t="shared" si="434"/>
        <v>-1.2781691819504016E-2</v>
      </c>
      <c r="U1193" s="5">
        <f t="shared" si="435"/>
        <v>-1.288927740149483E-2</v>
      </c>
      <c r="V1193" s="5">
        <f t="shared" si="436"/>
        <v>-1.4845147615547489E-3</v>
      </c>
      <c r="W1193" s="5">
        <f t="shared" si="437"/>
        <v>2.8180136065491038E-3</v>
      </c>
      <c r="X1193" s="5">
        <f t="shared" si="438"/>
        <v>-1.5818727650643429E-2</v>
      </c>
      <c r="Y1193" s="5">
        <f t="shared" si="439"/>
        <v>-3.6271114415502827E-2</v>
      </c>
      <c r="Z1193" s="33">
        <v>1189</v>
      </c>
      <c r="AE1193" s="20" t="str">
        <f t="shared" si="440"/>
        <v/>
      </c>
      <c r="AF1193" s="22" t="str">
        <f t="shared" si="441"/>
        <v/>
      </c>
      <c r="AG1193" s="9" t="str">
        <f t="shared" ca="1" si="420"/>
        <v/>
      </c>
      <c r="AH1193" s="9" t="str">
        <f t="shared" ca="1" si="421"/>
        <v/>
      </c>
      <c r="AI1193" s="9" t="str">
        <f t="shared" ca="1" si="422"/>
        <v/>
      </c>
      <c r="AJ1193" s="9" t="str">
        <f t="shared" ca="1" si="423"/>
        <v/>
      </c>
      <c r="AK1193" s="9" t="str">
        <f t="shared" ca="1" si="424"/>
        <v/>
      </c>
      <c r="AL1193" s="9" t="str">
        <f t="shared" ca="1" si="425"/>
        <v/>
      </c>
      <c r="AM1193" s="9" t="str">
        <f t="shared" ca="1" si="426"/>
        <v/>
      </c>
      <c r="AN1193" s="9" t="str">
        <f t="shared" ca="1" si="427"/>
        <v/>
      </c>
      <c r="AO1193" s="9" t="str">
        <f t="shared" ca="1" si="428"/>
        <v/>
      </c>
      <c r="AP1193" s="9" t="str">
        <f t="shared" ca="1" si="429"/>
        <v/>
      </c>
      <c r="AQ1193" s="9"/>
      <c r="AR1193" s="9"/>
      <c r="AS1193" s="9"/>
      <c r="AT1193" s="9"/>
      <c r="AU1193" s="9"/>
    </row>
    <row r="1194" spans="1:47" x14ac:dyDescent="0.3">
      <c r="A1194" s="1">
        <v>45194</v>
      </c>
      <c r="B1194" s="6">
        <v>511.60000600000001</v>
      </c>
      <c r="C1194" s="6">
        <v>447.82998700000002</v>
      </c>
      <c r="D1194" s="6">
        <v>54.650002000000001</v>
      </c>
      <c r="E1194" s="6">
        <v>174.33000200000001</v>
      </c>
      <c r="F1194" s="6">
        <v>97.699996999999996</v>
      </c>
      <c r="G1194" s="6">
        <v>36</v>
      </c>
      <c r="H1194" s="6">
        <v>142.53999300000001</v>
      </c>
      <c r="I1194" s="6">
        <v>256.290009</v>
      </c>
      <c r="J1194" s="6">
        <v>28.879999000000002</v>
      </c>
      <c r="K1194" s="6">
        <v>10.66</v>
      </c>
      <c r="N1194" s="18">
        <v>1190</v>
      </c>
      <c r="O1194" s="1">
        <v>45194</v>
      </c>
      <c r="P1194" s="5">
        <f t="shared" si="430"/>
        <v>-2.5378597553688993E-3</v>
      </c>
      <c r="Q1194" s="5">
        <f t="shared" si="431"/>
        <v>2.1906858308817652E-3</v>
      </c>
      <c r="R1194" s="5">
        <f t="shared" si="432"/>
        <v>2.38164439073825E-3</v>
      </c>
      <c r="S1194" s="5">
        <f t="shared" si="433"/>
        <v>-5.3775986793977455E-3</v>
      </c>
      <c r="T1194" s="5">
        <f t="shared" si="434"/>
        <v>-2.5555854201849194E-3</v>
      </c>
      <c r="U1194" s="5">
        <f t="shared" si="435"/>
        <v>-6.3685664508758002E-3</v>
      </c>
      <c r="V1194" s="5">
        <f t="shared" si="436"/>
        <v>8.3834863772784679E-3</v>
      </c>
      <c r="W1194" s="5">
        <f t="shared" si="437"/>
        <v>1.6792271508296035E-3</v>
      </c>
      <c r="X1194" s="5">
        <f t="shared" si="438"/>
        <v>1.0392864444774828E-3</v>
      </c>
      <c r="Y1194" s="5">
        <f t="shared" si="439"/>
        <v>-4.0446689580589897E-2</v>
      </c>
      <c r="Z1194" s="33">
        <v>1190</v>
      </c>
      <c r="AE1194" s="20" t="str">
        <f t="shared" si="440"/>
        <v/>
      </c>
      <c r="AF1194" s="22" t="str">
        <f t="shared" si="441"/>
        <v/>
      </c>
      <c r="AG1194" s="9" t="str">
        <f t="shared" ca="1" si="420"/>
        <v/>
      </c>
      <c r="AH1194" s="9" t="str">
        <f t="shared" ca="1" si="421"/>
        <v/>
      </c>
      <c r="AI1194" s="9" t="str">
        <f t="shared" ca="1" si="422"/>
        <v/>
      </c>
      <c r="AJ1194" s="9" t="str">
        <f t="shared" ca="1" si="423"/>
        <v/>
      </c>
      <c r="AK1194" s="9" t="str">
        <f t="shared" ca="1" si="424"/>
        <v/>
      </c>
      <c r="AL1194" s="9" t="str">
        <f t="shared" ca="1" si="425"/>
        <v/>
      </c>
      <c r="AM1194" s="9" t="str">
        <f t="shared" ca="1" si="426"/>
        <v/>
      </c>
      <c r="AN1194" s="9" t="str">
        <f t="shared" ca="1" si="427"/>
        <v/>
      </c>
      <c r="AO1194" s="9" t="str">
        <f t="shared" ca="1" si="428"/>
        <v/>
      </c>
      <c r="AP1194" s="9" t="str">
        <f t="shared" ca="1" si="429"/>
        <v/>
      </c>
      <c r="AQ1194" s="9"/>
      <c r="AR1194" s="9"/>
      <c r="AS1194" s="9"/>
      <c r="AT1194" s="9"/>
      <c r="AU1194" s="9"/>
    </row>
    <row r="1195" spans="1:47" x14ac:dyDescent="0.3">
      <c r="A1195" s="1">
        <v>45195</v>
      </c>
      <c r="B1195" s="6">
        <v>506.29998799999998</v>
      </c>
      <c r="C1195" s="6">
        <v>444.35000600000001</v>
      </c>
      <c r="D1195" s="6">
        <v>54.290000999999997</v>
      </c>
      <c r="E1195" s="6">
        <v>172.520004</v>
      </c>
      <c r="F1195" s="6">
        <v>96.400002000000001</v>
      </c>
      <c r="G1195" s="6">
        <v>35.709999000000003</v>
      </c>
      <c r="H1195" s="6">
        <v>139.800003</v>
      </c>
      <c r="I1195" s="6">
        <v>252.96000699999999</v>
      </c>
      <c r="J1195" s="6">
        <v>28.4</v>
      </c>
      <c r="K1195" s="6">
        <v>10.69</v>
      </c>
      <c r="N1195" s="19">
        <v>1191</v>
      </c>
      <c r="O1195" s="1">
        <v>45195</v>
      </c>
      <c r="P1195" s="5">
        <f t="shared" si="430"/>
        <v>-1.0413726158099641E-2</v>
      </c>
      <c r="Q1195" s="5">
        <f t="shared" si="431"/>
        <v>-7.8011133982537288E-3</v>
      </c>
      <c r="R1195" s="5">
        <f t="shared" si="432"/>
        <v>-6.6091848821123447E-3</v>
      </c>
      <c r="S1195" s="5">
        <f t="shared" si="433"/>
        <v>-1.0436871262258831E-2</v>
      </c>
      <c r="T1195" s="5">
        <f t="shared" si="434"/>
        <v>-1.3395305979105243E-2</v>
      </c>
      <c r="U1195" s="5">
        <f t="shared" si="435"/>
        <v>-8.0882048531136144E-3</v>
      </c>
      <c r="V1195" s="5">
        <f t="shared" si="436"/>
        <v>-1.9409761705764365E-2</v>
      </c>
      <c r="W1195" s="5">
        <f t="shared" si="437"/>
        <v>-1.3078249814585287E-2</v>
      </c>
      <c r="X1195" s="5">
        <f t="shared" si="438"/>
        <v>-1.6760134231425795E-2</v>
      </c>
      <c r="Y1195" s="5">
        <f t="shared" si="439"/>
        <v>2.8103062992553447E-3</v>
      </c>
      <c r="Z1195" s="33">
        <v>1191</v>
      </c>
      <c r="AE1195" s="20" t="str">
        <f t="shared" si="440"/>
        <v/>
      </c>
      <c r="AF1195" s="22" t="str">
        <f t="shared" si="441"/>
        <v/>
      </c>
      <c r="AG1195" s="9" t="str">
        <f t="shared" ca="1" si="420"/>
        <v/>
      </c>
      <c r="AH1195" s="9" t="str">
        <f t="shared" ca="1" si="421"/>
        <v/>
      </c>
      <c r="AI1195" s="9" t="str">
        <f t="shared" ca="1" si="422"/>
        <v/>
      </c>
      <c r="AJ1195" s="9" t="str">
        <f t="shared" ca="1" si="423"/>
        <v/>
      </c>
      <c r="AK1195" s="9" t="str">
        <f t="shared" ca="1" si="424"/>
        <v/>
      </c>
      <c r="AL1195" s="9" t="str">
        <f t="shared" ca="1" si="425"/>
        <v/>
      </c>
      <c r="AM1195" s="9" t="str">
        <f t="shared" ca="1" si="426"/>
        <v/>
      </c>
      <c r="AN1195" s="9" t="str">
        <f t="shared" ca="1" si="427"/>
        <v/>
      </c>
      <c r="AO1195" s="9" t="str">
        <f t="shared" ca="1" si="428"/>
        <v/>
      </c>
      <c r="AP1195" s="9" t="str">
        <f t="shared" ca="1" si="429"/>
        <v/>
      </c>
      <c r="AQ1195" s="9"/>
      <c r="AR1195" s="9"/>
      <c r="AS1195" s="9"/>
      <c r="AT1195" s="9"/>
      <c r="AU1195" s="9"/>
    </row>
    <row r="1196" spans="1:47" x14ac:dyDescent="0.3">
      <c r="A1196" s="1">
        <v>45196</v>
      </c>
      <c r="B1196" s="6">
        <v>502.60000600000001</v>
      </c>
      <c r="C1196" s="6">
        <v>446.709991</v>
      </c>
      <c r="D1196" s="6">
        <v>53.119999</v>
      </c>
      <c r="E1196" s="6">
        <v>169.570007</v>
      </c>
      <c r="F1196" s="6">
        <v>94.879997000000003</v>
      </c>
      <c r="G1196" s="6">
        <v>35.389999000000003</v>
      </c>
      <c r="H1196" s="6">
        <v>140.58999600000001</v>
      </c>
      <c r="I1196" s="6">
        <v>253.970001</v>
      </c>
      <c r="J1196" s="6">
        <v>28.73</v>
      </c>
      <c r="K1196" s="6">
        <v>11.03</v>
      </c>
      <c r="N1196" s="18">
        <v>1192</v>
      </c>
      <c r="O1196" s="1">
        <v>45196</v>
      </c>
      <c r="P1196" s="5">
        <f t="shared" si="430"/>
        <v>-7.3347182270858532E-3</v>
      </c>
      <c r="Q1196" s="5">
        <f t="shared" si="431"/>
        <v>5.2970406619241798E-3</v>
      </c>
      <c r="R1196" s="5">
        <f t="shared" si="432"/>
        <v>-2.1786579994080898E-2</v>
      </c>
      <c r="S1196" s="5">
        <f t="shared" si="433"/>
        <v>-1.7247332765437547E-2</v>
      </c>
      <c r="T1196" s="5">
        <f t="shared" si="434"/>
        <v>-1.5893318732859853E-2</v>
      </c>
      <c r="U1196" s="5">
        <f t="shared" si="435"/>
        <v>-9.0014675021943217E-3</v>
      </c>
      <c r="V1196" s="5">
        <f t="shared" si="436"/>
        <v>5.6349733813528058E-3</v>
      </c>
      <c r="W1196" s="5">
        <f t="shared" si="437"/>
        <v>3.9847526107050744E-3</v>
      </c>
      <c r="X1196" s="5">
        <f t="shared" si="438"/>
        <v>1.1552727824037868E-2</v>
      </c>
      <c r="Y1196" s="5">
        <f t="shared" si="439"/>
        <v>3.1310108228457291E-2</v>
      </c>
      <c r="Z1196" s="33">
        <v>1192</v>
      </c>
      <c r="AE1196" s="20" t="str">
        <f t="shared" si="440"/>
        <v/>
      </c>
      <c r="AF1196" s="22" t="str">
        <f t="shared" si="441"/>
        <v/>
      </c>
      <c r="AG1196" s="9" t="str">
        <f t="shared" ca="1" si="420"/>
        <v/>
      </c>
      <c r="AH1196" s="9" t="str">
        <f t="shared" ca="1" si="421"/>
        <v/>
      </c>
      <c r="AI1196" s="9" t="str">
        <f t="shared" ca="1" si="422"/>
        <v/>
      </c>
      <c r="AJ1196" s="9" t="str">
        <f t="shared" ca="1" si="423"/>
        <v/>
      </c>
      <c r="AK1196" s="9" t="str">
        <f t="shared" ca="1" si="424"/>
        <v/>
      </c>
      <c r="AL1196" s="9" t="str">
        <f t="shared" ca="1" si="425"/>
        <v/>
      </c>
      <c r="AM1196" s="9" t="str">
        <f t="shared" ca="1" si="426"/>
        <v/>
      </c>
      <c r="AN1196" s="9" t="str">
        <f t="shared" ca="1" si="427"/>
        <v/>
      </c>
      <c r="AO1196" s="9" t="str">
        <f t="shared" ca="1" si="428"/>
        <v/>
      </c>
      <c r="AP1196" s="9" t="str">
        <f t="shared" ca="1" si="429"/>
        <v/>
      </c>
      <c r="AQ1196" s="9"/>
      <c r="AR1196" s="9"/>
      <c r="AS1196" s="9"/>
      <c r="AT1196" s="9"/>
      <c r="AU1196" s="9"/>
    </row>
    <row r="1197" spans="1:47" x14ac:dyDescent="0.3">
      <c r="A1197" s="1">
        <v>45197</v>
      </c>
      <c r="B1197" s="6">
        <v>504.67001299999998</v>
      </c>
      <c r="C1197" s="6">
        <v>460.709991</v>
      </c>
      <c r="D1197" s="6">
        <v>53.16</v>
      </c>
      <c r="E1197" s="6">
        <v>169.5</v>
      </c>
      <c r="F1197" s="6">
        <v>94.620002999999997</v>
      </c>
      <c r="G1197" s="6">
        <v>35.669998</v>
      </c>
      <c r="H1197" s="6">
        <v>140.69000199999999</v>
      </c>
      <c r="I1197" s="6">
        <v>257.64001500000001</v>
      </c>
      <c r="J1197" s="6">
        <v>28.950001</v>
      </c>
      <c r="K1197" s="6">
        <v>10.69</v>
      </c>
      <c r="N1197" s="19">
        <v>1193</v>
      </c>
      <c r="O1197" s="1">
        <v>45197</v>
      </c>
      <c r="P1197" s="5">
        <f t="shared" si="430"/>
        <v>4.1101390392787197E-3</v>
      </c>
      <c r="Q1197" s="5">
        <f t="shared" si="431"/>
        <v>3.0859163921367914E-2</v>
      </c>
      <c r="R1197" s="5">
        <f t="shared" si="432"/>
        <v>7.5274750216752209E-4</v>
      </c>
      <c r="S1197" s="5">
        <f t="shared" si="433"/>
        <v>-4.129353794172594E-4</v>
      </c>
      <c r="T1197" s="5">
        <f t="shared" si="434"/>
        <v>-2.7440017217558997E-3</v>
      </c>
      <c r="U1197" s="5">
        <f t="shared" si="435"/>
        <v>7.8806772004702715E-3</v>
      </c>
      <c r="V1197" s="5">
        <f t="shared" si="436"/>
        <v>7.1107796448307561E-4</v>
      </c>
      <c r="W1197" s="5">
        <f t="shared" si="437"/>
        <v>1.4347166155235562E-2</v>
      </c>
      <c r="X1197" s="5">
        <f t="shared" si="438"/>
        <v>7.6283655701199007E-3</v>
      </c>
      <c r="Y1197" s="5">
        <f t="shared" si="439"/>
        <v>-3.1310108228457235E-2</v>
      </c>
      <c r="Z1197" s="33">
        <v>1193</v>
      </c>
      <c r="AE1197" s="20" t="str">
        <f t="shared" si="440"/>
        <v/>
      </c>
      <c r="AF1197" s="22" t="str">
        <f t="shared" si="441"/>
        <v/>
      </c>
      <c r="AG1197" s="9" t="str">
        <f t="shared" ca="1" si="420"/>
        <v/>
      </c>
      <c r="AH1197" s="9" t="str">
        <f t="shared" ca="1" si="421"/>
        <v/>
      </c>
      <c r="AI1197" s="9" t="str">
        <f t="shared" ca="1" si="422"/>
        <v/>
      </c>
      <c r="AJ1197" s="9" t="str">
        <f t="shared" ca="1" si="423"/>
        <v/>
      </c>
      <c r="AK1197" s="9" t="str">
        <f t="shared" ca="1" si="424"/>
        <v/>
      </c>
      <c r="AL1197" s="9" t="str">
        <f t="shared" ca="1" si="425"/>
        <v/>
      </c>
      <c r="AM1197" s="9" t="str">
        <f t="shared" ca="1" si="426"/>
        <v/>
      </c>
      <c r="AN1197" s="9" t="str">
        <f t="shared" ca="1" si="427"/>
        <v/>
      </c>
      <c r="AO1197" s="9" t="str">
        <f t="shared" ca="1" si="428"/>
        <v/>
      </c>
      <c r="AP1197" s="9" t="str">
        <f t="shared" ca="1" si="429"/>
        <v/>
      </c>
      <c r="AQ1197" s="9"/>
      <c r="AR1197" s="9"/>
      <c r="AS1197" s="9"/>
      <c r="AT1197" s="9"/>
      <c r="AU1197" s="9"/>
    </row>
    <row r="1198" spans="1:47" x14ac:dyDescent="0.3">
      <c r="A1198" s="1">
        <v>45198</v>
      </c>
      <c r="B1198" s="6">
        <v>509.89999399999999</v>
      </c>
      <c r="C1198" s="6">
        <v>458.97000100000002</v>
      </c>
      <c r="D1198" s="6">
        <v>52.950001</v>
      </c>
      <c r="E1198" s="6">
        <v>169.44000199999999</v>
      </c>
      <c r="F1198" s="6">
        <v>94.580001999999993</v>
      </c>
      <c r="G1198" s="6">
        <v>35.669998</v>
      </c>
      <c r="H1198" s="6">
        <v>139.509995</v>
      </c>
      <c r="I1198" s="6">
        <v>255.05999800000001</v>
      </c>
      <c r="J1198" s="6">
        <v>28.66</v>
      </c>
      <c r="K1198" s="6">
        <v>10.86</v>
      </c>
      <c r="N1198" s="18">
        <v>1194</v>
      </c>
      <c r="O1198" s="1">
        <v>45198</v>
      </c>
      <c r="P1198" s="5">
        <f t="shared" si="430"/>
        <v>1.0309840207403591E-2</v>
      </c>
      <c r="Q1198" s="5">
        <f t="shared" si="431"/>
        <v>-3.7839076444566256E-3</v>
      </c>
      <c r="R1198" s="5">
        <f t="shared" si="432"/>
        <v>-3.9581429118880126E-3</v>
      </c>
      <c r="S1198" s="5">
        <f t="shared" si="433"/>
        <v>-3.5403316382048416E-4</v>
      </c>
      <c r="T1198" s="5">
        <f t="shared" si="434"/>
        <v>-4.2284354692283667E-4</v>
      </c>
      <c r="U1198" s="5">
        <f t="shared" si="435"/>
        <v>0</v>
      </c>
      <c r="V1198" s="5">
        <f t="shared" si="436"/>
        <v>-8.422655164481865E-3</v>
      </c>
      <c r="W1198" s="5">
        <f t="shared" si="437"/>
        <v>-1.0064516141999904E-2</v>
      </c>
      <c r="X1198" s="5">
        <f t="shared" si="438"/>
        <v>-1.0067816161292258E-2</v>
      </c>
      <c r="Y1198" s="5">
        <f t="shared" si="439"/>
        <v>1.5777589468835548E-2</v>
      </c>
      <c r="Z1198" s="33">
        <v>1194</v>
      </c>
      <c r="AE1198" s="20" t="str">
        <f t="shared" si="440"/>
        <v/>
      </c>
      <c r="AF1198" s="22" t="str">
        <f t="shared" si="441"/>
        <v/>
      </c>
      <c r="AG1198" s="9" t="str">
        <f t="shared" ca="1" si="420"/>
        <v/>
      </c>
      <c r="AH1198" s="9" t="str">
        <f t="shared" ca="1" si="421"/>
        <v/>
      </c>
      <c r="AI1198" s="9" t="str">
        <f t="shared" ca="1" si="422"/>
        <v/>
      </c>
      <c r="AJ1198" s="9" t="str">
        <f t="shared" ca="1" si="423"/>
        <v/>
      </c>
      <c r="AK1198" s="9" t="str">
        <f t="shared" ca="1" si="424"/>
        <v/>
      </c>
      <c r="AL1198" s="9" t="str">
        <f t="shared" ca="1" si="425"/>
        <v/>
      </c>
      <c r="AM1198" s="9" t="str">
        <f t="shared" ca="1" si="426"/>
        <v/>
      </c>
      <c r="AN1198" s="9" t="str">
        <f t="shared" ca="1" si="427"/>
        <v/>
      </c>
      <c r="AO1198" s="9" t="str">
        <f t="shared" ca="1" si="428"/>
        <v/>
      </c>
      <c r="AP1198" s="9" t="str">
        <f t="shared" ca="1" si="429"/>
        <v/>
      </c>
      <c r="AQ1198" s="9"/>
      <c r="AR1198" s="9"/>
      <c r="AS1198" s="9"/>
      <c r="AT1198" s="9"/>
      <c r="AU1198" s="9"/>
    </row>
    <row r="1199" spans="1:47" x14ac:dyDescent="0.3">
      <c r="A1199" s="1">
        <v>45201</v>
      </c>
      <c r="B1199" s="6">
        <v>521.13000499999998</v>
      </c>
      <c r="C1199" s="6">
        <v>463.82000699999998</v>
      </c>
      <c r="D1199" s="6">
        <v>52.540000999999997</v>
      </c>
      <c r="E1199" s="6">
        <v>169.16999799999999</v>
      </c>
      <c r="F1199" s="6">
        <v>93.050003000000004</v>
      </c>
      <c r="G1199" s="6">
        <v>35.139999000000003</v>
      </c>
      <c r="H1199" s="6">
        <v>137.679993</v>
      </c>
      <c r="I1199" s="6">
        <v>251.759995</v>
      </c>
      <c r="J1199" s="6">
        <v>28.65</v>
      </c>
      <c r="K1199" s="6">
        <v>10.51</v>
      </c>
      <c r="N1199" s="19">
        <v>1195</v>
      </c>
      <c r="O1199" s="1">
        <v>45201</v>
      </c>
      <c r="P1199" s="5">
        <f t="shared" si="430"/>
        <v>2.1784924082379798E-2</v>
      </c>
      <c r="Q1199" s="5">
        <f t="shared" si="431"/>
        <v>1.0511710392935473E-2</v>
      </c>
      <c r="R1199" s="5">
        <f t="shared" si="432"/>
        <v>-7.7732876426453764E-3</v>
      </c>
      <c r="S1199" s="5">
        <f t="shared" si="433"/>
        <v>-1.5947789919113122E-3</v>
      </c>
      <c r="T1199" s="5">
        <f t="shared" si="434"/>
        <v>-1.6309043032859044E-2</v>
      </c>
      <c r="U1199" s="5">
        <f t="shared" si="435"/>
        <v>-1.4969888999919747E-2</v>
      </c>
      <c r="V1199" s="5">
        <f t="shared" si="436"/>
        <v>-1.3204146379542056E-2</v>
      </c>
      <c r="W1199" s="5">
        <f t="shared" si="437"/>
        <v>-1.30225708614946E-2</v>
      </c>
      <c r="X1199" s="5">
        <f t="shared" si="438"/>
        <v>-3.489792392773125E-4</v>
      </c>
      <c r="Y1199" s="5">
        <f t="shared" si="439"/>
        <v>-3.2759129616929596E-2</v>
      </c>
      <c r="Z1199" s="33">
        <v>1195</v>
      </c>
      <c r="AE1199" s="20" t="str">
        <f t="shared" si="440"/>
        <v/>
      </c>
      <c r="AF1199" s="22" t="str">
        <f t="shared" si="441"/>
        <v/>
      </c>
      <c r="AG1199" s="9" t="str">
        <f t="shared" ca="1" si="420"/>
        <v/>
      </c>
      <c r="AH1199" s="9" t="str">
        <f t="shared" ca="1" si="421"/>
        <v/>
      </c>
      <c r="AI1199" s="9" t="str">
        <f t="shared" ca="1" si="422"/>
        <v/>
      </c>
      <c r="AJ1199" s="9" t="str">
        <f t="shared" ca="1" si="423"/>
        <v/>
      </c>
      <c r="AK1199" s="9" t="str">
        <f t="shared" ca="1" si="424"/>
        <v/>
      </c>
      <c r="AL1199" s="9" t="str">
        <f t="shared" ca="1" si="425"/>
        <v/>
      </c>
      <c r="AM1199" s="9" t="str">
        <f t="shared" ca="1" si="426"/>
        <v/>
      </c>
      <c r="AN1199" s="9" t="str">
        <f t="shared" ca="1" si="427"/>
        <v/>
      </c>
      <c r="AO1199" s="9" t="str">
        <f t="shared" ca="1" si="428"/>
        <v/>
      </c>
      <c r="AP1199" s="9" t="str">
        <f t="shared" ca="1" si="429"/>
        <v/>
      </c>
      <c r="AQ1199" s="9"/>
      <c r="AR1199" s="9"/>
      <c r="AS1199" s="9"/>
      <c r="AT1199" s="9"/>
      <c r="AU1199" s="9"/>
    </row>
    <row r="1200" spans="1:47" x14ac:dyDescent="0.3">
      <c r="A1200" s="1">
        <v>45202</v>
      </c>
      <c r="B1200" s="6">
        <v>507.02999899999998</v>
      </c>
      <c r="C1200" s="6">
        <v>450.72000100000002</v>
      </c>
      <c r="D1200" s="6">
        <v>50.669998</v>
      </c>
      <c r="E1200" s="6">
        <v>167.699997</v>
      </c>
      <c r="F1200" s="6">
        <v>92.510002</v>
      </c>
      <c r="G1200" s="6">
        <v>34.810001</v>
      </c>
      <c r="H1200" s="6">
        <v>137.779999</v>
      </c>
      <c r="I1200" s="6">
        <v>253.949997</v>
      </c>
      <c r="J1200" s="6">
        <v>28.190000999999999</v>
      </c>
      <c r="K1200" s="6">
        <v>10.35</v>
      </c>
      <c r="N1200" s="18">
        <v>1196</v>
      </c>
      <c r="O1200" s="1">
        <v>45202</v>
      </c>
      <c r="P1200" s="5">
        <f t="shared" si="430"/>
        <v>-2.742936891050014E-2</v>
      </c>
      <c r="Q1200" s="5">
        <f t="shared" si="431"/>
        <v>-2.865025467238963E-2</v>
      </c>
      <c r="R1200" s="5">
        <f t="shared" si="432"/>
        <v>-3.6240823273780962E-2</v>
      </c>
      <c r="S1200" s="5">
        <f t="shared" si="433"/>
        <v>-8.7274637246978117E-3</v>
      </c>
      <c r="T1200" s="5">
        <f t="shared" si="434"/>
        <v>-5.8202469264787031E-3</v>
      </c>
      <c r="U1200" s="5">
        <f t="shared" si="435"/>
        <v>-9.4353237506283084E-3</v>
      </c>
      <c r="V1200" s="5">
        <f t="shared" si="436"/>
        <v>7.2610184635298579E-4</v>
      </c>
      <c r="W1200" s="5">
        <f t="shared" si="437"/>
        <v>8.6611525379380067E-3</v>
      </c>
      <c r="X1200" s="5">
        <f t="shared" si="438"/>
        <v>-1.6186102561155803E-2</v>
      </c>
      <c r="Y1200" s="5">
        <f t="shared" si="439"/>
        <v>-1.5340665177481652E-2</v>
      </c>
      <c r="Z1200" s="33">
        <v>1196</v>
      </c>
      <c r="AE1200" s="20" t="str">
        <f t="shared" si="440"/>
        <v/>
      </c>
      <c r="AF1200" s="22" t="str">
        <f t="shared" si="441"/>
        <v/>
      </c>
      <c r="AG1200" s="9" t="str">
        <f t="shared" ca="1" si="420"/>
        <v/>
      </c>
      <c r="AH1200" s="9" t="str">
        <f t="shared" ca="1" si="421"/>
        <v/>
      </c>
      <c r="AI1200" s="9" t="str">
        <f t="shared" ca="1" si="422"/>
        <v/>
      </c>
      <c r="AJ1200" s="9" t="str">
        <f t="shared" ca="1" si="423"/>
        <v/>
      </c>
      <c r="AK1200" s="9" t="str">
        <f t="shared" ca="1" si="424"/>
        <v/>
      </c>
      <c r="AL1200" s="9" t="str">
        <f t="shared" ca="1" si="425"/>
        <v/>
      </c>
      <c r="AM1200" s="9" t="str">
        <f t="shared" ca="1" si="426"/>
        <v/>
      </c>
      <c r="AN1200" s="9" t="str">
        <f t="shared" ca="1" si="427"/>
        <v/>
      </c>
      <c r="AO1200" s="9" t="str">
        <f t="shared" ca="1" si="428"/>
        <v/>
      </c>
      <c r="AP1200" s="9" t="str">
        <f t="shared" ca="1" si="429"/>
        <v/>
      </c>
      <c r="AQ1200" s="9"/>
      <c r="AR1200" s="9"/>
      <c r="AS1200" s="9"/>
      <c r="AT1200" s="9"/>
      <c r="AU1200" s="9"/>
    </row>
    <row r="1201" spans="1:47" x14ac:dyDescent="0.3">
      <c r="A1201" s="1">
        <v>45203</v>
      </c>
      <c r="B1201" s="6">
        <v>518.419983</v>
      </c>
      <c r="C1201" s="6">
        <v>461.32000699999998</v>
      </c>
      <c r="D1201" s="6">
        <v>52.330002</v>
      </c>
      <c r="E1201" s="6">
        <v>168.91000399999999</v>
      </c>
      <c r="F1201" s="6">
        <v>93.709998999999996</v>
      </c>
      <c r="G1201" s="6">
        <v>35.369999</v>
      </c>
      <c r="H1201" s="6">
        <v>137.91999799999999</v>
      </c>
      <c r="I1201" s="6">
        <v>255.88999899999999</v>
      </c>
      <c r="J1201" s="6">
        <v>28.450001</v>
      </c>
      <c r="K1201" s="6">
        <v>10.29</v>
      </c>
      <c r="N1201" s="19">
        <v>1197</v>
      </c>
      <c r="O1201" s="1">
        <v>45203</v>
      </c>
      <c r="P1201" s="5">
        <f t="shared" si="430"/>
        <v>2.2215520282858281E-2</v>
      </c>
      <c r="Q1201" s="5">
        <f t="shared" si="431"/>
        <v>2.3245654184851885E-2</v>
      </c>
      <c r="R1201" s="5">
        <f t="shared" si="432"/>
        <v>3.2235878586380322E-2</v>
      </c>
      <c r="S1201" s="5">
        <f t="shared" si="433"/>
        <v>7.1894014334283902E-3</v>
      </c>
      <c r="T1201" s="5">
        <f t="shared" si="434"/>
        <v>1.2888128062001002E-2</v>
      </c>
      <c r="U1201" s="5">
        <f t="shared" si="435"/>
        <v>1.5959244394117181E-2</v>
      </c>
      <c r="V1201" s="5">
        <f t="shared" si="436"/>
        <v>1.0155895071203591E-3</v>
      </c>
      <c r="W1201" s="5">
        <f t="shared" si="437"/>
        <v>7.6102752956014354E-3</v>
      </c>
      <c r="X1201" s="5">
        <f t="shared" si="438"/>
        <v>9.1808551221314941E-3</v>
      </c>
      <c r="Y1201" s="5">
        <f t="shared" si="439"/>
        <v>-5.8139698654198447E-3</v>
      </c>
      <c r="Z1201" s="33">
        <v>1197</v>
      </c>
      <c r="AE1201" s="20" t="str">
        <f t="shared" si="440"/>
        <v/>
      </c>
      <c r="AF1201" s="22" t="str">
        <f t="shared" si="441"/>
        <v/>
      </c>
      <c r="AG1201" s="9" t="str">
        <f t="shared" ca="1" si="420"/>
        <v/>
      </c>
      <c r="AH1201" s="9" t="str">
        <f t="shared" ca="1" si="421"/>
        <v/>
      </c>
      <c r="AI1201" s="9" t="str">
        <f t="shared" ca="1" si="422"/>
        <v/>
      </c>
      <c r="AJ1201" s="9" t="str">
        <f t="shared" ca="1" si="423"/>
        <v/>
      </c>
      <c r="AK1201" s="9" t="str">
        <f t="shared" ca="1" si="424"/>
        <v/>
      </c>
      <c r="AL1201" s="9" t="str">
        <f t="shared" ca="1" si="425"/>
        <v/>
      </c>
      <c r="AM1201" s="9" t="str">
        <f t="shared" ca="1" si="426"/>
        <v/>
      </c>
      <c r="AN1201" s="9" t="str">
        <f t="shared" ca="1" si="427"/>
        <v/>
      </c>
      <c r="AO1201" s="9" t="str">
        <f t="shared" ca="1" si="428"/>
        <v/>
      </c>
      <c r="AP1201" s="9" t="str">
        <f t="shared" ca="1" si="429"/>
        <v/>
      </c>
      <c r="AQ1201" s="9"/>
      <c r="AR1201" s="9"/>
      <c r="AS1201" s="9"/>
      <c r="AT1201" s="9"/>
      <c r="AU1201" s="9"/>
    </row>
    <row r="1202" spans="1:47" x14ac:dyDescent="0.3">
      <c r="A1202" s="1">
        <v>45204</v>
      </c>
      <c r="B1202" s="6">
        <v>516.44000200000005</v>
      </c>
      <c r="C1202" s="6">
        <v>459.75</v>
      </c>
      <c r="D1202" s="6">
        <v>50.09</v>
      </c>
      <c r="E1202" s="6">
        <v>160.10000600000001</v>
      </c>
      <c r="F1202" s="6">
        <v>94.220000999999996</v>
      </c>
      <c r="G1202" s="6">
        <v>35.720001000000003</v>
      </c>
      <c r="H1202" s="6">
        <v>138.30999800000001</v>
      </c>
      <c r="I1202" s="6">
        <v>257.89999399999999</v>
      </c>
      <c r="J1202" s="6">
        <v>28.35</v>
      </c>
      <c r="K1202" s="6">
        <v>10.09</v>
      </c>
      <c r="N1202" s="18">
        <v>1198</v>
      </c>
      <c r="O1202" s="1">
        <v>45204</v>
      </c>
      <c r="P1202" s="5">
        <f t="shared" si="430"/>
        <v>-3.8265725696500002E-3</v>
      </c>
      <c r="Q1202" s="5">
        <f t="shared" si="431"/>
        <v>-3.4090970471563099E-3</v>
      </c>
      <c r="R1202" s="5">
        <f t="shared" si="432"/>
        <v>-4.3748471233585086E-2</v>
      </c>
      <c r="S1202" s="5">
        <f t="shared" si="433"/>
        <v>-5.3567394894258193E-2</v>
      </c>
      <c r="T1202" s="5">
        <f t="shared" si="434"/>
        <v>5.4275874208404929E-3</v>
      </c>
      <c r="U1202" s="5">
        <f t="shared" si="435"/>
        <v>9.8468090589771736E-3</v>
      </c>
      <c r="V1202" s="5">
        <f t="shared" si="436"/>
        <v>2.8237357621232837E-3</v>
      </c>
      <c r="W1202" s="5">
        <f t="shared" si="437"/>
        <v>7.8242288929611416E-3</v>
      </c>
      <c r="X1202" s="5">
        <f t="shared" si="438"/>
        <v>-3.5211655479630401E-3</v>
      </c>
      <c r="Y1202" s="5">
        <f t="shared" si="439"/>
        <v>-1.9627715480440528E-2</v>
      </c>
      <c r="Z1202" s="33">
        <v>1198</v>
      </c>
      <c r="AE1202" s="20" t="str">
        <f t="shared" si="440"/>
        <v/>
      </c>
      <c r="AF1202" s="22" t="str">
        <f t="shared" si="441"/>
        <v/>
      </c>
      <c r="AG1202" s="9" t="str">
        <f t="shared" ca="1" si="420"/>
        <v/>
      </c>
      <c r="AH1202" s="9" t="str">
        <f t="shared" ca="1" si="421"/>
        <v/>
      </c>
      <c r="AI1202" s="9" t="str">
        <f t="shared" ca="1" si="422"/>
        <v/>
      </c>
      <c r="AJ1202" s="9" t="str">
        <f t="shared" ca="1" si="423"/>
        <v/>
      </c>
      <c r="AK1202" s="9" t="str">
        <f t="shared" ca="1" si="424"/>
        <v/>
      </c>
      <c r="AL1202" s="9" t="str">
        <f t="shared" ca="1" si="425"/>
        <v/>
      </c>
      <c r="AM1202" s="9" t="str">
        <f t="shared" ca="1" si="426"/>
        <v/>
      </c>
      <c r="AN1202" s="9" t="str">
        <f t="shared" ca="1" si="427"/>
        <v/>
      </c>
      <c r="AO1202" s="9" t="str">
        <f t="shared" ca="1" si="428"/>
        <v/>
      </c>
      <c r="AP1202" s="9" t="str">
        <f t="shared" ca="1" si="429"/>
        <v/>
      </c>
      <c r="AQ1202" s="9"/>
      <c r="AR1202" s="9"/>
      <c r="AS1202" s="9"/>
      <c r="AT1202" s="9"/>
      <c r="AU1202" s="9"/>
    </row>
    <row r="1203" spans="1:47" x14ac:dyDescent="0.3">
      <c r="A1203" s="1">
        <v>45205</v>
      </c>
      <c r="B1203" s="6">
        <v>526.67999299999997</v>
      </c>
      <c r="C1203" s="6">
        <v>473.26001000000002</v>
      </c>
      <c r="D1203" s="6">
        <v>49.970001000000003</v>
      </c>
      <c r="E1203" s="6">
        <v>160.28999300000001</v>
      </c>
      <c r="F1203" s="6">
        <v>95.790001000000004</v>
      </c>
      <c r="G1203" s="6">
        <v>35.790000999999997</v>
      </c>
      <c r="H1203" s="6">
        <v>138.88999899999999</v>
      </c>
      <c r="I1203" s="6">
        <v>259.709991</v>
      </c>
      <c r="J1203" s="6">
        <v>29.139999</v>
      </c>
      <c r="K1203" s="6">
        <v>10.28</v>
      </c>
      <c r="N1203" s="19">
        <v>1199</v>
      </c>
      <c r="O1203" s="1">
        <v>45205</v>
      </c>
      <c r="P1203" s="5">
        <f t="shared" si="430"/>
        <v>1.9634021018155326E-2</v>
      </c>
      <c r="Q1203" s="5">
        <f t="shared" si="431"/>
        <v>2.8962077992508852E-2</v>
      </c>
      <c r="R1203" s="5">
        <f t="shared" si="432"/>
        <v>-2.3985420014047492E-3</v>
      </c>
      <c r="S1203" s="5">
        <f t="shared" si="433"/>
        <v>1.1859734876966039E-3</v>
      </c>
      <c r="T1203" s="5">
        <f t="shared" si="434"/>
        <v>1.6525821948950661E-2</v>
      </c>
      <c r="U1203" s="5">
        <f t="shared" si="435"/>
        <v>1.9577687148807734E-3</v>
      </c>
      <c r="V1203" s="5">
        <f t="shared" si="436"/>
        <v>4.1847175518389583E-3</v>
      </c>
      <c r="W1203" s="5">
        <f t="shared" si="437"/>
        <v>6.993699619286824E-3</v>
      </c>
      <c r="X1203" s="5">
        <f t="shared" si="438"/>
        <v>2.748473627620723E-2</v>
      </c>
      <c r="Y1203" s="5">
        <f t="shared" si="439"/>
        <v>1.8655425661501305E-2</v>
      </c>
      <c r="Z1203" s="33">
        <v>1199</v>
      </c>
      <c r="AE1203" s="20" t="str">
        <f t="shared" si="440"/>
        <v/>
      </c>
      <c r="AF1203" s="22" t="str">
        <f t="shared" si="441"/>
        <v/>
      </c>
      <c r="AG1203" s="9" t="str">
        <f t="shared" ca="1" si="420"/>
        <v/>
      </c>
      <c r="AH1203" s="9" t="str">
        <f t="shared" ca="1" si="421"/>
        <v/>
      </c>
      <c r="AI1203" s="9" t="str">
        <f t="shared" ca="1" si="422"/>
        <v/>
      </c>
      <c r="AJ1203" s="9" t="str">
        <f t="shared" ca="1" si="423"/>
        <v/>
      </c>
      <c r="AK1203" s="9" t="str">
        <f t="shared" ca="1" si="424"/>
        <v/>
      </c>
      <c r="AL1203" s="9" t="str">
        <f t="shared" ca="1" si="425"/>
        <v/>
      </c>
      <c r="AM1203" s="9" t="str">
        <f t="shared" ca="1" si="426"/>
        <v/>
      </c>
      <c r="AN1203" s="9" t="str">
        <f t="shared" ca="1" si="427"/>
        <v/>
      </c>
      <c r="AO1203" s="9" t="str">
        <f t="shared" ca="1" si="428"/>
        <v/>
      </c>
      <c r="AP1203" s="9" t="str">
        <f t="shared" ca="1" si="429"/>
        <v/>
      </c>
      <c r="AQ1203" s="9"/>
      <c r="AR1203" s="9"/>
      <c r="AS1203" s="9"/>
      <c r="AT1203" s="9"/>
      <c r="AU1203" s="9"/>
    </row>
    <row r="1204" spans="1:47" x14ac:dyDescent="0.3">
      <c r="A1204" s="1">
        <v>45208</v>
      </c>
      <c r="B1204" s="6">
        <v>529.28997800000002</v>
      </c>
      <c r="C1204" s="6">
        <v>479.92001299999998</v>
      </c>
      <c r="D1204" s="6">
        <v>49.639999000000003</v>
      </c>
      <c r="E1204" s="6">
        <v>161.36000100000001</v>
      </c>
      <c r="F1204" s="6">
        <v>97.419998000000007</v>
      </c>
      <c r="G1204" s="6">
        <v>36.520000000000003</v>
      </c>
      <c r="H1204" s="6">
        <v>140.36999499999999</v>
      </c>
      <c r="I1204" s="6">
        <v>260.42001299999998</v>
      </c>
      <c r="J1204" s="6">
        <v>29.32</v>
      </c>
      <c r="K1204" s="6">
        <v>10.53</v>
      </c>
      <c r="N1204" s="18">
        <v>1200</v>
      </c>
      <c r="O1204" s="1">
        <v>45208</v>
      </c>
      <c r="P1204" s="5">
        <f t="shared" si="430"/>
        <v>4.9433040456275893E-3</v>
      </c>
      <c r="Q1204" s="5">
        <f t="shared" si="431"/>
        <v>1.397450895574593E-2</v>
      </c>
      <c r="R1204" s="5">
        <f t="shared" si="432"/>
        <v>-6.625905176758669E-3</v>
      </c>
      <c r="S1204" s="5">
        <f t="shared" si="433"/>
        <v>6.6532688763369765E-3</v>
      </c>
      <c r="T1204" s="5">
        <f t="shared" si="434"/>
        <v>1.687320201442772E-2</v>
      </c>
      <c r="U1204" s="5">
        <f t="shared" si="435"/>
        <v>2.019150300806833E-2</v>
      </c>
      <c r="V1204" s="5">
        <f t="shared" si="436"/>
        <v>1.0599512197902096E-2</v>
      </c>
      <c r="W1204" s="5">
        <f t="shared" si="437"/>
        <v>2.7301729781877416E-3</v>
      </c>
      <c r="X1204" s="5">
        <f t="shared" si="438"/>
        <v>6.1581105684824621E-3</v>
      </c>
      <c r="Y1204" s="5">
        <f t="shared" si="439"/>
        <v>2.4028066118864998E-2</v>
      </c>
      <c r="Z1204" s="33">
        <v>1200</v>
      </c>
      <c r="AE1204" s="20" t="str">
        <f t="shared" si="440"/>
        <v/>
      </c>
      <c r="AF1204" s="22" t="str">
        <f t="shared" si="441"/>
        <v/>
      </c>
      <c r="AG1204" s="9" t="str">
        <f t="shared" ca="1" si="420"/>
        <v/>
      </c>
      <c r="AH1204" s="9" t="str">
        <f t="shared" ca="1" si="421"/>
        <v/>
      </c>
      <c r="AI1204" s="9" t="str">
        <f t="shared" ca="1" si="422"/>
        <v/>
      </c>
      <c r="AJ1204" s="9" t="str">
        <f t="shared" ca="1" si="423"/>
        <v/>
      </c>
      <c r="AK1204" s="9" t="str">
        <f t="shared" ca="1" si="424"/>
        <v/>
      </c>
      <c r="AL1204" s="9" t="str">
        <f t="shared" ca="1" si="425"/>
        <v/>
      </c>
      <c r="AM1204" s="9" t="str">
        <f t="shared" ca="1" si="426"/>
        <v/>
      </c>
      <c r="AN1204" s="9" t="str">
        <f t="shared" ca="1" si="427"/>
        <v/>
      </c>
      <c r="AO1204" s="9" t="str">
        <f t="shared" ca="1" si="428"/>
        <v/>
      </c>
      <c r="AP1204" s="9" t="str">
        <f t="shared" ca="1" si="429"/>
        <v/>
      </c>
      <c r="AQ1204" s="9"/>
      <c r="AR1204" s="9"/>
      <c r="AS1204" s="9"/>
      <c r="AT1204" s="9"/>
      <c r="AU1204" s="9"/>
    </row>
    <row r="1205" spans="1:47" x14ac:dyDescent="0.3">
      <c r="A1205" s="1">
        <v>45209</v>
      </c>
      <c r="B1205" s="6">
        <v>532.71997099999999</v>
      </c>
      <c r="C1205" s="6">
        <v>490.10998499999999</v>
      </c>
      <c r="D1205" s="6">
        <v>50.400002000000001</v>
      </c>
      <c r="E1205" s="6">
        <v>164.39999399999999</v>
      </c>
      <c r="F1205" s="6">
        <v>96.309997999999993</v>
      </c>
      <c r="G1205" s="6">
        <v>36.159999999999997</v>
      </c>
      <c r="H1205" s="6">
        <v>141.029999</v>
      </c>
      <c r="I1205" s="6">
        <v>260.73998999999998</v>
      </c>
      <c r="J1205" s="6">
        <v>29.42</v>
      </c>
      <c r="K1205" s="6">
        <v>10.67</v>
      </c>
      <c r="N1205" s="19">
        <v>1201</v>
      </c>
      <c r="O1205" s="1">
        <v>45209</v>
      </c>
      <c r="P1205" s="5">
        <f t="shared" si="430"/>
        <v>6.4594591217944763E-3</v>
      </c>
      <c r="Q1205" s="5">
        <f t="shared" si="431"/>
        <v>2.1010374668466877E-2</v>
      </c>
      <c r="R1205" s="5">
        <f t="shared" si="432"/>
        <v>1.5194274568499947E-2</v>
      </c>
      <c r="S1205" s="5">
        <f t="shared" si="433"/>
        <v>1.8664546282449335E-2</v>
      </c>
      <c r="T1205" s="5">
        <f t="shared" si="434"/>
        <v>-1.1459373042234022E-2</v>
      </c>
      <c r="U1205" s="5">
        <f t="shared" si="435"/>
        <v>-9.9065202027921653E-3</v>
      </c>
      <c r="V1205" s="5">
        <f t="shared" si="436"/>
        <v>4.6908686873717749E-3</v>
      </c>
      <c r="W1205" s="5">
        <f t="shared" si="437"/>
        <v>1.2279416623082553E-3</v>
      </c>
      <c r="X1205" s="5">
        <f t="shared" si="438"/>
        <v>3.404838154840697E-3</v>
      </c>
      <c r="Y1205" s="5">
        <f t="shared" si="439"/>
        <v>1.320773916777794E-2</v>
      </c>
      <c r="Z1205" s="33">
        <v>1201</v>
      </c>
      <c r="AE1205" s="20" t="str">
        <f t="shared" si="440"/>
        <v/>
      </c>
      <c r="AF1205" s="22" t="str">
        <f t="shared" si="441"/>
        <v/>
      </c>
      <c r="AG1205" s="9" t="str">
        <f t="shared" ca="1" si="420"/>
        <v/>
      </c>
      <c r="AH1205" s="9" t="str">
        <f t="shared" ca="1" si="421"/>
        <v/>
      </c>
      <c r="AI1205" s="9" t="str">
        <f t="shared" ca="1" si="422"/>
        <v/>
      </c>
      <c r="AJ1205" s="9" t="str">
        <f t="shared" ca="1" si="423"/>
        <v/>
      </c>
      <c r="AK1205" s="9" t="str">
        <f t="shared" ca="1" si="424"/>
        <v/>
      </c>
      <c r="AL1205" s="9" t="str">
        <f t="shared" ca="1" si="425"/>
        <v/>
      </c>
      <c r="AM1205" s="9" t="str">
        <f t="shared" ca="1" si="426"/>
        <v/>
      </c>
      <c r="AN1205" s="9" t="str">
        <f t="shared" ca="1" si="427"/>
        <v/>
      </c>
      <c r="AO1205" s="9" t="str">
        <f t="shared" ca="1" si="428"/>
        <v/>
      </c>
      <c r="AP1205" s="9" t="str">
        <f t="shared" ca="1" si="429"/>
        <v/>
      </c>
      <c r="AQ1205" s="9"/>
      <c r="AR1205" s="9"/>
      <c r="AS1205" s="9"/>
      <c r="AT1205" s="9"/>
      <c r="AU1205" s="9"/>
    </row>
    <row r="1206" spans="1:47" x14ac:dyDescent="0.3">
      <c r="A1206" s="1">
        <v>45210</v>
      </c>
      <c r="B1206" s="6">
        <v>549.90997300000004</v>
      </c>
      <c r="C1206" s="6">
        <v>494.95001200000002</v>
      </c>
      <c r="D1206" s="6">
        <v>49.599997999999999</v>
      </c>
      <c r="E1206" s="6">
        <v>162.61999499999999</v>
      </c>
      <c r="F1206" s="6">
        <v>97.419998000000007</v>
      </c>
      <c r="G1206" s="6">
        <v>36.810001</v>
      </c>
      <c r="H1206" s="6">
        <v>142.179993</v>
      </c>
      <c r="I1206" s="6">
        <v>261.209991</v>
      </c>
      <c r="J1206" s="6">
        <v>29.139999</v>
      </c>
      <c r="K1206" s="6">
        <v>10.96</v>
      </c>
      <c r="N1206" s="18">
        <v>1202</v>
      </c>
      <c r="O1206" s="1">
        <v>45210</v>
      </c>
      <c r="P1206" s="5">
        <f t="shared" si="430"/>
        <v>3.1758676009283081E-2</v>
      </c>
      <c r="Q1206" s="5">
        <f t="shared" si="431"/>
        <v>9.8269465095371638E-3</v>
      </c>
      <c r="R1206" s="5">
        <f t="shared" si="432"/>
        <v>-1.6000421351561468E-2</v>
      </c>
      <c r="S1206" s="5">
        <f t="shared" si="433"/>
        <v>-1.0886286092563199E-2</v>
      </c>
      <c r="T1206" s="5">
        <f t="shared" si="434"/>
        <v>1.1459373042234076E-2</v>
      </c>
      <c r="U1206" s="5">
        <f t="shared" si="435"/>
        <v>1.7816039033484596E-2</v>
      </c>
      <c r="V1206" s="5">
        <f t="shared" si="436"/>
        <v>8.1211846545107425E-3</v>
      </c>
      <c r="W1206" s="5">
        <f t="shared" si="437"/>
        <v>1.8009431713468501E-3</v>
      </c>
      <c r="X1206" s="5">
        <f t="shared" si="438"/>
        <v>-9.5629487233232519E-3</v>
      </c>
      <c r="Y1206" s="5">
        <f t="shared" si="439"/>
        <v>2.6816216206207638E-2</v>
      </c>
      <c r="Z1206" s="33">
        <v>1202</v>
      </c>
      <c r="AE1206" s="20" t="str">
        <f t="shared" si="440"/>
        <v/>
      </c>
      <c r="AF1206" s="22" t="str">
        <f t="shared" si="441"/>
        <v/>
      </c>
      <c r="AG1206" s="9" t="str">
        <f t="shared" ca="1" si="420"/>
        <v/>
      </c>
      <c r="AH1206" s="9" t="str">
        <f t="shared" ca="1" si="421"/>
        <v/>
      </c>
      <c r="AI1206" s="9" t="str">
        <f t="shared" ca="1" si="422"/>
        <v/>
      </c>
      <c r="AJ1206" s="9" t="str">
        <f t="shared" ca="1" si="423"/>
        <v/>
      </c>
      <c r="AK1206" s="9" t="str">
        <f t="shared" ca="1" si="424"/>
        <v/>
      </c>
      <c r="AL1206" s="9" t="str">
        <f t="shared" ca="1" si="425"/>
        <v/>
      </c>
      <c r="AM1206" s="9" t="str">
        <f t="shared" ca="1" si="426"/>
        <v/>
      </c>
      <c r="AN1206" s="9" t="str">
        <f t="shared" ca="1" si="427"/>
        <v/>
      </c>
      <c r="AO1206" s="9" t="str">
        <f t="shared" ca="1" si="428"/>
        <v/>
      </c>
      <c r="AP1206" s="9" t="str">
        <f t="shared" ca="1" si="429"/>
        <v/>
      </c>
      <c r="AQ1206" s="9"/>
      <c r="AR1206" s="9"/>
      <c r="AS1206" s="9"/>
      <c r="AT1206" s="9"/>
      <c r="AU1206" s="9"/>
    </row>
    <row r="1207" spans="1:47" x14ac:dyDescent="0.3">
      <c r="A1207" s="1">
        <v>45211</v>
      </c>
      <c r="B1207" s="6">
        <v>559.63000499999998</v>
      </c>
      <c r="C1207" s="6">
        <v>496.23001099999999</v>
      </c>
      <c r="D1207" s="6">
        <v>47.540000999999997</v>
      </c>
      <c r="E1207" s="6">
        <v>158.08000200000001</v>
      </c>
      <c r="F1207" s="6">
        <v>96.589995999999999</v>
      </c>
      <c r="G1207" s="6">
        <v>36.419998</v>
      </c>
      <c r="H1207" s="6">
        <v>140.220001</v>
      </c>
      <c r="I1207" s="6">
        <v>254.33999600000001</v>
      </c>
      <c r="J1207" s="6">
        <v>29.209999</v>
      </c>
      <c r="K1207" s="6">
        <v>10.32</v>
      </c>
      <c r="N1207" s="19">
        <v>1203</v>
      </c>
      <c r="O1207" s="1">
        <v>45211</v>
      </c>
      <c r="P1207" s="5">
        <f t="shared" si="430"/>
        <v>1.75212806360352E-2</v>
      </c>
      <c r="Q1207" s="5">
        <f t="shared" si="431"/>
        <v>2.5827794786899981E-3</v>
      </c>
      <c r="R1207" s="5">
        <f t="shared" si="432"/>
        <v>-4.2419310441334818E-2</v>
      </c>
      <c r="S1207" s="5">
        <f t="shared" si="433"/>
        <v>-2.8314913381785801E-2</v>
      </c>
      <c r="T1207" s="5">
        <f t="shared" si="434"/>
        <v>-8.5563330696819158E-3</v>
      </c>
      <c r="U1207" s="5">
        <f t="shared" si="435"/>
        <v>-1.0651555172881738E-2</v>
      </c>
      <c r="V1207" s="5">
        <f t="shared" si="436"/>
        <v>-1.3881186357497851E-2</v>
      </c>
      <c r="W1207" s="5">
        <f t="shared" si="437"/>
        <v>-2.6652708187976101E-2</v>
      </c>
      <c r="X1207" s="5">
        <f t="shared" si="438"/>
        <v>2.3993157148296355E-3</v>
      </c>
      <c r="Y1207" s="5">
        <f t="shared" si="439"/>
        <v>-6.0168521466452844E-2</v>
      </c>
      <c r="Z1207" s="33">
        <v>1203</v>
      </c>
      <c r="AE1207" s="20" t="str">
        <f t="shared" si="440"/>
        <v/>
      </c>
      <c r="AF1207" s="22" t="str">
        <f t="shared" si="441"/>
        <v/>
      </c>
      <c r="AG1207" s="9" t="str">
        <f t="shared" ca="1" si="420"/>
        <v/>
      </c>
      <c r="AH1207" s="9" t="str">
        <f t="shared" ca="1" si="421"/>
        <v/>
      </c>
      <c r="AI1207" s="9" t="str">
        <f t="shared" ca="1" si="422"/>
        <v/>
      </c>
      <c r="AJ1207" s="9" t="str">
        <f t="shared" ca="1" si="423"/>
        <v/>
      </c>
      <c r="AK1207" s="9" t="str">
        <f t="shared" ca="1" si="424"/>
        <v/>
      </c>
      <c r="AL1207" s="9" t="str">
        <f t="shared" ca="1" si="425"/>
        <v/>
      </c>
      <c r="AM1207" s="9" t="str">
        <f t="shared" ca="1" si="426"/>
        <v/>
      </c>
      <c r="AN1207" s="9" t="str">
        <f t="shared" ca="1" si="427"/>
        <v/>
      </c>
      <c r="AO1207" s="9" t="str">
        <f t="shared" ca="1" si="428"/>
        <v/>
      </c>
      <c r="AP1207" s="9" t="str">
        <f t="shared" ca="1" si="429"/>
        <v/>
      </c>
      <c r="AQ1207" s="9"/>
      <c r="AR1207" s="9"/>
      <c r="AS1207" s="9"/>
      <c r="AT1207" s="9"/>
      <c r="AU1207" s="9"/>
    </row>
    <row r="1208" spans="1:47" x14ac:dyDescent="0.3">
      <c r="A1208" s="1">
        <v>45212</v>
      </c>
      <c r="B1208" s="6">
        <v>548.76000999999997</v>
      </c>
      <c r="C1208" s="6">
        <v>489.67001299999998</v>
      </c>
      <c r="D1208" s="6">
        <v>47.720001000000003</v>
      </c>
      <c r="E1208" s="6">
        <v>160</v>
      </c>
      <c r="F1208" s="6">
        <v>96.470000999999996</v>
      </c>
      <c r="G1208" s="6">
        <v>36.150002000000001</v>
      </c>
      <c r="H1208" s="6">
        <v>138.11999499999999</v>
      </c>
      <c r="I1208" s="6">
        <v>253.64999399999999</v>
      </c>
      <c r="J1208" s="6">
        <v>28.870000999999998</v>
      </c>
      <c r="K1208" s="6">
        <v>10.37</v>
      </c>
      <c r="N1208" s="18">
        <v>1204</v>
      </c>
      <c r="O1208" s="1">
        <v>45212</v>
      </c>
      <c r="P1208" s="5">
        <f t="shared" si="430"/>
        <v>-1.961465432921386E-2</v>
      </c>
      <c r="Q1208" s="5">
        <f t="shared" si="431"/>
        <v>-1.3307829706350228E-2</v>
      </c>
      <c r="R1208" s="5">
        <f t="shared" si="432"/>
        <v>3.7791352183238211E-3</v>
      </c>
      <c r="S1208" s="5">
        <f t="shared" si="433"/>
        <v>1.2072568582447452E-2</v>
      </c>
      <c r="T1208" s="5">
        <f t="shared" si="434"/>
        <v>-1.2430852306702053E-3</v>
      </c>
      <c r="U1208" s="5">
        <f t="shared" si="435"/>
        <v>-7.4410154547716626E-3</v>
      </c>
      <c r="V1208" s="5">
        <f t="shared" si="436"/>
        <v>-1.508978858908638E-2</v>
      </c>
      <c r="W1208" s="5">
        <f t="shared" si="437"/>
        <v>-2.7165985075646528E-3</v>
      </c>
      <c r="X1208" s="5">
        <f t="shared" si="438"/>
        <v>-1.1708053851922268E-2</v>
      </c>
      <c r="Y1208" s="5">
        <f t="shared" si="439"/>
        <v>4.8332621880190739E-3</v>
      </c>
      <c r="Z1208" s="33">
        <v>1204</v>
      </c>
      <c r="AE1208" s="20" t="str">
        <f t="shared" si="440"/>
        <v/>
      </c>
      <c r="AF1208" s="22" t="str">
        <f t="shared" si="441"/>
        <v/>
      </c>
      <c r="AG1208" s="9" t="str">
        <f t="shared" ca="1" si="420"/>
        <v/>
      </c>
      <c r="AH1208" s="9" t="str">
        <f t="shared" ca="1" si="421"/>
        <v/>
      </c>
      <c r="AI1208" s="9" t="str">
        <f t="shared" ca="1" si="422"/>
        <v/>
      </c>
      <c r="AJ1208" s="9" t="str">
        <f t="shared" ca="1" si="423"/>
        <v/>
      </c>
      <c r="AK1208" s="9" t="str">
        <f t="shared" ca="1" si="424"/>
        <v/>
      </c>
      <c r="AL1208" s="9" t="str">
        <f t="shared" ca="1" si="425"/>
        <v/>
      </c>
      <c r="AM1208" s="9" t="str">
        <f t="shared" ca="1" si="426"/>
        <v/>
      </c>
      <c r="AN1208" s="9" t="str">
        <f t="shared" ca="1" si="427"/>
        <v/>
      </c>
      <c r="AO1208" s="9" t="str">
        <f t="shared" ca="1" si="428"/>
        <v/>
      </c>
      <c r="AP1208" s="9" t="str">
        <f t="shared" ca="1" si="429"/>
        <v/>
      </c>
      <c r="AQ1208" s="9"/>
      <c r="AR1208" s="9"/>
      <c r="AS1208" s="9"/>
      <c r="AT1208" s="9"/>
      <c r="AU1208" s="9"/>
    </row>
    <row r="1209" spans="1:47" x14ac:dyDescent="0.3">
      <c r="A1209" s="1">
        <v>45215</v>
      </c>
      <c r="B1209" s="6">
        <v>550.73999000000003</v>
      </c>
      <c r="C1209" s="6">
        <v>491.959991</v>
      </c>
      <c r="D1209" s="6">
        <v>48.669998</v>
      </c>
      <c r="E1209" s="6">
        <v>161.08000200000001</v>
      </c>
      <c r="F1209" s="6">
        <v>96.860000999999997</v>
      </c>
      <c r="G1209" s="6">
        <v>36.229999999999997</v>
      </c>
      <c r="H1209" s="6">
        <v>140.779999</v>
      </c>
      <c r="I1209" s="6">
        <v>257.14999399999999</v>
      </c>
      <c r="J1209" s="6">
        <v>29.77</v>
      </c>
      <c r="K1209" s="6">
        <v>10.9</v>
      </c>
      <c r="N1209" s="19">
        <v>1205</v>
      </c>
      <c r="O1209" s="1">
        <v>45215</v>
      </c>
      <c r="P1209" s="5">
        <f t="shared" si="430"/>
        <v>3.6016046207998954E-3</v>
      </c>
      <c r="Q1209" s="5">
        <f t="shared" si="431"/>
        <v>4.6656726970101588E-3</v>
      </c>
      <c r="R1209" s="5">
        <f t="shared" si="432"/>
        <v>1.9712164566996915E-2</v>
      </c>
      <c r="S1209" s="5">
        <f t="shared" si="433"/>
        <v>6.7273331656170898E-3</v>
      </c>
      <c r="T1209" s="5">
        <f t="shared" si="434"/>
        <v>4.0345577508832569E-3</v>
      </c>
      <c r="U1209" s="5">
        <f t="shared" si="435"/>
        <v>2.2105009771790514E-3</v>
      </c>
      <c r="V1209" s="5">
        <f t="shared" si="436"/>
        <v>1.9075544755318519E-2</v>
      </c>
      <c r="W1209" s="5">
        <f t="shared" si="437"/>
        <v>1.3704208530183294E-2</v>
      </c>
      <c r="X1209" s="5">
        <f t="shared" si="438"/>
        <v>3.0698146714809287E-2</v>
      </c>
      <c r="Y1209" s="5">
        <f t="shared" si="439"/>
        <v>4.9845766993662187E-2</v>
      </c>
      <c r="Z1209" s="33">
        <v>1205</v>
      </c>
      <c r="AE1209" s="20" t="str">
        <f t="shared" si="440"/>
        <v/>
      </c>
      <c r="AF1209" s="22" t="str">
        <f t="shared" si="441"/>
        <v/>
      </c>
      <c r="AG1209" s="9" t="str">
        <f t="shared" ca="1" si="420"/>
        <v/>
      </c>
      <c r="AH1209" s="9" t="str">
        <f t="shared" ca="1" si="421"/>
        <v/>
      </c>
      <c r="AI1209" s="9" t="str">
        <f t="shared" ca="1" si="422"/>
        <v/>
      </c>
      <c r="AJ1209" s="9" t="str">
        <f t="shared" ca="1" si="423"/>
        <v/>
      </c>
      <c r="AK1209" s="9" t="str">
        <f t="shared" ca="1" si="424"/>
        <v/>
      </c>
      <c r="AL1209" s="9" t="str">
        <f t="shared" ca="1" si="425"/>
        <v/>
      </c>
      <c r="AM1209" s="9" t="str">
        <f t="shared" ca="1" si="426"/>
        <v/>
      </c>
      <c r="AN1209" s="9" t="str">
        <f t="shared" ca="1" si="427"/>
        <v/>
      </c>
      <c r="AO1209" s="9" t="str">
        <f t="shared" ca="1" si="428"/>
        <v/>
      </c>
      <c r="AP1209" s="9" t="str">
        <f t="shared" ca="1" si="429"/>
        <v/>
      </c>
      <c r="AQ1209" s="9"/>
      <c r="AR1209" s="9"/>
      <c r="AS1209" s="9"/>
      <c r="AT1209" s="9"/>
      <c r="AU1209" s="9"/>
    </row>
    <row r="1210" spans="1:47" x14ac:dyDescent="0.3">
      <c r="A1210" s="1">
        <v>45216</v>
      </c>
      <c r="B1210" s="6">
        <v>560.09002699999996</v>
      </c>
      <c r="C1210" s="6">
        <v>492.04998799999998</v>
      </c>
      <c r="D1210" s="6">
        <v>49.790000999999997</v>
      </c>
      <c r="E1210" s="6">
        <v>160.36999499999999</v>
      </c>
      <c r="F1210" s="6">
        <v>97.580001999999993</v>
      </c>
      <c r="G1210" s="6">
        <v>36.419998</v>
      </c>
      <c r="H1210" s="6">
        <v>141.58999600000001</v>
      </c>
      <c r="I1210" s="6">
        <v>259.040009</v>
      </c>
      <c r="J1210" s="6">
        <v>30.09</v>
      </c>
      <c r="K1210" s="6">
        <v>10.92</v>
      </c>
      <c r="N1210" s="18">
        <v>1206</v>
      </c>
      <c r="O1210" s="1">
        <v>45216</v>
      </c>
      <c r="P1210" s="5">
        <f t="shared" si="430"/>
        <v>1.6834723006622605E-2</v>
      </c>
      <c r="Q1210" s="5">
        <f t="shared" si="431"/>
        <v>1.8291887718938774E-4</v>
      </c>
      <c r="R1210" s="5">
        <f t="shared" si="432"/>
        <v>2.2751397986159085E-2</v>
      </c>
      <c r="S1210" s="5">
        <f t="shared" si="433"/>
        <v>-4.4175340566283286E-3</v>
      </c>
      <c r="T1210" s="5">
        <f t="shared" si="434"/>
        <v>7.4059275844319478E-3</v>
      </c>
      <c r="U1210" s="5">
        <f t="shared" si="435"/>
        <v>5.2305144775927695E-3</v>
      </c>
      <c r="V1210" s="5">
        <f t="shared" si="436"/>
        <v>5.7371479695926568E-3</v>
      </c>
      <c r="W1210" s="5">
        <f t="shared" si="437"/>
        <v>7.3229757847535276E-3</v>
      </c>
      <c r="X1210" s="5">
        <f t="shared" si="438"/>
        <v>1.0691715614268829E-2</v>
      </c>
      <c r="Y1210" s="5">
        <f t="shared" si="439"/>
        <v>1.8331810816609117E-3</v>
      </c>
      <c r="Z1210" s="33">
        <v>1206</v>
      </c>
      <c r="AE1210" s="20" t="str">
        <f t="shared" si="440"/>
        <v/>
      </c>
      <c r="AF1210" s="22" t="str">
        <f t="shared" si="441"/>
        <v/>
      </c>
      <c r="AG1210" s="9" t="str">
        <f t="shared" ca="1" si="420"/>
        <v/>
      </c>
      <c r="AH1210" s="9" t="str">
        <f t="shared" ca="1" si="421"/>
        <v/>
      </c>
      <c r="AI1210" s="9" t="str">
        <f t="shared" ca="1" si="422"/>
        <v/>
      </c>
      <c r="AJ1210" s="9" t="str">
        <f t="shared" ca="1" si="423"/>
        <v/>
      </c>
      <c r="AK1210" s="9" t="str">
        <f t="shared" ca="1" si="424"/>
        <v/>
      </c>
      <c r="AL1210" s="9" t="str">
        <f t="shared" ca="1" si="425"/>
        <v/>
      </c>
      <c r="AM1210" s="9" t="str">
        <f t="shared" ca="1" si="426"/>
        <v/>
      </c>
      <c r="AN1210" s="9" t="str">
        <f t="shared" ca="1" si="427"/>
        <v/>
      </c>
      <c r="AO1210" s="9" t="str">
        <f t="shared" ca="1" si="428"/>
        <v/>
      </c>
      <c r="AP1210" s="9" t="str">
        <f t="shared" ca="1" si="429"/>
        <v/>
      </c>
      <c r="AQ1210" s="9"/>
      <c r="AR1210" s="9"/>
      <c r="AS1210" s="9"/>
      <c r="AT1210" s="9"/>
      <c r="AU1210" s="9"/>
    </row>
    <row r="1211" spans="1:47" x14ac:dyDescent="0.3">
      <c r="A1211" s="1">
        <v>45217</v>
      </c>
      <c r="B1211" s="6">
        <v>557.86999500000002</v>
      </c>
      <c r="C1211" s="6">
        <v>485.73001099999999</v>
      </c>
      <c r="D1211" s="6">
        <v>49.84</v>
      </c>
      <c r="E1211" s="6">
        <v>162.029999</v>
      </c>
      <c r="F1211" s="6">
        <v>95.339995999999999</v>
      </c>
      <c r="G1211" s="6">
        <v>35.810001</v>
      </c>
      <c r="H1211" s="6">
        <v>135.83000200000001</v>
      </c>
      <c r="I1211" s="6">
        <v>250.35000600000001</v>
      </c>
      <c r="J1211" s="6">
        <v>29.030000999999999</v>
      </c>
      <c r="K1211" s="6">
        <v>10.58</v>
      </c>
      <c r="N1211" s="19">
        <v>1207</v>
      </c>
      <c r="O1211" s="1">
        <v>45217</v>
      </c>
      <c r="P1211" s="5">
        <f t="shared" si="430"/>
        <v>-3.9715819429040761E-3</v>
      </c>
      <c r="Q1211" s="5">
        <f t="shared" si="431"/>
        <v>-1.2927376344132066E-2</v>
      </c>
      <c r="R1211" s="5">
        <f t="shared" si="432"/>
        <v>1.0036937407523032E-3</v>
      </c>
      <c r="S1211" s="5">
        <f t="shared" si="433"/>
        <v>1.0297882758397147E-2</v>
      </c>
      <c r="T1211" s="5">
        <f t="shared" si="434"/>
        <v>-2.3223167062123438E-2</v>
      </c>
      <c r="U1211" s="5">
        <f t="shared" si="435"/>
        <v>-1.6890807449076978E-2</v>
      </c>
      <c r="V1211" s="5">
        <f t="shared" si="436"/>
        <v>-4.1531410487609513E-2</v>
      </c>
      <c r="W1211" s="5">
        <f t="shared" si="437"/>
        <v>-3.4122561930592821E-2</v>
      </c>
      <c r="X1211" s="5">
        <f t="shared" si="438"/>
        <v>-3.5863078158292302E-2</v>
      </c>
      <c r="Y1211" s="5">
        <f t="shared" si="439"/>
        <v>-3.1630543886605661E-2</v>
      </c>
      <c r="Z1211" s="33">
        <v>1207</v>
      </c>
      <c r="AE1211" s="20" t="str">
        <f t="shared" si="440"/>
        <v/>
      </c>
      <c r="AF1211" s="22" t="str">
        <f t="shared" si="441"/>
        <v/>
      </c>
      <c r="AG1211" s="9" t="str">
        <f t="shared" ca="1" si="420"/>
        <v/>
      </c>
      <c r="AH1211" s="9" t="str">
        <f t="shared" ca="1" si="421"/>
        <v/>
      </c>
      <c r="AI1211" s="9" t="str">
        <f t="shared" ca="1" si="422"/>
        <v/>
      </c>
      <c r="AJ1211" s="9" t="str">
        <f t="shared" ca="1" si="423"/>
        <v/>
      </c>
      <c r="AK1211" s="9" t="str">
        <f t="shared" ca="1" si="424"/>
        <v/>
      </c>
      <c r="AL1211" s="9" t="str">
        <f t="shared" ca="1" si="425"/>
        <v/>
      </c>
      <c r="AM1211" s="9" t="str">
        <f t="shared" ca="1" si="426"/>
        <v/>
      </c>
      <c r="AN1211" s="9" t="str">
        <f t="shared" ca="1" si="427"/>
        <v/>
      </c>
      <c r="AO1211" s="9" t="str">
        <f t="shared" ca="1" si="428"/>
        <v/>
      </c>
      <c r="AP1211" s="9" t="str">
        <f t="shared" ca="1" si="429"/>
        <v/>
      </c>
      <c r="AQ1211" s="9"/>
      <c r="AR1211" s="9"/>
      <c r="AS1211" s="9"/>
      <c r="AT1211" s="9"/>
      <c r="AU1211" s="9"/>
    </row>
    <row r="1212" spans="1:47" x14ac:dyDescent="0.3">
      <c r="A1212" s="1">
        <v>45218</v>
      </c>
      <c r="B1212" s="6">
        <v>555.73999000000003</v>
      </c>
      <c r="C1212" s="6">
        <v>482.36999500000002</v>
      </c>
      <c r="D1212" s="6">
        <v>50.400002000000001</v>
      </c>
      <c r="E1212" s="6">
        <v>160.55999800000001</v>
      </c>
      <c r="F1212" s="6">
        <v>94.040001000000004</v>
      </c>
      <c r="G1212" s="6">
        <v>35.189999</v>
      </c>
      <c r="H1212" s="6">
        <v>134.429993</v>
      </c>
      <c r="I1212" s="6">
        <v>252.71000699999999</v>
      </c>
      <c r="J1212" s="6">
        <v>28.540001</v>
      </c>
      <c r="K1212" s="6">
        <v>10.39</v>
      </c>
      <c r="N1212" s="18">
        <v>1208</v>
      </c>
      <c r="O1212" s="1">
        <v>45218</v>
      </c>
      <c r="P1212" s="5">
        <f t="shared" si="430"/>
        <v>-3.82541037919777E-3</v>
      </c>
      <c r="Q1212" s="5">
        <f t="shared" si="431"/>
        <v>-6.941492554153857E-3</v>
      </c>
      <c r="R1212" s="5">
        <f t="shared" si="432"/>
        <v>1.1173340280664053E-2</v>
      </c>
      <c r="S1212" s="5">
        <f t="shared" si="433"/>
        <v>-9.1138050695328144E-3</v>
      </c>
      <c r="T1212" s="5">
        <f t="shared" si="434"/>
        <v>-1.3729173515929109E-2</v>
      </c>
      <c r="U1212" s="5">
        <f t="shared" si="435"/>
        <v>-1.7465289019172128E-2</v>
      </c>
      <c r="V1212" s="5">
        <f t="shared" si="436"/>
        <v>-1.0360553164237282E-2</v>
      </c>
      <c r="W1212" s="5">
        <f t="shared" si="437"/>
        <v>9.3826511842571136E-3</v>
      </c>
      <c r="X1212" s="5">
        <f t="shared" si="438"/>
        <v>-1.7023165396429368E-2</v>
      </c>
      <c r="Y1212" s="5">
        <f t="shared" si="439"/>
        <v>-1.8121621319017248E-2</v>
      </c>
      <c r="Z1212" s="33">
        <v>1208</v>
      </c>
      <c r="AE1212" s="20" t="str">
        <f t="shared" si="440"/>
        <v/>
      </c>
      <c r="AF1212" s="22" t="str">
        <f t="shared" si="441"/>
        <v/>
      </c>
      <c r="AG1212" s="9" t="str">
        <f t="shared" ca="1" si="420"/>
        <v/>
      </c>
      <c r="AH1212" s="9" t="str">
        <f t="shared" ca="1" si="421"/>
        <v/>
      </c>
      <c r="AI1212" s="9" t="str">
        <f t="shared" ca="1" si="422"/>
        <v/>
      </c>
      <c r="AJ1212" s="9" t="str">
        <f t="shared" ca="1" si="423"/>
        <v/>
      </c>
      <c r="AK1212" s="9" t="str">
        <f t="shared" ca="1" si="424"/>
        <v/>
      </c>
      <c r="AL1212" s="9" t="str">
        <f t="shared" ca="1" si="425"/>
        <v/>
      </c>
      <c r="AM1212" s="9" t="str">
        <f t="shared" ca="1" si="426"/>
        <v/>
      </c>
      <c r="AN1212" s="9" t="str">
        <f t="shared" ca="1" si="427"/>
        <v/>
      </c>
      <c r="AO1212" s="9" t="str">
        <f t="shared" ca="1" si="428"/>
        <v/>
      </c>
      <c r="AP1212" s="9" t="str">
        <f t="shared" ca="1" si="429"/>
        <v/>
      </c>
      <c r="AQ1212" s="9"/>
      <c r="AR1212" s="9"/>
      <c r="AS1212" s="9"/>
      <c r="AT1212" s="9"/>
      <c r="AU1212" s="9"/>
    </row>
    <row r="1213" spans="1:47" x14ac:dyDescent="0.3">
      <c r="A1213" s="1">
        <v>45219</v>
      </c>
      <c r="B1213" s="6">
        <v>540.96002199999998</v>
      </c>
      <c r="C1213" s="6">
        <v>467.64001500000001</v>
      </c>
      <c r="D1213" s="6">
        <v>49.98</v>
      </c>
      <c r="E1213" s="6">
        <v>160</v>
      </c>
      <c r="F1213" s="6">
        <v>92.849997999999999</v>
      </c>
      <c r="G1213" s="6">
        <v>34.700001</v>
      </c>
      <c r="H1213" s="6">
        <v>134.69000199999999</v>
      </c>
      <c r="I1213" s="6">
        <v>252.89999399999999</v>
      </c>
      <c r="J1213" s="6">
        <v>27.690000999999999</v>
      </c>
      <c r="K1213" s="6">
        <v>10.33</v>
      </c>
      <c r="N1213" s="19">
        <v>1209</v>
      </c>
      <c r="O1213" s="1">
        <v>45219</v>
      </c>
      <c r="P1213" s="5">
        <f t="shared" si="430"/>
        <v>-2.6955161358170797E-2</v>
      </c>
      <c r="Q1213" s="5">
        <f t="shared" si="431"/>
        <v>-3.1012642844369307E-2</v>
      </c>
      <c r="R1213" s="5">
        <f t="shared" si="432"/>
        <v>-8.3682893530556308E-3</v>
      </c>
      <c r="S1213" s="5">
        <f t="shared" si="433"/>
        <v>-3.493876797853139E-3</v>
      </c>
      <c r="T1213" s="5">
        <f t="shared" si="434"/>
        <v>-1.2734968047045468E-2</v>
      </c>
      <c r="U1213" s="5">
        <f t="shared" si="435"/>
        <v>-1.4022207145072527E-2</v>
      </c>
      <c r="V1213" s="5">
        <f t="shared" si="436"/>
        <v>1.9322910651858049E-3</v>
      </c>
      <c r="W1213" s="5">
        <f t="shared" si="437"/>
        <v>7.5151602446924448E-4</v>
      </c>
      <c r="X1213" s="5">
        <f t="shared" si="438"/>
        <v>-3.0235273790241698E-2</v>
      </c>
      <c r="Y1213" s="5">
        <f t="shared" si="439"/>
        <v>-5.7915219795889369E-3</v>
      </c>
      <c r="Z1213" s="33">
        <v>1209</v>
      </c>
      <c r="AE1213" s="20" t="str">
        <f t="shared" si="440"/>
        <v/>
      </c>
      <c r="AF1213" s="22" t="str">
        <f t="shared" si="441"/>
        <v/>
      </c>
      <c r="AG1213" s="9" t="str">
        <f t="shared" ca="1" si="420"/>
        <v/>
      </c>
      <c r="AH1213" s="9" t="str">
        <f t="shared" ca="1" si="421"/>
        <v/>
      </c>
      <c r="AI1213" s="9" t="str">
        <f t="shared" ca="1" si="422"/>
        <v/>
      </c>
      <c r="AJ1213" s="9" t="str">
        <f t="shared" ca="1" si="423"/>
        <v/>
      </c>
      <c r="AK1213" s="9" t="str">
        <f t="shared" ca="1" si="424"/>
        <v/>
      </c>
      <c r="AL1213" s="9" t="str">
        <f t="shared" ca="1" si="425"/>
        <v/>
      </c>
      <c r="AM1213" s="9" t="str">
        <f t="shared" ca="1" si="426"/>
        <v/>
      </c>
      <c r="AN1213" s="9" t="str">
        <f t="shared" ca="1" si="427"/>
        <v/>
      </c>
      <c r="AO1213" s="9" t="str">
        <f t="shared" ca="1" si="428"/>
        <v/>
      </c>
      <c r="AP1213" s="9" t="str">
        <f t="shared" ca="1" si="429"/>
        <v/>
      </c>
      <c r="AQ1213" s="9"/>
      <c r="AR1213" s="9"/>
      <c r="AS1213" s="9"/>
      <c r="AT1213" s="9"/>
      <c r="AU1213" s="9"/>
    </row>
    <row r="1214" spans="1:47" x14ac:dyDescent="0.3">
      <c r="A1214" s="1">
        <v>45222</v>
      </c>
      <c r="B1214" s="6">
        <v>540.40997300000004</v>
      </c>
      <c r="C1214" s="6">
        <v>467.82000699999998</v>
      </c>
      <c r="D1214" s="6">
        <v>50.299999</v>
      </c>
      <c r="E1214" s="6">
        <v>160.08000200000001</v>
      </c>
      <c r="F1214" s="6">
        <v>91.830001999999993</v>
      </c>
      <c r="G1214" s="6">
        <v>34.139999000000003</v>
      </c>
      <c r="H1214" s="6">
        <v>133.85000600000001</v>
      </c>
      <c r="I1214" s="6">
        <v>250.550003</v>
      </c>
      <c r="J1214" s="6">
        <v>28.200001</v>
      </c>
      <c r="K1214" s="6">
        <v>10.14</v>
      </c>
      <c r="N1214" s="18">
        <v>1210</v>
      </c>
      <c r="O1214" s="1">
        <v>45222</v>
      </c>
      <c r="P1214" s="5">
        <f t="shared" si="430"/>
        <v>-1.0173188640004572E-3</v>
      </c>
      <c r="Q1214" s="5">
        <f t="shared" si="431"/>
        <v>3.8482029800996232E-4</v>
      </c>
      <c r="R1214" s="5">
        <f t="shared" si="432"/>
        <v>6.3821318181713155E-3</v>
      </c>
      <c r="S1214" s="5">
        <f t="shared" si="433"/>
        <v>4.9988753540418428E-4</v>
      </c>
      <c r="T1214" s="5">
        <f t="shared" si="434"/>
        <v>-1.1046202853790694E-2</v>
      </c>
      <c r="U1214" s="5">
        <f t="shared" si="435"/>
        <v>-1.6270027696116747E-2</v>
      </c>
      <c r="V1214" s="5">
        <f t="shared" si="436"/>
        <v>-6.2560416669770191E-3</v>
      </c>
      <c r="W1214" s="5">
        <f t="shared" si="437"/>
        <v>-9.3356165717352266E-3</v>
      </c>
      <c r="X1214" s="5">
        <f t="shared" si="438"/>
        <v>1.8250640108069826E-2</v>
      </c>
      <c r="Y1214" s="5">
        <f t="shared" si="439"/>
        <v>-1.8564284968510043E-2</v>
      </c>
      <c r="Z1214" s="33">
        <v>1210</v>
      </c>
      <c r="AE1214" s="20" t="str">
        <f t="shared" si="440"/>
        <v/>
      </c>
      <c r="AF1214" s="22" t="str">
        <f t="shared" si="441"/>
        <v/>
      </c>
      <c r="AG1214" s="9" t="str">
        <f t="shared" ca="1" si="420"/>
        <v/>
      </c>
      <c r="AH1214" s="9" t="str">
        <f t="shared" ca="1" si="421"/>
        <v/>
      </c>
      <c r="AI1214" s="9" t="str">
        <f t="shared" ca="1" si="422"/>
        <v/>
      </c>
      <c r="AJ1214" s="9" t="str">
        <f t="shared" ca="1" si="423"/>
        <v/>
      </c>
      <c r="AK1214" s="9" t="str">
        <f t="shared" ca="1" si="424"/>
        <v/>
      </c>
      <c r="AL1214" s="9" t="str">
        <f t="shared" ca="1" si="425"/>
        <v/>
      </c>
      <c r="AM1214" s="9" t="str">
        <f t="shared" ca="1" si="426"/>
        <v/>
      </c>
      <c r="AN1214" s="9" t="str">
        <f t="shared" ca="1" si="427"/>
        <v/>
      </c>
      <c r="AO1214" s="9" t="str">
        <f t="shared" ca="1" si="428"/>
        <v/>
      </c>
      <c r="AP1214" s="9" t="str">
        <f t="shared" ca="1" si="429"/>
        <v/>
      </c>
      <c r="AQ1214" s="9"/>
      <c r="AR1214" s="9"/>
      <c r="AS1214" s="9"/>
      <c r="AT1214" s="9"/>
      <c r="AU1214" s="9"/>
    </row>
    <row r="1215" spans="1:47" x14ac:dyDescent="0.3">
      <c r="A1215" s="1">
        <v>45223</v>
      </c>
      <c r="B1215" s="6">
        <v>539.55999799999995</v>
      </c>
      <c r="C1215" s="6">
        <v>468.02999899999998</v>
      </c>
      <c r="D1215" s="6">
        <v>50.049999</v>
      </c>
      <c r="E1215" s="6">
        <v>162.19000199999999</v>
      </c>
      <c r="F1215" s="6">
        <v>93.690002000000007</v>
      </c>
      <c r="G1215" s="6">
        <v>34.720001000000003</v>
      </c>
      <c r="H1215" s="6">
        <v>132.33000200000001</v>
      </c>
      <c r="I1215" s="6">
        <v>254.03999300000001</v>
      </c>
      <c r="J1215" s="6">
        <v>27.9</v>
      </c>
      <c r="K1215" s="6">
        <v>10.08</v>
      </c>
      <c r="N1215" s="19">
        <v>1211</v>
      </c>
      <c r="O1215" s="1">
        <v>45223</v>
      </c>
      <c r="P1215" s="5">
        <f t="shared" si="430"/>
        <v>-1.5740718692609003E-3</v>
      </c>
      <c r="Q1215" s="5">
        <f t="shared" si="431"/>
        <v>4.4877277806902886E-4</v>
      </c>
      <c r="R1215" s="5">
        <f t="shared" si="432"/>
        <v>-4.9825714437682364E-3</v>
      </c>
      <c r="S1215" s="5">
        <f t="shared" si="433"/>
        <v>1.3094797061583337E-2</v>
      </c>
      <c r="T1215" s="5">
        <f t="shared" si="434"/>
        <v>2.0052417905286772E-2</v>
      </c>
      <c r="U1215" s="5">
        <f t="shared" si="435"/>
        <v>1.6846230518852187E-2</v>
      </c>
      <c r="V1215" s="5">
        <f t="shared" si="436"/>
        <v>-1.1420996893969889E-2</v>
      </c>
      <c r="W1215" s="5">
        <f t="shared" si="437"/>
        <v>1.3833194000666443E-2</v>
      </c>
      <c r="X1215" s="5">
        <f t="shared" si="438"/>
        <v>-1.069532457774027E-2</v>
      </c>
      <c r="Y1215" s="5">
        <f t="shared" si="439"/>
        <v>-5.9347355198145777E-3</v>
      </c>
      <c r="Z1215" s="33">
        <v>1211</v>
      </c>
      <c r="AE1215" s="20" t="str">
        <f t="shared" si="440"/>
        <v/>
      </c>
      <c r="AF1215" s="22" t="str">
        <f t="shared" si="441"/>
        <v/>
      </c>
      <c r="AG1215" s="9" t="str">
        <f t="shared" ca="1" si="420"/>
        <v/>
      </c>
      <c r="AH1215" s="9" t="str">
        <f t="shared" ca="1" si="421"/>
        <v/>
      </c>
      <c r="AI1215" s="9" t="str">
        <f t="shared" ca="1" si="422"/>
        <v/>
      </c>
      <c r="AJ1215" s="9" t="str">
        <f t="shared" ca="1" si="423"/>
        <v/>
      </c>
      <c r="AK1215" s="9" t="str">
        <f t="shared" ca="1" si="424"/>
        <v/>
      </c>
      <c r="AL1215" s="9" t="str">
        <f t="shared" ca="1" si="425"/>
        <v/>
      </c>
      <c r="AM1215" s="9" t="str">
        <f t="shared" ca="1" si="426"/>
        <v/>
      </c>
      <c r="AN1215" s="9" t="str">
        <f t="shared" ca="1" si="427"/>
        <v/>
      </c>
      <c r="AO1215" s="9" t="str">
        <f t="shared" ca="1" si="428"/>
        <v/>
      </c>
      <c r="AP1215" s="9" t="str">
        <f t="shared" ca="1" si="429"/>
        <v/>
      </c>
      <c r="AQ1215" s="9"/>
      <c r="AR1215" s="9"/>
      <c r="AS1215" s="9"/>
      <c r="AT1215" s="9"/>
      <c r="AU1215" s="9"/>
    </row>
    <row r="1216" spans="1:47" x14ac:dyDescent="0.3">
      <c r="A1216" s="1">
        <v>45224</v>
      </c>
      <c r="B1216" s="6">
        <v>521.14001499999995</v>
      </c>
      <c r="C1216" s="6">
        <v>455.26001000000002</v>
      </c>
      <c r="D1216" s="6">
        <v>50.080002</v>
      </c>
      <c r="E1216" s="6">
        <v>162.35000600000001</v>
      </c>
      <c r="F1216" s="6">
        <v>91.489998</v>
      </c>
      <c r="G1216" s="6">
        <v>33.990001999999997</v>
      </c>
      <c r="H1216" s="6">
        <v>130.08000200000001</v>
      </c>
      <c r="I1216" s="6">
        <v>250.199997</v>
      </c>
      <c r="J1216" s="6">
        <v>27.690000999999999</v>
      </c>
      <c r="K1216" s="6">
        <v>9.73</v>
      </c>
      <c r="N1216" s="18">
        <v>1212</v>
      </c>
      <c r="O1216" s="1">
        <v>45224</v>
      </c>
      <c r="P1216" s="5">
        <f t="shared" si="430"/>
        <v>-3.4735240443963235E-2</v>
      </c>
      <c r="Q1216" s="5">
        <f t="shared" si="431"/>
        <v>-2.7663688005939848E-2</v>
      </c>
      <c r="R1216" s="5">
        <f t="shared" si="432"/>
        <v>5.9928094673523122E-4</v>
      </c>
      <c r="S1216" s="5">
        <f t="shared" si="433"/>
        <v>9.8603567523098778E-4</v>
      </c>
      <c r="T1216" s="5">
        <f t="shared" si="434"/>
        <v>-2.3761826478961075E-2</v>
      </c>
      <c r="U1216" s="5">
        <f t="shared" si="435"/>
        <v>-2.124949604513407E-2</v>
      </c>
      <c r="V1216" s="5">
        <f t="shared" si="436"/>
        <v>-1.7149156724034699E-2</v>
      </c>
      <c r="W1216" s="5">
        <f t="shared" si="437"/>
        <v>-1.5231121337654962E-2</v>
      </c>
      <c r="X1216" s="5">
        <f t="shared" si="438"/>
        <v>-7.5553155303295294E-3</v>
      </c>
      <c r="Y1216" s="5">
        <f t="shared" si="439"/>
        <v>-3.5339366445308849E-2</v>
      </c>
      <c r="Z1216" s="33">
        <v>1212</v>
      </c>
      <c r="AE1216" s="20" t="str">
        <f t="shared" si="440"/>
        <v/>
      </c>
      <c r="AF1216" s="22" t="str">
        <f t="shared" si="441"/>
        <v/>
      </c>
      <c r="AG1216" s="9" t="str">
        <f t="shared" ca="1" si="420"/>
        <v/>
      </c>
      <c r="AH1216" s="9" t="str">
        <f t="shared" ca="1" si="421"/>
        <v/>
      </c>
      <c r="AI1216" s="9" t="str">
        <f t="shared" ca="1" si="422"/>
        <v/>
      </c>
      <c r="AJ1216" s="9" t="str">
        <f t="shared" ca="1" si="423"/>
        <v/>
      </c>
      <c r="AK1216" s="9" t="str">
        <f t="shared" ca="1" si="424"/>
        <v/>
      </c>
      <c r="AL1216" s="9" t="str">
        <f t="shared" ca="1" si="425"/>
        <v/>
      </c>
      <c r="AM1216" s="9" t="str">
        <f t="shared" ca="1" si="426"/>
        <v/>
      </c>
      <c r="AN1216" s="9" t="str">
        <f t="shared" ca="1" si="427"/>
        <v/>
      </c>
      <c r="AO1216" s="9" t="str">
        <f t="shared" ca="1" si="428"/>
        <v/>
      </c>
      <c r="AP1216" s="9" t="str">
        <f t="shared" ca="1" si="429"/>
        <v/>
      </c>
      <c r="AQ1216" s="9"/>
      <c r="AR1216" s="9"/>
      <c r="AS1216" s="9"/>
      <c r="AT1216" s="9"/>
      <c r="AU1216" s="9"/>
    </row>
    <row r="1217" spans="1:47" x14ac:dyDescent="0.3">
      <c r="A1217" s="1">
        <v>45225</v>
      </c>
      <c r="B1217" s="6">
        <v>514.28002900000001</v>
      </c>
      <c r="C1217" s="6">
        <v>453.540009</v>
      </c>
      <c r="D1217" s="6">
        <v>50.060001</v>
      </c>
      <c r="E1217" s="6">
        <v>161.41000399999999</v>
      </c>
      <c r="F1217" s="6">
        <v>89.870002999999997</v>
      </c>
      <c r="G1217" s="6">
        <v>33.590000000000003</v>
      </c>
      <c r="H1217" s="6">
        <v>130.550003</v>
      </c>
      <c r="I1217" s="6">
        <v>253.490005</v>
      </c>
      <c r="J1217" s="6">
        <v>27.82</v>
      </c>
      <c r="K1217" s="6">
        <v>9.8000000000000007</v>
      </c>
      <c r="N1217" s="19">
        <v>1213</v>
      </c>
      <c r="O1217" s="1">
        <v>45225</v>
      </c>
      <c r="P1217" s="5">
        <f t="shared" si="430"/>
        <v>-1.3250827845229709E-2</v>
      </c>
      <c r="Q1217" s="5">
        <f t="shared" si="431"/>
        <v>-3.7852179086778183E-3</v>
      </c>
      <c r="R1217" s="5">
        <f t="shared" si="432"/>
        <v>-3.9946074828786708E-4</v>
      </c>
      <c r="S1217" s="5">
        <f t="shared" si="433"/>
        <v>-5.8067989392456571E-3</v>
      </c>
      <c r="T1217" s="5">
        <f t="shared" si="434"/>
        <v>-1.7865439779298494E-2</v>
      </c>
      <c r="U1217" s="5">
        <f t="shared" si="435"/>
        <v>-1.1838018924656926E-2</v>
      </c>
      <c r="V1217" s="5">
        <f t="shared" si="436"/>
        <v>3.606656950184747E-3</v>
      </c>
      <c r="W1217" s="5">
        <f t="shared" si="437"/>
        <v>1.3063808203640878E-2</v>
      </c>
      <c r="X1217" s="5">
        <f t="shared" si="438"/>
        <v>4.6838131983064609E-3</v>
      </c>
      <c r="Y1217" s="5">
        <f t="shared" si="439"/>
        <v>7.168489478612497E-3</v>
      </c>
      <c r="Z1217" s="33">
        <v>1213</v>
      </c>
      <c r="AE1217" s="20" t="str">
        <f t="shared" si="440"/>
        <v/>
      </c>
      <c r="AF1217" s="22" t="str">
        <f t="shared" si="441"/>
        <v/>
      </c>
      <c r="AG1217" s="9" t="str">
        <f t="shared" ca="1" si="420"/>
        <v/>
      </c>
      <c r="AH1217" s="9" t="str">
        <f t="shared" ca="1" si="421"/>
        <v/>
      </c>
      <c r="AI1217" s="9" t="str">
        <f t="shared" ca="1" si="422"/>
        <v/>
      </c>
      <c r="AJ1217" s="9" t="str">
        <f t="shared" ca="1" si="423"/>
        <v/>
      </c>
      <c r="AK1217" s="9" t="str">
        <f t="shared" ca="1" si="424"/>
        <v/>
      </c>
      <c r="AL1217" s="9" t="str">
        <f t="shared" ca="1" si="425"/>
        <v/>
      </c>
      <c r="AM1217" s="9" t="str">
        <f t="shared" ca="1" si="426"/>
        <v/>
      </c>
      <c r="AN1217" s="9" t="str">
        <f t="shared" ca="1" si="427"/>
        <v/>
      </c>
      <c r="AO1217" s="9" t="str">
        <f t="shared" ca="1" si="428"/>
        <v/>
      </c>
      <c r="AP1217" s="9" t="str">
        <f t="shared" ca="1" si="429"/>
        <v/>
      </c>
      <c r="AQ1217" s="9"/>
      <c r="AR1217" s="9"/>
      <c r="AS1217" s="9"/>
      <c r="AT1217" s="9"/>
      <c r="AU1217" s="9"/>
    </row>
    <row r="1218" spans="1:47" x14ac:dyDescent="0.3">
      <c r="A1218" s="1">
        <v>45226</v>
      </c>
      <c r="B1218" s="6">
        <v>508.11999500000002</v>
      </c>
      <c r="C1218" s="6">
        <v>457</v>
      </c>
      <c r="D1218" s="6">
        <v>49.900002000000001</v>
      </c>
      <c r="E1218" s="6">
        <v>159.61999499999999</v>
      </c>
      <c r="F1218" s="6">
        <v>83.980002999999996</v>
      </c>
      <c r="G1218" s="6">
        <v>31.559999000000001</v>
      </c>
      <c r="H1218" s="6">
        <v>128.41999799999999</v>
      </c>
      <c r="I1218" s="6">
        <v>252.33999600000001</v>
      </c>
      <c r="J1218" s="6">
        <v>27.559999000000001</v>
      </c>
      <c r="K1218" s="6">
        <v>9.5500000000000007</v>
      </c>
      <c r="N1218" s="18">
        <v>1214</v>
      </c>
      <c r="O1218" s="1">
        <v>45226</v>
      </c>
      <c r="P1218" s="5">
        <f t="shared" si="430"/>
        <v>-1.2050290290497199E-2</v>
      </c>
      <c r="Q1218" s="5">
        <f t="shared" si="431"/>
        <v>7.5999025181699188E-3</v>
      </c>
      <c r="R1218" s="5">
        <f t="shared" si="432"/>
        <v>-3.2012631420242133E-3</v>
      </c>
      <c r="S1218" s="5">
        <f t="shared" si="433"/>
        <v>-1.1151777443333094E-2</v>
      </c>
      <c r="T1218" s="5">
        <f t="shared" si="434"/>
        <v>-6.7785504072994968E-2</v>
      </c>
      <c r="U1218" s="5">
        <f t="shared" si="435"/>
        <v>-6.2337939332206556E-2</v>
      </c>
      <c r="V1218" s="5">
        <f t="shared" si="436"/>
        <v>-1.6450191332834933E-2</v>
      </c>
      <c r="W1218" s="5">
        <f t="shared" si="437"/>
        <v>-4.5470255980776643E-3</v>
      </c>
      <c r="X1218" s="5">
        <f t="shared" si="438"/>
        <v>-9.3897766343099074E-3</v>
      </c>
      <c r="Y1218" s="5">
        <f t="shared" si="439"/>
        <v>-2.5841231183887328E-2</v>
      </c>
      <c r="Z1218" s="33">
        <v>1214</v>
      </c>
      <c r="AE1218" s="20" t="str">
        <f t="shared" si="440"/>
        <v/>
      </c>
      <c r="AF1218" s="22" t="str">
        <f t="shared" si="441"/>
        <v/>
      </c>
      <c r="AG1218" s="9" t="str">
        <f t="shared" ca="1" si="420"/>
        <v/>
      </c>
      <c r="AH1218" s="9" t="str">
        <f t="shared" ca="1" si="421"/>
        <v/>
      </c>
      <c r="AI1218" s="9" t="str">
        <f t="shared" ca="1" si="422"/>
        <v/>
      </c>
      <c r="AJ1218" s="9" t="str">
        <f t="shared" ca="1" si="423"/>
        <v/>
      </c>
      <c r="AK1218" s="9" t="str">
        <f t="shared" ca="1" si="424"/>
        <v/>
      </c>
      <c r="AL1218" s="9" t="str">
        <f t="shared" ca="1" si="425"/>
        <v/>
      </c>
      <c r="AM1218" s="9" t="str">
        <f t="shared" ca="1" si="426"/>
        <v/>
      </c>
      <c r="AN1218" s="9" t="str">
        <f t="shared" ca="1" si="427"/>
        <v/>
      </c>
      <c r="AO1218" s="9" t="str">
        <f t="shared" ca="1" si="428"/>
        <v/>
      </c>
      <c r="AP1218" s="9" t="str">
        <f t="shared" ca="1" si="429"/>
        <v/>
      </c>
      <c r="AQ1218" s="9"/>
      <c r="AR1218" s="9"/>
      <c r="AS1218" s="9"/>
      <c r="AT1218" s="9"/>
      <c r="AU1218" s="9"/>
    </row>
    <row r="1219" spans="1:47" x14ac:dyDescent="0.3">
      <c r="A1219" s="1">
        <v>45229</v>
      </c>
      <c r="B1219" s="6">
        <v>526.94000200000005</v>
      </c>
      <c r="C1219" s="6">
        <v>460.94000199999999</v>
      </c>
      <c r="D1219" s="6">
        <v>50.68</v>
      </c>
      <c r="E1219" s="6">
        <v>162.279999</v>
      </c>
      <c r="F1219" s="6">
        <v>83.93</v>
      </c>
      <c r="G1219" s="6">
        <v>31.620000999999998</v>
      </c>
      <c r="H1219" s="6">
        <v>128.41999799999999</v>
      </c>
      <c r="I1219" s="6">
        <v>254.490005</v>
      </c>
      <c r="J1219" s="6">
        <v>27.959999</v>
      </c>
      <c r="K1219" s="6">
        <v>9.85</v>
      </c>
      <c r="N1219" s="19">
        <v>1215</v>
      </c>
      <c r="O1219" s="1">
        <v>45229</v>
      </c>
      <c r="P1219" s="5">
        <f t="shared" si="430"/>
        <v>3.6369063547756202E-2</v>
      </c>
      <c r="Q1219" s="5">
        <f t="shared" si="431"/>
        <v>8.584496127099361E-3</v>
      </c>
      <c r="R1219" s="5">
        <f t="shared" si="432"/>
        <v>1.5510312615305732E-2</v>
      </c>
      <c r="S1219" s="5">
        <f t="shared" si="433"/>
        <v>1.6527273052590934E-2</v>
      </c>
      <c r="T1219" s="5">
        <f t="shared" si="434"/>
        <v>-5.9559288410139175E-4</v>
      </c>
      <c r="U1219" s="5">
        <f t="shared" si="435"/>
        <v>1.8993991148838357E-3</v>
      </c>
      <c r="V1219" s="5">
        <f t="shared" si="436"/>
        <v>0</v>
      </c>
      <c r="W1219" s="5">
        <f t="shared" si="437"/>
        <v>8.4841934869238841E-3</v>
      </c>
      <c r="X1219" s="5">
        <f t="shared" si="438"/>
        <v>1.4409471739242773E-2</v>
      </c>
      <c r="Y1219" s="5">
        <f t="shared" si="439"/>
        <v>3.0930300691358558E-2</v>
      </c>
      <c r="Z1219" s="33">
        <v>1215</v>
      </c>
      <c r="AE1219" s="20" t="str">
        <f t="shared" si="440"/>
        <v/>
      </c>
      <c r="AF1219" s="22" t="str">
        <f t="shared" si="441"/>
        <v/>
      </c>
      <c r="AG1219" s="9" t="str">
        <f t="shared" ca="1" si="420"/>
        <v/>
      </c>
      <c r="AH1219" s="9" t="str">
        <f t="shared" ca="1" si="421"/>
        <v/>
      </c>
      <c r="AI1219" s="9" t="str">
        <f t="shared" ca="1" si="422"/>
        <v/>
      </c>
      <c r="AJ1219" s="9" t="str">
        <f t="shared" ca="1" si="423"/>
        <v/>
      </c>
      <c r="AK1219" s="9" t="str">
        <f t="shared" ca="1" si="424"/>
        <v/>
      </c>
      <c r="AL1219" s="9" t="str">
        <f t="shared" ca="1" si="425"/>
        <v/>
      </c>
      <c r="AM1219" s="9" t="str">
        <f t="shared" ca="1" si="426"/>
        <v/>
      </c>
      <c r="AN1219" s="9" t="str">
        <f t="shared" ca="1" si="427"/>
        <v/>
      </c>
      <c r="AO1219" s="9" t="str">
        <f t="shared" ca="1" si="428"/>
        <v/>
      </c>
      <c r="AP1219" s="9" t="str">
        <f t="shared" ca="1" si="429"/>
        <v/>
      </c>
      <c r="AQ1219" s="9"/>
      <c r="AR1219" s="9"/>
      <c r="AS1219" s="9"/>
      <c r="AT1219" s="9"/>
      <c r="AU1219" s="9"/>
    </row>
    <row r="1220" spans="1:47" x14ac:dyDescent="0.3">
      <c r="A1220" s="1">
        <v>45230</v>
      </c>
      <c r="B1220" s="6">
        <v>532.05999799999995</v>
      </c>
      <c r="C1220" s="6">
        <v>469.44000199999999</v>
      </c>
      <c r="D1220" s="6">
        <v>51.099997999999999</v>
      </c>
      <c r="E1220" s="6">
        <v>163.279999</v>
      </c>
      <c r="F1220" s="6">
        <v>84.879997000000003</v>
      </c>
      <c r="G1220" s="6">
        <v>31.809999000000001</v>
      </c>
      <c r="H1220" s="6">
        <v>129.949997</v>
      </c>
      <c r="I1220" s="6">
        <v>257.94000199999999</v>
      </c>
      <c r="J1220" s="6">
        <v>28.4</v>
      </c>
      <c r="K1220" s="6">
        <v>9.94</v>
      </c>
      <c r="N1220" s="18">
        <v>1216</v>
      </c>
      <c r="O1220" s="1">
        <v>45230</v>
      </c>
      <c r="P1220" s="5">
        <f t="shared" si="430"/>
        <v>9.669567315329369E-3</v>
      </c>
      <c r="Q1220" s="5">
        <f t="shared" si="431"/>
        <v>1.8272612193708192E-2</v>
      </c>
      <c r="R1220" s="5">
        <f t="shared" si="432"/>
        <v>8.2531026177765261E-3</v>
      </c>
      <c r="S1220" s="5">
        <f t="shared" si="433"/>
        <v>6.1432802010828744E-3</v>
      </c>
      <c r="T1220" s="5">
        <f t="shared" si="434"/>
        <v>1.1255340866975825E-2</v>
      </c>
      <c r="U1220" s="5">
        <f t="shared" si="435"/>
        <v>5.9908109175182021E-3</v>
      </c>
      <c r="V1220" s="5">
        <f t="shared" si="436"/>
        <v>1.184361120969271E-2</v>
      </c>
      <c r="W1220" s="5">
        <f t="shared" si="437"/>
        <v>1.3465445355096086E-2</v>
      </c>
      <c r="X1220" s="5">
        <f t="shared" si="438"/>
        <v>1.561426356693048E-2</v>
      </c>
      <c r="Y1220" s="5">
        <f t="shared" si="439"/>
        <v>9.0955654844851151E-3</v>
      </c>
      <c r="Z1220" s="33">
        <v>1216</v>
      </c>
      <c r="AE1220" s="20" t="str">
        <f t="shared" si="440"/>
        <v/>
      </c>
      <c r="AF1220" s="22" t="str">
        <f t="shared" si="441"/>
        <v/>
      </c>
      <c r="AG1220" s="9" t="str">
        <f t="shared" ca="1" si="420"/>
        <v/>
      </c>
      <c r="AH1220" s="9" t="str">
        <f t="shared" ca="1" si="421"/>
        <v/>
      </c>
      <c r="AI1220" s="9" t="str">
        <f t="shared" ca="1" si="422"/>
        <v/>
      </c>
      <c r="AJ1220" s="9" t="str">
        <f t="shared" ca="1" si="423"/>
        <v/>
      </c>
      <c r="AK1220" s="9" t="str">
        <f t="shared" ca="1" si="424"/>
        <v/>
      </c>
      <c r="AL1220" s="9" t="str">
        <f t="shared" ca="1" si="425"/>
        <v/>
      </c>
      <c r="AM1220" s="9" t="str">
        <f t="shared" ca="1" si="426"/>
        <v/>
      </c>
      <c r="AN1220" s="9" t="str">
        <f t="shared" ca="1" si="427"/>
        <v/>
      </c>
      <c r="AO1220" s="9" t="str">
        <f t="shared" ca="1" si="428"/>
        <v/>
      </c>
      <c r="AP1220" s="9" t="str">
        <f t="shared" ca="1" si="429"/>
        <v/>
      </c>
      <c r="AQ1220" s="9"/>
      <c r="AR1220" s="9"/>
      <c r="AS1220" s="9"/>
      <c r="AT1220" s="9"/>
      <c r="AU1220" s="9"/>
    </row>
    <row r="1221" spans="1:47" x14ac:dyDescent="0.3">
      <c r="A1221" s="1">
        <v>45231</v>
      </c>
      <c r="B1221" s="6">
        <v>544.5</v>
      </c>
      <c r="C1221" s="6">
        <v>475.38000499999998</v>
      </c>
      <c r="D1221" s="6">
        <v>51.650002000000001</v>
      </c>
      <c r="E1221" s="6">
        <v>164.86999499999999</v>
      </c>
      <c r="F1221" s="6">
        <v>84.68</v>
      </c>
      <c r="G1221" s="6">
        <v>31.41</v>
      </c>
      <c r="H1221" s="6">
        <v>129.08000200000001</v>
      </c>
      <c r="I1221" s="6">
        <v>260.51998900000001</v>
      </c>
      <c r="J1221" s="6">
        <v>28.35</v>
      </c>
      <c r="K1221" s="6">
        <v>10.08</v>
      </c>
      <c r="N1221" s="19">
        <v>1217</v>
      </c>
      <c r="O1221" s="1">
        <v>45231</v>
      </c>
      <c r="P1221" s="5">
        <f t="shared" si="430"/>
        <v>2.3111681194864734E-2</v>
      </c>
      <c r="Q1221" s="5">
        <f t="shared" si="431"/>
        <v>1.2573995508094692E-2</v>
      </c>
      <c r="R1221" s="5">
        <f t="shared" si="432"/>
        <v>1.0705776217100515E-2</v>
      </c>
      <c r="S1221" s="5">
        <f t="shared" si="433"/>
        <v>9.6907418690219353E-3</v>
      </c>
      <c r="T1221" s="5">
        <f t="shared" si="434"/>
        <v>-2.3590126950475514E-3</v>
      </c>
      <c r="U1221" s="5">
        <f t="shared" si="435"/>
        <v>-1.2654360773841914E-2</v>
      </c>
      <c r="V1221" s="5">
        <f t="shared" si="436"/>
        <v>-6.7173553236685949E-3</v>
      </c>
      <c r="W1221" s="5">
        <f t="shared" si="437"/>
        <v>9.9525839649678392E-3</v>
      </c>
      <c r="X1221" s="5">
        <f t="shared" si="438"/>
        <v>-1.7621149933992209E-3</v>
      </c>
      <c r="Y1221" s="5">
        <f t="shared" si="439"/>
        <v>1.398624197473987E-2</v>
      </c>
      <c r="Z1221" s="33">
        <v>1217</v>
      </c>
      <c r="AE1221" s="20" t="str">
        <f t="shared" si="440"/>
        <v/>
      </c>
      <c r="AF1221" s="22" t="str">
        <f t="shared" si="441"/>
        <v/>
      </c>
      <c r="AG1221" s="9" t="str">
        <f t="shared" ref="AG1221:AG1261" ca="1" si="442">IF($AE1221="","",OFFSET(P$4,$AE1221,0))</f>
        <v/>
      </c>
      <c r="AH1221" s="9" t="str">
        <f t="shared" ref="AH1221:AH1261" ca="1" si="443">IF($AE1221="","",OFFSET(Q$4,$AE1221,0))</f>
        <v/>
      </c>
      <c r="AI1221" s="9" t="str">
        <f t="shared" ref="AI1221:AI1261" ca="1" si="444">IF($AE1221="","",OFFSET(R$4,$AE1221,0))</f>
        <v/>
      </c>
      <c r="AJ1221" s="9" t="str">
        <f t="shared" ref="AJ1221:AJ1261" ca="1" si="445">IF($AE1221="","",OFFSET(S$4,$AE1221,0))</f>
        <v/>
      </c>
      <c r="AK1221" s="9" t="str">
        <f t="shared" ref="AK1221:AK1261" ca="1" si="446">IF($AE1221="","",OFFSET(T$4,$AE1221,0))</f>
        <v/>
      </c>
      <c r="AL1221" s="9" t="str">
        <f t="shared" ref="AL1221:AL1261" ca="1" si="447">IF($AE1221="","",OFFSET(U$4,$AE1221,0))</f>
        <v/>
      </c>
      <c r="AM1221" s="9" t="str">
        <f t="shared" ref="AM1221:AM1261" ca="1" si="448">IF($AE1221="","",OFFSET(V$4,$AE1221,0))</f>
        <v/>
      </c>
      <c r="AN1221" s="9" t="str">
        <f t="shared" ref="AN1221:AN1261" ca="1" si="449">IF($AE1221="","",OFFSET(W$4,$AE1221,0))</f>
        <v/>
      </c>
      <c r="AO1221" s="9" t="str">
        <f t="shared" ref="AO1221:AO1261" ca="1" si="450">IF($AE1221="","",OFFSET(X$4,$AE1221,0))</f>
        <v/>
      </c>
      <c r="AP1221" s="9" t="str">
        <f t="shared" ref="AP1221:AP1261" ca="1" si="451">IF($AE1221="","",OFFSET(Y$4,$AE1221,0))</f>
        <v/>
      </c>
      <c r="AQ1221" s="9"/>
      <c r="AR1221" s="9"/>
      <c r="AS1221" s="9"/>
      <c r="AT1221" s="9"/>
      <c r="AU1221" s="9"/>
    </row>
    <row r="1222" spans="1:47" x14ac:dyDescent="0.3">
      <c r="A1222" s="1">
        <v>45232</v>
      </c>
      <c r="B1222" s="6">
        <v>558.71002199999998</v>
      </c>
      <c r="C1222" s="6">
        <v>478.64001500000001</v>
      </c>
      <c r="D1222" s="6">
        <v>52.66</v>
      </c>
      <c r="E1222" s="6">
        <v>166.83000200000001</v>
      </c>
      <c r="F1222" s="6">
        <v>87.580001999999993</v>
      </c>
      <c r="G1222" s="6">
        <v>32.259998000000003</v>
      </c>
      <c r="H1222" s="6">
        <v>133.259995</v>
      </c>
      <c r="I1222" s="6">
        <v>263.36999500000002</v>
      </c>
      <c r="J1222" s="6">
        <v>29.08</v>
      </c>
      <c r="K1222" s="6">
        <v>11.08</v>
      </c>
      <c r="N1222" s="18">
        <v>1218</v>
      </c>
      <c r="O1222" s="1">
        <v>45232</v>
      </c>
      <c r="P1222" s="5">
        <f t="shared" ref="P1222:P1261" si="452">LN(B1222/B1221)</f>
        <v>2.5762652001723448E-2</v>
      </c>
      <c r="Q1222" s="5">
        <f t="shared" ref="Q1222:Q1261" si="453">LN(C1222/C1221)</f>
        <v>6.83428569746212E-3</v>
      </c>
      <c r="R1222" s="5">
        <f t="shared" ref="R1222:R1261" si="454">LN(D1222/D1221)</f>
        <v>1.9365919780348087E-2</v>
      </c>
      <c r="S1222" s="5">
        <f t="shared" ref="S1222:S1261" si="455">LN(E1222/E1221)</f>
        <v>1.1818087609671457E-2</v>
      </c>
      <c r="T1222" s="5">
        <f t="shared" ref="T1222:T1261" si="456">LN(F1222/F1221)</f>
        <v>3.3673237942851451E-2</v>
      </c>
      <c r="U1222" s="5">
        <f t="shared" ref="U1222:U1261" si="457">LN(G1222/G1221)</f>
        <v>2.670169715022553E-2</v>
      </c>
      <c r="V1222" s="5">
        <f t="shared" ref="V1222:V1261" si="458">LN(H1222/H1221)</f>
        <v>3.186968693572597E-2</v>
      </c>
      <c r="W1222" s="5">
        <f t="shared" ref="W1222:W1261" si="459">LN(I1222/I1221)</f>
        <v>1.0880277166574441E-2</v>
      </c>
      <c r="X1222" s="5">
        <f t="shared" ref="X1222:X1261" si="460">LN(J1222/J1221)</f>
        <v>2.5423622491557354E-2</v>
      </c>
      <c r="Y1222" s="5">
        <f t="shared" ref="Y1222:Y1261" si="461">LN(K1222/K1221)</f>
        <v>9.4588418675915276E-2</v>
      </c>
      <c r="Z1222" s="33">
        <v>1218</v>
      </c>
      <c r="AE1222" s="20" t="str">
        <f t="shared" ref="AE1222:AE1261" si="462">IF(AE1221="","",IF(AE1221+1&lt;=$AC$5,AE1221+1,""))</f>
        <v/>
      </c>
      <c r="AF1222" s="22" t="str">
        <f t="shared" ref="AF1222:AF1261" si="463">IF(AE1222="","",VLOOKUP(AE1222,N1221:O2478,2))</f>
        <v/>
      </c>
      <c r="AG1222" s="9" t="str">
        <f t="shared" ca="1" si="442"/>
        <v/>
      </c>
      <c r="AH1222" s="9" t="str">
        <f t="shared" ca="1" si="443"/>
        <v/>
      </c>
      <c r="AI1222" s="9" t="str">
        <f t="shared" ca="1" si="444"/>
        <v/>
      </c>
      <c r="AJ1222" s="9" t="str">
        <f t="shared" ca="1" si="445"/>
        <v/>
      </c>
      <c r="AK1222" s="9" t="str">
        <f t="shared" ca="1" si="446"/>
        <v/>
      </c>
      <c r="AL1222" s="9" t="str">
        <f t="shared" ca="1" si="447"/>
        <v/>
      </c>
      <c r="AM1222" s="9" t="str">
        <f t="shared" ca="1" si="448"/>
        <v/>
      </c>
      <c r="AN1222" s="9" t="str">
        <f t="shared" ca="1" si="449"/>
        <v/>
      </c>
      <c r="AO1222" s="9" t="str">
        <f t="shared" ca="1" si="450"/>
        <v/>
      </c>
      <c r="AP1222" s="9" t="str">
        <f t="shared" ca="1" si="451"/>
        <v/>
      </c>
      <c r="AQ1222" s="9"/>
      <c r="AR1222" s="9"/>
      <c r="AS1222" s="9"/>
      <c r="AT1222" s="9"/>
      <c r="AU1222" s="9"/>
    </row>
    <row r="1223" spans="1:47" x14ac:dyDescent="0.3">
      <c r="A1223" s="1">
        <v>45233</v>
      </c>
      <c r="B1223" s="6">
        <v>563.65997300000004</v>
      </c>
      <c r="C1223" s="6">
        <v>487.94000199999999</v>
      </c>
      <c r="D1223" s="6">
        <v>55.560001</v>
      </c>
      <c r="E1223" s="6">
        <v>166.78999300000001</v>
      </c>
      <c r="F1223" s="6">
        <v>90.57</v>
      </c>
      <c r="G1223" s="6">
        <v>33.270000000000003</v>
      </c>
      <c r="H1223" s="6">
        <v>134.36000100000001</v>
      </c>
      <c r="I1223" s="6">
        <v>270.85998499999999</v>
      </c>
      <c r="J1223" s="6">
        <v>29.76</v>
      </c>
      <c r="K1223" s="6">
        <v>11.77</v>
      </c>
      <c r="N1223" s="19">
        <v>1219</v>
      </c>
      <c r="O1223" s="1">
        <v>45233</v>
      </c>
      <c r="P1223" s="5">
        <f t="shared" si="452"/>
        <v>8.8205905634587151E-3</v>
      </c>
      <c r="Q1223" s="5">
        <f t="shared" si="453"/>
        <v>1.9243671152698805E-2</v>
      </c>
      <c r="R1223" s="5">
        <f t="shared" si="454"/>
        <v>5.3607381816539644E-2</v>
      </c>
      <c r="S1223" s="5">
        <f t="shared" si="455"/>
        <v>-2.398477356957524E-4</v>
      </c>
      <c r="T1223" s="5">
        <f t="shared" si="456"/>
        <v>3.3570348177341031E-2</v>
      </c>
      <c r="U1223" s="5">
        <f t="shared" si="457"/>
        <v>3.0828079329604796E-2</v>
      </c>
      <c r="V1223" s="5">
        <f t="shared" si="458"/>
        <v>8.2207025730292298E-3</v>
      </c>
      <c r="W1223" s="5">
        <f t="shared" si="459"/>
        <v>2.8042158226532488E-2</v>
      </c>
      <c r="X1223" s="5">
        <f t="shared" si="460"/>
        <v>2.3114557299572697E-2</v>
      </c>
      <c r="Y1223" s="5">
        <f t="shared" si="461"/>
        <v>6.0412239953047599E-2</v>
      </c>
      <c r="Z1223" s="33">
        <v>1219</v>
      </c>
      <c r="AE1223" s="20" t="str">
        <f t="shared" si="462"/>
        <v/>
      </c>
      <c r="AF1223" s="22" t="str">
        <f t="shared" si="463"/>
        <v/>
      </c>
      <c r="AG1223" s="9" t="str">
        <f t="shared" ca="1" si="442"/>
        <v/>
      </c>
      <c r="AH1223" s="9" t="str">
        <f t="shared" ca="1" si="443"/>
        <v/>
      </c>
      <c r="AI1223" s="9" t="str">
        <f t="shared" ca="1" si="444"/>
        <v/>
      </c>
      <c r="AJ1223" s="9" t="str">
        <f t="shared" ca="1" si="445"/>
        <v/>
      </c>
      <c r="AK1223" s="9" t="str">
        <f t="shared" ca="1" si="446"/>
        <v/>
      </c>
      <c r="AL1223" s="9" t="str">
        <f t="shared" ca="1" si="447"/>
        <v/>
      </c>
      <c r="AM1223" s="9" t="str">
        <f t="shared" ca="1" si="448"/>
        <v/>
      </c>
      <c r="AN1223" s="9" t="str">
        <f t="shared" ca="1" si="449"/>
        <v/>
      </c>
      <c r="AO1223" s="9" t="str">
        <f t="shared" ca="1" si="450"/>
        <v/>
      </c>
      <c r="AP1223" s="9" t="str">
        <f t="shared" ca="1" si="451"/>
        <v/>
      </c>
      <c r="AQ1223" s="9"/>
      <c r="AR1223" s="9"/>
      <c r="AS1223" s="9"/>
      <c r="AT1223" s="9"/>
      <c r="AU1223" s="9"/>
    </row>
    <row r="1224" spans="1:47" x14ac:dyDescent="0.3">
      <c r="A1224" s="1">
        <v>45236</v>
      </c>
      <c r="B1224" s="6">
        <v>565.45001200000002</v>
      </c>
      <c r="C1224" s="6">
        <v>489.94000199999999</v>
      </c>
      <c r="D1224" s="6">
        <v>56.139999000000003</v>
      </c>
      <c r="E1224" s="6">
        <v>166.699997</v>
      </c>
      <c r="F1224" s="6">
        <v>88.010002</v>
      </c>
      <c r="G1224" s="6">
        <v>32.520000000000003</v>
      </c>
      <c r="H1224" s="6">
        <v>132.759995</v>
      </c>
      <c r="I1224" s="6">
        <v>268.959991</v>
      </c>
      <c r="J1224" s="6">
        <v>29.41</v>
      </c>
      <c r="K1224" s="6">
        <v>11.45</v>
      </c>
      <c r="N1224" s="18">
        <v>1220</v>
      </c>
      <c r="O1224" s="1">
        <v>45236</v>
      </c>
      <c r="P1224" s="5">
        <f t="shared" si="452"/>
        <v>3.1707106011740135E-3</v>
      </c>
      <c r="Q1224" s="5">
        <f t="shared" si="453"/>
        <v>4.0904871364566414E-3</v>
      </c>
      <c r="R1224" s="5">
        <f t="shared" si="454"/>
        <v>1.0385017236422135E-2</v>
      </c>
      <c r="S1224" s="5">
        <f t="shared" si="455"/>
        <v>-5.3972235979061263E-4</v>
      </c>
      <c r="T1224" s="5">
        <f t="shared" si="456"/>
        <v>-2.8672565276446564E-2</v>
      </c>
      <c r="U1224" s="5">
        <f t="shared" si="457"/>
        <v>-2.2800805350775555E-2</v>
      </c>
      <c r="V1224" s="5">
        <f t="shared" si="458"/>
        <v>-1.1979822996956491E-2</v>
      </c>
      <c r="W1224" s="5">
        <f t="shared" si="459"/>
        <v>-7.0393906499810182E-3</v>
      </c>
      <c r="X1224" s="5">
        <f t="shared" si="460"/>
        <v>-1.1830457398987531E-2</v>
      </c>
      <c r="Y1224" s="5">
        <f t="shared" si="461"/>
        <v>-2.7564191271936666E-2</v>
      </c>
      <c r="Z1224" s="33">
        <v>1220</v>
      </c>
      <c r="AE1224" s="20" t="str">
        <f t="shared" si="462"/>
        <v/>
      </c>
      <c r="AF1224" s="22" t="str">
        <f t="shared" si="463"/>
        <v/>
      </c>
      <c r="AG1224" s="9" t="str">
        <f t="shared" ca="1" si="442"/>
        <v/>
      </c>
      <c r="AH1224" s="9" t="str">
        <f t="shared" ca="1" si="443"/>
        <v/>
      </c>
      <c r="AI1224" s="9" t="str">
        <f t="shared" ca="1" si="444"/>
        <v/>
      </c>
      <c r="AJ1224" s="9" t="str">
        <f t="shared" ca="1" si="445"/>
        <v/>
      </c>
      <c r="AK1224" s="9" t="str">
        <f t="shared" ca="1" si="446"/>
        <v/>
      </c>
      <c r="AL1224" s="9" t="str">
        <f t="shared" ca="1" si="447"/>
        <v/>
      </c>
      <c r="AM1224" s="9" t="str">
        <f t="shared" ca="1" si="448"/>
        <v/>
      </c>
      <c r="AN1224" s="9" t="str">
        <f t="shared" ca="1" si="449"/>
        <v/>
      </c>
      <c r="AO1224" s="9" t="str">
        <f t="shared" ca="1" si="450"/>
        <v/>
      </c>
      <c r="AP1224" s="9" t="str">
        <f t="shared" ca="1" si="451"/>
        <v/>
      </c>
      <c r="AQ1224" s="9"/>
      <c r="AR1224" s="9"/>
      <c r="AS1224" s="9"/>
      <c r="AT1224" s="9"/>
      <c r="AU1224" s="9"/>
    </row>
    <row r="1225" spans="1:47" x14ac:dyDescent="0.3">
      <c r="A1225" s="1">
        <v>45237</v>
      </c>
      <c r="B1225" s="6">
        <v>585.20001200000002</v>
      </c>
      <c r="C1225" s="6">
        <v>499.01998900000001</v>
      </c>
      <c r="D1225" s="6">
        <v>55.98</v>
      </c>
      <c r="E1225" s="6">
        <v>167.179993</v>
      </c>
      <c r="F1225" s="6">
        <v>86.639999000000003</v>
      </c>
      <c r="G1225" s="6">
        <v>32.119999</v>
      </c>
      <c r="H1225" s="6">
        <v>130.470001</v>
      </c>
      <c r="I1225" s="6">
        <v>267.07000699999998</v>
      </c>
      <c r="J1225" s="6">
        <v>29.09</v>
      </c>
      <c r="K1225" s="6">
        <v>11.61</v>
      </c>
      <c r="N1225" s="19">
        <v>1221</v>
      </c>
      <c r="O1225" s="1">
        <v>45237</v>
      </c>
      <c r="P1225" s="5">
        <f t="shared" si="452"/>
        <v>3.4331794112407658E-2</v>
      </c>
      <c r="Q1225" s="5">
        <f t="shared" si="453"/>
        <v>1.8363214355721667E-2</v>
      </c>
      <c r="R1225" s="5">
        <f t="shared" si="454"/>
        <v>-2.8540690338176209E-3</v>
      </c>
      <c r="S1225" s="5">
        <f t="shared" si="455"/>
        <v>2.8752626396245902E-3</v>
      </c>
      <c r="T1225" s="5">
        <f t="shared" si="456"/>
        <v>-1.5688875959688282E-2</v>
      </c>
      <c r="U1225" s="5">
        <f t="shared" si="457"/>
        <v>-1.2376426734299791E-2</v>
      </c>
      <c r="V1225" s="5">
        <f t="shared" si="458"/>
        <v>-1.739962624757287E-2</v>
      </c>
      <c r="W1225" s="5">
        <f t="shared" si="459"/>
        <v>-7.0518136639778281E-3</v>
      </c>
      <c r="X1225" s="5">
        <f t="shared" si="460"/>
        <v>-1.0940280058793436E-2</v>
      </c>
      <c r="Y1225" s="5">
        <f t="shared" si="461"/>
        <v>1.3877065709551464E-2</v>
      </c>
      <c r="Z1225" s="33">
        <v>1221</v>
      </c>
      <c r="AE1225" s="20" t="str">
        <f t="shared" si="462"/>
        <v/>
      </c>
      <c r="AF1225" s="22" t="str">
        <f t="shared" si="463"/>
        <v/>
      </c>
      <c r="AG1225" s="9" t="str">
        <f t="shared" ca="1" si="442"/>
        <v/>
      </c>
      <c r="AH1225" s="9" t="str">
        <f t="shared" ca="1" si="443"/>
        <v/>
      </c>
      <c r="AI1225" s="9" t="str">
        <f t="shared" ca="1" si="444"/>
        <v/>
      </c>
      <c r="AJ1225" s="9" t="str">
        <f t="shared" ca="1" si="445"/>
        <v/>
      </c>
      <c r="AK1225" s="9" t="str">
        <f t="shared" ca="1" si="446"/>
        <v/>
      </c>
      <c r="AL1225" s="9" t="str">
        <f t="shared" ca="1" si="447"/>
        <v/>
      </c>
      <c r="AM1225" s="9" t="str">
        <f t="shared" ca="1" si="448"/>
        <v/>
      </c>
      <c r="AN1225" s="9" t="str">
        <f t="shared" ca="1" si="449"/>
        <v/>
      </c>
      <c r="AO1225" s="9" t="str">
        <f t="shared" ca="1" si="450"/>
        <v/>
      </c>
      <c r="AP1225" s="9" t="str">
        <f t="shared" ca="1" si="451"/>
        <v/>
      </c>
      <c r="AQ1225" s="9"/>
      <c r="AR1225" s="9"/>
      <c r="AS1225" s="9"/>
      <c r="AT1225" s="9"/>
      <c r="AU1225" s="9"/>
    </row>
    <row r="1226" spans="1:47" x14ac:dyDescent="0.3">
      <c r="A1226" s="1">
        <v>45238</v>
      </c>
      <c r="B1226" s="6">
        <v>585.30999799999995</v>
      </c>
      <c r="C1226" s="6">
        <v>506.16000400000001</v>
      </c>
      <c r="D1226" s="6">
        <v>55.66</v>
      </c>
      <c r="E1226" s="6">
        <v>167.38999899999999</v>
      </c>
      <c r="F1226" s="6">
        <v>87.879997000000003</v>
      </c>
      <c r="G1226" s="6">
        <v>32.740001999999997</v>
      </c>
      <c r="H1226" s="6">
        <v>130.11000100000001</v>
      </c>
      <c r="I1226" s="6">
        <v>265.67999300000002</v>
      </c>
      <c r="J1226" s="6">
        <v>28.98</v>
      </c>
      <c r="K1226" s="6">
        <v>9.4</v>
      </c>
      <c r="N1226" s="18">
        <v>1222</v>
      </c>
      <c r="O1226" s="1">
        <v>45238</v>
      </c>
      <c r="P1226" s="5">
        <f t="shared" si="452"/>
        <v>1.8792833787660839E-4</v>
      </c>
      <c r="Q1226" s="5">
        <f t="shared" si="453"/>
        <v>1.4206679675822143E-2</v>
      </c>
      <c r="R1226" s="5">
        <f t="shared" si="454"/>
        <v>-5.7327279895627052E-3</v>
      </c>
      <c r="S1226" s="5">
        <f t="shared" si="455"/>
        <v>1.2553787404840009E-3</v>
      </c>
      <c r="T1226" s="5">
        <f t="shared" si="456"/>
        <v>1.4210622228226503E-2</v>
      </c>
      <c r="U1226" s="5">
        <f t="shared" si="457"/>
        <v>1.9118775085031611E-2</v>
      </c>
      <c r="V1226" s="5">
        <f t="shared" si="458"/>
        <v>-2.7630687410649174E-3</v>
      </c>
      <c r="W1226" s="5">
        <f t="shared" si="459"/>
        <v>-5.2182718130971192E-3</v>
      </c>
      <c r="X1226" s="5">
        <f t="shared" si="460"/>
        <v>-3.7885356145739074E-3</v>
      </c>
      <c r="Y1226" s="5">
        <f t="shared" si="461"/>
        <v>-0.21115710643384189</v>
      </c>
      <c r="Z1226" s="33">
        <v>1222</v>
      </c>
      <c r="AE1226" s="20" t="str">
        <f t="shared" si="462"/>
        <v/>
      </c>
      <c r="AF1226" s="22" t="str">
        <f t="shared" si="463"/>
        <v/>
      </c>
      <c r="AG1226" s="9" t="str">
        <f t="shared" ca="1" si="442"/>
        <v/>
      </c>
      <c r="AH1226" s="9" t="str">
        <f t="shared" ca="1" si="443"/>
        <v/>
      </c>
      <c r="AI1226" s="9" t="str">
        <f t="shared" ca="1" si="444"/>
        <v/>
      </c>
      <c r="AJ1226" s="9" t="str">
        <f t="shared" ca="1" si="445"/>
        <v/>
      </c>
      <c r="AK1226" s="9" t="str">
        <f t="shared" ca="1" si="446"/>
        <v/>
      </c>
      <c r="AL1226" s="9" t="str">
        <f t="shared" ca="1" si="447"/>
        <v/>
      </c>
      <c r="AM1226" s="9" t="str">
        <f t="shared" ca="1" si="448"/>
        <v/>
      </c>
      <c r="AN1226" s="9" t="str">
        <f t="shared" ca="1" si="449"/>
        <v/>
      </c>
      <c r="AO1226" s="9" t="str">
        <f t="shared" ca="1" si="450"/>
        <v/>
      </c>
      <c r="AP1226" s="9" t="str">
        <f t="shared" ca="1" si="451"/>
        <v/>
      </c>
      <c r="AQ1226" s="9"/>
      <c r="AR1226" s="9"/>
      <c r="AS1226" s="9"/>
      <c r="AT1226" s="9"/>
      <c r="AU1226" s="9"/>
    </row>
    <row r="1227" spans="1:47" x14ac:dyDescent="0.3">
      <c r="A1227" s="1">
        <v>45239</v>
      </c>
      <c r="B1227" s="6">
        <v>577.73999000000003</v>
      </c>
      <c r="C1227" s="6">
        <v>505.17001299999998</v>
      </c>
      <c r="D1227" s="6">
        <v>55.080002</v>
      </c>
      <c r="E1227" s="6">
        <v>166.16000399999999</v>
      </c>
      <c r="F1227" s="6">
        <v>87.110000999999997</v>
      </c>
      <c r="G1227" s="6">
        <v>31.99</v>
      </c>
      <c r="H1227" s="6">
        <v>130.78999300000001</v>
      </c>
      <c r="I1227" s="6">
        <v>265.42001299999998</v>
      </c>
      <c r="J1227" s="6">
        <v>28.639999</v>
      </c>
      <c r="K1227" s="6">
        <v>9.64</v>
      </c>
      <c r="N1227" s="19">
        <v>1223</v>
      </c>
      <c r="O1227" s="1">
        <v>45239</v>
      </c>
      <c r="P1227" s="5">
        <f t="shared" si="452"/>
        <v>-1.3017694818232171E-2</v>
      </c>
      <c r="Q1227" s="5">
        <f t="shared" si="453"/>
        <v>-1.9578007170300443E-3</v>
      </c>
      <c r="R1227" s="5">
        <f t="shared" si="454"/>
        <v>-1.0475045926470609E-2</v>
      </c>
      <c r="S1227" s="5">
        <f t="shared" si="455"/>
        <v>-7.3752094994170639E-3</v>
      </c>
      <c r="T1227" s="5">
        <f t="shared" si="456"/>
        <v>-8.8005140684099415E-3</v>
      </c>
      <c r="U1227" s="5">
        <f t="shared" si="457"/>
        <v>-2.317427906891523E-2</v>
      </c>
      <c r="V1227" s="5">
        <f t="shared" si="458"/>
        <v>5.2126757789593397E-3</v>
      </c>
      <c r="W1227" s="5">
        <f t="shared" si="459"/>
        <v>-9.7902473292652979E-4</v>
      </c>
      <c r="X1227" s="5">
        <f t="shared" si="460"/>
        <v>-1.1801629716293187E-2</v>
      </c>
      <c r="Y1227" s="5">
        <f t="shared" si="461"/>
        <v>2.521141934649607E-2</v>
      </c>
      <c r="Z1227" s="33">
        <v>1223</v>
      </c>
      <c r="AE1227" s="20" t="str">
        <f t="shared" si="462"/>
        <v/>
      </c>
      <c r="AF1227" s="22" t="str">
        <f t="shared" si="463"/>
        <v/>
      </c>
      <c r="AG1227" s="9" t="str">
        <f t="shared" ca="1" si="442"/>
        <v/>
      </c>
      <c r="AH1227" s="9" t="str">
        <f t="shared" ca="1" si="443"/>
        <v/>
      </c>
      <c r="AI1227" s="9" t="str">
        <f t="shared" ca="1" si="444"/>
        <v/>
      </c>
      <c r="AJ1227" s="9" t="str">
        <f t="shared" ca="1" si="445"/>
        <v/>
      </c>
      <c r="AK1227" s="9" t="str">
        <f t="shared" ca="1" si="446"/>
        <v/>
      </c>
      <c r="AL1227" s="9" t="str">
        <f t="shared" ca="1" si="447"/>
        <v/>
      </c>
      <c r="AM1227" s="9" t="str">
        <f t="shared" ca="1" si="448"/>
        <v/>
      </c>
      <c r="AN1227" s="9" t="str">
        <f t="shared" ca="1" si="449"/>
        <v/>
      </c>
      <c r="AO1227" s="9" t="str">
        <f t="shared" ca="1" si="450"/>
        <v/>
      </c>
      <c r="AP1227" s="9" t="str">
        <f t="shared" ca="1" si="451"/>
        <v/>
      </c>
      <c r="AQ1227" s="9"/>
      <c r="AR1227" s="9"/>
      <c r="AS1227" s="9"/>
      <c r="AT1227" s="9"/>
      <c r="AU1227" s="9"/>
    </row>
    <row r="1228" spans="1:47" x14ac:dyDescent="0.3">
      <c r="A1228" s="1">
        <v>45240</v>
      </c>
      <c r="B1228" s="6">
        <v>597.21997099999999</v>
      </c>
      <c r="C1228" s="6">
        <v>518.830017</v>
      </c>
      <c r="D1228" s="6">
        <v>55.279998999999997</v>
      </c>
      <c r="E1228" s="6">
        <v>166.91999799999999</v>
      </c>
      <c r="F1228" s="6">
        <v>88.440002000000007</v>
      </c>
      <c r="G1228" s="6">
        <v>32.759998000000003</v>
      </c>
      <c r="H1228" s="6">
        <v>131.63000500000001</v>
      </c>
      <c r="I1228" s="6">
        <v>270.040009</v>
      </c>
      <c r="J1228" s="6">
        <v>28.98</v>
      </c>
      <c r="K1228" s="6">
        <v>10.130000000000001</v>
      </c>
      <c r="N1228" s="18">
        <v>1224</v>
      </c>
      <c r="O1228" s="1">
        <v>45240</v>
      </c>
      <c r="P1228" s="5">
        <f t="shared" si="452"/>
        <v>3.3161582992744125E-2</v>
      </c>
      <c r="Q1228" s="5">
        <f t="shared" si="453"/>
        <v>2.6681277263971678E-2</v>
      </c>
      <c r="R1228" s="5">
        <f t="shared" si="454"/>
        <v>3.6244511984151523E-3</v>
      </c>
      <c r="S1228" s="5">
        <f t="shared" si="455"/>
        <v>4.5634401005251925E-3</v>
      </c>
      <c r="T1228" s="5">
        <f t="shared" si="456"/>
        <v>1.5152679292908209E-2</v>
      </c>
      <c r="U1228" s="5">
        <f t="shared" si="457"/>
        <v>2.3784843973379235E-2</v>
      </c>
      <c r="V1228" s="5">
        <f t="shared" si="458"/>
        <v>6.402064442429193E-3</v>
      </c>
      <c r="W1228" s="5">
        <f t="shared" si="459"/>
        <v>1.725660351398638E-2</v>
      </c>
      <c r="X1228" s="5">
        <f t="shared" si="460"/>
        <v>1.1801629716293317E-2</v>
      </c>
      <c r="Y1228" s="5">
        <f t="shared" si="461"/>
        <v>4.9580209638137807E-2</v>
      </c>
      <c r="Z1228" s="33">
        <v>1224</v>
      </c>
      <c r="AE1228" s="20" t="str">
        <f t="shared" si="462"/>
        <v/>
      </c>
      <c r="AF1228" s="22" t="str">
        <f t="shared" si="463"/>
        <v/>
      </c>
      <c r="AG1228" s="9" t="str">
        <f t="shared" ca="1" si="442"/>
        <v/>
      </c>
      <c r="AH1228" s="9" t="str">
        <f t="shared" ca="1" si="443"/>
        <v/>
      </c>
      <c r="AI1228" s="9" t="str">
        <f t="shared" ca="1" si="444"/>
        <v/>
      </c>
      <c r="AJ1228" s="9" t="str">
        <f t="shared" ca="1" si="445"/>
        <v/>
      </c>
      <c r="AK1228" s="9" t="str">
        <f t="shared" ca="1" si="446"/>
        <v/>
      </c>
      <c r="AL1228" s="9" t="str">
        <f t="shared" ca="1" si="447"/>
        <v/>
      </c>
      <c r="AM1228" s="9" t="str">
        <f t="shared" ca="1" si="448"/>
        <v/>
      </c>
      <c r="AN1228" s="9" t="str">
        <f t="shared" ca="1" si="449"/>
        <v/>
      </c>
      <c r="AO1228" s="9" t="str">
        <f t="shared" ca="1" si="450"/>
        <v/>
      </c>
      <c r="AP1228" s="9" t="str">
        <f t="shared" ca="1" si="451"/>
        <v/>
      </c>
      <c r="AQ1228" s="9"/>
      <c r="AR1228" s="9"/>
      <c r="AS1228" s="9"/>
      <c r="AT1228" s="9"/>
      <c r="AU1228" s="9"/>
    </row>
    <row r="1229" spans="1:47" x14ac:dyDescent="0.3">
      <c r="A1229" s="1">
        <v>45243</v>
      </c>
      <c r="B1229" s="6">
        <v>590.34002699999996</v>
      </c>
      <c r="C1229" s="6">
        <v>522.88000499999998</v>
      </c>
      <c r="D1229" s="6">
        <v>55.540000999999997</v>
      </c>
      <c r="E1229" s="6">
        <v>167.770004</v>
      </c>
      <c r="F1229" s="6">
        <v>86.650002000000001</v>
      </c>
      <c r="G1229" s="6">
        <v>32.159999999999997</v>
      </c>
      <c r="H1229" s="6">
        <v>131.470001</v>
      </c>
      <c r="I1229" s="6">
        <v>267.20001200000002</v>
      </c>
      <c r="J1229" s="6">
        <v>28.73</v>
      </c>
      <c r="K1229" s="6">
        <v>9.89</v>
      </c>
      <c r="N1229" s="19">
        <v>1225</v>
      </c>
      <c r="O1229" s="1">
        <v>45243</v>
      </c>
      <c r="P1229" s="5">
        <f t="shared" si="452"/>
        <v>-1.1586818322084155E-2</v>
      </c>
      <c r="Q1229" s="5">
        <f t="shared" si="453"/>
        <v>7.7756925057968548E-3</v>
      </c>
      <c r="R1229" s="5">
        <f t="shared" si="454"/>
        <v>4.6923385140055767E-3</v>
      </c>
      <c r="S1229" s="5">
        <f t="shared" si="455"/>
        <v>5.0793738829096923E-3</v>
      </c>
      <c r="T1229" s="5">
        <f t="shared" si="456"/>
        <v>-2.0447339360470451E-2</v>
      </c>
      <c r="U1229" s="5">
        <f t="shared" si="457"/>
        <v>-1.8484753624040385E-2</v>
      </c>
      <c r="V1229" s="5">
        <f t="shared" si="458"/>
        <v>-1.2162981077666315E-3</v>
      </c>
      <c r="W1229" s="5">
        <f t="shared" si="459"/>
        <v>-1.0572642929395613E-2</v>
      </c>
      <c r="X1229" s="5">
        <f t="shared" si="460"/>
        <v>-8.6640639013381582E-3</v>
      </c>
      <c r="Y1229" s="5">
        <f t="shared" si="461"/>
        <v>-2.3977172625971269E-2</v>
      </c>
      <c r="Z1229" s="33">
        <v>1225</v>
      </c>
      <c r="AE1229" s="20" t="str">
        <f t="shared" si="462"/>
        <v/>
      </c>
      <c r="AF1229" s="22" t="str">
        <f t="shared" si="463"/>
        <v/>
      </c>
      <c r="AG1229" s="9" t="str">
        <f t="shared" ca="1" si="442"/>
        <v/>
      </c>
      <c r="AH1229" s="9" t="str">
        <f t="shared" ca="1" si="443"/>
        <v/>
      </c>
      <c r="AI1229" s="9" t="str">
        <f t="shared" ca="1" si="444"/>
        <v/>
      </c>
      <c r="AJ1229" s="9" t="str">
        <f t="shared" ca="1" si="445"/>
        <v/>
      </c>
      <c r="AK1229" s="9" t="str">
        <f t="shared" ca="1" si="446"/>
        <v/>
      </c>
      <c r="AL1229" s="9" t="str">
        <f t="shared" ca="1" si="447"/>
        <v/>
      </c>
      <c r="AM1229" s="9" t="str">
        <f t="shared" ca="1" si="448"/>
        <v/>
      </c>
      <c r="AN1229" s="9" t="str">
        <f t="shared" ca="1" si="449"/>
        <v/>
      </c>
      <c r="AO1229" s="9" t="str">
        <f t="shared" ca="1" si="450"/>
        <v/>
      </c>
      <c r="AP1229" s="9" t="str">
        <f t="shared" ca="1" si="451"/>
        <v/>
      </c>
      <c r="AQ1229" s="9"/>
      <c r="AR1229" s="9"/>
      <c r="AS1229" s="9"/>
      <c r="AT1229" s="9"/>
      <c r="AU1229" s="9"/>
    </row>
    <row r="1230" spans="1:47" x14ac:dyDescent="0.3">
      <c r="A1230" s="1">
        <v>45244</v>
      </c>
      <c r="B1230" s="6">
        <v>604.330017</v>
      </c>
      <c r="C1230" s="6">
        <v>538.32000700000003</v>
      </c>
      <c r="D1230" s="6">
        <v>55.68</v>
      </c>
      <c r="E1230" s="6">
        <v>168.11000100000001</v>
      </c>
      <c r="F1230" s="6">
        <v>89.980002999999996</v>
      </c>
      <c r="G1230" s="6">
        <v>33.68</v>
      </c>
      <c r="H1230" s="6">
        <v>136.800003</v>
      </c>
      <c r="I1230" s="6">
        <v>275.19000199999999</v>
      </c>
      <c r="J1230" s="6">
        <v>29.870000999999998</v>
      </c>
      <c r="K1230" s="6">
        <v>10.44</v>
      </c>
      <c r="N1230" s="18">
        <v>1226</v>
      </c>
      <c r="O1230" s="1">
        <v>45244</v>
      </c>
      <c r="P1230" s="5">
        <f t="shared" si="452"/>
        <v>2.3421746639970761E-2</v>
      </c>
      <c r="Q1230" s="5">
        <f t="shared" si="453"/>
        <v>2.9101190089473691E-2</v>
      </c>
      <c r="R1230" s="5">
        <f t="shared" si="454"/>
        <v>2.5175161424694581E-3</v>
      </c>
      <c r="S1230" s="5">
        <f t="shared" si="455"/>
        <v>2.0245153689797913E-3</v>
      </c>
      <c r="T1230" s="5">
        <f t="shared" si="456"/>
        <v>3.7710417510791315E-2</v>
      </c>
      <c r="U1230" s="5">
        <f t="shared" si="457"/>
        <v>4.618074506336052E-2</v>
      </c>
      <c r="V1230" s="5">
        <f t="shared" si="458"/>
        <v>3.9741330803463502E-2</v>
      </c>
      <c r="W1230" s="5">
        <f t="shared" si="459"/>
        <v>2.9464288884710338E-2</v>
      </c>
      <c r="X1230" s="5">
        <f t="shared" si="460"/>
        <v>3.891279271522595E-2</v>
      </c>
      <c r="Y1230" s="5">
        <f t="shared" si="461"/>
        <v>5.4120436819871887E-2</v>
      </c>
      <c r="Z1230" s="33">
        <v>1226</v>
      </c>
      <c r="AE1230" s="20" t="str">
        <f t="shared" si="462"/>
        <v/>
      </c>
      <c r="AF1230" s="22" t="str">
        <f t="shared" si="463"/>
        <v/>
      </c>
      <c r="AG1230" s="9" t="str">
        <f t="shared" ca="1" si="442"/>
        <v/>
      </c>
      <c r="AH1230" s="9" t="str">
        <f t="shared" ca="1" si="443"/>
        <v/>
      </c>
      <c r="AI1230" s="9" t="str">
        <f t="shared" ca="1" si="444"/>
        <v/>
      </c>
      <c r="AJ1230" s="9" t="str">
        <f t="shared" ca="1" si="445"/>
        <v/>
      </c>
      <c r="AK1230" s="9" t="str">
        <f t="shared" ca="1" si="446"/>
        <v/>
      </c>
      <c r="AL1230" s="9" t="str">
        <f t="shared" ca="1" si="447"/>
        <v/>
      </c>
      <c r="AM1230" s="9" t="str">
        <f t="shared" ca="1" si="448"/>
        <v/>
      </c>
      <c r="AN1230" s="9" t="str">
        <f t="shared" ca="1" si="449"/>
        <v/>
      </c>
      <c r="AO1230" s="9" t="str">
        <f t="shared" ca="1" si="450"/>
        <v/>
      </c>
      <c r="AP1230" s="9" t="str">
        <f t="shared" ca="1" si="451"/>
        <v/>
      </c>
      <c r="AQ1230" s="9"/>
      <c r="AR1230" s="9"/>
      <c r="AS1230" s="9"/>
      <c r="AT1230" s="9"/>
      <c r="AU1230" s="9"/>
    </row>
    <row r="1231" spans="1:47" x14ac:dyDescent="0.3">
      <c r="A1231" s="1">
        <v>45245</v>
      </c>
      <c r="B1231" s="6">
        <v>595.30999799999995</v>
      </c>
      <c r="C1231" s="6">
        <v>529.32000700000003</v>
      </c>
      <c r="D1231" s="6">
        <v>55.419998</v>
      </c>
      <c r="E1231" s="6">
        <v>167.25</v>
      </c>
      <c r="F1231" s="6">
        <v>88.889999000000003</v>
      </c>
      <c r="G1231" s="6">
        <v>33.360000999999997</v>
      </c>
      <c r="H1231" s="6">
        <v>138.83000200000001</v>
      </c>
      <c r="I1231" s="6">
        <v>275.040009</v>
      </c>
      <c r="J1231" s="6">
        <v>30.24</v>
      </c>
      <c r="K1231" s="6">
        <v>10.56</v>
      </c>
      <c r="N1231" s="19">
        <v>1227</v>
      </c>
      <c r="O1231" s="1">
        <v>45245</v>
      </c>
      <c r="P1231" s="5">
        <f t="shared" si="452"/>
        <v>-1.5038159570411238E-2</v>
      </c>
      <c r="Q1231" s="5">
        <f t="shared" si="453"/>
        <v>-1.6860014754117497E-2</v>
      </c>
      <c r="R1231" s="5">
        <f t="shared" si="454"/>
        <v>-4.6805126793873835E-3</v>
      </c>
      <c r="S1231" s="5">
        <f t="shared" si="455"/>
        <v>-5.1288339851156004E-3</v>
      </c>
      <c r="T1231" s="5">
        <f t="shared" si="456"/>
        <v>-1.2187817750043847E-2</v>
      </c>
      <c r="U1231" s="5">
        <f t="shared" si="457"/>
        <v>-9.5465819075612884E-3</v>
      </c>
      <c r="V1231" s="5">
        <f t="shared" si="458"/>
        <v>1.4730150334544665E-2</v>
      </c>
      <c r="W1231" s="5">
        <f t="shared" si="459"/>
        <v>-5.4520110032812692E-4</v>
      </c>
      <c r="X1231" s="5">
        <f t="shared" si="460"/>
        <v>1.2310885604907991E-2</v>
      </c>
      <c r="Y1231" s="5">
        <f t="shared" si="461"/>
        <v>1.142869582362285E-2</v>
      </c>
      <c r="Z1231" s="33">
        <v>1227</v>
      </c>
      <c r="AE1231" s="20" t="str">
        <f t="shared" si="462"/>
        <v/>
      </c>
      <c r="AF1231" s="22" t="str">
        <f t="shared" si="463"/>
        <v/>
      </c>
      <c r="AG1231" s="9" t="str">
        <f t="shared" ca="1" si="442"/>
        <v/>
      </c>
      <c r="AH1231" s="9" t="str">
        <f t="shared" ca="1" si="443"/>
        <v/>
      </c>
      <c r="AI1231" s="9" t="str">
        <f t="shared" ca="1" si="444"/>
        <v/>
      </c>
      <c r="AJ1231" s="9" t="str">
        <f t="shared" ca="1" si="445"/>
        <v/>
      </c>
      <c r="AK1231" s="9" t="str">
        <f t="shared" ca="1" si="446"/>
        <v/>
      </c>
      <c r="AL1231" s="9" t="str">
        <f t="shared" ca="1" si="447"/>
        <v/>
      </c>
      <c r="AM1231" s="9" t="str">
        <f t="shared" ca="1" si="448"/>
        <v/>
      </c>
      <c r="AN1231" s="9" t="str">
        <f t="shared" ca="1" si="449"/>
        <v/>
      </c>
      <c r="AO1231" s="9" t="str">
        <f t="shared" ca="1" si="450"/>
        <v/>
      </c>
      <c r="AP1231" s="9" t="str">
        <f t="shared" ca="1" si="451"/>
        <v/>
      </c>
      <c r="AQ1231" s="9"/>
      <c r="AR1231" s="9"/>
      <c r="AS1231" s="9"/>
      <c r="AT1231" s="9"/>
      <c r="AU1231" s="9"/>
    </row>
    <row r="1232" spans="1:47" x14ac:dyDescent="0.3">
      <c r="A1232" s="1">
        <v>45246</v>
      </c>
      <c r="B1232" s="6">
        <v>602.05999799999995</v>
      </c>
      <c r="C1232" s="6">
        <v>533.45001200000002</v>
      </c>
      <c r="D1232" s="6">
        <v>55.099997999999999</v>
      </c>
      <c r="E1232" s="6">
        <v>167.71000699999999</v>
      </c>
      <c r="F1232" s="6">
        <v>87.57</v>
      </c>
      <c r="G1232" s="6">
        <v>33</v>
      </c>
      <c r="H1232" s="6">
        <v>137.53999300000001</v>
      </c>
      <c r="I1232" s="6">
        <v>274.72000100000002</v>
      </c>
      <c r="J1232" s="6">
        <v>29.83</v>
      </c>
      <c r="K1232" s="6">
        <v>10.32</v>
      </c>
      <c r="N1232" s="18">
        <v>1228</v>
      </c>
      <c r="O1232" s="1">
        <v>45246</v>
      </c>
      <c r="P1232" s="5">
        <f t="shared" si="452"/>
        <v>1.1274829882833837E-2</v>
      </c>
      <c r="Q1232" s="5">
        <f t="shared" si="453"/>
        <v>7.7721910031861297E-3</v>
      </c>
      <c r="R1232" s="5">
        <f t="shared" si="454"/>
        <v>-5.7908234855493235E-3</v>
      </c>
      <c r="S1232" s="5">
        <f t="shared" si="455"/>
        <v>2.7466400739133163E-3</v>
      </c>
      <c r="T1232" s="5">
        <f t="shared" si="456"/>
        <v>-1.496116546959118E-2</v>
      </c>
      <c r="U1232" s="5">
        <f t="shared" si="457"/>
        <v>-1.0850046000084461E-2</v>
      </c>
      <c r="V1232" s="5">
        <f t="shared" si="458"/>
        <v>-9.3354444554156427E-3</v>
      </c>
      <c r="W1232" s="5">
        <f t="shared" si="459"/>
        <v>-1.1641735678163451E-3</v>
      </c>
      <c r="X1232" s="5">
        <f t="shared" si="460"/>
        <v>-1.3650952784675088E-2</v>
      </c>
      <c r="Y1232" s="5">
        <f t="shared" si="461"/>
        <v>-2.2989518224698718E-2</v>
      </c>
      <c r="Z1232" s="33">
        <v>1228</v>
      </c>
      <c r="AE1232" s="20" t="str">
        <f t="shared" si="462"/>
        <v/>
      </c>
      <c r="AF1232" s="22" t="str">
        <f t="shared" si="463"/>
        <v/>
      </c>
      <c r="AG1232" s="9" t="str">
        <f t="shared" ca="1" si="442"/>
        <v/>
      </c>
      <c r="AH1232" s="9" t="str">
        <f t="shared" ca="1" si="443"/>
        <v/>
      </c>
      <c r="AI1232" s="9" t="str">
        <f t="shared" ca="1" si="444"/>
        <v/>
      </c>
      <c r="AJ1232" s="9" t="str">
        <f t="shared" ca="1" si="445"/>
        <v/>
      </c>
      <c r="AK1232" s="9" t="str">
        <f t="shared" ca="1" si="446"/>
        <v/>
      </c>
      <c r="AL1232" s="9" t="str">
        <f t="shared" ca="1" si="447"/>
        <v/>
      </c>
      <c r="AM1232" s="9" t="str">
        <f t="shared" ca="1" si="448"/>
        <v/>
      </c>
      <c r="AN1232" s="9" t="str">
        <f t="shared" ca="1" si="449"/>
        <v/>
      </c>
      <c r="AO1232" s="9" t="str">
        <f t="shared" ca="1" si="450"/>
        <v/>
      </c>
      <c r="AP1232" s="9" t="str">
        <f t="shared" ca="1" si="451"/>
        <v/>
      </c>
      <c r="AQ1232" s="9"/>
      <c r="AR1232" s="9"/>
      <c r="AS1232" s="9"/>
      <c r="AT1232" s="9"/>
      <c r="AU1232" s="9"/>
    </row>
    <row r="1233" spans="1:47" x14ac:dyDescent="0.3">
      <c r="A1233" s="1">
        <v>45247</v>
      </c>
      <c r="B1233" s="6">
        <v>602.65997300000004</v>
      </c>
      <c r="C1233" s="6">
        <v>534.78002900000001</v>
      </c>
      <c r="D1233" s="6">
        <v>54.790000999999997</v>
      </c>
      <c r="E1233" s="6">
        <v>166.759995</v>
      </c>
      <c r="F1233" s="6">
        <v>87.349997999999999</v>
      </c>
      <c r="G1233" s="6">
        <v>32.82</v>
      </c>
      <c r="H1233" s="6">
        <v>137.78999300000001</v>
      </c>
      <c r="I1233" s="6">
        <v>277.76001000000002</v>
      </c>
      <c r="J1233" s="6">
        <v>30.34</v>
      </c>
      <c r="K1233" s="6">
        <v>10.71</v>
      </c>
      <c r="N1233" s="19">
        <v>1229</v>
      </c>
      <c r="O1233" s="1">
        <v>45247</v>
      </c>
      <c r="P1233" s="5">
        <f t="shared" si="452"/>
        <v>9.9604068006754775E-4</v>
      </c>
      <c r="Q1233" s="5">
        <f t="shared" si="453"/>
        <v>2.4901334660369918E-3</v>
      </c>
      <c r="R1233" s="5">
        <f t="shared" si="454"/>
        <v>-5.6419660593975554E-3</v>
      </c>
      <c r="S1233" s="5">
        <f t="shared" si="455"/>
        <v>-5.6807160528648225E-3</v>
      </c>
      <c r="T1233" s="5">
        <f t="shared" si="456"/>
        <v>-2.5154598504614875E-3</v>
      </c>
      <c r="U1233" s="5">
        <f t="shared" si="457"/>
        <v>-5.4694758045354328E-3</v>
      </c>
      <c r="V1233" s="5">
        <f t="shared" si="458"/>
        <v>1.8160032064620652E-3</v>
      </c>
      <c r="W1233" s="5">
        <f t="shared" si="459"/>
        <v>1.100506668505353E-2</v>
      </c>
      <c r="X1233" s="5">
        <f t="shared" si="460"/>
        <v>1.6952375393729048E-2</v>
      </c>
      <c r="Y1233" s="5">
        <f t="shared" si="461"/>
        <v>3.709412440624079E-2</v>
      </c>
      <c r="Z1233" s="33">
        <v>1229</v>
      </c>
      <c r="AE1233" s="20" t="str">
        <f t="shared" si="462"/>
        <v/>
      </c>
      <c r="AF1233" s="22" t="str">
        <f t="shared" si="463"/>
        <v/>
      </c>
      <c r="AG1233" s="9" t="str">
        <f t="shared" ca="1" si="442"/>
        <v/>
      </c>
      <c r="AH1233" s="9" t="str">
        <f t="shared" ca="1" si="443"/>
        <v/>
      </c>
      <c r="AI1233" s="9" t="str">
        <f t="shared" ca="1" si="444"/>
        <v/>
      </c>
      <c r="AJ1233" s="9" t="str">
        <f t="shared" ca="1" si="445"/>
        <v/>
      </c>
      <c r="AK1233" s="9" t="str">
        <f t="shared" ca="1" si="446"/>
        <v/>
      </c>
      <c r="AL1233" s="9" t="str">
        <f t="shared" ca="1" si="447"/>
        <v/>
      </c>
      <c r="AM1233" s="9" t="str">
        <f t="shared" ca="1" si="448"/>
        <v/>
      </c>
      <c r="AN1233" s="9" t="str">
        <f t="shared" ca="1" si="449"/>
        <v/>
      </c>
      <c r="AO1233" s="9" t="str">
        <f t="shared" ca="1" si="450"/>
        <v/>
      </c>
      <c r="AP1233" s="9" t="str">
        <f t="shared" ca="1" si="451"/>
        <v/>
      </c>
      <c r="AQ1233" s="9"/>
      <c r="AR1233" s="9"/>
      <c r="AS1233" s="9"/>
      <c r="AT1233" s="9"/>
      <c r="AU1233" s="9"/>
    </row>
    <row r="1234" spans="1:47" x14ac:dyDescent="0.3">
      <c r="A1234" s="1">
        <v>45250</v>
      </c>
      <c r="B1234" s="6">
        <v>612.70001200000002</v>
      </c>
      <c r="C1234" s="6">
        <v>541.52002000000005</v>
      </c>
      <c r="D1234" s="6">
        <v>54.82</v>
      </c>
      <c r="E1234" s="6">
        <v>166.520004</v>
      </c>
      <c r="F1234" s="6">
        <v>88.599997999999999</v>
      </c>
      <c r="G1234" s="6">
        <v>33.25</v>
      </c>
      <c r="H1234" s="6">
        <v>138.25</v>
      </c>
      <c r="I1234" s="6">
        <v>275.26998900000001</v>
      </c>
      <c r="J1234" s="6">
        <v>30.51</v>
      </c>
      <c r="K1234" s="6">
        <v>10.74</v>
      </c>
      <c r="N1234" s="18">
        <v>1230</v>
      </c>
      <c r="O1234" s="1">
        <v>45250</v>
      </c>
      <c r="P1234" s="5">
        <f t="shared" si="452"/>
        <v>1.6522293842506017E-2</v>
      </c>
      <c r="Q1234" s="5">
        <f t="shared" si="453"/>
        <v>1.2524535534842448E-2</v>
      </c>
      <c r="R1234" s="5">
        <f t="shared" si="454"/>
        <v>5.4737707280981584E-4</v>
      </c>
      <c r="S1234" s="5">
        <f t="shared" si="455"/>
        <v>-1.4401766814732826E-3</v>
      </c>
      <c r="T1234" s="5">
        <f t="shared" si="456"/>
        <v>1.4208821354000182E-2</v>
      </c>
      <c r="U1234" s="5">
        <f t="shared" si="457"/>
        <v>1.3016681439918373E-2</v>
      </c>
      <c r="V1234" s="5">
        <f t="shared" si="458"/>
        <v>3.332904198578695E-3</v>
      </c>
      <c r="W1234" s="5">
        <f t="shared" si="459"/>
        <v>-9.0050732548891364E-3</v>
      </c>
      <c r="X1234" s="5">
        <f t="shared" si="460"/>
        <v>5.5875248081921737E-3</v>
      </c>
      <c r="Y1234" s="5">
        <f t="shared" si="461"/>
        <v>2.7972046210612191E-3</v>
      </c>
      <c r="Z1234" s="33">
        <v>1230</v>
      </c>
      <c r="AE1234" s="20" t="str">
        <f t="shared" si="462"/>
        <v/>
      </c>
      <c r="AF1234" s="22" t="str">
        <f t="shared" si="463"/>
        <v/>
      </c>
      <c r="AG1234" s="9" t="str">
        <f t="shared" ca="1" si="442"/>
        <v/>
      </c>
      <c r="AH1234" s="9" t="str">
        <f t="shared" ca="1" si="443"/>
        <v/>
      </c>
      <c r="AI1234" s="9" t="str">
        <f t="shared" ca="1" si="444"/>
        <v/>
      </c>
      <c r="AJ1234" s="9" t="str">
        <f t="shared" ca="1" si="445"/>
        <v/>
      </c>
      <c r="AK1234" s="9" t="str">
        <f t="shared" ca="1" si="446"/>
        <v/>
      </c>
      <c r="AL1234" s="9" t="str">
        <f t="shared" ca="1" si="447"/>
        <v/>
      </c>
      <c r="AM1234" s="9" t="str">
        <f t="shared" ca="1" si="448"/>
        <v/>
      </c>
      <c r="AN1234" s="9" t="str">
        <f t="shared" ca="1" si="449"/>
        <v/>
      </c>
      <c r="AO1234" s="9" t="str">
        <f t="shared" ca="1" si="450"/>
        <v/>
      </c>
      <c r="AP1234" s="9" t="str">
        <f t="shared" ca="1" si="451"/>
        <v/>
      </c>
      <c r="AQ1234" s="9"/>
      <c r="AR1234" s="9"/>
      <c r="AS1234" s="9"/>
      <c r="AT1234" s="9"/>
      <c r="AU1234" s="9"/>
    </row>
    <row r="1235" spans="1:47" x14ac:dyDescent="0.3">
      <c r="A1235" s="1">
        <v>45251</v>
      </c>
      <c r="B1235" s="6">
        <v>610.98999000000003</v>
      </c>
      <c r="C1235" s="6">
        <v>540.38000499999998</v>
      </c>
      <c r="D1235" s="6">
        <v>54.799999</v>
      </c>
      <c r="E1235" s="6">
        <v>167.800003</v>
      </c>
      <c r="F1235" s="6">
        <v>87.699996999999996</v>
      </c>
      <c r="G1235" s="6">
        <v>32.799999</v>
      </c>
      <c r="H1235" s="6">
        <v>138.479996</v>
      </c>
      <c r="I1235" s="6">
        <v>274.86999500000002</v>
      </c>
      <c r="J1235" s="6">
        <v>30.23</v>
      </c>
      <c r="K1235" s="6">
        <v>10.58</v>
      </c>
      <c r="N1235" s="19">
        <v>1231</v>
      </c>
      <c r="O1235" s="1">
        <v>45251</v>
      </c>
      <c r="P1235" s="5">
        <f t="shared" si="452"/>
        <v>-2.7948632583807108E-3</v>
      </c>
      <c r="Q1235" s="5">
        <f t="shared" si="453"/>
        <v>-2.1074321020118588E-3</v>
      </c>
      <c r="R1235" s="5">
        <f t="shared" si="454"/>
        <v>-3.6491516884529408E-4</v>
      </c>
      <c r="S1235" s="5">
        <f t="shared" si="455"/>
        <v>7.6573655636192825E-3</v>
      </c>
      <c r="T1235" s="5">
        <f t="shared" si="456"/>
        <v>-1.0209969867060527E-2</v>
      </c>
      <c r="U1235" s="5">
        <f t="shared" si="457"/>
        <v>-1.3626282199570489E-2</v>
      </c>
      <c r="V1235" s="5">
        <f t="shared" si="458"/>
        <v>1.6622415804717029E-3</v>
      </c>
      <c r="W1235" s="5">
        <f t="shared" si="459"/>
        <v>-1.4541537867364424E-3</v>
      </c>
      <c r="X1235" s="5">
        <f t="shared" si="460"/>
        <v>-9.2196899372116708E-3</v>
      </c>
      <c r="Y1235" s="5">
        <f t="shared" si="461"/>
        <v>-1.5009662650565289E-2</v>
      </c>
      <c r="Z1235" s="33">
        <v>1231</v>
      </c>
      <c r="AE1235" s="20" t="str">
        <f t="shared" si="462"/>
        <v/>
      </c>
      <c r="AF1235" s="22" t="str">
        <f t="shared" si="463"/>
        <v/>
      </c>
      <c r="AG1235" s="9" t="str">
        <f t="shared" ca="1" si="442"/>
        <v/>
      </c>
      <c r="AH1235" s="9" t="str">
        <f t="shared" ca="1" si="443"/>
        <v/>
      </c>
      <c r="AI1235" s="9" t="str">
        <f t="shared" ca="1" si="444"/>
        <v/>
      </c>
      <c r="AJ1235" s="9" t="str">
        <f t="shared" ca="1" si="445"/>
        <v/>
      </c>
      <c r="AK1235" s="9" t="str">
        <f t="shared" ca="1" si="446"/>
        <v/>
      </c>
      <c r="AL1235" s="9" t="str">
        <f t="shared" ca="1" si="447"/>
        <v/>
      </c>
      <c r="AM1235" s="9" t="str">
        <f t="shared" ca="1" si="448"/>
        <v/>
      </c>
      <c r="AN1235" s="9" t="str">
        <f t="shared" ca="1" si="449"/>
        <v/>
      </c>
      <c r="AO1235" s="9" t="str">
        <f t="shared" ca="1" si="450"/>
        <v/>
      </c>
      <c r="AP1235" s="9" t="str">
        <f t="shared" ca="1" si="451"/>
        <v/>
      </c>
      <c r="AQ1235" s="9"/>
      <c r="AR1235" s="9"/>
      <c r="AS1235" s="9"/>
      <c r="AT1235" s="9"/>
      <c r="AU1235" s="9"/>
    </row>
    <row r="1236" spans="1:47" x14ac:dyDescent="0.3">
      <c r="A1236" s="1">
        <v>45252</v>
      </c>
      <c r="B1236" s="6">
        <v>619.71997099999999</v>
      </c>
      <c r="C1236" s="6">
        <v>541.03002900000001</v>
      </c>
      <c r="D1236" s="6">
        <v>55.220001000000003</v>
      </c>
      <c r="E1236" s="6">
        <v>169.220001</v>
      </c>
      <c r="F1236" s="6">
        <v>88.419998000000007</v>
      </c>
      <c r="G1236" s="6">
        <v>33.130001</v>
      </c>
      <c r="H1236" s="6">
        <v>138.55999800000001</v>
      </c>
      <c r="I1236" s="6">
        <v>274.67001299999998</v>
      </c>
      <c r="J1236" s="6">
        <v>30.469999000000001</v>
      </c>
      <c r="K1236" s="6">
        <v>10.66</v>
      </c>
      <c r="N1236" s="18">
        <v>1232</v>
      </c>
      <c r="O1236" s="1">
        <v>45252</v>
      </c>
      <c r="P1236" s="5">
        <f t="shared" si="452"/>
        <v>1.4187140274093544E-2</v>
      </c>
      <c r="Q1236" s="5">
        <f t="shared" si="453"/>
        <v>1.2021787441383657E-3</v>
      </c>
      <c r="R1236" s="5">
        <f t="shared" si="454"/>
        <v>7.6350489055944833E-3</v>
      </c>
      <c r="S1236" s="5">
        <f t="shared" si="455"/>
        <v>8.4268374942893208E-3</v>
      </c>
      <c r="T1236" s="5">
        <f t="shared" si="456"/>
        <v>8.1763006081690039E-3</v>
      </c>
      <c r="U1236" s="5">
        <f t="shared" si="457"/>
        <v>1.0010761593634503E-2</v>
      </c>
      <c r="V1236" s="5">
        <f t="shared" si="458"/>
        <v>5.775483970289607E-4</v>
      </c>
      <c r="W1236" s="5">
        <f t="shared" si="459"/>
        <v>-7.2781601308943237E-4</v>
      </c>
      <c r="X1236" s="5">
        <f t="shared" si="460"/>
        <v>7.9077513870840881E-3</v>
      </c>
      <c r="Y1236" s="5">
        <f t="shared" si="461"/>
        <v>7.5329923075452302E-3</v>
      </c>
      <c r="Z1236" s="33">
        <v>1232</v>
      </c>
      <c r="AE1236" s="20" t="str">
        <f t="shared" si="462"/>
        <v/>
      </c>
      <c r="AF1236" s="22" t="str">
        <f t="shared" si="463"/>
        <v/>
      </c>
      <c r="AG1236" s="9" t="str">
        <f t="shared" ca="1" si="442"/>
        <v/>
      </c>
      <c r="AH1236" s="9" t="str">
        <f t="shared" ca="1" si="443"/>
        <v/>
      </c>
      <c r="AI1236" s="9" t="str">
        <f t="shared" ca="1" si="444"/>
        <v/>
      </c>
      <c r="AJ1236" s="9" t="str">
        <f t="shared" ca="1" si="445"/>
        <v/>
      </c>
      <c r="AK1236" s="9" t="str">
        <f t="shared" ca="1" si="446"/>
        <v/>
      </c>
      <c r="AL1236" s="9" t="str">
        <f t="shared" ca="1" si="447"/>
        <v/>
      </c>
      <c r="AM1236" s="9" t="str">
        <f t="shared" ca="1" si="448"/>
        <v/>
      </c>
      <c r="AN1236" s="9" t="str">
        <f t="shared" ca="1" si="449"/>
        <v/>
      </c>
      <c r="AO1236" s="9" t="str">
        <f t="shared" ca="1" si="450"/>
        <v/>
      </c>
      <c r="AP1236" s="9" t="str">
        <f t="shared" ca="1" si="451"/>
        <v/>
      </c>
      <c r="AQ1236" s="9"/>
      <c r="AR1236" s="9"/>
      <c r="AS1236" s="9"/>
      <c r="AT1236" s="9"/>
      <c r="AU1236" s="9"/>
    </row>
    <row r="1237" spans="1:47" x14ac:dyDescent="0.3">
      <c r="A1237" s="1">
        <v>45254</v>
      </c>
      <c r="B1237" s="6">
        <v>619.42999299999997</v>
      </c>
      <c r="C1237" s="6">
        <v>542.69000200000005</v>
      </c>
      <c r="D1237" s="6">
        <v>55.169998</v>
      </c>
      <c r="E1237" s="6">
        <v>169.36999499999999</v>
      </c>
      <c r="F1237" s="6">
        <v>88.730002999999996</v>
      </c>
      <c r="G1237" s="6">
        <v>33.349997999999999</v>
      </c>
      <c r="H1237" s="6">
        <v>139.69000199999999</v>
      </c>
      <c r="I1237" s="6">
        <v>275.14001500000001</v>
      </c>
      <c r="J1237" s="6">
        <v>30.620000999999998</v>
      </c>
      <c r="K1237" s="6">
        <v>10.85</v>
      </c>
      <c r="N1237" s="19">
        <v>1233</v>
      </c>
      <c r="O1237" s="1">
        <v>45254</v>
      </c>
      <c r="P1237" s="5">
        <f t="shared" si="452"/>
        <v>-4.6802729890297717E-4</v>
      </c>
      <c r="Q1237" s="5">
        <f t="shared" si="453"/>
        <v>3.0634744227955165E-3</v>
      </c>
      <c r="R1237" s="5">
        <f t="shared" si="454"/>
        <v>-9.0593357863615227E-4</v>
      </c>
      <c r="S1237" s="5">
        <f t="shared" si="455"/>
        <v>8.8599197604107992E-4</v>
      </c>
      <c r="T1237" s="5">
        <f t="shared" si="456"/>
        <v>3.4999188789019563E-3</v>
      </c>
      <c r="U1237" s="5">
        <f t="shared" si="457"/>
        <v>6.6184658956887077E-3</v>
      </c>
      <c r="V1237" s="5">
        <f t="shared" si="458"/>
        <v>8.1222656769317121E-3</v>
      </c>
      <c r="W1237" s="5">
        <f t="shared" si="459"/>
        <v>1.7096891309741288E-3</v>
      </c>
      <c r="X1237" s="5">
        <f t="shared" si="460"/>
        <v>4.9108627094795456E-3</v>
      </c>
      <c r="Y1237" s="5">
        <f t="shared" si="461"/>
        <v>1.7666661248770026E-2</v>
      </c>
      <c r="Z1237" s="33">
        <v>1233</v>
      </c>
      <c r="AE1237" s="20" t="str">
        <f t="shared" si="462"/>
        <v/>
      </c>
      <c r="AF1237" s="22" t="str">
        <f t="shared" si="463"/>
        <v/>
      </c>
      <c r="AG1237" s="9" t="str">
        <f t="shared" ca="1" si="442"/>
        <v/>
      </c>
      <c r="AH1237" s="9" t="str">
        <f t="shared" ca="1" si="443"/>
        <v/>
      </c>
      <c r="AI1237" s="9" t="str">
        <f t="shared" ca="1" si="444"/>
        <v/>
      </c>
      <c r="AJ1237" s="9" t="str">
        <f t="shared" ca="1" si="445"/>
        <v/>
      </c>
      <c r="AK1237" s="9" t="str">
        <f t="shared" ca="1" si="446"/>
        <v/>
      </c>
      <c r="AL1237" s="9" t="str">
        <f t="shared" ca="1" si="447"/>
        <v/>
      </c>
      <c r="AM1237" s="9" t="str">
        <f t="shared" ca="1" si="448"/>
        <v/>
      </c>
      <c r="AN1237" s="9" t="str">
        <f t="shared" ca="1" si="449"/>
        <v/>
      </c>
      <c r="AO1237" s="9" t="str">
        <f t="shared" ca="1" si="450"/>
        <v/>
      </c>
      <c r="AP1237" s="9" t="str">
        <f t="shared" ca="1" si="451"/>
        <v/>
      </c>
      <c r="AQ1237" s="9"/>
      <c r="AR1237" s="9"/>
      <c r="AS1237" s="9"/>
      <c r="AT1237" s="9"/>
      <c r="AU1237" s="9"/>
    </row>
    <row r="1238" spans="1:47" x14ac:dyDescent="0.3">
      <c r="A1238" s="1">
        <v>45257</v>
      </c>
      <c r="B1238" s="6">
        <v>619.27002000000005</v>
      </c>
      <c r="C1238" s="6">
        <v>543.53002900000001</v>
      </c>
      <c r="D1238" s="6">
        <v>54.720001000000003</v>
      </c>
      <c r="E1238" s="6">
        <v>168.320007</v>
      </c>
      <c r="F1238" s="6">
        <v>88.339995999999999</v>
      </c>
      <c r="G1238" s="6">
        <v>33.279998999999997</v>
      </c>
      <c r="H1238" s="6">
        <v>139.03999300000001</v>
      </c>
      <c r="I1238" s="6">
        <v>273.86999500000002</v>
      </c>
      <c r="J1238" s="6">
        <v>30.35</v>
      </c>
      <c r="K1238" s="6">
        <v>10.78</v>
      </c>
      <c r="N1238" s="18">
        <v>1234</v>
      </c>
      <c r="O1238" s="1">
        <v>45257</v>
      </c>
      <c r="P1238" s="5">
        <f t="shared" si="452"/>
        <v>-2.5829175621283862E-4</v>
      </c>
      <c r="Q1238" s="5">
        <f t="shared" si="453"/>
        <v>1.5466979865787229E-3</v>
      </c>
      <c r="R1238" s="5">
        <f t="shared" si="454"/>
        <v>-8.1899994436039781E-3</v>
      </c>
      <c r="S1238" s="5">
        <f t="shared" si="455"/>
        <v>-6.2186702450660082E-3</v>
      </c>
      <c r="T1238" s="5">
        <f t="shared" si="456"/>
        <v>-4.4051237689041447E-3</v>
      </c>
      <c r="U1238" s="5">
        <f t="shared" si="457"/>
        <v>-2.1011264866856037E-3</v>
      </c>
      <c r="V1238" s="5">
        <f t="shared" si="458"/>
        <v>-4.6640848850201993E-3</v>
      </c>
      <c r="W1238" s="5">
        <f t="shared" si="459"/>
        <v>-4.6265905622863779E-3</v>
      </c>
      <c r="X1238" s="5">
        <f t="shared" si="460"/>
        <v>-8.8569053824229717E-3</v>
      </c>
      <c r="Y1238" s="5">
        <f t="shared" si="461"/>
        <v>-6.4725145056174788E-3</v>
      </c>
      <c r="Z1238" s="33">
        <v>1234</v>
      </c>
      <c r="AE1238" s="20" t="str">
        <f t="shared" si="462"/>
        <v/>
      </c>
      <c r="AF1238" s="22" t="str">
        <f t="shared" si="463"/>
        <v/>
      </c>
      <c r="AG1238" s="9" t="str">
        <f t="shared" ca="1" si="442"/>
        <v/>
      </c>
      <c r="AH1238" s="9" t="str">
        <f t="shared" ca="1" si="443"/>
        <v/>
      </c>
      <c r="AI1238" s="9" t="str">
        <f t="shared" ca="1" si="444"/>
        <v/>
      </c>
      <c r="AJ1238" s="9" t="str">
        <f t="shared" ca="1" si="445"/>
        <v/>
      </c>
      <c r="AK1238" s="9" t="str">
        <f t="shared" ca="1" si="446"/>
        <v/>
      </c>
      <c r="AL1238" s="9" t="str">
        <f t="shared" ca="1" si="447"/>
        <v/>
      </c>
      <c r="AM1238" s="9" t="str">
        <f t="shared" ca="1" si="448"/>
        <v/>
      </c>
      <c r="AN1238" s="9" t="str">
        <f t="shared" ca="1" si="449"/>
        <v/>
      </c>
      <c r="AO1238" s="9" t="str">
        <f t="shared" ca="1" si="450"/>
        <v/>
      </c>
      <c r="AP1238" s="9" t="str">
        <f t="shared" ca="1" si="451"/>
        <v/>
      </c>
      <c r="AQ1238" s="9"/>
      <c r="AR1238" s="9"/>
      <c r="AS1238" s="9"/>
      <c r="AT1238" s="9"/>
      <c r="AU1238" s="9"/>
    </row>
    <row r="1239" spans="1:47" x14ac:dyDescent="0.3">
      <c r="A1239" s="1">
        <v>45258</v>
      </c>
      <c r="B1239" s="6">
        <v>623.32000700000003</v>
      </c>
      <c r="C1239" s="6">
        <v>543.72997999999995</v>
      </c>
      <c r="D1239" s="6">
        <v>55.279998999999997</v>
      </c>
      <c r="E1239" s="6">
        <v>168.86000100000001</v>
      </c>
      <c r="F1239" s="6">
        <v>89.400002000000001</v>
      </c>
      <c r="G1239" s="6">
        <v>33.450001</v>
      </c>
      <c r="H1239" s="6">
        <v>140.08999600000001</v>
      </c>
      <c r="I1239" s="6">
        <v>270.959991</v>
      </c>
      <c r="J1239" s="6">
        <v>30.18</v>
      </c>
      <c r="K1239" s="6">
        <v>10.62</v>
      </c>
      <c r="N1239" s="19">
        <v>1235</v>
      </c>
      <c r="O1239" s="1">
        <v>45258</v>
      </c>
      <c r="P1239" s="5">
        <f t="shared" si="452"/>
        <v>6.5186445299532901E-3</v>
      </c>
      <c r="Q1239" s="5">
        <f t="shared" si="453"/>
        <v>3.6780714934600014E-4</v>
      </c>
      <c r="R1239" s="5">
        <f t="shared" si="454"/>
        <v>1.0181869780540413E-2</v>
      </c>
      <c r="S1239" s="5">
        <f t="shared" si="455"/>
        <v>3.2030040266228634E-3</v>
      </c>
      <c r="T1239" s="5">
        <f t="shared" si="456"/>
        <v>1.1927743662054995E-2</v>
      </c>
      <c r="U1239" s="5">
        <f t="shared" si="457"/>
        <v>5.0952305646729803E-3</v>
      </c>
      <c r="V1239" s="5">
        <f t="shared" si="458"/>
        <v>7.5234334830929974E-3</v>
      </c>
      <c r="W1239" s="5">
        <f t="shared" si="459"/>
        <v>-1.0682347693980829E-2</v>
      </c>
      <c r="X1239" s="5">
        <f t="shared" si="460"/>
        <v>-5.6170641658044897E-3</v>
      </c>
      <c r="Y1239" s="5">
        <f t="shared" si="461"/>
        <v>-1.4953549667058358E-2</v>
      </c>
      <c r="Z1239" s="33">
        <v>1235</v>
      </c>
      <c r="AE1239" s="20" t="str">
        <f t="shared" si="462"/>
        <v/>
      </c>
      <c r="AF1239" s="22" t="str">
        <f t="shared" si="463"/>
        <v/>
      </c>
      <c r="AG1239" s="9" t="str">
        <f t="shared" ca="1" si="442"/>
        <v/>
      </c>
      <c r="AH1239" s="9" t="str">
        <f t="shared" ca="1" si="443"/>
        <v/>
      </c>
      <c r="AI1239" s="9" t="str">
        <f t="shared" ca="1" si="444"/>
        <v/>
      </c>
      <c r="AJ1239" s="9" t="str">
        <f t="shared" ca="1" si="445"/>
        <v/>
      </c>
      <c r="AK1239" s="9" t="str">
        <f t="shared" ca="1" si="446"/>
        <v/>
      </c>
      <c r="AL1239" s="9" t="str">
        <f t="shared" ca="1" si="447"/>
        <v/>
      </c>
      <c r="AM1239" s="9" t="str">
        <f t="shared" ca="1" si="448"/>
        <v/>
      </c>
      <c r="AN1239" s="9" t="str">
        <f t="shared" ca="1" si="449"/>
        <v/>
      </c>
      <c r="AO1239" s="9" t="str">
        <f t="shared" ca="1" si="450"/>
        <v/>
      </c>
      <c r="AP1239" s="9" t="str">
        <f t="shared" ca="1" si="451"/>
        <v/>
      </c>
      <c r="AQ1239" s="9"/>
      <c r="AR1239" s="9"/>
      <c r="AS1239" s="9"/>
      <c r="AT1239" s="9"/>
      <c r="AU1239" s="9"/>
    </row>
    <row r="1240" spans="1:47" x14ac:dyDescent="0.3">
      <c r="A1240" s="1">
        <v>45259</v>
      </c>
      <c r="B1240" s="6">
        <v>617.39001499999995</v>
      </c>
      <c r="C1240" s="6">
        <v>552.46002199999998</v>
      </c>
      <c r="D1240" s="6">
        <v>54.709999000000003</v>
      </c>
      <c r="E1240" s="6">
        <v>167.16000399999999</v>
      </c>
      <c r="F1240" s="6">
        <v>89.75</v>
      </c>
      <c r="G1240" s="6">
        <v>33.290000999999997</v>
      </c>
      <c r="H1240" s="6">
        <v>140.770004</v>
      </c>
      <c r="I1240" s="6">
        <v>271.83999599999999</v>
      </c>
      <c r="J1240" s="6">
        <v>30.639999</v>
      </c>
      <c r="K1240" s="6">
        <v>10.78</v>
      </c>
      <c r="N1240" s="18">
        <v>1236</v>
      </c>
      <c r="O1240" s="1">
        <v>45259</v>
      </c>
      <c r="P1240" s="5">
        <f t="shared" si="452"/>
        <v>-9.5591025298605026E-3</v>
      </c>
      <c r="Q1240" s="5">
        <f t="shared" si="453"/>
        <v>1.5928309068598299E-2</v>
      </c>
      <c r="R1240" s="5">
        <f t="shared" si="454"/>
        <v>-1.0364671572148843E-2</v>
      </c>
      <c r="S1240" s="5">
        <f t="shared" si="455"/>
        <v>-1.011851365453565E-2</v>
      </c>
      <c r="T1240" s="5">
        <f t="shared" si="456"/>
        <v>3.9073228175554326E-3</v>
      </c>
      <c r="U1240" s="5">
        <f t="shared" si="457"/>
        <v>-4.7947348436194383E-3</v>
      </c>
      <c r="V1240" s="5">
        <f t="shared" si="458"/>
        <v>4.8423366000696268E-3</v>
      </c>
      <c r="W1240" s="5">
        <f t="shared" si="459"/>
        <v>3.2424679148027576E-3</v>
      </c>
      <c r="X1240" s="5">
        <f t="shared" si="460"/>
        <v>1.5126858895611486E-2</v>
      </c>
      <c r="Y1240" s="5">
        <f t="shared" si="461"/>
        <v>1.4953549667058258E-2</v>
      </c>
      <c r="Z1240" s="33">
        <v>1236</v>
      </c>
      <c r="AE1240" s="20" t="str">
        <f t="shared" si="462"/>
        <v/>
      </c>
      <c r="AF1240" s="22" t="str">
        <f t="shared" si="463"/>
        <v/>
      </c>
      <c r="AG1240" s="9" t="str">
        <f t="shared" ca="1" si="442"/>
        <v/>
      </c>
      <c r="AH1240" s="9" t="str">
        <f t="shared" ca="1" si="443"/>
        <v/>
      </c>
      <c r="AI1240" s="9" t="str">
        <f t="shared" ca="1" si="444"/>
        <v/>
      </c>
      <c r="AJ1240" s="9" t="str">
        <f t="shared" ca="1" si="445"/>
        <v/>
      </c>
      <c r="AK1240" s="9" t="str">
        <f t="shared" ca="1" si="446"/>
        <v/>
      </c>
      <c r="AL1240" s="9" t="str">
        <f t="shared" ca="1" si="447"/>
        <v/>
      </c>
      <c r="AM1240" s="9" t="str">
        <f t="shared" ca="1" si="448"/>
        <v/>
      </c>
      <c r="AN1240" s="9" t="str">
        <f t="shared" ca="1" si="449"/>
        <v/>
      </c>
      <c r="AO1240" s="9" t="str">
        <f t="shared" ca="1" si="450"/>
        <v/>
      </c>
      <c r="AP1240" s="9" t="str">
        <f t="shared" ca="1" si="451"/>
        <v/>
      </c>
      <c r="AQ1240" s="9"/>
      <c r="AR1240" s="9"/>
      <c r="AS1240" s="9"/>
      <c r="AT1240" s="9"/>
      <c r="AU1240" s="9"/>
    </row>
    <row r="1241" spans="1:47" x14ac:dyDescent="0.3">
      <c r="A1241" s="1">
        <v>45260</v>
      </c>
      <c r="B1241" s="6">
        <v>611.01000999999997</v>
      </c>
      <c r="C1241" s="6">
        <v>543.22997999999995</v>
      </c>
      <c r="D1241" s="6">
        <v>55.150002000000001</v>
      </c>
      <c r="E1241" s="6">
        <v>168.28999300000001</v>
      </c>
      <c r="F1241" s="6">
        <v>90.260002</v>
      </c>
      <c r="G1241" s="6">
        <v>33.400002000000001</v>
      </c>
      <c r="H1241" s="6">
        <v>141.16000399999999</v>
      </c>
      <c r="I1241" s="6">
        <v>274.69000199999999</v>
      </c>
      <c r="J1241" s="6">
        <v>30.74</v>
      </c>
      <c r="K1241" s="6">
        <v>10.45</v>
      </c>
      <c r="N1241" s="19">
        <v>1237</v>
      </c>
      <c r="O1241" s="1">
        <v>45260</v>
      </c>
      <c r="P1241" s="5">
        <f t="shared" si="452"/>
        <v>-1.0387597261620786E-2</v>
      </c>
      <c r="Q1241" s="5">
        <f t="shared" si="453"/>
        <v>-1.6848306223353562E-2</v>
      </c>
      <c r="R1241" s="5">
        <f t="shared" si="454"/>
        <v>8.0102921667029921E-3</v>
      </c>
      <c r="S1241" s="5">
        <f t="shared" si="455"/>
        <v>6.7371786212311758E-3</v>
      </c>
      <c r="T1241" s="5">
        <f t="shared" si="456"/>
        <v>5.6663891886762161E-3</v>
      </c>
      <c r="U1241" s="5">
        <f t="shared" si="457"/>
        <v>3.2988782369087568E-3</v>
      </c>
      <c r="V1241" s="5">
        <f t="shared" si="458"/>
        <v>2.7666458886891326E-3</v>
      </c>
      <c r="W1241" s="5">
        <f t="shared" si="459"/>
        <v>1.0429553161353172E-2</v>
      </c>
      <c r="X1241" s="5">
        <f t="shared" si="460"/>
        <v>3.2584258751353922E-3</v>
      </c>
      <c r="Y1241" s="5">
        <f t="shared" si="461"/>
        <v>-3.1090587070031119E-2</v>
      </c>
      <c r="Z1241" s="33">
        <v>1237</v>
      </c>
      <c r="AE1241" s="20" t="str">
        <f t="shared" si="462"/>
        <v/>
      </c>
      <c r="AF1241" s="22" t="str">
        <f t="shared" si="463"/>
        <v/>
      </c>
      <c r="AG1241" s="9" t="str">
        <f t="shared" ca="1" si="442"/>
        <v/>
      </c>
      <c r="AH1241" s="9" t="str">
        <f t="shared" ca="1" si="443"/>
        <v/>
      </c>
      <c r="AI1241" s="9" t="str">
        <f t="shared" ca="1" si="444"/>
        <v/>
      </c>
      <c r="AJ1241" s="9" t="str">
        <f t="shared" ca="1" si="445"/>
        <v/>
      </c>
      <c r="AK1241" s="9" t="str">
        <f t="shared" ca="1" si="446"/>
        <v/>
      </c>
      <c r="AL1241" s="9" t="str">
        <f t="shared" ca="1" si="447"/>
        <v/>
      </c>
      <c r="AM1241" s="9" t="str">
        <f t="shared" ca="1" si="448"/>
        <v/>
      </c>
      <c r="AN1241" s="9" t="str">
        <f t="shared" ca="1" si="449"/>
        <v/>
      </c>
      <c r="AO1241" s="9" t="str">
        <f t="shared" ca="1" si="450"/>
        <v/>
      </c>
      <c r="AP1241" s="9" t="str">
        <f t="shared" ca="1" si="451"/>
        <v/>
      </c>
      <c r="AQ1241" s="9"/>
      <c r="AR1241" s="9"/>
      <c r="AS1241" s="9"/>
      <c r="AT1241" s="9"/>
      <c r="AU1241" s="9"/>
    </row>
    <row r="1242" spans="1:47" x14ac:dyDescent="0.3">
      <c r="A1242" s="1">
        <v>45261</v>
      </c>
      <c r="B1242" s="6">
        <v>612.46997099999999</v>
      </c>
      <c r="C1242" s="6">
        <v>545.96002199999998</v>
      </c>
      <c r="D1242" s="6">
        <v>55.220001000000003</v>
      </c>
      <c r="E1242" s="6">
        <v>168.69000199999999</v>
      </c>
      <c r="F1242" s="6">
        <v>92.620002999999997</v>
      </c>
      <c r="G1242" s="6">
        <v>34.400002000000001</v>
      </c>
      <c r="H1242" s="6">
        <v>143.21000699999999</v>
      </c>
      <c r="I1242" s="6">
        <v>279.85998499999999</v>
      </c>
      <c r="J1242" s="6">
        <v>31.309999000000001</v>
      </c>
      <c r="K1242" s="6">
        <v>11.33</v>
      </c>
      <c r="N1242" s="18">
        <v>1238</v>
      </c>
      <c r="O1242" s="1">
        <v>45261</v>
      </c>
      <c r="P1242" s="5">
        <f t="shared" si="452"/>
        <v>2.3865722621276898E-3</v>
      </c>
      <c r="Q1242" s="5">
        <f t="shared" si="453"/>
        <v>5.0129871044659298E-3</v>
      </c>
      <c r="R1242" s="5">
        <f t="shared" si="454"/>
        <v>1.2684426471455104E-3</v>
      </c>
      <c r="S1242" s="5">
        <f t="shared" si="455"/>
        <v>2.374082698172162E-3</v>
      </c>
      <c r="T1242" s="5">
        <f t="shared" si="456"/>
        <v>2.581071688595319E-2</v>
      </c>
      <c r="U1242" s="5">
        <f t="shared" si="457"/>
        <v>2.9500662655993295E-2</v>
      </c>
      <c r="V1242" s="5">
        <f t="shared" si="458"/>
        <v>1.4418106226170135E-2</v>
      </c>
      <c r="W1242" s="5">
        <f t="shared" si="459"/>
        <v>1.8646228158901341E-2</v>
      </c>
      <c r="X1242" s="5">
        <f t="shared" si="460"/>
        <v>1.8372765289186334E-2</v>
      </c>
      <c r="Y1242" s="5">
        <f t="shared" si="461"/>
        <v>8.0852096629094969E-2</v>
      </c>
      <c r="Z1242" s="33">
        <v>1238</v>
      </c>
      <c r="AE1242" s="20" t="str">
        <f t="shared" si="462"/>
        <v/>
      </c>
      <c r="AF1242" s="22" t="str">
        <f t="shared" si="463"/>
        <v/>
      </c>
      <c r="AG1242" s="9" t="str">
        <f t="shared" ca="1" si="442"/>
        <v/>
      </c>
      <c r="AH1242" s="9" t="str">
        <f t="shared" ca="1" si="443"/>
        <v/>
      </c>
      <c r="AI1242" s="9" t="str">
        <f t="shared" ca="1" si="444"/>
        <v/>
      </c>
      <c r="AJ1242" s="9" t="str">
        <f t="shared" ca="1" si="445"/>
        <v/>
      </c>
      <c r="AK1242" s="9" t="str">
        <f t="shared" ca="1" si="446"/>
        <v/>
      </c>
      <c r="AL1242" s="9" t="str">
        <f t="shared" ca="1" si="447"/>
        <v/>
      </c>
      <c r="AM1242" s="9" t="str">
        <f t="shared" ca="1" si="448"/>
        <v/>
      </c>
      <c r="AN1242" s="9" t="str">
        <f t="shared" ca="1" si="449"/>
        <v/>
      </c>
      <c r="AO1242" s="9" t="str">
        <f t="shared" ca="1" si="450"/>
        <v/>
      </c>
      <c r="AP1242" s="9" t="str">
        <f t="shared" ca="1" si="451"/>
        <v/>
      </c>
      <c r="AQ1242" s="9"/>
      <c r="AR1242" s="9"/>
      <c r="AS1242" s="9"/>
      <c r="AT1242" s="9"/>
      <c r="AU1242" s="9"/>
    </row>
    <row r="1243" spans="1:47" x14ac:dyDescent="0.3">
      <c r="A1243" s="1">
        <v>45264</v>
      </c>
      <c r="B1243" s="6">
        <v>604.55999799999995</v>
      </c>
      <c r="C1243" s="6">
        <v>531.20001200000002</v>
      </c>
      <c r="D1243" s="6">
        <v>55.169998</v>
      </c>
      <c r="E1243" s="6">
        <v>169.13999899999999</v>
      </c>
      <c r="F1243" s="6">
        <v>93.040001000000004</v>
      </c>
      <c r="G1243" s="6">
        <v>34.610000999999997</v>
      </c>
      <c r="H1243" s="6">
        <v>143.429993</v>
      </c>
      <c r="I1243" s="6">
        <v>280.92001299999998</v>
      </c>
      <c r="J1243" s="6">
        <v>31.5</v>
      </c>
      <c r="K1243" s="6">
        <v>11.39</v>
      </c>
      <c r="N1243" s="19">
        <v>1239</v>
      </c>
      <c r="O1243" s="1">
        <v>45264</v>
      </c>
      <c r="P1243" s="5">
        <f t="shared" si="452"/>
        <v>-1.2998996873973555E-2</v>
      </c>
      <c r="Q1243" s="5">
        <f t="shared" si="453"/>
        <v>-2.7407132531400945E-2</v>
      </c>
      <c r="R1243" s="5">
        <f t="shared" si="454"/>
        <v>-9.0593357863615227E-4</v>
      </c>
      <c r="S1243" s="5">
        <f t="shared" si="455"/>
        <v>2.6640456135267085E-3</v>
      </c>
      <c r="T1243" s="5">
        <f t="shared" si="456"/>
        <v>4.5243855154565096E-3</v>
      </c>
      <c r="U1243" s="5">
        <f t="shared" si="457"/>
        <v>6.0860640217499668E-3</v>
      </c>
      <c r="V1243" s="5">
        <f t="shared" si="458"/>
        <v>1.5349291319476416E-3</v>
      </c>
      <c r="W1243" s="5">
        <f t="shared" si="459"/>
        <v>3.780553038000446E-3</v>
      </c>
      <c r="X1243" s="5">
        <f t="shared" si="460"/>
        <v>6.0500424319513656E-3</v>
      </c>
      <c r="Y1243" s="5">
        <f t="shared" si="461"/>
        <v>5.2817024191757628E-3</v>
      </c>
      <c r="Z1243" s="33">
        <v>1239</v>
      </c>
      <c r="AE1243" s="20" t="str">
        <f t="shared" si="462"/>
        <v/>
      </c>
      <c r="AF1243" s="22" t="str">
        <f t="shared" si="463"/>
        <v/>
      </c>
      <c r="AG1243" s="9" t="str">
        <f t="shared" ca="1" si="442"/>
        <v/>
      </c>
      <c r="AH1243" s="9" t="str">
        <f t="shared" ca="1" si="443"/>
        <v/>
      </c>
      <c r="AI1243" s="9" t="str">
        <f t="shared" ca="1" si="444"/>
        <v/>
      </c>
      <c r="AJ1243" s="9" t="str">
        <f t="shared" ca="1" si="445"/>
        <v/>
      </c>
      <c r="AK1243" s="9" t="str">
        <f t="shared" ca="1" si="446"/>
        <v/>
      </c>
      <c r="AL1243" s="9" t="str">
        <f t="shared" ca="1" si="447"/>
        <v/>
      </c>
      <c r="AM1243" s="9" t="str">
        <f t="shared" ca="1" si="448"/>
        <v/>
      </c>
      <c r="AN1243" s="9" t="str">
        <f t="shared" ca="1" si="449"/>
        <v/>
      </c>
      <c r="AO1243" s="9" t="str">
        <f t="shared" ca="1" si="450"/>
        <v/>
      </c>
      <c r="AP1243" s="9" t="str">
        <f t="shared" ca="1" si="451"/>
        <v/>
      </c>
      <c r="AQ1243" s="9"/>
      <c r="AR1243" s="9"/>
      <c r="AS1243" s="9"/>
      <c r="AT1243" s="9"/>
      <c r="AU1243" s="9"/>
    </row>
    <row r="1244" spans="1:47" x14ac:dyDescent="0.3">
      <c r="A1244" s="1">
        <v>45265</v>
      </c>
      <c r="B1244" s="6">
        <v>602.21997099999999</v>
      </c>
      <c r="C1244" s="6">
        <v>535.71002199999998</v>
      </c>
      <c r="D1244" s="6">
        <v>54.259998000000003</v>
      </c>
      <c r="E1244" s="6">
        <v>167.94000199999999</v>
      </c>
      <c r="F1244" s="6">
        <v>93.040001000000004</v>
      </c>
      <c r="G1244" s="6">
        <v>34.540000999999997</v>
      </c>
      <c r="H1244" s="6">
        <v>141.36000100000001</v>
      </c>
      <c r="I1244" s="6">
        <v>278.94000199999999</v>
      </c>
      <c r="J1244" s="6">
        <v>30.82</v>
      </c>
      <c r="K1244" s="6">
        <v>10.87</v>
      </c>
      <c r="N1244" s="18">
        <v>1240</v>
      </c>
      <c r="O1244" s="1">
        <v>45265</v>
      </c>
      <c r="P1244" s="5">
        <f t="shared" si="452"/>
        <v>-3.878138505669725E-3</v>
      </c>
      <c r="Q1244" s="5">
        <f t="shared" si="453"/>
        <v>8.4543901915521361E-3</v>
      </c>
      <c r="R1244" s="5">
        <f t="shared" si="454"/>
        <v>-1.663202066153276E-2</v>
      </c>
      <c r="S1244" s="5">
        <f t="shared" si="455"/>
        <v>-7.1199837773818532E-3</v>
      </c>
      <c r="T1244" s="5">
        <f t="shared" si="456"/>
        <v>0</v>
      </c>
      <c r="U1244" s="5">
        <f t="shared" si="457"/>
        <v>-2.0245848701639711E-3</v>
      </c>
      <c r="V1244" s="5">
        <f t="shared" si="458"/>
        <v>-1.4537227416247704E-2</v>
      </c>
      <c r="W1244" s="5">
        <f t="shared" si="459"/>
        <v>-7.0732654667895398E-3</v>
      </c>
      <c r="X1244" s="5">
        <f t="shared" si="460"/>
        <v>-2.18237159396177E-2</v>
      </c>
      <c r="Y1244" s="5">
        <f t="shared" si="461"/>
        <v>-4.6729076325972764E-2</v>
      </c>
      <c r="Z1244" s="33">
        <v>1240</v>
      </c>
      <c r="AE1244" s="20" t="str">
        <f t="shared" si="462"/>
        <v/>
      </c>
      <c r="AF1244" s="22" t="str">
        <f t="shared" si="463"/>
        <v/>
      </c>
      <c r="AG1244" s="9" t="str">
        <f t="shared" ca="1" si="442"/>
        <v/>
      </c>
      <c r="AH1244" s="9" t="str">
        <f t="shared" ca="1" si="443"/>
        <v/>
      </c>
      <c r="AI1244" s="9" t="str">
        <f t="shared" ca="1" si="444"/>
        <v/>
      </c>
      <c r="AJ1244" s="9" t="str">
        <f t="shared" ca="1" si="445"/>
        <v/>
      </c>
      <c r="AK1244" s="9" t="str">
        <f t="shared" ca="1" si="446"/>
        <v/>
      </c>
      <c r="AL1244" s="9" t="str">
        <f t="shared" ca="1" si="447"/>
        <v/>
      </c>
      <c r="AM1244" s="9" t="str">
        <f t="shared" ca="1" si="448"/>
        <v/>
      </c>
      <c r="AN1244" s="9" t="str">
        <f t="shared" ca="1" si="449"/>
        <v/>
      </c>
      <c r="AO1244" s="9" t="str">
        <f t="shared" ca="1" si="450"/>
        <v/>
      </c>
      <c r="AP1244" s="9" t="str">
        <f t="shared" ca="1" si="451"/>
        <v/>
      </c>
      <c r="AQ1244" s="9"/>
      <c r="AR1244" s="9"/>
      <c r="AS1244" s="9"/>
      <c r="AT1244" s="9"/>
      <c r="AU1244" s="9"/>
    </row>
    <row r="1245" spans="1:47" x14ac:dyDescent="0.3">
      <c r="A1245" s="1">
        <v>45266</v>
      </c>
      <c r="B1245" s="6">
        <v>595.70001200000002</v>
      </c>
      <c r="C1245" s="6">
        <v>527.48999000000003</v>
      </c>
      <c r="D1245" s="6">
        <v>54.299999</v>
      </c>
      <c r="E1245" s="6">
        <v>167.509995</v>
      </c>
      <c r="F1245" s="6">
        <v>93.389999000000003</v>
      </c>
      <c r="G1245" s="6">
        <v>34.669998</v>
      </c>
      <c r="H1245" s="6">
        <v>143.21000699999999</v>
      </c>
      <c r="I1245" s="6">
        <v>280.14001500000001</v>
      </c>
      <c r="J1245" s="6">
        <v>31.139999</v>
      </c>
      <c r="K1245" s="6">
        <v>10.92</v>
      </c>
      <c r="N1245" s="19">
        <v>1241</v>
      </c>
      <c r="O1245" s="1">
        <v>45266</v>
      </c>
      <c r="P1245" s="5">
        <f t="shared" si="452"/>
        <v>-1.0885574119593931E-2</v>
      </c>
      <c r="Q1245" s="5">
        <f t="shared" si="453"/>
        <v>-1.5463122077285542E-2</v>
      </c>
      <c r="R1245" s="5">
        <f t="shared" si="454"/>
        <v>7.3693815246340163E-4</v>
      </c>
      <c r="S1245" s="5">
        <f t="shared" si="455"/>
        <v>-2.5637635378015114E-3</v>
      </c>
      <c r="T1245" s="5">
        <f t="shared" si="456"/>
        <v>3.7547434553675471E-3</v>
      </c>
      <c r="U1245" s="5">
        <f t="shared" si="457"/>
        <v>3.7566003396977397E-3</v>
      </c>
      <c r="V1245" s="5">
        <f t="shared" si="458"/>
        <v>1.3002298284300213E-2</v>
      </c>
      <c r="W1245" s="5">
        <f t="shared" si="459"/>
        <v>4.2928196550064794E-3</v>
      </c>
      <c r="X1245" s="5">
        <f t="shared" si="460"/>
        <v>1.0329304400844145E-2</v>
      </c>
      <c r="Y1245" s="5">
        <f t="shared" si="461"/>
        <v>4.5892691836409054E-3</v>
      </c>
      <c r="Z1245" s="33">
        <v>1241</v>
      </c>
      <c r="AE1245" s="20" t="str">
        <f t="shared" si="462"/>
        <v/>
      </c>
      <c r="AF1245" s="22" t="str">
        <f t="shared" si="463"/>
        <v/>
      </c>
      <c r="AG1245" s="9" t="str">
        <f t="shared" ca="1" si="442"/>
        <v/>
      </c>
      <c r="AH1245" s="9" t="str">
        <f t="shared" ca="1" si="443"/>
        <v/>
      </c>
      <c r="AI1245" s="9" t="str">
        <f t="shared" ca="1" si="444"/>
        <v/>
      </c>
      <c r="AJ1245" s="9" t="str">
        <f t="shared" ca="1" si="445"/>
        <v/>
      </c>
      <c r="AK1245" s="9" t="str">
        <f t="shared" ca="1" si="446"/>
        <v/>
      </c>
      <c r="AL1245" s="9" t="str">
        <f t="shared" ca="1" si="447"/>
        <v/>
      </c>
      <c r="AM1245" s="9" t="str">
        <f t="shared" ca="1" si="448"/>
        <v/>
      </c>
      <c r="AN1245" s="9" t="str">
        <f t="shared" ca="1" si="449"/>
        <v/>
      </c>
      <c r="AO1245" s="9" t="str">
        <f t="shared" ca="1" si="450"/>
        <v/>
      </c>
      <c r="AP1245" s="9" t="str">
        <f t="shared" ca="1" si="451"/>
        <v/>
      </c>
      <c r="AQ1245" s="9"/>
      <c r="AR1245" s="9"/>
      <c r="AS1245" s="9"/>
      <c r="AT1245" s="9"/>
      <c r="AU1245" s="9"/>
    </row>
    <row r="1246" spans="1:47" x14ac:dyDescent="0.3">
      <c r="A1246" s="1">
        <v>45267</v>
      </c>
      <c r="B1246" s="6">
        <v>608.78002900000001</v>
      </c>
      <c r="C1246" s="6">
        <v>534.15002400000003</v>
      </c>
      <c r="D1246" s="6">
        <v>54.299999</v>
      </c>
      <c r="E1246" s="6">
        <v>167.46000699999999</v>
      </c>
      <c r="F1246" s="6">
        <v>93.400002000000001</v>
      </c>
      <c r="G1246" s="6">
        <v>35</v>
      </c>
      <c r="H1246" s="6">
        <v>143.69000199999999</v>
      </c>
      <c r="I1246" s="6">
        <v>280</v>
      </c>
      <c r="J1246" s="6">
        <v>30.83</v>
      </c>
      <c r="K1246" s="6">
        <v>10.82</v>
      </c>
      <c r="N1246" s="18">
        <v>1242</v>
      </c>
      <c r="O1246" s="1">
        <v>45267</v>
      </c>
      <c r="P1246" s="5">
        <f t="shared" si="452"/>
        <v>2.1719797353929225E-2</v>
      </c>
      <c r="Q1246" s="5">
        <f t="shared" si="453"/>
        <v>1.2546854456242809E-2</v>
      </c>
      <c r="R1246" s="5">
        <f t="shared" si="454"/>
        <v>0</v>
      </c>
      <c r="S1246" s="5">
        <f t="shared" si="455"/>
        <v>-2.9846254931864958E-4</v>
      </c>
      <c r="T1246" s="5">
        <f t="shared" si="456"/>
        <v>1.0710423423094961E-4</v>
      </c>
      <c r="U1246" s="5">
        <f t="shared" si="457"/>
        <v>9.4733594792442144E-3</v>
      </c>
      <c r="V1246" s="5">
        <f t="shared" si="458"/>
        <v>3.3460817900901477E-3</v>
      </c>
      <c r="W1246" s="5">
        <f t="shared" si="459"/>
        <v>-4.9992858630587263E-4</v>
      </c>
      <c r="X1246" s="5">
        <f t="shared" si="460"/>
        <v>-1.0004892394754886E-2</v>
      </c>
      <c r="Y1246" s="5">
        <f t="shared" si="461"/>
        <v>-9.1996968984234869E-3</v>
      </c>
      <c r="Z1246" s="33">
        <v>1242</v>
      </c>
      <c r="AE1246" s="20" t="str">
        <f t="shared" si="462"/>
        <v/>
      </c>
      <c r="AF1246" s="22" t="str">
        <f t="shared" si="463"/>
        <v/>
      </c>
      <c r="AG1246" s="9" t="str">
        <f t="shared" ca="1" si="442"/>
        <v/>
      </c>
      <c r="AH1246" s="9" t="str">
        <f t="shared" ca="1" si="443"/>
        <v/>
      </c>
      <c r="AI1246" s="9" t="str">
        <f t="shared" ca="1" si="444"/>
        <v/>
      </c>
      <c r="AJ1246" s="9" t="str">
        <f t="shared" ca="1" si="445"/>
        <v/>
      </c>
      <c r="AK1246" s="9" t="str">
        <f t="shared" ca="1" si="446"/>
        <v/>
      </c>
      <c r="AL1246" s="9" t="str">
        <f t="shared" ca="1" si="447"/>
        <v/>
      </c>
      <c r="AM1246" s="9" t="str">
        <f t="shared" ca="1" si="448"/>
        <v/>
      </c>
      <c r="AN1246" s="9" t="str">
        <f t="shared" ca="1" si="449"/>
        <v/>
      </c>
      <c r="AO1246" s="9" t="str">
        <f t="shared" ca="1" si="450"/>
        <v/>
      </c>
      <c r="AP1246" s="9" t="str">
        <f t="shared" ca="1" si="451"/>
        <v/>
      </c>
      <c r="AQ1246" s="9"/>
      <c r="AR1246" s="9"/>
      <c r="AS1246" s="9"/>
      <c r="AT1246" s="9"/>
      <c r="AU1246" s="9"/>
    </row>
    <row r="1247" spans="1:47" x14ac:dyDescent="0.3">
      <c r="A1247" s="1">
        <v>45268</v>
      </c>
      <c r="B1247" s="6">
        <v>610.01000999999997</v>
      </c>
      <c r="C1247" s="6">
        <v>535.92999299999997</v>
      </c>
      <c r="D1247" s="6">
        <v>53.919998</v>
      </c>
      <c r="E1247" s="6">
        <v>165.679993</v>
      </c>
      <c r="F1247" s="6">
        <v>93.650002000000001</v>
      </c>
      <c r="G1247" s="6">
        <v>35.369999</v>
      </c>
      <c r="H1247" s="6">
        <v>143.61999499999999</v>
      </c>
      <c r="I1247" s="6">
        <v>278.22000100000002</v>
      </c>
      <c r="J1247" s="6">
        <v>31.219999000000001</v>
      </c>
      <c r="K1247" s="6">
        <v>11.47</v>
      </c>
      <c r="N1247" s="19">
        <v>1243</v>
      </c>
      <c r="O1247" s="1">
        <v>45268</v>
      </c>
      <c r="P1247" s="5">
        <f t="shared" si="452"/>
        <v>2.018364735843596E-3</v>
      </c>
      <c r="Q1247" s="5">
        <f t="shared" si="453"/>
        <v>3.3267991428419024E-3</v>
      </c>
      <c r="R1247" s="5">
        <f t="shared" si="454"/>
        <v>-7.0227790116205984E-3</v>
      </c>
      <c r="S1247" s="5">
        <f t="shared" si="455"/>
        <v>-1.0686383740104902E-2</v>
      </c>
      <c r="T1247" s="5">
        <f t="shared" si="456"/>
        <v>2.6730835981375683E-3</v>
      </c>
      <c r="U1247" s="5">
        <f t="shared" si="457"/>
        <v>1.0515913455427713E-2</v>
      </c>
      <c r="V1247" s="5">
        <f t="shared" si="458"/>
        <v>-4.8732729189017215E-4</v>
      </c>
      <c r="W1247" s="5">
        <f t="shared" si="459"/>
        <v>-6.3774319435471981E-3</v>
      </c>
      <c r="X1247" s="5">
        <f t="shared" si="460"/>
        <v>1.2570641158477129E-2</v>
      </c>
      <c r="Y1247" s="5">
        <f t="shared" si="461"/>
        <v>5.8338657722943846E-2</v>
      </c>
      <c r="Z1247" s="33">
        <v>1243</v>
      </c>
      <c r="AE1247" s="20" t="str">
        <f t="shared" si="462"/>
        <v/>
      </c>
      <c r="AF1247" s="22" t="str">
        <f t="shared" si="463"/>
        <v/>
      </c>
      <c r="AG1247" s="9" t="str">
        <f t="shared" ca="1" si="442"/>
        <v/>
      </c>
      <c r="AH1247" s="9" t="str">
        <f t="shared" ca="1" si="443"/>
        <v/>
      </c>
      <c r="AI1247" s="9" t="str">
        <f t="shared" ca="1" si="444"/>
        <v/>
      </c>
      <c r="AJ1247" s="9" t="str">
        <f t="shared" ca="1" si="445"/>
        <v/>
      </c>
      <c r="AK1247" s="9" t="str">
        <f t="shared" ca="1" si="446"/>
        <v/>
      </c>
      <c r="AL1247" s="9" t="str">
        <f t="shared" ca="1" si="447"/>
        <v/>
      </c>
      <c r="AM1247" s="9" t="str">
        <f t="shared" ca="1" si="448"/>
        <v/>
      </c>
      <c r="AN1247" s="9" t="str">
        <f t="shared" ca="1" si="449"/>
        <v/>
      </c>
      <c r="AO1247" s="9" t="str">
        <f t="shared" ca="1" si="450"/>
        <v/>
      </c>
      <c r="AP1247" s="9" t="str">
        <f t="shared" ca="1" si="451"/>
        <v/>
      </c>
      <c r="AQ1247" s="9"/>
      <c r="AR1247" s="9"/>
      <c r="AS1247" s="9"/>
      <c r="AT1247" s="9"/>
      <c r="AU1247" s="9"/>
    </row>
    <row r="1248" spans="1:47" x14ac:dyDescent="0.3">
      <c r="A1248" s="1">
        <v>45271</v>
      </c>
      <c r="B1248" s="6">
        <v>625.20001200000002</v>
      </c>
      <c r="C1248" s="6">
        <v>556.02002000000005</v>
      </c>
      <c r="D1248" s="6">
        <v>55.259998000000003</v>
      </c>
      <c r="E1248" s="6">
        <v>167.820007</v>
      </c>
      <c r="F1248" s="6">
        <v>93.419998000000007</v>
      </c>
      <c r="G1248" s="6">
        <v>34.979999999999997</v>
      </c>
      <c r="H1248" s="6">
        <v>145.30999800000001</v>
      </c>
      <c r="I1248" s="6">
        <v>281.07000699999998</v>
      </c>
      <c r="J1248" s="6">
        <v>31.6</v>
      </c>
      <c r="K1248" s="6">
        <v>11.43</v>
      </c>
      <c r="N1248" s="18">
        <v>1244</v>
      </c>
      <c r="O1248" s="1">
        <v>45271</v>
      </c>
      <c r="P1248" s="5">
        <f t="shared" si="452"/>
        <v>2.4596250872396828E-2</v>
      </c>
      <c r="Q1248" s="5">
        <f t="shared" si="453"/>
        <v>3.6800758330647131E-2</v>
      </c>
      <c r="R1248" s="5">
        <f t="shared" si="454"/>
        <v>2.4547853790662773E-2</v>
      </c>
      <c r="S1248" s="5">
        <f t="shared" si="455"/>
        <v>1.2833843316072804E-2</v>
      </c>
      <c r="T1248" s="5">
        <f t="shared" si="456"/>
        <v>-2.4590165809406503E-3</v>
      </c>
      <c r="U1248" s="5">
        <f t="shared" si="457"/>
        <v>-1.10875053543856E-2</v>
      </c>
      <c r="V1248" s="5">
        <f t="shared" si="458"/>
        <v>1.169848970084866E-2</v>
      </c>
      <c r="W1248" s="5">
        <f t="shared" si="459"/>
        <v>1.0191602310331789E-2</v>
      </c>
      <c r="X1248" s="5">
        <f t="shared" si="460"/>
        <v>1.2098237536330539E-2</v>
      </c>
      <c r="Y1248" s="5">
        <f t="shared" si="461"/>
        <v>-3.4934533345600885E-3</v>
      </c>
      <c r="Z1248" s="33">
        <v>1244</v>
      </c>
      <c r="AE1248" s="20" t="str">
        <f t="shared" si="462"/>
        <v/>
      </c>
      <c r="AF1248" s="22" t="str">
        <f t="shared" si="463"/>
        <v/>
      </c>
      <c r="AG1248" s="9" t="str">
        <f t="shared" ca="1" si="442"/>
        <v/>
      </c>
      <c r="AH1248" s="9" t="str">
        <f t="shared" ca="1" si="443"/>
        <v/>
      </c>
      <c r="AI1248" s="9" t="str">
        <f t="shared" ca="1" si="444"/>
        <v/>
      </c>
      <c r="AJ1248" s="9" t="str">
        <f t="shared" ca="1" si="445"/>
        <v/>
      </c>
      <c r="AK1248" s="9" t="str">
        <f t="shared" ca="1" si="446"/>
        <v/>
      </c>
      <c r="AL1248" s="9" t="str">
        <f t="shared" ca="1" si="447"/>
        <v/>
      </c>
      <c r="AM1248" s="9" t="str">
        <f t="shared" ca="1" si="448"/>
        <v/>
      </c>
      <c r="AN1248" s="9" t="str">
        <f t="shared" ca="1" si="449"/>
        <v/>
      </c>
      <c r="AO1248" s="9" t="str">
        <f t="shared" ca="1" si="450"/>
        <v/>
      </c>
      <c r="AP1248" s="9" t="str">
        <f t="shared" ca="1" si="451"/>
        <v/>
      </c>
      <c r="AQ1248" s="9"/>
      <c r="AR1248" s="9"/>
      <c r="AS1248" s="9"/>
      <c r="AT1248" s="9"/>
      <c r="AU1248" s="9"/>
    </row>
    <row r="1249" spans="1:47" x14ac:dyDescent="0.3">
      <c r="A1249" s="1">
        <v>45272</v>
      </c>
      <c r="B1249" s="6">
        <v>633.65997300000004</v>
      </c>
      <c r="C1249" s="6">
        <v>567.05999799999995</v>
      </c>
      <c r="D1249" s="6">
        <v>55.799999</v>
      </c>
      <c r="E1249" s="6">
        <v>168.470001</v>
      </c>
      <c r="F1249" s="6">
        <v>94.099997999999999</v>
      </c>
      <c r="G1249" s="6">
        <v>35.450001</v>
      </c>
      <c r="H1249" s="6">
        <v>145.490005</v>
      </c>
      <c r="I1249" s="6">
        <v>280.10000600000001</v>
      </c>
      <c r="J1249" s="6">
        <v>31.33</v>
      </c>
      <c r="K1249" s="6">
        <v>11.23</v>
      </c>
      <c r="N1249" s="19">
        <v>1245</v>
      </c>
      <c r="O1249" s="1">
        <v>45272</v>
      </c>
      <c r="P1249" s="5">
        <f t="shared" si="452"/>
        <v>1.3440872635656494E-2</v>
      </c>
      <c r="Q1249" s="5">
        <f t="shared" si="453"/>
        <v>1.9660813911472438E-2</v>
      </c>
      <c r="R1249" s="5">
        <f t="shared" si="454"/>
        <v>9.7245681633925454E-3</v>
      </c>
      <c r="S1249" s="5">
        <f t="shared" si="455"/>
        <v>3.8656801806076901E-3</v>
      </c>
      <c r="T1249" s="5">
        <f t="shared" si="456"/>
        <v>7.2525916720788033E-3</v>
      </c>
      <c r="U1249" s="5">
        <f t="shared" si="457"/>
        <v>1.3346811596424816E-2</v>
      </c>
      <c r="V1249" s="5">
        <f t="shared" si="458"/>
        <v>1.2380125249931199E-3</v>
      </c>
      <c r="W1249" s="5">
        <f t="shared" si="459"/>
        <v>-3.4570698490504728E-3</v>
      </c>
      <c r="X1249" s="5">
        <f t="shared" si="460"/>
        <v>-8.5810156287661112E-3</v>
      </c>
      <c r="Y1249" s="5">
        <f t="shared" si="461"/>
        <v>-1.7652709056367382E-2</v>
      </c>
      <c r="Z1249" s="33">
        <v>1245</v>
      </c>
      <c r="AE1249" s="20" t="str">
        <f t="shared" si="462"/>
        <v/>
      </c>
      <c r="AF1249" s="22" t="str">
        <f t="shared" si="463"/>
        <v/>
      </c>
      <c r="AG1249" s="9" t="str">
        <f t="shared" ca="1" si="442"/>
        <v/>
      </c>
      <c r="AH1249" s="9" t="str">
        <f t="shared" ca="1" si="443"/>
        <v/>
      </c>
      <c r="AI1249" s="9" t="str">
        <f t="shared" ca="1" si="444"/>
        <v/>
      </c>
      <c r="AJ1249" s="9" t="str">
        <f t="shared" ca="1" si="445"/>
        <v/>
      </c>
      <c r="AK1249" s="9" t="str">
        <f t="shared" ca="1" si="446"/>
        <v/>
      </c>
      <c r="AL1249" s="9" t="str">
        <f t="shared" ca="1" si="447"/>
        <v/>
      </c>
      <c r="AM1249" s="9" t="str">
        <f t="shared" ca="1" si="448"/>
        <v/>
      </c>
      <c r="AN1249" s="9" t="str">
        <f t="shared" ca="1" si="449"/>
        <v/>
      </c>
      <c r="AO1249" s="9" t="str">
        <f t="shared" ca="1" si="450"/>
        <v/>
      </c>
      <c r="AP1249" s="9" t="str">
        <f t="shared" ca="1" si="451"/>
        <v/>
      </c>
      <c r="AQ1249" s="9"/>
      <c r="AR1249" s="9"/>
      <c r="AS1249" s="9"/>
      <c r="AT1249" s="9"/>
      <c r="AU1249" s="9"/>
    </row>
    <row r="1250" spans="1:47" x14ac:dyDescent="0.3">
      <c r="A1250" s="1">
        <v>45273</v>
      </c>
      <c r="B1250" s="6">
        <v>624.26000999999997</v>
      </c>
      <c r="C1250" s="6">
        <v>568.09002699999996</v>
      </c>
      <c r="D1250" s="6">
        <v>56.549999</v>
      </c>
      <c r="E1250" s="6">
        <v>172.009995</v>
      </c>
      <c r="F1250" s="6">
        <v>98.110000999999997</v>
      </c>
      <c r="G1250" s="6">
        <v>37.119999</v>
      </c>
      <c r="H1250" s="6">
        <v>147.300003</v>
      </c>
      <c r="I1250" s="6">
        <v>284.07000699999998</v>
      </c>
      <c r="J1250" s="6">
        <v>31.5</v>
      </c>
      <c r="K1250" s="6">
        <v>11.88</v>
      </c>
      <c r="N1250" s="18">
        <v>1246</v>
      </c>
      <c r="O1250" s="1">
        <v>45273</v>
      </c>
      <c r="P1250" s="5">
        <f t="shared" si="452"/>
        <v>-1.4945526103225687E-2</v>
      </c>
      <c r="Q1250" s="5">
        <f t="shared" si="453"/>
        <v>1.8147896930130463E-3</v>
      </c>
      <c r="R1250" s="5">
        <f t="shared" si="454"/>
        <v>1.33513334125451E-2</v>
      </c>
      <c r="S1250" s="5">
        <f t="shared" si="455"/>
        <v>2.079488725633408E-2</v>
      </c>
      <c r="T1250" s="5">
        <f t="shared" si="456"/>
        <v>4.1731283030591718E-2</v>
      </c>
      <c r="U1250" s="5">
        <f t="shared" si="457"/>
        <v>4.6032599791463534E-2</v>
      </c>
      <c r="V1250" s="5">
        <f t="shared" si="458"/>
        <v>1.2363953741263306E-2</v>
      </c>
      <c r="W1250" s="5">
        <f t="shared" si="459"/>
        <v>1.4074007618347902E-2</v>
      </c>
      <c r="X1250" s="5">
        <f t="shared" si="460"/>
        <v>5.4114408674869954E-3</v>
      </c>
      <c r="Y1250" s="5">
        <f t="shared" si="461"/>
        <v>5.6267545184147089E-2</v>
      </c>
      <c r="Z1250" s="33">
        <v>1246</v>
      </c>
      <c r="AE1250" s="20" t="str">
        <f t="shared" si="462"/>
        <v/>
      </c>
      <c r="AF1250" s="22" t="str">
        <f t="shared" si="463"/>
        <v/>
      </c>
      <c r="AG1250" s="9" t="str">
        <f t="shared" ca="1" si="442"/>
        <v/>
      </c>
      <c r="AH1250" s="9" t="str">
        <f t="shared" ca="1" si="443"/>
        <v/>
      </c>
      <c r="AI1250" s="9" t="str">
        <f t="shared" ca="1" si="444"/>
        <v/>
      </c>
      <c r="AJ1250" s="9" t="str">
        <f t="shared" ca="1" si="445"/>
        <v/>
      </c>
      <c r="AK1250" s="9" t="str">
        <f t="shared" ca="1" si="446"/>
        <v/>
      </c>
      <c r="AL1250" s="9" t="str">
        <f t="shared" ca="1" si="447"/>
        <v/>
      </c>
      <c r="AM1250" s="9" t="str">
        <f t="shared" ca="1" si="448"/>
        <v/>
      </c>
      <c r="AN1250" s="9" t="str">
        <f t="shared" ca="1" si="449"/>
        <v/>
      </c>
      <c r="AO1250" s="9" t="str">
        <f t="shared" ca="1" si="450"/>
        <v/>
      </c>
      <c r="AP1250" s="9" t="str">
        <f t="shared" ca="1" si="451"/>
        <v/>
      </c>
      <c r="AQ1250" s="9"/>
      <c r="AR1250" s="9"/>
      <c r="AS1250" s="9"/>
      <c r="AT1250" s="9"/>
      <c r="AU1250" s="9"/>
    </row>
    <row r="1251" spans="1:47" x14ac:dyDescent="0.3">
      <c r="A1251" s="1">
        <v>45274</v>
      </c>
      <c r="B1251" s="6">
        <v>584.64001499999995</v>
      </c>
      <c r="C1251" s="6">
        <v>551.45001200000002</v>
      </c>
      <c r="D1251" s="6">
        <v>55.560001</v>
      </c>
      <c r="E1251" s="6">
        <v>168.25</v>
      </c>
      <c r="F1251" s="6">
        <v>101.610001</v>
      </c>
      <c r="G1251" s="6">
        <v>38.349997999999999</v>
      </c>
      <c r="H1251" s="6">
        <v>155.28999300000001</v>
      </c>
      <c r="I1251" s="6">
        <v>289.20001200000002</v>
      </c>
      <c r="J1251" s="6">
        <v>32.740001999999997</v>
      </c>
      <c r="K1251" s="6">
        <v>12.49</v>
      </c>
      <c r="N1251" s="19">
        <v>1247</v>
      </c>
      <c r="O1251" s="1">
        <v>45274</v>
      </c>
      <c r="P1251" s="5">
        <f t="shared" si="452"/>
        <v>-6.5570665427154284E-2</v>
      </c>
      <c r="Q1251" s="5">
        <f t="shared" si="453"/>
        <v>-2.9728709888100939E-2</v>
      </c>
      <c r="R1251" s="5">
        <f t="shared" si="454"/>
        <v>-1.7661648993960406E-2</v>
      </c>
      <c r="S1251" s="5">
        <f t="shared" si="455"/>
        <v>-2.21016170653845E-2</v>
      </c>
      <c r="T1251" s="5">
        <f t="shared" si="456"/>
        <v>3.5052656971400677E-2</v>
      </c>
      <c r="U1251" s="5">
        <f t="shared" si="457"/>
        <v>3.2598594683680981E-2</v>
      </c>
      <c r="V1251" s="5">
        <f t="shared" si="458"/>
        <v>5.2822947668960882E-2</v>
      </c>
      <c r="W1251" s="5">
        <f t="shared" si="459"/>
        <v>1.7897820473052991E-2</v>
      </c>
      <c r="X1251" s="5">
        <f t="shared" si="460"/>
        <v>3.861008719875432E-2</v>
      </c>
      <c r="Y1251" s="5">
        <f t="shared" si="461"/>
        <v>5.0072010202987349E-2</v>
      </c>
      <c r="Z1251" s="33">
        <v>1247</v>
      </c>
      <c r="AE1251" s="20" t="str">
        <f t="shared" si="462"/>
        <v/>
      </c>
      <c r="AF1251" s="22" t="str">
        <f t="shared" si="463"/>
        <v/>
      </c>
      <c r="AG1251" s="9" t="str">
        <f t="shared" ca="1" si="442"/>
        <v/>
      </c>
      <c r="AH1251" s="9" t="str">
        <f t="shared" ca="1" si="443"/>
        <v/>
      </c>
      <c r="AI1251" s="9" t="str">
        <f t="shared" ca="1" si="444"/>
        <v/>
      </c>
      <c r="AJ1251" s="9" t="str">
        <f t="shared" ca="1" si="445"/>
        <v/>
      </c>
      <c r="AK1251" s="9" t="str">
        <f t="shared" ca="1" si="446"/>
        <v/>
      </c>
      <c r="AL1251" s="9" t="str">
        <f t="shared" ca="1" si="447"/>
        <v/>
      </c>
      <c r="AM1251" s="9" t="str">
        <f t="shared" ca="1" si="448"/>
        <v/>
      </c>
      <c r="AN1251" s="9" t="str">
        <f t="shared" ca="1" si="449"/>
        <v/>
      </c>
      <c r="AO1251" s="9" t="str">
        <f t="shared" ca="1" si="450"/>
        <v/>
      </c>
      <c r="AP1251" s="9" t="str">
        <f t="shared" ca="1" si="451"/>
        <v/>
      </c>
      <c r="AQ1251" s="9"/>
      <c r="AR1251" s="9"/>
      <c r="AS1251" s="9"/>
      <c r="AT1251" s="9"/>
      <c r="AU1251" s="9"/>
    </row>
    <row r="1252" spans="1:47" x14ac:dyDescent="0.3">
      <c r="A1252" s="1">
        <v>45275</v>
      </c>
      <c r="B1252" s="6">
        <v>584.67999299999997</v>
      </c>
      <c r="C1252" s="6">
        <v>556.27002000000005</v>
      </c>
      <c r="D1252" s="6">
        <v>55.09</v>
      </c>
      <c r="E1252" s="6">
        <v>167</v>
      </c>
      <c r="F1252" s="6">
        <v>98.949996999999996</v>
      </c>
      <c r="G1252" s="6">
        <v>37.639999000000003</v>
      </c>
      <c r="H1252" s="6">
        <v>152.199997</v>
      </c>
      <c r="I1252" s="6">
        <v>286.27999899999998</v>
      </c>
      <c r="J1252" s="6">
        <v>32.849997999999999</v>
      </c>
      <c r="K1252" s="6">
        <v>12.26</v>
      </c>
      <c r="N1252" s="18">
        <v>1248</v>
      </c>
      <c r="O1252" s="1">
        <v>45275</v>
      </c>
      <c r="P1252" s="5">
        <f t="shared" si="452"/>
        <v>6.8378202275037609E-5</v>
      </c>
      <c r="Q1252" s="5">
        <f t="shared" si="453"/>
        <v>8.7026293310569925E-3</v>
      </c>
      <c r="R1252" s="5">
        <f t="shared" si="454"/>
        <v>-8.4953244000777542E-3</v>
      </c>
      <c r="S1252" s="5">
        <f t="shared" si="455"/>
        <v>-7.4571561080820515E-3</v>
      </c>
      <c r="T1252" s="5">
        <f t="shared" si="456"/>
        <v>-2.6527323609109393E-2</v>
      </c>
      <c r="U1252" s="5">
        <f t="shared" si="457"/>
        <v>-1.8687187512328063E-2</v>
      </c>
      <c r="V1252" s="5">
        <f t="shared" si="458"/>
        <v>-2.0098865787465444E-2</v>
      </c>
      <c r="W1252" s="5">
        <f t="shared" si="459"/>
        <v>-1.0148182401071805E-2</v>
      </c>
      <c r="X1252" s="5">
        <f t="shared" si="460"/>
        <v>3.3540510174752299E-3</v>
      </c>
      <c r="Y1252" s="5">
        <f t="shared" si="461"/>
        <v>-1.8586393629421032E-2</v>
      </c>
      <c r="Z1252" s="33">
        <v>1248</v>
      </c>
      <c r="AE1252" s="20" t="str">
        <f t="shared" si="462"/>
        <v/>
      </c>
      <c r="AF1252" s="22" t="str">
        <f t="shared" si="463"/>
        <v/>
      </c>
      <c r="AG1252" s="9" t="str">
        <f t="shared" ca="1" si="442"/>
        <v/>
      </c>
      <c r="AH1252" s="9" t="str">
        <f t="shared" ca="1" si="443"/>
        <v/>
      </c>
      <c r="AI1252" s="9" t="str">
        <f t="shared" ca="1" si="444"/>
        <v/>
      </c>
      <c r="AJ1252" s="9" t="str">
        <f t="shared" ca="1" si="445"/>
        <v/>
      </c>
      <c r="AK1252" s="9" t="str">
        <f t="shared" ca="1" si="446"/>
        <v/>
      </c>
      <c r="AL1252" s="9" t="str">
        <f t="shared" ca="1" si="447"/>
        <v/>
      </c>
      <c r="AM1252" s="9" t="str">
        <f t="shared" ca="1" si="448"/>
        <v/>
      </c>
      <c r="AN1252" s="9" t="str">
        <f t="shared" ca="1" si="449"/>
        <v/>
      </c>
      <c r="AO1252" s="9" t="str">
        <f t="shared" ca="1" si="450"/>
        <v/>
      </c>
      <c r="AP1252" s="9" t="str">
        <f t="shared" ca="1" si="451"/>
        <v/>
      </c>
      <c r="AQ1252" s="9"/>
      <c r="AR1252" s="9"/>
      <c r="AS1252" s="9"/>
      <c r="AT1252" s="9"/>
      <c r="AU1252" s="9"/>
    </row>
    <row r="1253" spans="1:47" x14ac:dyDescent="0.3">
      <c r="A1253" s="1">
        <v>45278</v>
      </c>
      <c r="B1253" s="6">
        <v>599.13000499999998</v>
      </c>
      <c r="C1253" s="6">
        <v>559.69000200000005</v>
      </c>
      <c r="D1253" s="6">
        <v>55.299999</v>
      </c>
      <c r="E1253" s="6">
        <v>168.91000399999999</v>
      </c>
      <c r="F1253" s="6">
        <v>99.440002000000007</v>
      </c>
      <c r="G1253" s="6">
        <v>37.810001</v>
      </c>
      <c r="H1253" s="6">
        <v>151.800003</v>
      </c>
      <c r="I1253" s="6">
        <v>287.29998799999998</v>
      </c>
      <c r="J1253" s="6">
        <v>32.700001</v>
      </c>
      <c r="K1253" s="6">
        <v>11.97</v>
      </c>
      <c r="N1253" s="19">
        <v>1249</v>
      </c>
      <c r="O1253" s="1">
        <v>45278</v>
      </c>
      <c r="P1253" s="5">
        <f t="shared" si="452"/>
        <v>2.4413934245534945E-2</v>
      </c>
      <c r="Q1253" s="5">
        <f t="shared" si="453"/>
        <v>6.1292387527727239E-3</v>
      </c>
      <c r="R1253" s="5">
        <f t="shared" si="454"/>
        <v>3.8046789604810629E-3</v>
      </c>
      <c r="S1253" s="5">
        <f t="shared" si="455"/>
        <v>1.1372239956748577E-2</v>
      </c>
      <c r="T1253" s="5">
        <f t="shared" si="456"/>
        <v>4.9398255848546813E-3</v>
      </c>
      <c r="U1253" s="5">
        <f t="shared" si="457"/>
        <v>4.5063562011735643E-3</v>
      </c>
      <c r="V1253" s="5">
        <f t="shared" si="458"/>
        <v>-2.631540992303331E-3</v>
      </c>
      <c r="W1253" s="5">
        <f t="shared" si="459"/>
        <v>3.556574839743499E-3</v>
      </c>
      <c r="X1253" s="5">
        <f t="shared" si="460"/>
        <v>-4.576575563570006E-3</v>
      </c>
      <c r="Y1253" s="5">
        <f t="shared" si="461"/>
        <v>-2.3938410938183531E-2</v>
      </c>
      <c r="Z1253" s="33">
        <v>1249</v>
      </c>
      <c r="AE1253" s="20" t="str">
        <f t="shared" si="462"/>
        <v/>
      </c>
      <c r="AF1253" s="22" t="str">
        <f t="shared" si="463"/>
        <v/>
      </c>
      <c r="AG1253" s="9" t="str">
        <f t="shared" ca="1" si="442"/>
        <v/>
      </c>
      <c r="AH1253" s="9" t="str">
        <f t="shared" ca="1" si="443"/>
        <v/>
      </c>
      <c r="AI1253" s="9" t="str">
        <f t="shared" ca="1" si="444"/>
        <v/>
      </c>
      <c r="AJ1253" s="9" t="str">
        <f t="shared" ca="1" si="445"/>
        <v/>
      </c>
      <c r="AK1253" s="9" t="str">
        <f t="shared" ca="1" si="446"/>
        <v/>
      </c>
      <c r="AL1253" s="9" t="str">
        <f t="shared" ca="1" si="447"/>
        <v/>
      </c>
      <c r="AM1253" s="9" t="str">
        <f t="shared" ca="1" si="448"/>
        <v/>
      </c>
      <c r="AN1253" s="9" t="str">
        <f t="shared" ca="1" si="449"/>
        <v/>
      </c>
      <c r="AO1253" s="9" t="str">
        <f t="shared" ca="1" si="450"/>
        <v/>
      </c>
      <c r="AP1253" s="9" t="str">
        <f t="shared" ca="1" si="451"/>
        <v/>
      </c>
      <c r="AQ1253" s="9"/>
      <c r="AR1253" s="9"/>
      <c r="AS1253" s="9"/>
      <c r="AT1253" s="9"/>
      <c r="AU1253" s="9"/>
    </row>
    <row r="1254" spans="1:47" x14ac:dyDescent="0.3">
      <c r="A1254" s="1">
        <v>45279</v>
      </c>
      <c r="B1254" s="6">
        <v>604.64001499999995</v>
      </c>
      <c r="C1254" s="6">
        <v>558.65002400000003</v>
      </c>
      <c r="D1254" s="6">
        <v>55.580002</v>
      </c>
      <c r="E1254" s="6">
        <v>167.949997</v>
      </c>
      <c r="F1254" s="6">
        <v>98.470000999999996</v>
      </c>
      <c r="G1254" s="6">
        <v>37.619999</v>
      </c>
      <c r="H1254" s="6">
        <v>153.300003</v>
      </c>
      <c r="I1254" s="6">
        <v>288.54998799999998</v>
      </c>
      <c r="J1254" s="6">
        <v>32.979999999999997</v>
      </c>
      <c r="K1254" s="6">
        <v>12.36</v>
      </c>
      <c r="N1254" s="18">
        <v>1250</v>
      </c>
      <c r="O1254" s="1">
        <v>45279</v>
      </c>
      <c r="P1254" s="5">
        <f t="shared" si="452"/>
        <v>9.1546531150629214E-3</v>
      </c>
      <c r="Q1254" s="5">
        <f t="shared" si="453"/>
        <v>-1.8598606427428746E-3</v>
      </c>
      <c r="R1254" s="5">
        <f t="shared" si="454"/>
        <v>5.0505698534177622E-3</v>
      </c>
      <c r="S1254" s="5">
        <f t="shared" si="455"/>
        <v>-5.6997541776611345E-3</v>
      </c>
      <c r="T1254" s="5">
        <f t="shared" si="456"/>
        <v>-9.8025238999983385E-3</v>
      </c>
      <c r="U1254" s="5">
        <f t="shared" si="457"/>
        <v>-5.0378470595923387E-3</v>
      </c>
      <c r="V1254" s="5">
        <f t="shared" si="458"/>
        <v>9.8329207228647457E-3</v>
      </c>
      <c r="W1254" s="5">
        <f t="shared" si="459"/>
        <v>4.3414153526715677E-3</v>
      </c>
      <c r="X1254" s="5">
        <f t="shared" si="460"/>
        <v>8.5262086472057182E-3</v>
      </c>
      <c r="Y1254" s="5">
        <f t="shared" si="461"/>
        <v>3.2061932459662879E-2</v>
      </c>
      <c r="Z1254" s="33">
        <v>1250</v>
      </c>
      <c r="AE1254" s="20" t="str">
        <f t="shared" si="462"/>
        <v/>
      </c>
      <c r="AF1254" s="22" t="str">
        <f t="shared" si="463"/>
        <v/>
      </c>
      <c r="AG1254" s="9" t="str">
        <f t="shared" ca="1" si="442"/>
        <v/>
      </c>
      <c r="AH1254" s="9" t="str">
        <f t="shared" ca="1" si="443"/>
        <v/>
      </c>
      <c r="AI1254" s="9" t="str">
        <f t="shared" ca="1" si="444"/>
        <v/>
      </c>
      <c r="AJ1254" s="9" t="str">
        <f t="shared" ca="1" si="445"/>
        <v/>
      </c>
      <c r="AK1254" s="9" t="str">
        <f t="shared" ca="1" si="446"/>
        <v/>
      </c>
      <c r="AL1254" s="9" t="str">
        <f t="shared" ca="1" si="447"/>
        <v/>
      </c>
      <c r="AM1254" s="9" t="str">
        <f t="shared" ca="1" si="448"/>
        <v/>
      </c>
      <c r="AN1254" s="9" t="str">
        <f t="shared" ca="1" si="449"/>
        <v/>
      </c>
      <c r="AO1254" s="9" t="str">
        <f t="shared" ca="1" si="450"/>
        <v/>
      </c>
      <c r="AP1254" s="9" t="str">
        <f t="shared" ca="1" si="451"/>
        <v/>
      </c>
      <c r="AQ1254" s="9"/>
      <c r="AR1254" s="9"/>
      <c r="AS1254" s="9"/>
      <c r="AT1254" s="9"/>
      <c r="AU1254" s="9"/>
    </row>
    <row r="1255" spans="1:47" x14ac:dyDescent="0.3">
      <c r="A1255" s="1">
        <v>45280</v>
      </c>
      <c r="B1255" s="6">
        <v>596.05999799999995</v>
      </c>
      <c r="C1255" s="6">
        <v>551.71997099999999</v>
      </c>
      <c r="D1255" s="6">
        <v>54.360000999999997</v>
      </c>
      <c r="E1255" s="6">
        <v>165.69000199999999</v>
      </c>
      <c r="F1255" s="6">
        <v>96.790001000000004</v>
      </c>
      <c r="G1255" s="6">
        <v>37.040000999999997</v>
      </c>
      <c r="H1255" s="6">
        <v>150.979996</v>
      </c>
      <c r="I1255" s="6">
        <v>284.14001500000001</v>
      </c>
      <c r="J1255" s="6">
        <v>32.509998000000003</v>
      </c>
      <c r="K1255" s="6">
        <v>11.66</v>
      </c>
      <c r="N1255" s="19">
        <v>1251</v>
      </c>
      <c r="O1255" s="1">
        <v>45280</v>
      </c>
      <c r="P1255" s="5">
        <f t="shared" si="452"/>
        <v>-1.4291934625405598E-2</v>
      </c>
      <c r="Q1255" s="5">
        <f t="shared" si="453"/>
        <v>-1.2482583309631428E-2</v>
      </c>
      <c r="R1255" s="5">
        <f t="shared" si="454"/>
        <v>-2.2194852619701895E-2</v>
      </c>
      <c r="S1255" s="5">
        <f t="shared" si="455"/>
        <v>-1.3547713543902246E-2</v>
      </c>
      <c r="T1255" s="5">
        <f t="shared" si="456"/>
        <v>-1.7208249922444858E-2</v>
      </c>
      <c r="U1255" s="5">
        <f t="shared" si="457"/>
        <v>-1.5537360515460057E-2</v>
      </c>
      <c r="V1255" s="5">
        <f t="shared" si="458"/>
        <v>-1.5249454229336778E-2</v>
      </c>
      <c r="W1255" s="5">
        <f t="shared" si="459"/>
        <v>-1.5401212334920566E-2</v>
      </c>
      <c r="X1255" s="5">
        <f t="shared" si="460"/>
        <v>-1.4353644335172994E-2</v>
      </c>
      <c r="Y1255" s="5">
        <f t="shared" si="461"/>
        <v>-5.8301271107198328E-2</v>
      </c>
      <c r="Z1255" s="33">
        <v>1251</v>
      </c>
      <c r="AE1255" s="20" t="str">
        <f t="shared" si="462"/>
        <v/>
      </c>
      <c r="AF1255" s="22" t="str">
        <f t="shared" si="463"/>
        <v/>
      </c>
      <c r="AG1255" s="9" t="str">
        <f t="shared" ca="1" si="442"/>
        <v/>
      </c>
      <c r="AH1255" s="9" t="str">
        <f t="shared" ca="1" si="443"/>
        <v/>
      </c>
      <c r="AI1255" s="9" t="str">
        <f t="shared" ca="1" si="444"/>
        <v/>
      </c>
      <c r="AJ1255" s="9" t="str">
        <f t="shared" ca="1" si="445"/>
        <v/>
      </c>
      <c r="AK1255" s="9" t="str">
        <f t="shared" ca="1" si="446"/>
        <v/>
      </c>
      <c r="AL1255" s="9" t="str">
        <f t="shared" ca="1" si="447"/>
        <v/>
      </c>
      <c r="AM1255" s="9" t="str">
        <f t="shared" ca="1" si="448"/>
        <v/>
      </c>
      <c r="AN1255" s="9" t="str">
        <f t="shared" ca="1" si="449"/>
        <v/>
      </c>
      <c r="AO1255" s="9" t="str">
        <f t="shared" ca="1" si="450"/>
        <v/>
      </c>
      <c r="AP1255" s="9" t="str">
        <f t="shared" ca="1" si="451"/>
        <v/>
      </c>
      <c r="AQ1255" s="9"/>
      <c r="AR1255" s="9"/>
      <c r="AS1255" s="9"/>
      <c r="AT1255" s="9"/>
      <c r="AU1255" s="9"/>
    </row>
    <row r="1256" spans="1:47" x14ac:dyDescent="0.3">
      <c r="A1256" s="1">
        <v>45281</v>
      </c>
      <c r="B1256" s="6">
        <v>600.14001499999995</v>
      </c>
      <c r="C1256" s="6">
        <v>559.96002199999998</v>
      </c>
      <c r="D1256" s="6">
        <v>55.380001</v>
      </c>
      <c r="E1256" s="6">
        <v>166.970001</v>
      </c>
      <c r="F1256" s="6">
        <v>97.239998</v>
      </c>
      <c r="G1256" s="6">
        <v>37.279998999999997</v>
      </c>
      <c r="H1256" s="6">
        <v>152.479996</v>
      </c>
      <c r="I1256" s="6">
        <v>287.01998900000001</v>
      </c>
      <c r="J1256" s="6">
        <v>32.970001000000003</v>
      </c>
      <c r="K1256" s="6">
        <v>11.49</v>
      </c>
      <c r="N1256" s="18">
        <v>1252</v>
      </c>
      <c r="O1256" s="1">
        <v>45281</v>
      </c>
      <c r="P1256" s="5">
        <f t="shared" si="452"/>
        <v>6.8216565417357593E-3</v>
      </c>
      <c r="Q1256" s="5">
        <f t="shared" si="453"/>
        <v>1.4824773250720765E-2</v>
      </c>
      <c r="R1256" s="5">
        <f t="shared" si="454"/>
        <v>1.8589928121053791E-2</v>
      </c>
      <c r="S1256" s="5">
        <f t="shared" si="455"/>
        <v>7.6955768980252522E-3</v>
      </c>
      <c r="T1256" s="5">
        <f t="shared" si="456"/>
        <v>4.6384353876118122E-3</v>
      </c>
      <c r="U1256" s="5">
        <f t="shared" si="457"/>
        <v>6.4585262175372322E-3</v>
      </c>
      <c r="V1256" s="5">
        <f t="shared" si="458"/>
        <v>9.8860624550398974E-3</v>
      </c>
      <c r="W1256" s="5">
        <f t="shared" si="459"/>
        <v>1.0084734183122317E-2</v>
      </c>
      <c r="X1256" s="5">
        <f t="shared" si="460"/>
        <v>1.405041461796311E-2</v>
      </c>
      <c r="Y1256" s="5">
        <f t="shared" si="461"/>
        <v>-1.4687089061681983E-2</v>
      </c>
      <c r="Z1256" s="33">
        <v>1252</v>
      </c>
      <c r="AE1256" s="20" t="str">
        <f t="shared" si="462"/>
        <v/>
      </c>
      <c r="AF1256" s="22" t="str">
        <f t="shared" si="463"/>
        <v/>
      </c>
      <c r="AG1256" s="9" t="str">
        <f t="shared" ca="1" si="442"/>
        <v/>
      </c>
      <c r="AH1256" s="9" t="str">
        <f t="shared" ca="1" si="443"/>
        <v/>
      </c>
      <c r="AI1256" s="9" t="str">
        <f t="shared" ca="1" si="444"/>
        <v/>
      </c>
      <c r="AJ1256" s="9" t="str">
        <f t="shared" ca="1" si="445"/>
        <v/>
      </c>
      <c r="AK1256" s="9" t="str">
        <f t="shared" ca="1" si="446"/>
        <v/>
      </c>
      <c r="AL1256" s="9" t="str">
        <f t="shared" ca="1" si="447"/>
        <v/>
      </c>
      <c r="AM1256" s="9" t="str">
        <f t="shared" ca="1" si="448"/>
        <v/>
      </c>
      <c r="AN1256" s="9" t="str">
        <f t="shared" ca="1" si="449"/>
        <v/>
      </c>
      <c r="AO1256" s="9" t="str">
        <f t="shared" ca="1" si="450"/>
        <v/>
      </c>
      <c r="AP1256" s="9" t="str">
        <f t="shared" ca="1" si="451"/>
        <v/>
      </c>
      <c r="AQ1256" s="9"/>
      <c r="AR1256" s="9"/>
      <c r="AS1256" s="9"/>
      <c r="AT1256" s="9"/>
      <c r="AU1256" s="9"/>
    </row>
    <row r="1257" spans="1:47" x14ac:dyDescent="0.3">
      <c r="A1257" s="1">
        <v>45282</v>
      </c>
      <c r="B1257" s="6">
        <v>598.75</v>
      </c>
      <c r="C1257" s="6">
        <v>524.46002199999998</v>
      </c>
      <c r="D1257" s="6">
        <v>56.009998000000003</v>
      </c>
      <c r="E1257" s="6">
        <v>167.679993</v>
      </c>
      <c r="F1257" s="6">
        <v>97.790001000000004</v>
      </c>
      <c r="G1257" s="6">
        <v>37.650002000000001</v>
      </c>
      <c r="H1257" s="6">
        <v>152.94000199999999</v>
      </c>
      <c r="I1257" s="6">
        <v>288.14999399999999</v>
      </c>
      <c r="J1257" s="6">
        <v>32.860000999999997</v>
      </c>
      <c r="K1257" s="6">
        <v>11.27</v>
      </c>
      <c r="N1257" s="19">
        <v>1253</v>
      </c>
      <c r="O1257" s="1">
        <v>45282</v>
      </c>
      <c r="P1257" s="5">
        <f t="shared" si="452"/>
        <v>-2.3188376005338915E-3</v>
      </c>
      <c r="Q1257" s="5">
        <f t="shared" si="453"/>
        <v>-6.5496188126785232E-2</v>
      </c>
      <c r="R1257" s="5">
        <f t="shared" si="454"/>
        <v>1.1311674713955094E-2</v>
      </c>
      <c r="S1257" s="5">
        <f t="shared" si="455"/>
        <v>4.2431978365277652E-3</v>
      </c>
      <c r="T1257" s="5">
        <f t="shared" si="456"/>
        <v>5.6402036699235323E-3</v>
      </c>
      <c r="U1257" s="5">
        <f t="shared" si="457"/>
        <v>9.8760443733954349E-3</v>
      </c>
      <c r="V1257" s="5">
        <f t="shared" si="458"/>
        <v>3.0122870201594668E-3</v>
      </c>
      <c r="W1257" s="5">
        <f t="shared" si="459"/>
        <v>3.9292956422571019E-3</v>
      </c>
      <c r="X1257" s="5">
        <f t="shared" si="460"/>
        <v>-3.3419443729851305E-3</v>
      </c>
      <c r="Y1257" s="5">
        <f t="shared" si="461"/>
        <v>-1.9332763808979442E-2</v>
      </c>
      <c r="Z1257" s="33">
        <v>1253</v>
      </c>
      <c r="AE1257" s="20" t="str">
        <f t="shared" si="462"/>
        <v/>
      </c>
      <c r="AF1257" s="22" t="str">
        <f t="shared" si="463"/>
        <v/>
      </c>
      <c r="AG1257" s="9" t="str">
        <f t="shared" ca="1" si="442"/>
        <v/>
      </c>
      <c r="AH1257" s="9" t="str">
        <f t="shared" ca="1" si="443"/>
        <v/>
      </c>
      <c r="AI1257" s="9" t="str">
        <f t="shared" ca="1" si="444"/>
        <v/>
      </c>
      <c r="AJ1257" s="9" t="str">
        <f t="shared" ca="1" si="445"/>
        <v/>
      </c>
      <c r="AK1257" s="9" t="str">
        <f t="shared" ca="1" si="446"/>
        <v/>
      </c>
      <c r="AL1257" s="9" t="str">
        <f t="shared" ca="1" si="447"/>
        <v/>
      </c>
      <c r="AM1257" s="9" t="str">
        <f t="shared" ca="1" si="448"/>
        <v/>
      </c>
      <c r="AN1257" s="9" t="str">
        <f t="shared" ca="1" si="449"/>
        <v/>
      </c>
      <c r="AO1257" s="9" t="str">
        <f t="shared" ca="1" si="450"/>
        <v/>
      </c>
      <c r="AP1257" s="9" t="str">
        <f t="shared" ca="1" si="451"/>
        <v/>
      </c>
      <c r="AQ1257" s="9"/>
      <c r="AR1257" s="9"/>
      <c r="AS1257" s="9"/>
      <c r="AT1257" s="9"/>
      <c r="AU1257" s="9"/>
    </row>
    <row r="1258" spans="1:47" x14ac:dyDescent="0.3">
      <c r="A1258" s="1">
        <v>45286</v>
      </c>
      <c r="B1258" s="6">
        <v>598.26000999999997</v>
      </c>
      <c r="C1258" s="6">
        <v>520.25</v>
      </c>
      <c r="D1258" s="6">
        <v>56.790000999999997</v>
      </c>
      <c r="E1258" s="6">
        <v>168.86000100000001</v>
      </c>
      <c r="F1258" s="6">
        <v>98.459998999999996</v>
      </c>
      <c r="G1258" s="6">
        <v>37.970001000000003</v>
      </c>
      <c r="H1258" s="6">
        <v>154.63999899999999</v>
      </c>
      <c r="I1258" s="6">
        <v>289.91000400000001</v>
      </c>
      <c r="J1258" s="6">
        <v>33.110000999999997</v>
      </c>
      <c r="K1258" s="6">
        <v>11.5</v>
      </c>
      <c r="N1258" s="18">
        <v>1254</v>
      </c>
      <c r="O1258" s="1">
        <v>45286</v>
      </c>
      <c r="P1258" s="5">
        <f t="shared" si="452"/>
        <v>-8.1868994122802927E-4</v>
      </c>
      <c r="Q1258" s="5">
        <f t="shared" si="453"/>
        <v>-8.0597384946151877E-3</v>
      </c>
      <c r="R1258" s="5">
        <f t="shared" si="454"/>
        <v>1.3830060984243742E-2</v>
      </c>
      <c r="S1258" s="5">
        <f t="shared" si="455"/>
        <v>7.0126157769262315E-3</v>
      </c>
      <c r="T1258" s="5">
        <f t="shared" si="456"/>
        <v>6.828031623467421E-3</v>
      </c>
      <c r="U1258" s="5">
        <f t="shared" si="457"/>
        <v>8.4633932135409866E-3</v>
      </c>
      <c r="V1258" s="5">
        <f t="shared" si="458"/>
        <v>1.1054127740340544E-2</v>
      </c>
      <c r="W1258" s="5">
        <f t="shared" si="459"/>
        <v>6.0893867232102239E-3</v>
      </c>
      <c r="X1258" s="5">
        <f t="shared" si="460"/>
        <v>7.5792387202523667E-3</v>
      </c>
      <c r="Y1258" s="5">
        <f t="shared" si="461"/>
        <v>2.0202707317519469E-2</v>
      </c>
      <c r="Z1258" s="33">
        <v>1254</v>
      </c>
      <c r="AE1258" s="20" t="str">
        <f t="shared" si="462"/>
        <v/>
      </c>
      <c r="AF1258" s="22" t="str">
        <f t="shared" si="463"/>
        <v/>
      </c>
      <c r="AG1258" s="9" t="str">
        <f t="shared" ca="1" si="442"/>
        <v/>
      </c>
      <c r="AH1258" s="9" t="str">
        <f t="shared" ca="1" si="443"/>
        <v/>
      </c>
      <c r="AI1258" s="9" t="str">
        <f t="shared" ca="1" si="444"/>
        <v/>
      </c>
      <c r="AJ1258" s="9" t="str">
        <f t="shared" ca="1" si="445"/>
        <v/>
      </c>
      <c r="AK1258" s="9" t="str">
        <f t="shared" ca="1" si="446"/>
        <v/>
      </c>
      <c r="AL1258" s="9" t="str">
        <f t="shared" ca="1" si="447"/>
        <v/>
      </c>
      <c r="AM1258" s="9" t="str">
        <f t="shared" ca="1" si="448"/>
        <v/>
      </c>
      <c r="AN1258" s="9" t="str">
        <f t="shared" ca="1" si="449"/>
        <v/>
      </c>
      <c r="AO1258" s="9" t="str">
        <f t="shared" ca="1" si="450"/>
        <v/>
      </c>
      <c r="AP1258" s="9" t="str">
        <f t="shared" ca="1" si="451"/>
        <v/>
      </c>
      <c r="AQ1258" s="9"/>
      <c r="AR1258" s="9"/>
      <c r="AS1258" s="9"/>
      <c r="AT1258" s="9"/>
      <c r="AU1258" s="9"/>
    </row>
    <row r="1259" spans="1:47" x14ac:dyDescent="0.3">
      <c r="A1259" s="1">
        <v>45287</v>
      </c>
      <c r="B1259" s="6">
        <v>596.080017</v>
      </c>
      <c r="C1259" s="6">
        <v>518.09997599999997</v>
      </c>
      <c r="D1259" s="6">
        <v>57.34</v>
      </c>
      <c r="E1259" s="6">
        <v>169.39999399999999</v>
      </c>
      <c r="F1259" s="6">
        <v>98.879997000000003</v>
      </c>
      <c r="G1259" s="6">
        <v>38.330002</v>
      </c>
      <c r="H1259" s="6">
        <v>154.16000399999999</v>
      </c>
      <c r="I1259" s="6">
        <v>290.19000199999999</v>
      </c>
      <c r="J1259" s="6">
        <v>32.950001</v>
      </c>
      <c r="K1259" s="6">
        <v>11.49</v>
      </c>
      <c r="N1259" s="19">
        <v>1255</v>
      </c>
      <c r="O1259" s="1">
        <v>45287</v>
      </c>
      <c r="P1259" s="5">
        <f t="shared" si="452"/>
        <v>-3.6505440187634534E-3</v>
      </c>
      <c r="Q1259" s="5">
        <f t="shared" si="453"/>
        <v>-4.1412377761059216E-3</v>
      </c>
      <c r="R1259" s="5">
        <f t="shared" si="454"/>
        <v>9.6381889571489007E-3</v>
      </c>
      <c r="S1259" s="5">
        <f t="shared" si="455"/>
        <v>3.1927716354074845E-3</v>
      </c>
      <c r="T1259" s="5">
        <f t="shared" si="456"/>
        <v>4.2565991959286767E-3</v>
      </c>
      <c r="U1259" s="5">
        <f t="shared" si="457"/>
        <v>9.4365309906204488E-3</v>
      </c>
      <c r="V1259" s="5">
        <f t="shared" si="458"/>
        <v>-3.1087783802646791E-3</v>
      </c>
      <c r="W1259" s="5">
        <f t="shared" si="459"/>
        <v>9.6534397120441107E-4</v>
      </c>
      <c r="X1259" s="5">
        <f t="shared" si="460"/>
        <v>-4.8440904639807112E-3</v>
      </c>
      <c r="Y1259" s="5">
        <f t="shared" si="461"/>
        <v>-8.6994350853999633E-4</v>
      </c>
      <c r="Z1259" s="33">
        <v>1255</v>
      </c>
      <c r="AE1259" s="20" t="str">
        <f t="shared" si="462"/>
        <v/>
      </c>
      <c r="AF1259" s="22" t="str">
        <f t="shared" si="463"/>
        <v/>
      </c>
      <c r="AG1259" s="9" t="str">
        <f t="shared" ca="1" si="442"/>
        <v/>
      </c>
      <c r="AH1259" s="9" t="str">
        <f t="shared" ca="1" si="443"/>
        <v/>
      </c>
      <c r="AI1259" s="9" t="str">
        <f t="shared" ca="1" si="444"/>
        <v/>
      </c>
      <c r="AJ1259" s="9" t="str">
        <f t="shared" ca="1" si="445"/>
        <v/>
      </c>
      <c r="AK1259" s="9" t="str">
        <f t="shared" ca="1" si="446"/>
        <v/>
      </c>
      <c r="AL1259" s="9" t="str">
        <f t="shared" ca="1" si="447"/>
        <v/>
      </c>
      <c r="AM1259" s="9" t="str">
        <f t="shared" ca="1" si="448"/>
        <v/>
      </c>
      <c r="AN1259" s="9" t="str">
        <f t="shared" ca="1" si="449"/>
        <v/>
      </c>
      <c r="AO1259" s="9" t="str">
        <f t="shared" ca="1" si="450"/>
        <v/>
      </c>
      <c r="AP1259" s="9" t="str">
        <f t="shared" ca="1" si="451"/>
        <v/>
      </c>
      <c r="AQ1259" s="9"/>
      <c r="AR1259" s="9"/>
      <c r="AS1259" s="9"/>
      <c r="AT1259" s="9"/>
      <c r="AU1259" s="9"/>
    </row>
    <row r="1260" spans="1:47" x14ac:dyDescent="0.3">
      <c r="A1260" s="1">
        <v>45288</v>
      </c>
      <c r="B1260" s="6">
        <v>595.52002000000005</v>
      </c>
      <c r="C1260" s="6">
        <v>517.40997300000004</v>
      </c>
      <c r="D1260" s="6">
        <v>57.419998</v>
      </c>
      <c r="E1260" s="6">
        <v>169.38999899999999</v>
      </c>
      <c r="F1260" s="6">
        <v>100.43</v>
      </c>
      <c r="G1260" s="6">
        <v>38.770000000000003</v>
      </c>
      <c r="H1260" s="6">
        <v>154.16000399999999</v>
      </c>
      <c r="I1260" s="6">
        <v>289.94000199999999</v>
      </c>
      <c r="J1260" s="6">
        <v>32.939999</v>
      </c>
      <c r="K1260" s="6">
        <v>11.69</v>
      </c>
      <c r="N1260" s="18">
        <v>1256</v>
      </c>
      <c r="O1260" s="1">
        <v>45288</v>
      </c>
      <c r="P1260" s="5">
        <f t="shared" si="452"/>
        <v>-9.3990772715344057E-4</v>
      </c>
      <c r="Q1260" s="5">
        <f t="shared" si="453"/>
        <v>-1.3326827092085597E-3</v>
      </c>
      <c r="R1260" s="5">
        <f t="shared" si="454"/>
        <v>1.3941794066241373E-3</v>
      </c>
      <c r="S1260" s="5">
        <f t="shared" si="455"/>
        <v>-5.900410407278066E-5</v>
      </c>
      <c r="T1260" s="5">
        <f t="shared" si="456"/>
        <v>1.5554004035673395E-2</v>
      </c>
      <c r="U1260" s="5">
        <f t="shared" si="457"/>
        <v>1.1413820111925084E-2</v>
      </c>
      <c r="V1260" s="5">
        <f t="shared" si="458"/>
        <v>0</v>
      </c>
      <c r="W1260" s="5">
        <f t="shared" si="459"/>
        <v>-8.6187583387127998E-4</v>
      </c>
      <c r="X1260" s="5">
        <f t="shared" si="460"/>
        <v>-3.0359690626264782E-4</v>
      </c>
      <c r="Y1260" s="5">
        <f t="shared" si="461"/>
        <v>1.7256683623312744E-2</v>
      </c>
      <c r="Z1260" s="33">
        <v>1256</v>
      </c>
      <c r="AE1260" s="20" t="str">
        <f t="shared" si="462"/>
        <v/>
      </c>
      <c r="AF1260" s="22" t="str">
        <f t="shared" si="463"/>
        <v/>
      </c>
      <c r="AG1260" s="9" t="str">
        <f t="shared" ca="1" si="442"/>
        <v/>
      </c>
      <c r="AH1260" s="9" t="str">
        <f t="shared" ca="1" si="443"/>
        <v/>
      </c>
      <c r="AI1260" s="9" t="str">
        <f t="shared" ca="1" si="444"/>
        <v/>
      </c>
      <c r="AJ1260" s="9" t="str">
        <f t="shared" ca="1" si="445"/>
        <v/>
      </c>
      <c r="AK1260" s="9" t="str">
        <f t="shared" ca="1" si="446"/>
        <v/>
      </c>
      <c r="AL1260" s="9" t="str">
        <f t="shared" ca="1" si="447"/>
        <v/>
      </c>
      <c r="AM1260" s="9" t="str">
        <f t="shared" ca="1" si="448"/>
        <v/>
      </c>
      <c r="AN1260" s="9" t="str">
        <f t="shared" ca="1" si="449"/>
        <v/>
      </c>
      <c r="AO1260" s="9" t="str">
        <f t="shared" ca="1" si="450"/>
        <v/>
      </c>
      <c r="AP1260" s="9" t="str">
        <f t="shared" ca="1" si="451"/>
        <v/>
      </c>
      <c r="AQ1260" s="9"/>
      <c r="AR1260" s="9"/>
      <c r="AS1260" s="9"/>
      <c r="AT1260" s="9"/>
      <c r="AU1260" s="9"/>
    </row>
    <row r="1261" spans="1:47" x14ac:dyDescent="0.3">
      <c r="A1261" s="1">
        <v>45289</v>
      </c>
      <c r="B1261" s="6">
        <v>596.59997599999997</v>
      </c>
      <c r="C1261" s="6">
        <v>514.90997300000004</v>
      </c>
      <c r="D1261" s="6">
        <v>57.610000999999997</v>
      </c>
      <c r="E1261" s="6">
        <v>169.83999600000001</v>
      </c>
      <c r="F1261" s="6">
        <v>99.290001000000004</v>
      </c>
      <c r="G1261" s="6">
        <v>38.290000999999997</v>
      </c>
      <c r="H1261" s="6">
        <v>153.80999800000001</v>
      </c>
      <c r="I1261" s="6">
        <v>288.83999599999999</v>
      </c>
      <c r="J1261" s="6">
        <v>32.639999000000003</v>
      </c>
      <c r="K1261" s="6">
        <v>11.38</v>
      </c>
      <c r="N1261" s="19">
        <v>1257</v>
      </c>
      <c r="O1261" s="1">
        <v>45289</v>
      </c>
      <c r="P1261" s="5">
        <f t="shared" si="452"/>
        <v>1.811824814708846E-3</v>
      </c>
      <c r="Q1261" s="5">
        <f t="shared" si="453"/>
        <v>-4.8434691144289633E-3</v>
      </c>
      <c r="R1261" s="5">
        <f t="shared" si="454"/>
        <v>3.3035412405410668E-3</v>
      </c>
      <c r="S1261" s="5">
        <f t="shared" si="455"/>
        <v>2.6530511486682479E-3</v>
      </c>
      <c r="T1261" s="5">
        <f t="shared" si="456"/>
        <v>-1.1416096288237261E-2</v>
      </c>
      <c r="U1261" s="5">
        <f t="shared" si="457"/>
        <v>-1.2457960077155659E-2</v>
      </c>
      <c r="V1261" s="5">
        <f t="shared" si="458"/>
        <v>-2.2729885925153875E-3</v>
      </c>
      <c r="W1261" s="5">
        <f t="shared" si="459"/>
        <v>-3.8011241862469011E-3</v>
      </c>
      <c r="X1261" s="5">
        <f t="shared" si="460"/>
        <v>-9.1491949326157132E-3</v>
      </c>
      <c r="Y1261" s="5">
        <f t="shared" si="461"/>
        <v>-2.6876346785792069E-2</v>
      </c>
      <c r="Z1261" s="33">
        <v>1257</v>
      </c>
      <c r="AE1261" s="20" t="str">
        <f t="shared" si="462"/>
        <v/>
      </c>
      <c r="AF1261" s="22" t="str">
        <f t="shared" si="463"/>
        <v/>
      </c>
      <c r="AG1261" s="9" t="str">
        <f t="shared" ca="1" si="442"/>
        <v/>
      </c>
      <c r="AH1261" s="9" t="str">
        <f t="shared" ca="1" si="443"/>
        <v/>
      </c>
      <c r="AI1261" s="9" t="str">
        <f t="shared" ca="1" si="444"/>
        <v/>
      </c>
      <c r="AJ1261" s="9" t="str">
        <f t="shared" ca="1" si="445"/>
        <v/>
      </c>
      <c r="AK1261" s="9" t="str">
        <f t="shared" ca="1" si="446"/>
        <v/>
      </c>
      <c r="AL1261" s="9" t="str">
        <f t="shared" ca="1" si="447"/>
        <v/>
      </c>
      <c r="AM1261" s="9" t="str">
        <f t="shared" ca="1" si="448"/>
        <v/>
      </c>
      <c r="AN1261" s="9" t="str">
        <f t="shared" ca="1" si="449"/>
        <v/>
      </c>
      <c r="AO1261" s="9" t="str">
        <f t="shared" ca="1" si="450"/>
        <v/>
      </c>
      <c r="AP1261" s="9" t="str">
        <f t="shared" ca="1" si="451"/>
        <v/>
      </c>
      <c r="AQ1261" s="9"/>
      <c r="AR1261" s="9"/>
      <c r="AS1261" s="9"/>
      <c r="AT1261" s="9"/>
      <c r="AU1261" s="9"/>
    </row>
  </sheetData>
  <mergeCells count="22">
    <mergeCell ref="AR2:AR3"/>
    <mergeCell ref="AR5:AS5"/>
    <mergeCell ref="N1:Y1"/>
    <mergeCell ref="AE1:AP1"/>
    <mergeCell ref="AG2:AH2"/>
    <mergeCell ref="AI2:AJ2"/>
    <mergeCell ref="AK2:AL2"/>
    <mergeCell ref="AM2:AN2"/>
    <mergeCell ref="AO2:AP2"/>
    <mergeCell ref="AE2:AE3"/>
    <mergeCell ref="AF2:AF3"/>
    <mergeCell ref="P2:Q2"/>
    <mergeCell ref="R2:S2"/>
    <mergeCell ref="T2:U2"/>
    <mergeCell ref="V2:W2"/>
    <mergeCell ref="X2:Y2"/>
    <mergeCell ref="A1:K1"/>
    <mergeCell ref="B2:C2"/>
    <mergeCell ref="D2:E2"/>
    <mergeCell ref="F2:G2"/>
    <mergeCell ref="H2:I2"/>
    <mergeCell ref="J2:K2"/>
  </mergeCells>
  <conditionalFormatting sqref="AE5:AP1261">
    <cfRule type="notContainsBlanks" dxfId="2" priority="3">
      <formula>LEN(TRIM(AE5))&gt;0</formula>
    </cfRule>
  </conditionalFormatting>
  <conditionalFormatting sqref="AE4:AP1261">
    <cfRule type="containsErrors" dxfId="1" priority="2">
      <formula>ISERROR(AE4)</formula>
    </cfRule>
  </conditionalFormatting>
  <conditionalFormatting sqref="AS8:BB20 AS22:BB31 AS21:AZ21 BB21">
    <cfRule type="containsErrors" dxfId="0" priority="1">
      <formula>ISERROR(AS8)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15186-5524-4CBE-A5F2-E4B0448AC72F}">
  <sheetPr codeName="Munka1"/>
  <dimension ref="A1:W16"/>
  <sheetViews>
    <sheetView showGridLines="0" zoomScale="56" workbookViewId="0">
      <selection activeCell="B12" sqref="B12"/>
    </sheetView>
  </sheetViews>
  <sheetFormatPr defaultRowHeight="14.4" x14ac:dyDescent="0.3"/>
  <cols>
    <col min="8" max="8" width="8.44140625" customWidth="1"/>
    <col min="9" max="9" width="20.6640625" customWidth="1"/>
    <col min="10" max="10" width="14.44140625" customWidth="1"/>
    <col min="11" max="20" width="17.109375" customWidth="1"/>
    <col min="23" max="23" width="14.21875" customWidth="1"/>
  </cols>
  <sheetData>
    <row r="1" spans="1:23" x14ac:dyDescent="0.3">
      <c r="A1" s="33">
        <v>1256</v>
      </c>
      <c r="B1" s="33">
        <f>VLOOKUP(A1,Számolások!N4:O1261,2)</f>
        <v>45288</v>
      </c>
    </row>
    <row r="2" spans="1:23" ht="15" thickBot="1" x14ac:dyDescent="0.35">
      <c r="A2" s="33">
        <v>1256</v>
      </c>
      <c r="B2" s="33"/>
    </row>
    <row r="3" spans="1:23" ht="45.6" customHeight="1" thickBot="1" x14ac:dyDescent="0.35">
      <c r="J3" s="69" t="str">
        <f>"A 10 részvény napi loghozamainak korrelációs hőtérképe "&amp;TEXT(D6,"éééé.hh.nn")&amp;". és "&amp;TEXT(D8,"éééé.hh.nn")&amp;". Között"</f>
        <v>A 10 részvény napi loghozamainak korrelációs hőtérképe 2023.12.28. és 2023.12.29. Között</v>
      </c>
      <c r="K3" s="70"/>
      <c r="L3" s="70"/>
      <c r="M3" s="70"/>
      <c r="N3" s="70"/>
      <c r="O3" s="70"/>
      <c r="P3" s="70"/>
      <c r="Q3" s="70"/>
      <c r="R3" s="70"/>
      <c r="S3" s="70"/>
      <c r="T3" s="71"/>
    </row>
    <row r="4" spans="1:23" ht="45.6" customHeight="1" thickBot="1" x14ac:dyDescent="0.35">
      <c r="J4" s="52"/>
      <c r="K4" s="34"/>
      <c r="L4" s="34"/>
      <c r="M4" s="34"/>
      <c r="N4" s="34"/>
      <c r="O4" s="34"/>
      <c r="P4" s="34"/>
      <c r="Q4" s="34"/>
      <c r="R4" s="34"/>
      <c r="S4" s="34"/>
      <c r="T4" s="34"/>
    </row>
    <row r="5" spans="1:23" ht="45.6" customHeight="1" thickBot="1" x14ac:dyDescent="0.35">
      <c r="B5" s="80" t="s">
        <v>28</v>
      </c>
      <c r="C5" s="80"/>
      <c r="D5" s="79">
        <f>Számolások!AT5</f>
        <v>2</v>
      </c>
      <c r="E5" s="80"/>
      <c r="J5" s="26"/>
      <c r="K5" s="72" t="s">
        <v>13</v>
      </c>
      <c r="L5" s="73"/>
      <c r="M5" s="74" t="s">
        <v>14</v>
      </c>
      <c r="N5" s="73"/>
      <c r="O5" s="74" t="s">
        <v>15</v>
      </c>
      <c r="P5" s="73"/>
      <c r="Q5" s="74" t="s">
        <v>16</v>
      </c>
      <c r="R5" s="73"/>
      <c r="S5" s="74" t="s">
        <v>17</v>
      </c>
      <c r="T5" s="75"/>
      <c r="W5" s="43" t="s">
        <v>27</v>
      </c>
    </row>
    <row r="6" spans="1:23" ht="45.6" customHeight="1" thickBot="1" x14ac:dyDescent="0.35">
      <c r="B6" s="80" t="s">
        <v>30</v>
      </c>
      <c r="C6" s="80"/>
      <c r="D6" s="84">
        <f>B1</f>
        <v>45288</v>
      </c>
      <c r="E6" s="84"/>
      <c r="J6" s="27" t="s">
        <v>23</v>
      </c>
      <c r="K6" s="28" t="s">
        <v>0</v>
      </c>
      <c r="L6" s="29" t="s">
        <v>6</v>
      </c>
      <c r="M6" s="29" t="s">
        <v>3</v>
      </c>
      <c r="N6" s="29" t="s">
        <v>4</v>
      </c>
      <c r="O6" s="29" t="s">
        <v>1</v>
      </c>
      <c r="P6" s="29" t="s">
        <v>7</v>
      </c>
      <c r="Q6" s="29" t="s">
        <v>2</v>
      </c>
      <c r="R6" s="29" t="s">
        <v>5</v>
      </c>
      <c r="S6" s="29" t="s">
        <v>10</v>
      </c>
      <c r="T6" s="30" t="s">
        <v>8</v>
      </c>
      <c r="W6" s="41">
        <v>-1</v>
      </c>
    </row>
    <row r="7" spans="1:23" ht="45.6" customHeight="1" thickBot="1" x14ac:dyDescent="0.35">
      <c r="I7" s="76" t="s">
        <v>13</v>
      </c>
      <c r="J7" s="35" t="s">
        <v>0</v>
      </c>
      <c r="K7" s="44">
        <f ca="1">Számolások!AS22</f>
        <v>1</v>
      </c>
      <c r="L7" s="45">
        <f ca="1">Számolások!AT22</f>
        <v>-1.0000000000000002</v>
      </c>
      <c r="M7" s="45">
        <f ca="1">Számolások!AU22</f>
        <v>1.0000000000000004</v>
      </c>
      <c r="N7" s="45">
        <f ca="1">Számolások!AV22</f>
        <v>1</v>
      </c>
      <c r="O7" s="45">
        <f ca="1">Számolások!AW22</f>
        <v>-1</v>
      </c>
      <c r="P7" s="45">
        <f ca="1">Számolások!AX22</f>
        <v>-1</v>
      </c>
      <c r="Q7" s="45">
        <f ca="1">Számolások!AY22</f>
        <v>-1</v>
      </c>
      <c r="R7" s="45">
        <f ca="1">Számolások!AZ22</f>
        <v>-1</v>
      </c>
      <c r="S7" s="45">
        <f ca="1">Számolások!BA22</f>
        <v>-1.0000000000000002</v>
      </c>
      <c r="T7" s="46">
        <f ca="1">Számolások!BB22</f>
        <v>-1</v>
      </c>
      <c r="U7" s="33">
        <v>0</v>
      </c>
      <c r="W7" s="42">
        <v>-0.8</v>
      </c>
    </row>
    <row r="8" spans="1:23" ht="45.6" customHeight="1" thickBot="1" x14ac:dyDescent="0.35">
      <c r="B8" s="80" t="s">
        <v>29</v>
      </c>
      <c r="C8" s="80"/>
      <c r="D8" s="84">
        <f>Számolások!AB5</f>
        <v>45289</v>
      </c>
      <c r="E8" s="84"/>
      <c r="I8" s="77"/>
      <c r="J8" s="36" t="s">
        <v>6</v>
      </c>
      <c r="K8" s="47">
        <f ca="1">Számolások!AS23</f>
        <v>-1.0000000000000002</v>
      </c>
      <c r="L8" s="31">
        <f ca="1">Számolások!AT23</f>
        <v>1</v>
      </c>
      <c r="M8" s="31">
        <f ca="1">Számolások!AU23</f>
        <v>-1.0000000000000002</v>
      </c>
      <c r="N8" s="31">
        <f ca="1">Számolások!AV23</f>
        <v>-1.0000000000000002</v>
      </c>
      <c r="O8" s="31">
        <f ca="1">Számolások!AW23</f>
        <v>1.0000000000000002</v>
      </c>
      <c r="P8" s="31">
        <f ca="1">Számolások!AX23</f>
        <v>1.0000000000000002</v>
      </c>
      <c r="Q8" s="31">
        <f ca="1">Számolások!AY23</f>
        <v>1</v>
      </c>
      <c r="R8" s="31">
        <f ca="1">Számolások!AZ23</f>
        <v>0.99999999999999989</v>
      </c>
      <c r="S8" s="31">
        <f ca="1">Számolások!BA23</f>
        <v>1.0000000000000004</v>
      </c>
      <c r="T8" s="48">
        <f ca="1">Számolások!BB23</f>
        <v>1</v>
      </c>
      <c r="U8" s="33">
        <v>1</v>
      </c>
      <c r="W8" s="42">
        <v>-0.6</v>
      </c>
    </row>
    <row r="9" spans="1:23" ht="45.6" customHeight="1" thickBot="1" x14ac:dyDescent="0.35">
      <c r="I9" s="77" t="s">
        <v>14</v>
      </c>
      <c r="J9" s="36" t="s">
        <v>3</v>
      </c>
      <c r="K9" s="47">
        <f ca="1">Számolások!AS24</f>
        <v>1.0000000000000004</v>
      </c>
      <c r="L9" s="31">
        <f ca="1">Számolások!AT24</f>
        <v>-1.0000000000000002</v>
      </c>
      <c r="M9" s="31">
        <f ca="1">Számolások!AU24</f>
        <v>1</v>
      </c>
      <c r="N9" s="31">
        <f ca="1">Számolások!AV24</f>
        <v>1.0000000000000007</v>
      </c>
      <c r="O9" s="31">
        <f ca="1">Számolások!AW24</f>
        <v>-1.0000000000000004</v>
      </c>
      <c r="P9" s="31">
        <f ca="1">Számolások!AX24</f>
        <v>-1.0000000000000002</v>
      </c>
      <c r="Q9" s="31">
        <f ca="1">Számolások!AY24</f>
        <v>-1.0000000000000004</v>
      </c>
      <c r="R9" s="31">
        <f ca="1">Számolások!AZ24</f>
        <v>-1.0000000000000004</v>
      </c>
      <c r="S9" s="31">
        <f ca="1">Számolások!BA24</f>
        <v>-1.0000000000000004</v>
      </c>
      <c r="T9" s="48">
        <f ca="1">Számolások!BB24</f>
        <v>-1.0000000000000002</v>
      </c>
      <c r="U9" s="33">
        <v>2</v>
      </c>
      <c r="W9" s="42">
        <v>-0.4</v>
      </c>
    </row>
    <row r="10" spans="1:23" ht="45.6" customHeight="1" thickBot="1" x14ac:dyDescent="0.35">
      <c r="B10" s="81" t="s">
        <v>31</v>
      </c>
      <c r="C10" s="82"/>
      <c r="D10" s="82"/>
      <c r="E10" s="82"/>
      <c r="F10" s="82"/>
      <c r="G10" s="83"/>
      <c r="I10" s="77"/>
      <c r="J10" s="36" t="s">
        <v>4</v>
      </c>
      <c r="K10" s="47">
        <f ca="1">Számolások!AS25</f>
        <v>1</v>
      </c>
      <c r="L10" s="31">
        <f ca="1">Számolások!AT25</f>
        <v>-1.0000000000000002</v>
      </c>
      <c r="M10" s="31">
        <f ca="1">Számolások!AU25</f>
        <v>1.0000000000000007</v>
      </c>
      <c r="N10" s="31">
        <f ca="1">Számolások!AV25</f>
        <v>1</v>
      </c>
      <c r="O10" s="31">
        <f ca="1">Számolások!AW25</f>
        <v>-0.99999999999999978</v>
      </c>
      <c r="P10" s="31">
        <f ca="1">Számolások!AX25</f>
        <v>-1</v>
      </c>
      <c r="Q10" s="31">
        <f ca="1">Számolások!AY25</f>
        <v>-1</v>
      </c>
      <c r="R10" s="31">
        <f ca="1">Számolások!AZ25</f>
        <v>-0.99999999999999978</v>
      </c>
      <c r="S10" s="31">
        <f ca="1">Számolások!BA25</f>
        <v>-1.0000000000000002</v>
      </c>
      <c r="T10" s="48">
        <f ca="1">Számolások!BB25</f>
        <v>-0.99999999999999978</v>
      </c>
      <c r="U10" s="33">
        <v>3</v>
      </c>
      <c r="W10" s="42">
        <v>-0.2</v>
      </c>
    </row>
    <row r="11" spans="1:23" ht="45.6" customHeight="1" x14ac:dyDescent="0.3">
      <c r="B11" s="38"/>
      <c r="C11" s="39"/>
      <c r="D11" s="39"/>
      <c r="E11" s="39"/>
      <c r="F11" s="39"/>
      <c r="G11" s="40"/>
      <c r="I11" s="77" t="s">
        <v>15</v>
      </c>
      <c r="J11" s="36" t="s">
        <v>1</v>
      </c>
      <c r="K11" s="47">
        <f ca="1">Számolások!AS26</f>
        <v>-1</v>
      </c>
      <c r="L11" s="31">
        <f ca="1">Számolások!AT26</f>
        <v>1.0000000000000002</v>
      </c>
      <c r="M11" s="31">
        <f ca="1">Számolások!AU26</f>
        <v>-1.0000000000000004</v>
      </c>
      <c r="N11" s="31">
        <f ca="1">Számolások!AV26</f>
        <v>-0.99999999999999978</v>
      </c>
      <c r="O11" s="31">
        <f ca="1">Számolások!AW26</f>
        <v>1</v>
      </c>
      <c r="P11" s="31">
        <f ca="1">Számolások!AX26</f>
        <v>1</v>
      </c>
      <c r="Q11" s="31">
        <f ca="1">Számolások!AY26</f>
        <v>1</v>
      </c>
      <c r="R11" s="31">
        <f ca="1">Számolások!AZ26</f>
        <v>1</v>
      </c>
      <c r="S11" s="31">
        <f ca="1">Számolások!BA26</f>
        <v>1.0000000000000002</v>
      </c>
      <c r="T11" s="48">
        <f ca="1">Számolások!BB26</f>
        <v>1</v>
      </c>
      <c r="U11" s="33">
        <v>4</v>
      </c>
      <c r="W11" s="42">
        <v>0</v>
      </c>
    </row>
    <row r="12" spans="1:23" ht="45.6" customHeight="1" x14ac:dyDescent="0.3">
      <c r="I12" s="77"/>
      <c r="J12" s="36" t="s">
        <v>7</v>
      </c>
      <c r="K12" s="47">
        <f ca="1">Számolások!AS27</f>
        <v>-1</v>
      </c>
      <c r="L12" s="31">
        <f ca="1">Számolások!AT27</f>
        <v>1.0000000000000002</v>
      </c>
      <c r="M12" s="31">
        <f ca="1">Számolások!AU27</f>
        <v>-1.0000000000000002</v>
      </c>
      <c r="N12" s="31">
        <f ca="1">Számolások!AV27</f>
        <v>-1</v>
      </c>
      <c r="O12" s="31">
        <f ca="1">Számolások!AW27</f>
        <v>1</v>
      </c>
      <c r="P12" s="31">
        <f ca="1">Számolások!AX27</f>
        <v>1</v>
      </c>
      <c r="Q12" s="31">
        <f ca="1">Számolások!AY27</f>
        <v>1.0000000000000002</v>
      </c>
      <c r="R12" s="31">
        <f ca="1">Számolások!AZ27</f>
        <v>1</v>
      </c>
      <c r="S12" s="31">
        <f ca="1">Számolások!BA27</f>
        <v>1.0000000000000002</v>
      </c>
      <c r="T12" s="48">
        <f ca="1">Számolások!BB27</f>
        <v>1</v>
      </c>
      <c r="U12" s="33">
        <v>5</v>
      </c>
      <c r="W12" s="42">
        <v>0.2</v>
      </c>
    </row>
    <row r="13" spans="1:23" ht="45.6" customHeight="1" thickBot="1" x14ac:dyDescent="0.35">
      <c r="I13" s="77" t="s">
        <v>16</v>
      </c>
      <c r="J13" s="36" t="s">
        <v>2</v>
      </c>
      <c r="K13" s="47">
        <f ca="1">Számolások!AS28</f>
        <v>-1</v>
      </c>
      <c r="L13" s="31">
        <f ca="1">Számolások!AT28</f>
        <v>1</v>
      </c>
      <c r="M13" s="31">
        <f ca="1">Számolások!AU28</f>
        <v>-1.0000000000000004</v>
      </c>
      <c r="N13" s="31">
        <f ca="1">Számolások!AV28</f>
        <v>-1</v>
      </c>
      <c r="O13" s="31">
        <f ca="1">Számolások!AW28</f>
        <v>1</v>
      </c>
      <c r="P13" s="31">
        <f ca="1">Számolások!AX28</f>
        <v>1.0000000000000002</v>
      </c>
      <c r="Q13" s="31">
        <f ca="1">Számolások!AY28</f>
        <v>1</v>
      </c>
      <c r="R13" s="31">
        <f ca="1">Számolások!AZ28</f>
        <v>1</v>
      </c>
      <c r="S13" s="31">
        <f ca="1">Számolások!BA28</f>
        <v>1</v>
      </c>
      <c r="T13" s="48">
        <f ca="1">Számolások!BB28</f>
        <v>1</v>
      </c>
      <c r="U13" s="33">
        <v>6</v>
      </c>
      <c r="W13" s="42">
        <v>0.4</v>
      </c>
    </row>
    <row r="14" spans="1:23" ht="45.6" customHeight="1" thickBot="1" x14ac:dyDescent="0.35">
      <c r="B14" s="81" t="s">
        <v>26</v>
      </c>
      <c r="C14" s="82"/>
      <c r="D14" s="82"/>
      <c r="E14" s="82"/>
      <c r="F14" s="82"/>
      <c r="G14" s="83"/>
      <c r="I14" s="77"/>
      <c r="J14" s="36" t="s">
        <v>5</v>
      </c>
      <c r="K14" s="47">
        <f ca="1">Számolások!AS29</f>
        <v>-1</v>
      </c>
      <c r="L14" s="31">
        <f ca="1">Számolások!AT29</f>
        <v>0.99999999999999989</v>
      </c>
      <c r="M14" s="31">
        <f ca="1">Számolások!AU29</f>
        <v>-1.0000000000000004</v>
      </c>
      <c r="N14" s="31">
        <f ca="1">Számolások!AV29</f>
        <v>-0.99999999999999978</v>
      </c>
      <c r="O14" s="31">
        <f ca="1">Számolások!AW29</f>
        <v>1</v>
      </c>
      <c r="P14" s="31">
        <f ca="1">Számolások!AX29</f>
        <v>1</v>
      </c>
      <c r="Q14" s="31">
        <f ca="1">Számolások!AY29</f>
        <v>1</v>
      </c>
      <c r="R14" s="31">
        <f ca="1">Számolások!AZ29</f>
        <v>1</v>
      </c>
      <c r="S14" s="31">
        <f ca="1">Számolások!BA29</f>
        <v>1</v>
      </c>
      <c r="T14" s="48">
        <f ca="1">Számolások!BB29</f>
        <v>0.99999999999999978</v>
      </c>
      <c r="U14" s="33">
        <v>7</v>
      </c>
      <c r="W14" s="42">
        <v>0.6</v>
      </c>
    </row>
    <row r="15" spans="1:23" ht="45.6" customHeight="1" x14ac:dyDescent="0.3">
      <c r="B15" s="38"/>
      <c r="C15" s="39"/>
      <c r="D15" s="39"/>
      <c r="E15" s="39"/>
      <c r="F15" s="39"/>
      <c r="G15" s="40"/>
      <c r="I15" s="77" t="s">
        <v>17</v>
      </c>
      <c r="J15" s="36" t="s">
        <v>10</v>
      </c>
      <c r="K15" s="47">
        <f ca="1">Számolások!AS30</f>
        <v>-1.0000000000000002</v>
      </c>
      <c r="L15" s="31">
        <f ca="1">Számolások!AT30</f>
        <v>1.0000000000000004</v>
      </c>
      <c r="M15" s="31">
        <f ca="1">Számolások!AU30</f>
        <v>-1.0000000000000004</v>
      </c>
      <c r="N15" s="31">
        <f ca="1">Számolások!AV30</f>
        <v>-1.0000000000000002</v>
      </c>
      <c r="O15" s="31">
        <f ca="1">Számolások!AW30</f>
        <v>1.0000000000000002</v>
      </c>
      <c r="P15" s="31">
        <f ca="1">Számolások!AX30</f>
        <v>1.0000000000000002</v>
      </c>
      <c r="Q15" s="31">
        <f ca="1">Számolások!AY30</f>
        <v>1</v>
      </c>
      <c r="R15" s="31">
        <f ca="1">Számolások!AZ30</f>
        <v>1</v>
      </c>
      <c r="S15" s="31">
        <f ca="1">Számolások!BA30</f>
        <v>1</v>
      </c>
      <c r="T15" s="48">
        <f ca="1">Számolások!BB30</f>
        <v>1.0000000000000002</v>
      </c>
      <c r="U15" s="33">
        <v>8</v>
      </c>
      <c r="W15" s="42">
        <v>0.8</v>
      </c>
    </row>
    <row r="16" spans="1:23" ht="45.6" customHeight="1" thickBot="1" x14ac:dyDescent="0.35">
      <c r="I16" s="78"/>
      <c r="J16" s="37" t="s">
        <v>8</v>
      </c>
      <c r="K16" s="49">
        <f ca="1">Számolások!AS31</f>
        <v>-1</v>
      </c>
      <c r="L16" s="50">
        <f ca="1">Számolások!AT31</f>
        <v>1</v>
      </c>
      <c r="M16" s="50">
        <f ca="1">Számolások!AU31</f>
        <v>-1.0000000000000002</v>
      </c>
      <c r="N16" s="50">
        <f ca="1">Számolások!AV31</f>
        <v>-0.99999999999999978</v>
      </c>
      <c r="O16" s="50">
        <f ca="1">Számolások!AW31</f>
        <v>1</v>
      </c>
      <c r="P16" s="50">
        <f ca="1">Számolások!AX31</f>
        <v>1</v>
      </c>
      <c r="Q16" s="50">
        <f ca="1">Számolások!AY31</f>
        <v>1</v>
      </c>
      <c r="R16" s="50">
        <f ca="1">Számolások!AZ31</f>
        <v>0.99999999999999978</v>
      </c>
      <c r="S16" s="50">
        <f ca="1">Számolások!BA31</f>
        <v>1.0000000000000002</v>
      </c>
      <c r="T16" s="51">
        <f ca="1">Számolások!BB31</f>
        <v>1</v>
      </c>
      <c r="U16" s="33">
        <v>9</v>
      </c>
      <c r="W16" s="42">
        <v>1</v>
      </c>
    </row>
  </sheetData>
  <mergeCells count="19">
    <mergeCell ref="D5:E5"/>
    <mergeCell ref="B14:G14"/>
    <mergeCell ref="B10:G10"/>
    <mergeCell ref="B5:C5"/>
    <mergeCell ref="B6:C6"/>
    <mergeCell ref="B8:C8"/>
    <mergeCell ref="D6:E6"/>
    <mergeCell ref="D8:E8"/>
    <mergeCell ref="I7:I8"/>
    <mergeCell ref="I9:I10"/>
    <mergeCell ref="I11:I12"/>
    <mergeCell ref="I13:I14"/>
    <mergeCell ref="I15:I16"/>
    <mergeCell ref="J3:T3"/>
    <mergeCell ref="K5:L5"/>
    <mergeCell ref="M5:N5"/>
    <mergeCell ref="O5:P5"/>
    <mergeCell ref="Q5:R5"/>
    <mergeCell ref="S5:T5"/>
  </mergeCells>
  <conditionalFormatting sqref="K7:T16">
    <cfRule type="colorScale" priority="2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conditionalFormatting sqref="W6:W16">
    <cfRule type="colorScale" priority="1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3" r:id="rId4" name="ScrollBar2">
          <controlPr defaultSize="0" autoLine="0" r:id="rId5">
            <anchor moveWithCells="1">
              <from>
                <xdr:col>1</xdr:col>
                <xdr:colOff>30480</xdr:colOff>
                <xdr:row>14</xdr:row>
                <xdr:rowOff>30480</xdr:rowOff>
              </from>
              <to>
                <xdr:col>6</xdr:col>
                <xdr:colOff>601980</xdr:colOff>
                <xdr:row>14</xdr:row>
                <xdr:rowOff>571500</xdr:rowOff>
              </to>
            </anchor>
          </controlPr>
        </control>
      </mc:Choice>
      <mc:Fallback>
        <control shapeId="2063" r:id="rId4" name="ScrollBar2"/>
      </mc:Fallback>
    </mc:AlternateContent>
    <mc:AlternateContent xmlns:mc="http://schemas.openxmlformats.org/markup-compatibility/2006">
      <mc:Choice Requires="x14">
        <control shapeId="2062" r:id="rId6" name="ScrollBar1">
          <controlPr defaultSize="0" autoLine="0" r:id="rId7">
            <anchor moveWithCells="1">
              <from>
                <xdr:col>1</xdr:col>
                <xdr:colOff>30480</xdr:colOff>
                <xdr:row>10</xdr:row>
                <xdr:rowOff>30480</xdr:rowOff>
              </from>
              <to>
                <xdr:col>7</xdr:col>
                <xdr:colOff>0</xdr:colOff>
                <xdr:row>10</xdr:row>
                <xdr:rowOff>571500</xdr:rowOff>
              </to>
            </anchor>
          </controlPr>
        </control>
      </mc:Choice>
      <mc:Fallback>
        <control shapeId="2062" r:id="rId6" name="ScrollBar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2</vt:i4>
      </vt:variant>
    </vt:vector>
  </HeadingPairs>
  <TitlesOfParts>
    <vt:vector size="2" baseType="lpstr">
      <vt:lpstr>Számolások</vt:lpstr>
      <vt:lpstr>Ábrázolás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Szabolcs Szirák</dc:creator>
  <cp:lastModifiedBy>Szabolcs Szirák</cp:lastModifiedBy>
  <dcterms:created xsi:type="dcterms:W3CDTF">2024-03-12T15:24:13Z</dcterms:created>
  <dcterms:modified xsi:type="dcterms:W3CDTF">2025-01-04T14:51:01Z</dcterms:modified>
</cp:coreProperties>
</file>