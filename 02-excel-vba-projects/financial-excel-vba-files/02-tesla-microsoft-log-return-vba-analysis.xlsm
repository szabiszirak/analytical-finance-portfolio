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Lenovo\Desktop\Egyetem\2.félév\Numpü\házi feladatok\"/>
    </mc:Choice>
  </mc:AlternateContent>
  <xr:revisionPtr revIDLastSave="0" documentId="13_ncr:1_{9FCC072A-5A85-423F-B6D5-909ADF13FF60}" xr6:coauthVersionLast="47" xr6:coauthVersionMax="47" xr10:uidLastSave="{00000000-0000-0000-0000-000000000000}"/>
  <bookViews>
    <workbookView xWindow="-108" yWindow="-108" windowWidth="23256" windowHeight="12456" xr2:uid="{6B203585-6C43-4438-8ADA-D13C868C2E27}"/>
  </bookViews>
  <sheets>
    <sheet name="TSLA, MSFT" sheetId="1" r:id="rId1"/>
  </sheets>
  <functionGroups builtInGroupCount="19"/>
  <definedNames>
    <definedName name="Igazhamis">'TSLA, MSFT'!$I$1:$P$1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" i="1" l="1"/>
  <c r="H6" i="1"/>
  <c r="G7" i="1"/>
  <c r="H7" i="1"/>
  <c r="G8" i="1"/>
  <c r="H8" i="1"/>
  <c r="G9" i="1"/>
  <c r="H9" i="1"/>
  <c r="G10" i="1"/>
  <c r="H10" i="1"/>
  <c r="G11" i="1"/>
  <c r="H11" i="1"/>
  <c r="G12" i="1"/>
  <c r="H12" i="1"/>
  <c r="G13" i="1"/>
  <c r="H13" i="1"/>
  <c r="G14" i="1"/>
  <c r="H14" i="1"/>
  <c r="G15" i="1"/>
  <c r="H15" i="1"/>
  <c r="G16" i="1"/>
  <c r="H16" i="1"/>
  <c r="G17" i="1"/>
  <c r="H17" i="1"/>
  <c r="G18" i="1"/>
  <c r="H18" i="1"/>
  <c r="G19" i="1"/>
  <c r="H19" i="1"/>
  <c r="G20" i="1"/>
  <c r="H20" i="1"/>
  <c r="G21" i="1"/>
  <c r="H21" i="1"/>
  <c r="G22" i="1"/>
  <c r="H22" i="1"/>
  <c r="G23" i="1"/>
  <c r="H23" i="1"/>
  <c r="G24" i="1"/>
  <c r="H24" i="1"/>
  <c r="G25" i="1"/>
  <c r="H25" i="1"/>
  <c r="G26" i="1"/>
  <c r="H26" i="1"/>
  <c r="G27" i="1"/>
  <c r="H27" i="1"/>
  <c r="G28" i="1"/>
  <c r="H28" i="1"/>
  <c r="G29" i="1"/>
  <c r="H29" i="1"/>
  <c r="G30" i="1"/>
  <c r="H30" i="1"/>
  <c r="G31" i="1"/>
  <c r="H31" i="1"/>
  <c r="G32" i="1"/>
  <c r="H32" i="1"/>
  <c r="G33" i="1"/>
  <c r="H33" i="1"/>
  <c r="G34" i="1"/>
  <c r="H34" i="1"/>
  <c r="G35" i="1"/>
  <c r="H35" i="1"/>
  <c r="G36" i="1"/>
  <c r="H36" i="1"/>
  <c r="G37" i="1"/>
  <c r="H37" i="1"/>
  <c r="G38" i="1"/>
  <c r="H38" i="1"/>
  <c r="G39" i="1"/>
  <c r="H39" i="1"/>
  <c r="G40" i="1"/>
  <c r="H40" i="1"/>
  <c r="G41" i="1"/>
  <c r="H41" i="1"/>
  <c r="G42" i="1"/>
  <c r="H42" i="1"/>
  <c r="G43" i="1"/>
  <c r="H43" i="1"/>
  <c r="G44" i="1"/>
  <c r="H44" i="1"/>
  <c r="G45" i="1"/>
  <c r="H45" i="1"/>
  <c r="G46" i="1"/>
  <c r="H46" i="1"/>
  <c r="G47" i="1"/>
  <c r="H47" i="1"/>
  <c r="G48" i="1"/>
  <c r="H48" i="1"/>
  <c r="G49" i="1"/>
  <c r="H49" i="1"/>
  <c r="G50" i="1"/>
  <c r="H50" i="1"/>
  <c r="G51" i="1"/>
  <c r="H51" i="1"/>
  <c r="G52" i="1"/>
  <c r="H52" i="1"/>
  <c r="G53" i="1"/>
  <c r="H53" i="1"/>
  <c r="G54" i="1"/>
  <c r="H54" i="1"/>
  <c r="G55" i="1"/>
  <c r="H55" i="1"/>
  <c r="G56" i="1"/>
  <c r="H56" i="1"/>
  <c r="G57" i="1"/>
  <c r="H57" i="1"/>
  <c r="G58" i="1"/>
  <c r="H58" i="1"/>
  <c r="G59" i="1"/>
  <c r="H59" i="1"/>
  <c r="G60" i="1"/>
  <c r="H60" i="1"/>
  <c r="G61" i="1"/>
  <c r="H61" i="1"/>
  <c r="G62" i="1"/>
  <c r="H62" i="1"/>
  <c r="G63" i="1"/>
  <c r="H63" i="1"/>
  <c r="G64" i="1"/>
  <c r="H64" i="1"/>
  <c r="G65" i="1"/>
  <c r="H65" i="1"/>
  <c r="G66" i="1"/>
  <c r="H66" i="1"/>
  <c r="G67" i="1"/>
  <c r="H67" i="1"/>
  <c r="G68" i="1"/>
  <c r="H68" i="1"/>
  <c r="G69" i="1"/>
  <c r="H69" i="1"/>
  <c r="G70" i="1"/>
  <c r="H70" i="1"/>
  <c r="G71" i="1"/>
  <c r="H71" i="1"/>
  <c r="G72" i="1"/>
  <c r="H72" i="1"/>
  <c r="G73" i="1"/>
  <c r="H73" i="1"/>
  <c r="G74" i="1"/>
  <c r="H74" i="1"/>
  <c r="G75" i="1"/>
  <c r="H75" i="1"/>
  <c r="G76" i="1"/>
  <c r="H76" i="1"/>
  <c r="G77" i="1"/>
  <c r="H77" i="1"/>
  <c r="G78" i="1"/>
  <c r="H78" i="1"/>
  <c r="G79" i="1"/>
  <c r="H79" i="1"/>
  <c r="G80" i="1"/>
  <c r="H80" i="1"/>
  <c r="G81" i="1"/>
  <c r="H81" i="1"/>
  <c r="G82" i="1"/>
  <c r="H82" i="1"/>
  <c r="G83" i="1"/>
  <c r="H83" i="1"/>
  <c r="G84" i="1"/>
  <c r="H84" i="1"/>
  <c r="G85" i="1"/>
  <c r="H85" i="1"/>
  <c r="G86" i="1"/>
  <c r="H86" i="1"/>
  <c r="G87" i="1"/>
  <c r="H87" i="1"/>
  <c r="G88" i="1"/>
  <c r="H88" i="1"/>
  <c r="G89" i="1"/>
  <c r="H89" i="1"/>
  <c r="G90" i="1"/>
  <c r="H90" i="1"/>
  <c r="G91" i="1"/>
  <c r="H91" i="1"/>
  <c r="G92" i="1"/>
  <c r="H92" i="1"/>
  <c r="G93" i="1"/>
  <c r="H93" i="1"/>
  <c r="G94" i="1"/>
  <c r="H94" i="1"/>
  <c r="G95" i="1"/>
  <c r="H95" i="1"/>
  <c r="G96" i="1"/>
  <c r="H96" i="1"/>
  <c r="G97" i="1"/>
  <c r="H97" i="1"/>
  <c r="G98" i="1"/>
  <c r="H98" i="1"/>
  <c r="G99" i="1"/>
  <c r="H99" i="1"/>
  <c r="G100" i="1"/>
  <c r="H100" i="1"/>
  <c r="G101" i="1"/>
  <c r="H101" i="1"/>
  <c r="G102" i="1"/>
  <c r="H102" i="1"/>
  <c r="G103" i="1"/>
  <c r="H103" i="1"/>
  <c r="G104" i="1"/>
  <c r="H104" i="1"/>
  <c r="G105" i="1"/>
  <c r="H105" i="1"/>
  <c r="G106" i="1"/>
  <c r="H106" i="1"/>
  <c r="G107" i="1"/>
  <c r="H107" i="1"/>
  <c r="G108" i="1"/>
  <c r="H108" i="1"/>
  <c r="G109" i="1"/>
  <c r="H109" i="1"/>
  <c r="G110" i="1"/>
  <c r="H110" i="1"/>
  <c r="G111" i="1"/>
  <c r="H111" i="1"/>
  <c r="G112" i="1"/>
  <c r="H112" i="1"/>
  <c r="G113" i="1"/>
  <c r="H113" i="1"/>
  <c r="G114" i="1"/>
  <c r="H114" i="1"/>
  <c r="G115" i="1"/>
  <c r="H115" i="1"/>
  <c r="G116" i="1"/>
  <c r="H116" i="1"/>
  <c r="G117" i="1"/>
  <c r="H117" i="1"/>
  <c r="G118" i="1"/>
  <c r="H118" i="1"/>
  <c r="G119" i="1"/>
  <c r="H119" i="1"/>
  <c r="G120" i="1"/>
  <c r="H120" i="1"/>
  <c r="G121" i="1"/>
  <c r="H121" i="1"/>
  <c r="G122" i="1"/>
  <c r="H122" i="1"/>
  <c r="G123" i="1"/>
  <c r="H123" i="1"/>
  <c r="G124" i="1"/>
  <c r="H124" i="1"/>
  <c r="G125" i="1"/>
  <c r="H125" i="1"/>
  <c r="G126" i="1"/>
  <c r="H126" i="1"/>
  <c r="G127" i="1"/>
  <c r="H127" i="1"/>
  <c r="G128" i="1"/>
  <c r="H128" i="1"/>
  <c r="G129" i="1"/>
  <c r="H129" i="1"/>
  <c r="G130" i="1"/>
  <c r="H130" i="1"/>
  <c r="G131" i="1"/>
  <c r="H131" i="1"/>
  <c r="G132" i="1"/>
  <c r="H132" i="1"/>
  <c r="G133" i="1"/>
  <c r="H133" i="1"/>
  <c r="G134" i="1"/>
  <c r="H134" i="1"/>
  <c r="G135" i="1"/>
  <c r="H135" i="1"/>
  <c r="G136" i="1"/>
  <c r="H136" i="1"/>
  <c r="G137" i="1"/>
  <c r="H137" i="1"/>
  <c r="G138" i="1"/>
  <c r="H138" i="1"/>
  <c r="G139" i="1"/>
  <c r="H139" i="1"/>
  <c r="G140" i="1"/>
  <c r="H140" i="1"/>
  <c r="G141" i="1"/>
  <c r="H141" i="1"/>
  <c r="G142" i="1"/>
  <c r="H142" i="1"/>
  <c r="G143" i="1"/>
  <c r="H143" i="1"/>
  <c r="G144" i="1"/>
  <c r="H144" i="1"/>
  <c r="G145" i="1"/>
  <c r="H145" i="1"/>
  <c r="G146" i="1"/>
  <c r="H146" i="1"/>
  <c r="G147" i="1"/>
  <c r="H147" i="1"/>
  <c r="G148" i="1"/>
  <c r="H148" i="1"/>
  <c r="G149" i="1"/>
  <c r="H149" i="1"/>
  <c r="G150" i="1"/>
  <c r="H150" i="1"/>
  <c r="G151" i="1"/>
  <c r="H151" i="1"/>
  <c r="G152" i="1"/>
  <c r="H152" i="1"/>
  <c r="G153" i="1"/>
  <c r="H153" i="1"/>
  <c r="G154" i="1"/>
  <c r="H154" i="1"/>
  <c r="G155" i="1"/>
  <c r="H155" i="1"/>
  <c r="G156" i="1"/>
  <c r="H156" i="1"/>
  <c r="G157" i="1"/>
  <c r="H157" i="1"/>
  <c r="G158" i="1"/>
  <c r="H158" i="1"/>
  <c r="G159" i="1"/>
  <c r="H159" i="1"/>
  <c r="G160" i="1"/>
  <c r="H160" i="1"/>
  <c r="G161" i="1"/>
  <c r="H161" i="1"/>
  <c r="G162" i="1"/>
  <c r="H162" i="1"/>
  <c r="G163" i="1"/>
  <c r="H163" i="1"/>
  <c r="G164" i="1"/>
  <c r="H164" i="1"/>
  <c r="G165" i="1"/>
  <c r="H165" i="1"/>
  <c r="G166" i="1"/>
  <c r="H166" i="1"/>
  <c r="G167" i="1"/>
  <c r="H167" i="1"/>
  <c r="G168" i="1"/>
  <c r="H168" i="1"/>
  <c r="G169" i="1"/>
  <c r="H169" i="1"/>
  <c r="G170" i="1"/>
  <c r="H170" i="1"/>
  <c r="G171" i="1"/>
  <c r="H171" i="1"/>
  <c r="G172" i="1"/>
  <c r="H172" i="1"/>
  <c r="G173" i="1"/>
  <c r="H173" i="1"/>
  <c r="G174" i="1"/>
  <c r="H174" i="1"/>
  <c r="G175" i="1"/>
  <c r="H175" i="1"/>
  <c r="G176" i="1"/>
  <c r="H176" i="1"/>
  <c r="G177" i="1"/>
  <c r="H177" i="1"/>
  <c r="G178" i="1"/>
  <c r="H178" i="1"/>
  <c r="G179" i="1"/>
  <c r="H179" i="1"/>
  <c r="G180" i="1"/>
  <c r="H180" i="1"/>
  <c r="G181" i="1"/>
  <c r="H181" i="1"/>
  <c r="G182" i="1"/>
  <c r="H182" i="1"/>
  <c r="G183" i="1"/>
  <c r="H183" i="1"/>
  <c r="G184" i="1"/>
  <c r="H184" i="1"/>
  <c r="G185" i="1"/>
  <c r="H185" i="1"/>
  <c r="G186" i="1"/>
  <c r="H186" i="1"/>
  <c r="G187" i="1"/>
  <c r="H187" i="1"/>
  <c r="G188" i="1"/>
  <c r="H188" i="1"/>
  <c r="G189" i="1"/>
  <c r="H189" i="1"/>
  <c r="G190" i="1"/>
  <c r="H190" i="1"/>
  <c r="G191" i="1"/>
  <c r="H191" i="1"/>
  <c r="G192" i="1"/>
  <c r="H192" i="1"/>
  <c r="G193" i="1"/>
  <c r="H193" i="1"/>
  <c r="G194" i="1"/>
  <c r="H194" i="1"/>
  <c r="G195" i="1"/>
  <c r="H195" i="1"/>
  <c r="G196" i="1"/>
  <c r="H196" i="1"/>
  <c r="G197" i="1"/>
  <c r="H197" i="1"/>
  <c r="G198" i="1"/>
  <c r="H198" i="1"/>
  <c r="G199" i="1"/>
  <c r="H199" i="1"/>
  <c r="G200" i="1"/>
  <c r="H200" i="1"/>
  <c r="G201" i="1"/>
  <c r="H201" i="1"/>
  <c r="G202" i="1"/>
  <c r="H202" i="1"/>
  <c r="G203" i="1"/>
  <c r="H203" i="1"/>
  <c r="G204" i="1"/>
  <c r="H204" i="1"/>
  <c r="G205" i="1"/>
  <c r="H205" i="1"/>
  <c r="G206" i="1"/>
  <c r="H206" i="1"/>
  <c r="G207" i="1"/>
  <c r="H207" i="1"/>
  <c r="G208" i="1"/>
  <c r="H208" i="1"/>
  <c r="G209" i="1"/>
  <c r="H209" i="1"/>
  <c r="G210" i="1"/>
  <c r="H210" i="1"/>
  <c r="G211" i="1"/>
  <c r="H211" i="1"/>
  <c r="G212" i="1"/>
  <c r="H212" i="1"/>
  <c r="G213" i="1"/>
  <c r="H213" i="1"/>
  <c r="G214" i="1"/>
  <c r="H214" i="1"/>
  <c r="G215" i="1"/>
  <c r="H215" i="1"/>
  <c r="G216" i="1"/>
  <c r="H216" i="1"/>
  <c r="G217" i="1"/>
  <c r="H217" i="1"/>
  <c r="G218" i="1"/>
  <c r="H218" i="1"/>
  <c r="G219" i="1"/>
  <c r="H219" i="1"/>
  <c r="G220" i="1"/>
  <c r="H220" i="1"/>
  <c r="G221" i="1"/>
  <c r="H221" i="1"/>
  <c r="G222" i="1"/>
  <c r="H222" i="1"/>
  <c r="G223" i="1"/>
  <c r="H223" i="1"/>
  <c r="G224" i="1"/>
  <c r="H224" i="1"/>
  <c r="G225" i="1"/>
  <c r="H225" i="1"/>
  <c r="G226" i="1"/>
  <c r="H226" i="1"/>
  <c r="G227" i="1"/>
  <c r="H227" i="1"/>
  <c r="G228" i="1"/>
  <c r="H228" i="1"/>
  <c r="G229" i="1"/>
  <c r="H229" i="1"/>
  <c r="G230" i="1"/>
  <c r="H230" i="1"/>
  <c r="G231" i="1"/>
  <c r="H231" i="1"/>
  <c r="G232" i="1"/>
  <c r="H232" i="1"/>
  <c r="G233" i="1"/>
  <c r="H233" i="1"/>
  <c r="G234" i="1"/>
  <c r="H234" i="1"/>
  <c r="G235" i="1"/>
  <c r="H235" i="1"/>
  <c r="G236" i="1"/>
  <c r="H236" i="1"/>
  <c r="G237" i="1"/>
  <c r="H237" i="1"/>
  <c r="G238" i="1"/>
  <c r="H238" i="1"/>
  <c r="G239" i="1"/>
  <c r="H239" i="1"/>
  <c r="G240" i="1"/>
  <c r="H240" i="1"/>
  <c r="G241" i="1"/>
  <c r="H241" i="1"/>
  <c r="G242" i="1"/>
  <c r="H242" i="1"/>
  <c r="G243" i="1"/>
  <c r="H243" i="1"/>
  <c r="G244" i="1"/>
  <c r="H244" i="1"/>
  <c r="G245" i="1"/>
  <c r="H245" i="1"/>
  <c r="G246" i="1"/>
  <c r="H246" i="1"/>
  <c r="G247" i="1"/>
  <c r="H247" i="1"/>
  <c r="G248" i="1"/>
  <c r="H248" i="1"/>
  <c r="G249" i="1"/>
  <c r="H249" i="1"/>
  <c r="G250" i="1"/>
  <c r="H250" i="1"/>
  <c r="G251" i="1"/>
  <c r="H251" i="1"/>
  <c r="G252" i="1"/>
  <c r="H252" i="1"/>
  <c r="G253" i="1"/>
  <c r="H253" i="1"/>
  <c r="G254" i="1"/>
  <c r="H254" i="1"/>
  <c r="G255" i="1"/>
  <c r="H255" i="1"/>
  <c r="G256" i="1"/>
  <c r="H256" i="1"/>
  <c r="G257" i="1"/>
  <c r="H257" i="1"/>
  <c r="G258" i="1"/>
  <c r="H258" i="1"/>
  <c r="G259" i="1"/>
  <c r="H259" i="1"/>
  <c r="G260" i="1"/>
  <c r="H260" i="1"/>
  <c r="G261" i="1"/>
  <c r="H261" i="1"/>
  <c r="G262" i="1"/>
  <c r="H262" i="1"/>
  <c r="G263" i="1"/>
  <c r="H263" i="1"/>
  <c r="G264" i="1"/>
  <c r="H264" i="1"/>
  <c r="G265" i="1"/>
  <c r="H265" i="1"/>
  <c r="G266" i="1"/>
  <c r="H266" i="1"/>
  <c r="G267" i="1"/>
  <c r="H267" i="1"/>
  <c r="G268" i="1"/>
  <c r="H268" i="1"/>
  <c r="G269" i="1"/>
  <c r="H269" i="1"/>
  <c r="G270" i="1"/>
  <c r="H270" i="1"/>
  <c r="G271" i="1"/>
  <c r="H271" i="1"/>
  <c r="G272" i="1"/>
  <c r="H272" i="1"/>
  <c r="G273" i="1"/>
  <c r="H273" i="1"/>
  <c r="G274" i="1"/>
  <c r="H274" i="1"/>
  <c r="G275" i="1"/>
  <c r="H275" i="1"/>
  <c r="G276" i="1"/>
  <c r="H276" i="1"/>
  <c r="G277" i="1"/>
  <c r="H277" i="1"/>
  <c r="G278" i="1"/>
  <c r="H278" i="1"/>
  <c r="G279" i="1"/>
  <c r="H279" i="1"/>
  <c r="G280" i="1"/>
  <c r="H280" i="1"/>
  <c r="G281" i="1"/>
  <c r="H281" i="1"/>
  <c r="G282" i="1"/>
  <c r="H282" i="1"/>
  <c r="G283" i="1"/>
  <c r="H283" i="1"/>
  <c r="G284" i="1"/>
  <c r="H284" i="1"/>
  <c r="G285" i="1"/>
  <c r="H285" i="1"/>
  <c r="G286" i="1"/>
  <c r="H286" i="1"/>
  <c r="G287" i="1"/>
  <c r="H287" i="1"/>
  <c r="G288" i="1"/>
  <c r="H288" i="1"/>
  <c r="G289" i="1"/>
  <c r="H289" i="1"/>
  <c r="G290" i="1"/>
  <c r="H290" i="1"/>
  <c r="G291" i="1"/>
  <c r="H291" i="1"/>
  <c r="G292" i="1"/>
  <c r="H292" i="1"/>
  <c r="G293" i="1"/>
  <c r="H293" i="1"/>
  <c r="G294" i="1"/>
  <c r="H294" i="1"/>
  <c r="G295" i="1"/>
  <c r="H295" i="1"/>
  <c r="G296" i="1"/>
  <c r="H296" i="1"/>
  <c r="G297" i="1"/>
  <c r="H297" i="1"/>
  <c r="G298" i="1"/>
  <c r="H298" i="1"/>
  <c r="G299" i="1"/>
  <c r="H299" i="1"/>
  <c r="G300" i="1"/>
  <c r="H300" i="1"/>
  <c r="G301" i="1"/>
  <c r="H301" i="1"/>
  <c r="G302" i="1"/>
  <c r="H302" i="1"/>
  <c r="G303" i="1"/>
  <c r="H303" i="1"/>
  <c r="G304" i="1"/>
  <c r="H304" i="1"/>
  <c r="G305" i="1"/>
  <c r="H305" i="1"/>
  <c r="G306" i="1"/>
  <c r="H306" i="1"/>
  <c r="G307" i="1"/>
  <c r="H307" i="1"/>
  <c r="G308" i="1"/>
  <c r="H308" i="1"/>
  <c r="G309" i="1"/>
  <c r="H309" i="1"/>
  <c r="G310" i="1"/>
  <c r="H310" i="1"/>
  <c r="G311" i="1"/>
  <c r="H311" i="1"/>
  <c r="G312" i="1"/>
  <c r="H312" i="1"/>
  <c r="G313" i="1"/>
  <c r="H313" i="1"/>
  <c r="G314" i="1"/>
  <c r="H314" i="1"/>
  <c r="G315" i="1"/>
  <c r="H315" i="1"/>
  <c r="G316" i="1"/>
  <c r="H316" i="1"/>
  <c r="G317" i="1"/>
  <c r="H317" i="1"/>
  <c r="G318" i="1"/>
  <c r="H318" i="1"/>
  <c r="G319" i="1"/>
  <c r="H319" i="1"/>
  <c r="G320" i="1"/>
  <c r="H320" i="1"/>
  <c r="G321" i="1"/>
  <c r="H321" i="1"/>
  <c r="G322" i="1"/>
  <c r="H322" i="1"/>
  <c r="G323" i="1"/>
  <c r="H323" i="1"/>
  <c r="G324" i="1"/>
  <c r="H324" i="1"/>
  <c r="G325" i="1"/>
  <c r="H325" i="1"/>
  <c r="G326" i="1"/>
  <c r="H326" i="1"/>
  <c r="G327" i="1"/>
  <c r="H327" i="1"/>
  <c r="G328" i="1"/>
  <c r="H328" i="1"/>
  <c r="G329" i="1"/>
  <c r="H329" i="1"/>
  <c r="G330" i="1"/>
  <c r="H330" i="1"/>
  <c r="G331" i="1"/>
  <c r="H331" i="1"/>
  <c r="G332" i="1"/>
  <c r="H332" i="1"/>
  <c r="G333" i="1"/>
  <c r="H333" i="1"/>
  <c r="G334" i="1"/>
  <c r="H334" i="1"/>
  <c r="G335" i="1"/>
  <c r="H335" i="1"/>
  <c r="G336" i="1"/>
  <c r="H336" i="1"/>
  <c r="G337" i="1"/>
  <c r="H337" i="1"/>
  <c r="G338" i="1"/>
  <c r="H338" i="1"/>
  <c r="G339" i="1"/>
  <c r="H339" i="1"/>
  <c r="G340" i="1"/>
  <c r="H340" i="1"/>
  <c r="G341" i="1"/>
  <c r="H341" i="1"/>
  <c r="G342" i="1"/>
  <c r="H342" i="1"/>
  <c r="G343" i="1"/>
  <c r="H343" i="1"/>
  <c r="G344" i="1"/>
  <c r="H344" i="1"/>
  <c r="G345" i="1"/>
  <c r="H345" i="1"/>
  <c r="G346" i="1"/>
  <c r="H346" i="1"/>
  <c r="G347" i="1"/>
  <c r="H347" i="1"/>
  <c r="G348" i="1"/>
  <c r="H348" i="1"/>
  <c r="G349" i="1"/>
  <c r="H349" i="1"/>
  <c r="G350" i="1"/>
  <c r="H350" i="1"/>
  <c r="G351" i="1"/>
  <c r="H351" i="1"/>
  <c r="G352" i="1"/>
  <c r="H352" i="1"/>
  <c r="G353" i="1"/>
  <c r="H353" i="1"/>
  <c r="G354" i="1"/>
  <c r="H354" i="1"/>
  <c r="G355" i="1"/>
  <c r="H355" i="1"/>
  <c r="G356" i="1"/>
  <c r="H356" i="1"/>
  <c r="G357" i="1"/>
  <c r="H357" i="1"/>
  <c r="G358" i="1"/>
  <c r="H358" i="1"/>
  <c r="G359" i="1"/>
  <c r="H359" i="1"/>
  <c r="G360" i="1"/>
  <c r="H360" i="1"/>
  <c r="G361" i="1"/>
  <c r="H361" i="1"/>
  <c r="G362" i="1"/>
  <c r="H362" i="1"/>
  <c r="G363" i="1"/>
  <c r="H363" i="1"/>
  <c r="G364" i="1"/>
  <c r="H364" i="1"/>
  <c r="G365" i="1"/>
  <c r="H365" i="1"/>
  <c r="G366" i="1"/>
  <c r="H366" i="1"/>
  <c r="G367" i="1"/>
  <c r="H367" i="1"/>
  <c r="G368" i="1"/>
  <c r="H368" i="1"/>
  <c r="G369" i="1"/>
  <c r="H369" i="1"/>
  <c r="G370" i="1"/>
  <c r="H370" i="1"/>
  <c r="G371" i="1"/>
  <c r="H371" i="1"/>
  <c r="G372" i="1"/>
  <c r="H372" i="1"/>
  <c r="G373" i="1"/>
  <c r="H373" i="1"/>
  <c r="G374" i="1"/>
  <c r="H374" i="1"/>
  <c r="G375" i="1"/>
  <c r="H375" i="1"/>
  <c r="G376" i="1"/>
  <c r="H376" i="1"/>
  <c r="G377" i="1"/>
  <c r="H377" i="1"/>
  <c r="G378" i="1"/>
  <c r="H378" i="1"/>
  <c r="G379" i="1"/>
  <c r="H379" i="1"/>
  <c r="G380" i="1"/>
  <c r="H380" i="1"/>
  <c r="G381" i="1"/>
  <c r="H381" i="1"/>
  <c r="G382" i="1"/>
  <c r="H382" i="1"/>
  <c r="G383" i="1"/>
  <c r="H383" i="1"/>
  <c r="G384" i="1"/>
  <c r="H384" i="1"/>
  <c r="G385" i="1"/>
  <c r="H385" i="1"/>
  <c r="G386" i="1"/>
  <c r="H386" i="1"/>
  <c r="G387" i="1"/>
  <c r="H387" i="1"/>
  <c r="G388" i="1"/>
  <c r="H388" i="1"/>
  <c r="G389" i="1"/>
  <c r="H389" i="1"/>
  <c r="G390" i="1"/>
  <c r="H390" i="1"/>
  <c r="G391" i="1"/>
  <c r="H391" i="1"/>
  <c r="G392" i="1"/>
  <c r="H392" i="1"/>
  <c r="G393" i="1"/>
  <c r="H393" i="1"/>
  <c r="G394" i="1"/>
  <c r="H394" i="1"/>
  <c r="G395" i="1"/>
  <c r="H395" i="1"/>
  <c r="G396" i="1"/>
  <c r="H396" i="1"/>
  <c r="G397" i="1"/>
  <c r="H397" i="1"/>
  <c r="G398" i="1"/>
  <c r="H398" i="1"/>
  <c r="G399" i="1"/>
  <c r="H399" i="1"/>
  <c r="G400" i="1"/>
  <c r="H400" i="1"/>
  <c r="G401" i="1"/>
  <c r="H401" i="1"/>
  <c r="G402" i="1"/>
  <c r="H402" i="1"/>
  <c r="G403" i="1"/>
  <c r="H403" i="1"/>
  <c r="G404" i="1"/>
  <c r="H404" i="1"/>
  <c r="G405" i="1"/>
  <c r="H405" i="1"/>
  <c r="G406" i="1"/>
  <c r="H406" i="1"/>
  <c r="G407" i="1"/>
  <c r="H407" i="1"/>
  <c r="G408" i="1"/>
  <c r="H408" i="1"/>
  <c r="G409" i="1"/>
  <c r="H409" i="1"/>
  <c r="G410" i="1"/>
  <c r="H410" i="1"/>
  <c r="G411" i="1"/>
  <c r="H411" i="1"/>
  <c r="G412" i="1"/>
  <c r="H412" i="1"/>
  <c r="G413" i="1"/>
  <c r="H413" i="1"/>
  <c r="G414" i="1"/>
  <c r="H414" i="1"/>
  <c r="G415" i="1"/>
  <c r="H415" i="1"/>
  <c r="G416" i="1"/>
  <c r="H416" i="1"/>
  <c r="G417" i="1"/>
  <c r="H417" i="1"/>
  <c r="G418" i="1"/>
  <c r="H418" i="1"/>
  <c r="G419" i="1"/>
  <c r="H419" i="1"/>
  <c r="G420" i="1"/>
  <c r="H420" i="1"/>
  <c r="G421" i="1"/>
  <c r="H421" i="1"/>
  <c r="G422" i="1"/>
  <c r="H422" i="1"/>
  <c r="G423" i="1"/>
  <c r="H423" i="1"/>
  <c r="G424" i="1"/>
  <c r="H424" i="1"/>
  <c r="G425" i="1"/>
  <c r="H425" i="1"/>
  <c r="G426" i="1"/>
  <c r="H426" i="1"/>
  <c r="G427" i="1"/>
  <c r="H427" i="1"/>
  <c r="G428" i="1"/>
  <c r="H428" i="1"/>
  <c r="G429" i="1"/>
  <c r="H429" i="1"/>
  <c r="G430" i="1"/>
  <c r="H430" i="1"/>
  <c r="G431" i="1"/>
  <c r="H431" i="1"/>
  <c r="G432" i="1"/>
  <c r="H432" i="1"/>
  <c r="G433" i="1"/>
  <c r="H433" i="1"/>
  <c r="G434" i="1"/>
  <c r="H434" i="1"/>
  <c r="G435" i="1"/>
  <c r="H435" i="1"/>
  <c r="G436" i="1"/>
  <c r="H436" i="1"/>
  <c r="G437" i="1"/>
  <c r="H437" i="1"/>
  <c r="G438" i="1"/>
  <c r="H438" i="1"/>
  <c r="G439" i="1"/>
  <c r="H439" i="1"/>
  <c r="G440" i="1"/>
  <c r="H440" i="1"/>
  <c r="G441" i="1"/>
  <c r="H441" i="1"/>
  <c r="G442" i="1"/>
  <c r="H442" i="1"/>
  <c r="G443" i="1"/>
  <c r="H443" i="1"/>
  <c r="G444" i="1"/>
  <c r="H444" i="1"/>
  <c r="G445" i="1"/>
  <c r="H445" i="1"/>
  <c r="G446" i="1"/>
  <c r="H446" i="1"/>
  <c r="G447" i="1"/>
  <c r="H447" i="1"/>
  <c r="G448" i="1"/>
  <c r="H448" i="1"/>
  <c r="G449" i="1"/>
  <c r="H449" i="1"/>
  <c r="G450" i="1"/>
  <c r="H450" i="1"/>
  <c r="G451" i="1"/>
  <c r="H451" i="1"/>
  <c r="G452" i="1"/>
  <c r="H452" i="1"/>
  <c r="G453" i="1"/>
  <c r="H453" i="1"/>
  <c r="G454" i="1"/>
  <c r="H454" i="1"/>
  <c r="G455" i="1"/>
  <c r="H455" i="1"/>
  <c r="G456" i="1"/>
  <c r="H456" i="1"/>
  <c r="G457" i="1"/>
  <c r="H457" i="1"/>
  <c r="G458" i="1"/>
  <c r="H458" i="1"/>
  <c r="G459" i="1"/>
  <c r="H459" i="1"/>
  <c r="G460" i="1"/>
  <c r="H460" i="1"/>
  <c r="G461" i="1"/>
  <c r="H461" i="1"/>
  <c r="G462" i="1"/>
  <c r="H462" i="1"/>
  <c r="G463" i="1"/>
  <c r="H463" i="1"/>
  <c r="G464" i="1"/>
  <c r="H464" i="1"/>
  <c r="G465" i="1"/>
  <c r="H465" i="1"/>
  <c r="G466" i="1"/>
  <c r="H466" i="1"/>
  <c r="G467" i="1"/>
  <c r="H467" i="1"/>
  <c r="G468" i="1"/>
  <c r="H468" i="1"/>
  <c r="G469" i="1"/>
  <c r="H469" i="1"/>
  <c r="G470" i="1"/>
  <c r="H470" i="1"/>
  <c r="G471" i="1"/>
  <c r="H471" i="1"/>
  <c r="G472" i="1"/>
  <c r="H472" i="1"/>
  <c r="G473" i="1"/>
  <c r="H473" i="1"/>
  <c r="G474" i="1"/>
  <c r="H474" i="1"/>
  <c r="G475" i="1"/>
  <c r="H475" i="1"/>
  <c r="G476" i="1"/>
  <c r="H476" i="1"/>
  <c r="G477" i="1"/>
  <c r="H477" i="1"/>
  <c r="G478" i="1"/>
  <c r="H478" i="1"/>
  <c r="G479" i="1"/>
  <c r="H479" i="1"/>
  <c r="G480" i="1"/>
  <c r="H480" i="1"/>
  <c r="G481" i="1"/>
  <c r="H481" i="1"/>
  <c r="G482" i="1"/>
  <c r="H482" i="1"/>
  <c r="G483" i="1"/>
  <c r="H483" i="1"/>
  <c r="G484" i="1"/>
  <c r="H484" i="1"/>
  <c r="G485" i="1"/>
  <c r="H485" i="1"/>
  <c r="G486" i="1"/>
  <c r="H486" i="1"/>
  <c r="G487" i="1"/>
  <c r="H487" i="1"/>
  <c r="G488" i="1"/>
  <c r="H488" i="1"/>
  <c r="G489" i="1"/>
  <c r="H489" i="1"/>
  <c r="G490" i="1"/>
  <c r="H490" i="1"/>
  <c r="G491" i="1"/>
  <c r="H491" i="1"/>
  <c r="G492" i="1"/>
  <c r="H492" i="1"/>
  <c r="G493" i="1"/>
  <c r="H493" i="1"/>
  <c r="G494" i="1"/>
  <c r="H494" i="1"/>
  <c r="G495" i="1"/>
  <c r="H495" i="1"/>
  <c r="G496" i="1"/>
  <c r="H496" i="1"/>
  <c r="G497" i="1"/>
  <c r="H497" i="1"/>
  <c r="G498" i="1"/>
  <c r="H498" i="1"/>
  <c r="G499" i="1"/>
  <c r="H499" i="1"/>
  <c r="G500" i="1"/>
  <c r="H500" i="1"/>
  <c r="G501" i="1"/>
  <c r="H501" i="1"/>
  <c r="G502" i="1"/>
  <c r="H502" i="1"/>
  <c r="G503" i="1"/>
  <c r="H503" i="1"/>
  <c r="G504" i="1"/>
  <c r="H504" i="1"/>
  <c r="G505" i="1"/>
  <c r="H505" i="1"/>
  <c r="G506" i="1"/>
  <c r="H506" i="1"/>
  <c r="G507" i="1"/>
  <c r="H507" i="1"/>
  <c r="G508" i="1"/>
  <c r="H508" i="1"/>
  <c r="G509" i="1"/>
  <c r="H509" i="1"/>
  <c r="G510" i="1"/>
  <c r="H510" i="1"/>
  <c r="G511" i="1"/>
  <c r="H511" i="1"/>
  <c r="G512" i="1"/>
  <c r="H512" i="1"/>
  <c r="G513" i="1"/>
  <c r="H513" i="1"/>
  <c r="G514" i="1"/>
  <c r="H514" i="1"/>
  <c r="G515" i="1"/>
  <c r="H515" i="1"/>
  <c r="G516" i="1"/>
  <c r="H516" i="1"/>
  <c r="G517" i="1"/>
  <c r="H517" i="1"/>
  <c r="G518" i="1"/>
  <c r="H518" i="1"/>
  <c r="G519" i="1"/>
  <c r="H519" i="1"/>
  <c r="G520" i="1"/>
  <c r="H520" i="1"/>
  <c r="G521" i="1"/>
  <c r="H521" i="1"/>
  <c r="G522" i="1"/>
  <c r="H522" i="1"/>
  <c r="G523" i="1"/>
  <c r="H523" i="1"/>
  <c r="G524" i="1"/>
  <c r="H524" i="1"/>
  <c r="G525" i="1"/>
  <c r="H525" i="1"/>
  <c r="G526" i="1"/>
  <c r="H526" i="1"/>
  <c r="G527" i="1"/>
  <c r="H527" i="1"/>
  <c r="G528" i="1"/>
  <c r="H528" i="1"/>
  <c r="G529" i="1"/>
  <c r="H529" i="1"/>
  <c r="G530" i="1"/>
  <c r="H530" i="1"/>
  <c r="G531" i="1"/>
  <c r="H531" i="1"/>
  <c r="G532" i="1"/>
  <c r="H532" i="1"/>
  <c r="G533" i="1"/>
  <c r="H533" i="1"/>
  <c r="G534" i="1"/>
  <c r="H534" i="1"/>
  <c r="G535" i="1"/>
  <c r="H535" i="1"/>
  <c r="G536" i="1"/>
  <c r="H536" i="1"/>
  <c r="G537" i="1"/>
  <c r="H537" i="1"/>
  <c r="G538" i="1"/>
  <c r="H538" i="1"/>
  <c r="G539" i="1"/>
  <c r="H539" i="1"/>
  <c r="G540" i="1"/>
  <c r="H540" i="1"/>
  <c r="G541" i="1"/>
  <c r="H541" i="1"/>
  <c r="G542" i="1"/>
  <c r="H542" i="1"/>
  <c r="G543" i="1"/>
  <c r="H543" i="1"/>
  <c r="G544" i="1"/>
  <c r="H544" i="1"/>
  <c r="G545" i="1"/>
  <c r="H545" i="1"/>
  <c r="G546" i="1"/>
  <c r="H546" i="1"/>
  <c r="G547" i="1"/>
  <c r="H547" i="1"/>
  <c r="G548" i="1"/>
  <c r="H548" i="1"/>
  <c r="G549" i="1"/>
  <c r="H549" i="1"/>
  <c r="G550" i="1"/>
  <c r="H550" i="1"/>
  <c r="G551" i="1"/>
  <c r="H551" i="1"/>
  <c r="G552" i="1"/>
  <c r="H552" i="1"/>
  <c r="G553" i="1"/>
  <c r="H553" i="1"/>
  <c r="G554" i="1"/>
  <c r="H554" i="1"/>
  <c r="G555" i="1"/>
  <c r="H555" i="1"/>
  <c r="G556" i="1"/>
  <c r="H556" i="1"/>
  <c r="G557" i="1"/>
  <c r="H557" i="1"/>
  <c r="G558" i="1"/>
  <c r="H558" i="1"/>
  <c r="G559" i="1"/>
  <c r="H559" i="1"/>
  <c r="G560" i="1"/>
  <c r="H560" i="1"/>
  <c r="G561" i="1"/>
  <c r="H561" i="1"/>
  <c r="G562" i="1"/>
  <c r="H562" i="1"/>
  <c r="G563" i="1"/>
  <c r="H563" i="1"/>
  <c r="G564" i="1"/>
  <c r="H564" i="1"/>
  <c r="G565" i="1"/>
  <c r="H565" i="1"/>
  <c r="G566" i="1"/>
  <c r="H566" i="1"/>
  <c r="G567" i="1"/>
  <c r="H567" i="1"/>
  <c r="G568" i="1"/>
  <c r="H568" i="1"/>
  <c r="G569" i="1"/>
  <c r="H569" i="1"/>
  <c r="G570" i="1"/>
  <c r="H570" i="1"/>
  <c r="G571" i="1"/>
  <c r="H571" i="1"/>
  <c r="G572" i="1"/>
  <c r="H572" i="1"/>
  <c r="G573" i="1"/>
  <c r="H573" i="1"/>
  <c r="G574" i="1"/>
  <c r="H574" i="1"/>
  <c r="G575" i="1"/>
  <c r="H575" i="1"/>
  <c r="G576" i="1"/>
  <c r="H576" i="1"/>
  <c r="G577" i="1"/>
  <c r="H577" i="1"/>
  <c r="G578" i="1"/>
  <c r="H578" i="1"/>
  <c r="G579" i="1"/>
  <c r="H579" i="1"/>
  <c r="G580" i="1"/>
  <c r="H580" i="1"/>
  <c r="G581" i="1"/>
  <c r="H581" i="1"/>
  <c r="G582" i="1"/>
  <c r="H582" i="1"/>
  <c r="G583" i="1"/>
  <c r="H583" i="1"/>
  <c r="G584" i="1"/>
  <c r="H584" i="1"/>
  <c r="G585" i="1"/>
  <c r="H585" i="1"/>
  <c r="G586" i="1"/>
  <c r="H586" i="1"/>
  <c r="G587" i="1"/>
  <c r="H587" i="1"/>
  <c r="G588" i="1"/>
  <c r="H588" i="1"/>
  <c r="G589" i="1"/>
  <c r="H589" i="1"/>
  <c r="G590" i="1"/>
  <c r="H590" i="1"/>
  <c r="G591" i="1"/>
  <c r="H591" i="1"/>
  <c r="G592" i="1"/>
  <c r="H592" i="1"/>
  <c r="G593" i="1"/>
  <c r="H593" i="1"/>
  <c r="G594" i="1"/>
  <c r="H594" i="1"/>
  <c r="G595" i="1"/>
  <c r="H595" i="1"/>
  <c r="G596" i="1"/>
  <c r="H596" i="1"/>
  <c r="G597" i="1"/>
  <c r="H597" i="1"/>
  <c r="G598" i="1"/>
  <c r="H598" i="1"/>
  <c r="G599" i="1"/>
  <c r="H599" i="1"/>
  <c r="G600" i="1"/>
  <c r="H600" i="1"/>
  <c r="G601" i="1"/>
  <c r="H601" i="1"/>
  <c r="G602" i="1"/>
  <c r="H602" i="1"/>
  <c r="G603" i="1"/>
  <c r="H603" i="1"/>
  <c r="G604" i="1"/>
  <c r="H604" i="1"/>
  <c r="G605" i="1"/>
  <c r="H605" i="1"/>
  <c r="G606" i="1"/>
  <c r="H606" i="1"/>
  <c r="G607" i="1"/>
  <c r="H607" i="1"/>
  <c r="G608" i="1"/>
  <c r="H608" i="1"/>
  <c r="G609" i="1"/>
  <c r="H609" i="1"/>
  <c r="G610" i="1"/>
  <c r="H610" i="1"/>
  <c r="G611" i="1"/>
  <c r="H611" i="1"/>
  <c r="G612" i="1"/>
  <c r="H612" i="1"/>
  <c r="G613" i="1"/>
  <c r="H613" i="1"/>
  <c r="G614" i="1"/>
  <c r="H614" i="1"/>
  <c r="G615" i="1"/>
  <c r="H615" i="1"/>
  <c r="G616" i="1"/>
  <c r="H616" i="1"/>
  <c r="G617" i="1"/>
  <c r="H617" i="1"/>
  <c r="G618" i="1"/>
  <c r="H618" i="1"/>
  <c r="G619" i="1"/>
  <c r="H619" i="1"/>
  <c r="G620" i="1"/>
  <c r="H620" i="1"/>
  <c r="G621" i="1"/>
  <c r="H621" i="1"/>
  <c r="G622" i="1"/>
  <c r="H622" i="1"/>
  <c r="G623" i="1"/>
  <c r="H623" i="1"/>
  <c r="G624" i="1"/>
  <c r="H624" i="1"/>
  <c r="G625" i="1"/>
  <c r="H625" i="1"/>
  <c r="G626" i="1"/>
  <c r="H626" i="1"/>
  <c r="G627" i="1"/>
  <c r="H627" i="1"/>
  <c r="G628" i="1"/>
  <c r="H628" i="1"/>
  <c r="G629" i="1"/>
  <c r="H629" i="1"/>
  <c r="G630" i="1"/>
  <c r="H630" i="1"/>
  <c r="G631" i="1"/>
  <c r="H631" i="1"/>
  <c r="G632" i="1"/>
  <c r="H632" i="1"/>
  <c r="G633" i="1"/>
  <c r="H633" i="1"/>
  <c r="G634" i="1"/>
  <c r="H634" i="1"/>
  <c r="G635" i="1"/>
  <c r="H635" i="1"/>
  <c r="G636" i="1"/>
  <c r="H636" i="1"/>
  <c r="G637" i="1"/>
  <c r="H637" i="1"/>
  <c r="G638" i="1"/>
  <c r="H638" i="1"/>
  <c r="G639" i="1"/>
  <c r="H639" i="1"/>
  <c r="G640" i="1"/>
  <c r="H640" i="1"/>
  <c r="G641" i="1"/>
  <c r="H641" i="1"/>
  <c r="G642" i="1"/>
  <c r="H642" i="1"/>
  <c r="G643" i="1"/>
  <c r="H643" i="1"/>
  <c r="G644" i="1"/>
  <c r="H644" i="1"/>
  <c r="G645" i="1"/>
  <c r="H645" i="1"/>
  <c r="G646" i="1"/>
  <c r="H646" i="1"/>
  <c r="G647" i="1"/>
  <c r="H647" i="1"/>
  <c r="G648" i="1"/>
  <c r="H648" i="1"/>
  <c r="G649" i="1"/>
  <c r="H649" i="1"/>
  <c r="G650" i="1"/>
  <c r="H650" i="1"/>
  <c r="G651" i="1"/>
  <c r="H651" i="1"/>
  <c r="G652" i="1"/>
  <c r="H652" i="1"/>
  <c r="G653" i="1"/>
  <c r="H653" i="1"/>
  <c r="G654" i="1"/>
  <c r="H654" i="1"/>
  <c r="G655" i="1"/>
  <c r="H655" i="1"/>
  <c r="G656" i="1"/>
  <c r="H656" i="1"/>
  <c r="G657" i="1"/>
  <c r="H657" i="1"/>
  <c r="G658" i="1"/>
  <c r="H658" i="1"/>
  <c r="G659" i="1"/>
  <c r="H659" i="1"/>
  <c r="G660" i="1"/>
  <c r="H660" i="1"/>
  <c r="G661" i="1"/>
  <c r="H661" i="1"/>
  <c r="G662" i="1"/>
  <c r="H662" i="1"/>
  <c r="G663" i="1"/>
  <c r="H663" i="1"/>
  <c r="G664" i="1"/>
  <c r="H664" i="1"/>
  <c r="G665" i="1"/>
  <c r="H665" i="1"/>
  <c r="G666" i="1"/>
  <c r="H666" i="1"/>
  <c r="G667" i="1"/>
  <c r="H667" i="1"/>
  <c r="G668" i="1"/>
  <c r="H668" i="1"/>
  <c r="G669" i="1"/>
  <c r="H669" i="1"/>
  <c r="G670" i="1"/>
  <c r="H670" i="1"/>
  <c r="G671" i="1"/>
  <c r="H671" i="1"/>
  <c r="G672" i="1"/>
  <c r="H672" i="1"/>
  <c r="G673" i="1"/>
  <c r="H673" i="1"/>
  <c r="G674" i="1"/>
  <c r="H674" i="1"/>
  <c r="G675" i="1"/>
  <c r="H675" i="1"/>
  <c r="G676" i="1"/>
  <c r="H676" i="1"/>
  <c r="G677" i="1"/>
  <c r="H677" i="1"/>
  <c r="G678" i="1"/>
  <c r="H678" i="1"/>
  <c r="G679" i="1"/>
  <c r="H679" i="1"/>
  <c r="G680" i="1"/>
  <c r="H680" i="1"/>
  <c r="G681" i="1"/>
  <c r="H681" i="1"/>
  <c r="G682" i="1"/>
  <c r="H682" i="1"/>
  <c r="G683" i="1"/>
  <c r="H683" i="1"/>
  <c r="G684" i="1"/>
  <c r="H684" i="1"/>
  <c r="G685" i="1"/>
  <c r="H685" i="1"/>
  <c r="G686" i="1"/>
  <c r="H686" i="1"/>
  <c r="G687" i="1"/>
  <c r="H687" i="1"/>
  <c r="G688" i="1"/>
  <c r="H688" i="1"/>
  <c r="G689" i="1"/>
  <c r="H689" i="1"/>
  <c r="G690" i="1"/>
  <c r="H690" i="1"/>
  <c r="G691" i="1"/>
  <c r="H691" i="1"/>
  <c r="G692" i="1"/>
  <c r="H692" i="1"/>
  <c r="G693" i="1"/>
  <c r="H693" i="1"/>
  <c r="G694" i="1"/>
  <c r="H694" i="1"/>
  <c r="G695" i="1"/>
  <c r="H695" i="1"/>
  <c r="G696" i="1"/>
  <c r="H696" i="1"/>
  <c r="G697" i="1"/>
  <c r="H697" i="1"/>
  <c r="G698" i="1"/>
  <c r="H698" i="1"/>
  <c r="G699" i="1"/>
  <c r="H699" i="1"/>
  <c r="G700" i="1"/>
  <c r="H700" i="1"/>
  <c r="G701" i="1"/>
  <c r="H701" i="1"/>
  <c r="G702" i="1"/>
  <c r="H702" i="1"/>
  <c r="G703" i="1"/>
  <c r="H703" i="1"/>
  <c r="G704" i="1"/>
  <c r="H704" i="1"/>
  <c r="G705" i="1"/>
  <c r="H705" i="1"/>
  <c r="G706" i="1"/>
  <c r="H706" i="1"/>
  <c r="G707" i="1"/>
  <c r="H707" i="1"/>
  <c r="G708" i="1"/>
  <c r="H708" i="1"/>
  <c r="G709" i="1"/>
  <c r="H709" i="1"/>
  <c r="G710" i="1"/>
  <c r="H710" i="1"/>
  <c r="G711" i="1"/>
  <c r="H711" i="1"/>
  <c r="G712" i="1"/>
  <c r="H712" i="1"/>
  <c r="G713" i="1"/>
  <c r="H713" i="1"/>
  <c r="G714" i="1"/>
  <c r="H714" i="1"/>
  <c r="G715" i="1"/>
  <c r="H715" i="1"/>
  <c r="G716" i="1"/>
  <c r="H716" i="1"/>
  <c r="G717" i="1"/>
  <c r="H717" i="1"/>
  <c r="G718" i="1"/>
  <c r="H718" i="1"/>
  <c r="G719" i="1"/>
  <c r="H719" i="1"/>
  <c r="G720" i="1"/>
  <c r="H720" i="1"/>
  <c r="G721" i="1"/>
  <c r="H721" i="1"/>
  <c r="G722" i="1"/>
  <c r="H722" i="1"/>
  <c r="G723" i="1"/>
  <c r="H723" i="1"/>
  <c r="G724" i="1"/>
  <c r="H724" i="1"/>
  <c r="G725" i="1"/>
  <c r="H725" i="1"/>
  <c r="G726" i="1"/>
  <c r="H726" i="1"/>
  <c r="G727" i="1"/>
  <c r="H727" i="1"/>
  <c r="G728" i="1"/>
  <c r="H728" i="1"/>
  <c r="G729" i="1"/>
  <c r="H729" i="1"/>
  <c r="G730" i="1"/>
  <c r="H730" i="1"/>
  <c r="G731" i="1"/>
  <c r="H731" i="1"/>
  <c r="G732" i="1"/>
  <c r="H732" i="1"/>
  <c r="G733" i="1"/>
  <c r="H733" i="1"/>
  <c r="G734" i="1"/>
  <c r="H734" i="1"/>
  <c r="G735" i="1"/>
  <c r="H735" i="1"/>
  <c r="G736" i="1"/>
  <c r="H736" i="1"/>
  <c r="G737" i="1"/>
  <c r="H737" i="1"/>
  <c r="G738" i="1"/>
  <c r="H738" i="1"/>
  <c r="G739" i="1"/>
  <c r="H739" i="1"/>
  <c r="G740" i="1"/>
  <c r="H740" i="1"/>
  <c r="G741" i="1"/>
  <c r="H741" i="1"/>
  <c r="G742" i="1"/>
  <c r="H742" i="1"/>
  <c r="G743" i="1"/>
  <c r="H743" i="1"/>
  <c r="G744" i="1"/>
  <c r="H744" i="1"/>
  <c r="G745" i="1"/>
  <c r="H745" i="1"/>
  <c r="G746" i="1"/>
  <c r="H746" i="1"/>
  <c r="G747" i="1"/>
  <c r="H747" i="1"/>
  <c r="G748" i="1"/>
  <c r="H748" i="1"/>
  <c r="G749" i="1"/>
  <c r="H749" i="1"/>
  <c r="G750" i="1"/>
  <c r="H750" i="1"/>
  <c r="G751" i="1"/>
  <c r="H751" i="1"/>
  <c r="G752" i="1"/>
  <c r="H752" i="1"/>
  <c r="G753" i="1"/>
  <c r="H753" i="1"/>
  <c r="G754" i="1"/>
  <c r="H754" i="1"/>
  <c r="G755" i="1"/>
  <c r="H755" i="1"/>
  <c r="G756" i="1"/>
  <c r="H756" i="1"/>
  <c r="G757" i="1"/>
  <c r="H757" i="1"/>
  <c r="G758" i="1"/>
  <c r="H758" i="1"/>
  <c r="G759" i="1"/>
  <c r="H759" i="1"/>
  <c r="G760" i="1"/>
  <c r="H760" i="1"/>
  <c r="G761" i="1"/>
  <c r="H761" i="1"/>
  <c r="G762" i="1"/>
  <c r="H762" i="1"/>
  <c r="G763" i="1"/>
  <c r="H763" i="1"/>
  <c r="G764" i="1"/>
  <c r="H764" i="1"/>
  <c r="G765" i="1"/>
  <c r="H765" i="1"/>
  <c r="G766" i="1"/>
  <c r="H766" i="1"/>
  <c r="G767" i="1"/>
  <c r="H767" i="1"/>
  <c r="G768" i="1"/>
  <c r="H768" i="1"/>
  <c r="G769" i="1"/>
  <c r="H769" i="1"/>
  <c r="G770" i="1"/>
  <c r="H770" i="1"/>
  <c r="G771" i="1"/>
  <c r="H771" i="1"/>
  <c r="G772" i="1"/>
  <c r="H772" i="1"/>
  <c r="G773" i="1"/>
  <c r="H773" i="1"/>
  <c r="G774" i="1"/>
  <c r="H774" i="1"/>
  <c r="G775" i="1"/>
  <c r="H775" i="1"/>
  <c r="G776" i="1"/>
  <c r="H776" i="1"/>
  <c r="G777" i="1"/>
  <c r="H777" i="1"/>
  <c r="G778" i="1"/>
  <c r="H778" i="1"/>
  <c r="G779" i="1"/>
  <c r="H779" i="1"/>
  <c r="G780" i="1"/>
  <c r="H780" i="1"/>
  <c r="G781" i="1"/>
  <c r="H781" i="1"/>
  <c r="G782" i="1"/>
  <c r="H782" i="1"/>
  <c r="G783" i="1"/>
  <c r="H783" i="1"/>
  <c r="G784" i="1"/>
  <c r="H784" i="1"/>
  <c r="G785" i="1"/>
  <c r="H785" i="1"/>
  <c r="G786" i="1"/>
  <c r="H786" i="1"/>
  <c r="G787" i="1"/>
  <c r="H787" i="1"/>
  <c r="G788" i="1"/>
  <c r="H788" i="1"/>
  <c r="G789" i="1"/>
  <c r="H789" i="1"/>
  <c r="G790" i="1"/>
  <c r="H790" i="1"/>
  <c r="G791" i="1"/>
  <c r="H791" i="1"/>
  <c r="G792" i="1"/>
  <c r="H792" i="1"/>
  <c r="G793" i="1"/>
  <c r="H793" i="1"/>
  <c r="G794" i="1"/>
  <c r="H794" i="1"/>
  <c r="G795" i="1"/>
  <c r="H795" i="1"/>
  <c r="G796" i="1"/>
  <c r="H796" i="1"/>
  <c r="G797" i="1"/>
  <c r="H797" i="1"/>
  <c r="G798" i="1"/>
  <c r="H798" i="1"/>
  <c r="G799" i="1"/>
  <c r="H799" i="1"/>
  <c r="G800" i="1"/>
  <c r="H800" i="1"/>
  <c r="G801" i="1"/>
  <c r="H801" i="1"/>
  <c r="G802" i="1"/>
  <c r="H802" i="1"/>
  <c r="G803" i="1"/>
  <c r="H803" i="1"/>
  <c r="G804" i="1"/>
  <c r="H804" i="1"/>
  <c r="G805" i="1"/>
  <c r="H805" i="1"/>
  <c r="G806" i="1"/>
  <c r="H806" i="1"/>
  <c r="G807" i="1"/>
  <c r="H807" i="1"/>
  <c r="G808" i="1"/>
  <c r="H808" i="1"/>
  <c r="G809" i="1"/>
  <c r="H809" i="1"/>
  <c r="G810" i="1"/>
  <c r="H810" i="1"/>
  <c r="G811" i="1"/>
  <c r="H811" i="1"/>
  <c r="G812" i="1"/>
  <c r="H812" i="1"/>
  <c r="G813" i="1"/>
  <c r="H813" i="1"/>
  <c r="G814" i="1"/>
  <c r="H814" i="1"/>
  <c r="G815" i="1"/>
  <c r="H815" i="1"/>
  <c r="G816" i="1"/>
  <c r="H816" i="1"/>
  <c r="G817" i="1"/>
  <c r="H817" i="1"/>
  <c r="G818" i="1"/>
  <c r="H818" i="1"/>
  <c r="G819" i="1"/>
  <c r="H819" i="1"/>
  <c r="G820" i="1"/>
  <c r="H820" i="1"/>
  <c r="G821" i="1"/>
  <c r="H821" i="1"/>
  <c r="G822" i="1"/>
  <c r="H822" i="1"/>
  <c r="G823" i="1"/>
  <c r="H823" i="1"/>
  <c r="G824" i="1"/>
  <c r="H824" i="1"/>
  <c r="G825" i="1"/>
  <c r="H825" i="1"/>
  <c r="G826" i="1"/>
  <c r="H826" i="1"/>
  <c r="G827" i="1"/>
  <c r="H827" i="1"/>
  <c r="G828" i="1"/>
  <c r="H828" i="1"/>
  <c r="G829" i="1"/>
  <c r="H829" i="1"/>
  <c r="G830" i="1"/>
  <c r="H830" i="1"/>
  <c r="G831" i="1"/>
  <c r="H831" i="1"/>
  <c r="G832" i="1"/>
  <c r="H832" i="1"/>
  <c r="G833" i="1"/>
  <c r="H833" i="1"/>
  <c r="G834" i="1"/>
  <c r="H834" i="1"/>
  <c r="G835" i="1"/>
  <c r="H835" i="1"/>
  <c r="G836" i="1"/>
  <c r="H836" i="1"/>
  <c r="G837" i="1"/>
  <c r="H837" i="1"/>
  <c r="G838" i="1"/>
  <c r="H838" i="1"/>
  <c r="G839" i="1"/>
  <c r="H839" i="1"/>
  <c r="G840" i="1"/>
  <c r="H840" i="1"/>
  <c r="G841" i="1"/>
  <c r="H841" i="1"/>
  <c r="G842" i="1"/>
  <c r="H842" i="1"/>
  <c r="G843" i="1"/>
  <c r="H843" i="1"/>
  <c r="G844" i="1"/>
  <c r="H844" i="1"/>
  <c r="G845" i="1"/>
  <c r="H845" i="1"/>
  <c r="G846" i="1"/>
  <c r="H846" i="1"/>
  <c r="G847" i="1"/>
  <c r="H847" i="1"/>
  <c r="G848" i="1"/>
  <c r="H848" i="1"/>
  <c r="G849" i="1"/>
  <c r="H849" i="1"/>
  <c r="G850" i="1"/>
  <c r="H850" i="1"/>
  <c r="G851" i="1"/>
  <c r="H851" i="1"/>
  <c r="G852" i="1"/>
  <c r="H852" i="1"/>
  <c r="G853" i="1"/>
  <c r="H853" i="1"/>
  <c r="G854" i="1"/>
  <c r="H854" i="1"/>
  <c r="G855" i="1"/>
  <c r="H855" i="1"/>
  <c r="G856" i="1"/>
  <c r="H856" i="1"/>
  <c r="G857" i="1"/>
  <c r="H857" i="1"/>
  <c r="G858" i="1"/>
  <c r="H858" i="1"/>
  <c r="G859" i="1"/>
  <c r="H859" i="1"/>
  <c r="G860" i="1"/>
  <c r="H860" i="1"/>
  <c r="G861" i="1"/>
  <c r="H861" i="1"/>
  <c r="G862" i="1"/>
  <c r="H862" i="1"/>
  <c r="G863" i="1"/>
  <c r="H863" i="1"/>
  <c r="G864" i="1"/>
  <c r="H864" i="1"/>
  <c r="G865" i="1"/>
  <c r="H865" i="1"/>
  <c r="G866" i="1"/>
  <c r="H866" i="1"/>
  <c r="G867" i="1"/>
  <c r="H867" i="1"/>
  <c r="G868" i="1"/>
  <c r="H868" i="1"/>
  <c r="G869" i="1"/>
  <c r="H869" i="1"/>
  <c r="G870" i="1"/>
  <c r="H870" i="1"/>
  <c r="G871" i="1"/>
  <c r="H871" i="1"/>
  <c r="G872" i="1"/>
  <c r="H872" i="1"/>
  <c r="G873" i="1"/>
  <c r="H873" i="1"/>
  <c r="G874" i="1"/>
  <c r="H874" i="1"/>
  <c r="G875" i="1"/>
  <c r="H875" i="1"/>
  <c r="G876" i="1"/>
  <c r="H876" i="1"/>
  <c r="G877" i="1"/>
  <c r="H877" i="1"/>
  <c r="G878" i="1"/>
  <c r="H878" i="1"/>
  <c r="G879" i="1"/>
  <c r="H879" i="1"/>
  <c r="G880" i="1"/>
  <c r="H880" i="1"/>
  <c r="G881" i="1"/>
  <c r="H881" i="1"/>
  <c r="G882" i="1"/>
  <c r="H882" i="1"/>
  <c r="G883" i="1"/>
  <c r="H883" i="1"/>
  <c r="G884" i="1"/>
  <c r="H884" i="1"/>
  <c r="G885" i="1"/>
  <c r="H885" i="1"/>
  <c r="G886" i="1"/>
  <c r="H886" i="1"/>
  <c r="G887" i="1"/>
  <c r="H887" i="1"/>
  <c r="G888" i="1"/>
  <c r="H888" i="1"/>
  <c r="G889" i="1"/>
  <c r="H889" i="1"/>
  <c r="G890" i="1"/>
  <c r="H890" i="1"/>
  <c r="G891" i="1"/>
  <c r="H891" i="1"/>
  <c r="G892" i="1"/>
  <c r="H892" i="1"/>
  <c r="G893" i="1"/>
  <c r="H893" i="1"/>
  <c r="G894" i="1"/>
  <c r="H894" i="1"/>
  <c r="G895" i="1"/>
  <c r="H895" i="1"/>
  <c r="G896" i="1"/>
  <c r="H896" i="1"/>
  <c r="G897" i="1"/>
  <c r="H897" i="1"/>
  <c r="G898" i="1"/>
  <c r="H898" i="1"/>
  <c r="G899" i="1"/>
  <c r="H899" i="1"/>
  <c r="G900" i="1"/>
  <c r="H900" i="1"/>
  <c r="G901" i="1"/>
  <c r="H901" i="1"/>
  <c r="G902" i="1"/>
  <c r="H902" i="1"/>
  <c r="G903" i="1"/>
  <c r="H903" i="1"/>
  <c r="G904" i="1"/>
  <c r="H904" i="1"/>
  <c r="G905" i="1"/>
  <c r="H905" i="1"/>
  <c r="G906" i="1"/>
  <c r="H906" i="1"/>
  <c r="G907" i="1"/>
  <c r="H907" i="1"/>
  <c r="G908" i="1"/>
  <c r="H908" i="1"/>
  <c r="G909" i="1"/>
  <c r="H909" i="1"/>
  <c r="G910" i="1"/>
  <c r="H910" i="1"/>
  <c r="G911" i="1"/>
  <c r="H911" i="1"/>
  <c r="G912" i="1"/>
  <c r="H912" i="1"/>
  <c r="G913" i="1"/>
  <c r="H913" i="1"/>
  <c r="G914" i="1"/>
  <c r="H914" i="1"/>
  <c r="G915" i="1"/>
  <c r="H915" i="1"/>
  <c r="G916" i="1"/>
  <c r="H916" i="1"/>
  <c r="G917" i="1"/>
  <c r="H917" i="1"/>
  <c r="G918" i="1"/>
  <c r="H918" i="1"/>
  <c r="G919" i="1"/>
  <c r="H919" i="1"/>
  <c r="G920" i="1"/>
  <c r="H920" i="1"/>
  <c r="G921" i="1"/>
  <c r="H921" i="1"/>
  <c r="G922" i="1"/>
  <c r="H922" i="1"/>
  <c r="G923" i="1"/>
  <c r="H923" i="1"/>
  <c r="G924" i="1"/>
  <c r="H924" i="1"/>
  <c r="G925" i="1"/>
  <c r="H925" i="1"/>
  <c r="G926" i="1"/>
  <c r="H926" i="1"/>
  <c r="G927" i="1"/>
  <c r="H927" i="1"/>
  <c r="G928" i="1"/>
  <c r="H928" i="1"/>
  <c r="G929" i="1"/>
  <c r="H929" i="1"/>
  <c r="G930" i="1"/>
  <c r="H930" i="1"/>
  <c r="G931" i="1"/>
  <c r="H931" i="1"/>
  <c r="G932" i="1"/>
  <c r="H932" i="1"/>
  <c r="G933" i="1"/>
  <c r="H933" i="1"/>
  <c r="G934" i="1"/>
  <c r="H934" i="1"/>
  <c r="G935" i="1"/>
  <c r="H935" i="1"/>
  <c r="G936" i="1"/>
  <c r="H936" i="1"/>
  <c r="G937" i="1"/>
  <c r="H937" i="1"/>
  <c r="G938" i="1"/>
  <c r="H938" i="1"/>
  <c r="G939" i="1"/>
  <c r="H939" i="1"/>
  <c r="G940" i="1"/>
  <c r="H940" i="1"/>
  <c r="G941" i="1"/>
  <c r="H941" i="1"/>
  <c r="G942" i="1"/>
  <c r="H942" i="1"/>
  <c r="G943" i="1"/>
  <c r="H943" i="1"/>
  <c r="G944" i="1"/>
  <c r="H944" i="1"/>
  <c r="G945" i="1"/>
  <c r="H945" i="1"/>
  <c r="G946" i="1"/>
  <c r="H946" i="1"/>
  <c r="G947" i="1"/>
  <c r="H947" i="1"/>
  <c r="G948" i="1"/>
  <c r="H948" i="1"/>
  <c r="G949" i="1"/>
  <c r="H949" i="1"/>
  <c r="G950" i="1"/>
  <c r="H950" i="1"/>
  <c r="G951" i="1"/>
  <c r="H951" i="1"/>
  <c r="G952" i="1"/>
  <c r="H952" i="1"/>
  <c r="G953" i="1"/>
  <c r="H953" i="1"/>
  <c r="G954" i="1"/>
  <c r="H954" i="1"/>
  <c r="G955" i="1"/>
  <c r="H955" i="1"/>
  <c r="G956" i="1"/>
  <c r="H956" i="1"/>
  <c r="G957" i="1"/>
  <c r="H957" i="1"/>
  <c r="G958" i="1"/>
  <c r="H958" i="1"/>
  <c r="G959" i="1"/>
  <c r="H959" i="1"/>
  <c r="G960" i="1"/>
  <c r="H960" i="1"/>
  <c r="G961" i="1"/>
  <c r="H961" i="1"/>
  <c r="G962" i="1"/>
  <c r="H962" i="1"/>
  <c r="G963" i="1"/>
  <c r="H963" i="1"/>
  <c r="G964" i="1"/>
  <c r="H964" i="1"/>
  <c r="G965" i="1"/>
  <c r="H965" i="1"/>
  <c r="G966" i="1"/>
  <c r="H966" i="1"/>
  <c r="G967" i="1"/>
  <c r="H967" i="1"/>
  <c r="G968" i="1"/>
  <c r="H968" i="1"/>
  <c r="G969" i="1"/>
  <c r="H969" i="1"/>
  <c r="G970" i="1"/>
  <c r="H970" i="1"/>
  <c r="G971" i="1"/>
  <c r="H971" i="1"/>
  <c r="G972" i="1"/>
  <c r="H972" i="1"/>
  <c r="G973" i="1"/>
  <c r="H973" i="1"/>
  <c r="G974" i="1"/>
  <c r="H974" i="1"/>
  <c r="G975" i="1"/>
  <c r="H975" i="1"/>
  <c r="G976" i="1"/>
  <c r="H976" i="1"/>
  <c r="G977" i="1"/>
  <c r="H977" i="1"/>
  <c r="G978" i="1"/>
  <c r="H978" i="1"/>
  <c r="G979" i="1"/>
  <c r="H979" i="1"/>
  <c r="G980" i="1"/>
  <c r="H980" i="1"/>
  <c r="G981" i="1"/>
  <c r="H981" i="1"/>
  <c r="G982" i="1"/>
  <c r="H982" i="1"/>
  <c r="G983" i="1"/>
  <c r="H983" i="1"/>
  <c r="G984" i="1"/>
  <c r="H984" i="1"/>
  <c r="G985" i="1"/>
  <c r="H985" i="1"/>
  <c r="G986" i="1"/>
  <c r="H986" i="1"/>
  <c r="G987" i="1"/>
  <c r="H987" i="1"/>
  <c r="G988" i="1"/>
  <c r="H988" i="1"/>
  <c r="G989" i="1"/>
  <c r="H989" i="1"/>
  <c r="G990" i="1"/>
  <c r="H990" i="1"/>
  <c r="G991" i="1"/>
  <c r="H991" i="1"/>
  <c r="G992" i="1"/>
  <c r="H992" i="1"/>
  <c r="G993" i="1"/>
  <c r="H993" i="1"/>
  <c r="G994" i="1"/>
  <c r="H994" i="1"/>
  <c r="G995" i="1"/>
  <c r="H995" i="1"/>
  <c r="G996" i="1"/>
  <c r="H996" i="1"/>
  <c r="G997" i="1"/>
  <c r="H997" i="1"/>
  <c r="G998" i="1"/>
  <c r="H998" i="1"/>
  <c r="G999" i="1"/>
  <c r="H999" i="1"/>
  <c r="G1000" i="1"/>
  <c r="H1000" i="1"/>
  <c r="G1001" i="1"/>
  <c r="H1001" i="1"/>
  <c r="G1002" i="1"/>
  <c r="H1002" i="1"/>
  <c r="G1003" i="1"/>
  <c r="H1003" i="1"/>
  <c r="G1004" i="1"/>
  <c r="H1004" i="1"/>
  <c r="G1005" i="1"/>
  <c r="H1005" i="1"/>
  <c r="G1006" i="1"/>
  <c r="H1006" i="1"/>
  <c r="G1007" i="1"/>
  <c r="H1007" i="1"/>
  <c r="G1008" i="1"/>
  <c r="H1008" i="1"/>
  <c r="G1009" i="1"/>
  <c r="H1009" i="1"/>
  <c r="G1010" i="1"/>
  <c r="H1010" i="1"/>
  <c r="G1011" i="1"/>
  <c r="H1011" i="1"/>
  <c r="G1012" i="1"/>
  <c r="H1012" i="1"/>
  <c r="G1013" i="1"/>
  <c r="H1013" i="1"/>
  <c r="G1014" i="1"/>
  <c r="H1014" i="1"/>
  <c r="G1015" i="1"/>
  <c r="H1015" i="1"/>
  <c r="G1016" i="1"/>
  <c r="H1016" i="1"/>
  <c r="G1017" i="1"/>
  <c r="H1017" i="1"/>
  <c r="G1018" i="1"/>
  <c r="H1018" i="1"/>
  <c r="G1019" i="1"/>
  <c r="H1019" i="1"/>
  <c r="G1020" i="1"/>
  <c r="H1020" i="1"/>
  <c r="G1021" i="1"/>
  <c r="H1021" i="1"/>
  <c r="G1022" i="1"/>
  <c r="H1022" i="1"/>
  <c r="G1023" i="1"/>
  <c r="H1023" i="1"/>
  <c r="G1024" i="1"/>
  <c r="H1024" i="1"/>
  <c r="G1025" i="1"/>
  <c r="H1025" i="1"/>
  <c r="G1026" i="1"/>
  <c r="H1026" i="1"/>
  <c r="G1027" i="1"/>
  <c r="H1027" i="1"/>
  <c r="G1028" i="1"/>
  <c r="H1028" i="1"/>
  <c r="G1029" i="1"/>
  <c r="H1029" i="1"/>
  <c r="G1030" i="1"/>
  <c r="H1030" i="1"/>
  <c r="G1031" i="1"/>
  <c r="H1031" i="1"/>
  <c r="G1032" i="1"/>
  <c r="H1032" i="1"/>
  <c r="G1033" i="1"/>
  <c r="H1033" i="1"/>
  <c r="G1034" i="1"/>
  <c r="H1034" i="1"/>
  <c r="G1035" i="1"/>
  <c r="H1035" i="1"/>
  <c r="G1036" i="1"/>
  <c r="H1036" i="1"/>
  <c r="G1037" i="1"/>
  <c r="H1037" i="1"/>
  <c r="G1038" i="1"/>
  <c r="H1038" i="1"/>
  <c r="G1039" i="1"/>
  <c r="H1039" i="1"/>
  <c r="G1040" i="1"/>
  <c r="H1040" i="1"/>
  <c r="G1041" i="1"/>
  <c r="H1041" i="1"/>
  <c r="G1042" i="1"/>
  <c r="H1042" i="1"/>
  <c r="G1043" i="1"/>
  <c r="H1043" i="1"/>
  <c r="G1044" i="1"/>
  <c r="H1044" i="1"/>
  <c r="G1045" i="1"/>
  <c r="H1045" i="1"/>
  <c r="G1046" i="1"/>
  <c r="H1046" i="1"/>
  <c r="G1047" i="1"/>
  <c r="H1047" i="1"/>
  <c r="G1048" i="1"/>
  <c r="H1048" i="1"/>
  <c r="G1049" i="1"/>
  <c r="H1049" i="1"/>
  <c r="G1050" i="1"/>
  <c r="H1050" i="1"/>
  <c r="G1051" i="1"/>
  <c r="H1051" i="1"/>
  <c r="G1052" i="1"/>
  <c r="H1052" i="1"/>
  <c r="G1053" i="1"/>
  <c r="H1053" i="1"/>
  <c r="G1054" i="1"/>
  <c r="H1054" i="1"/>
  <c r="G1055" i="1"/>
  <c r="H1055" i="1"/>
  <c r="G1056" i="1"/>
  <c r="H1056" i="1"/>
  <c r="G1057" i="1"/>
  <c r="H1057" i="1"/>
  <c r="G1058" i="1"/>
  <c r="H1058" i="1"/>
  <c r="G1059" i="1"/>
  <c r="H1059" i="1"/>
  <c r="G1060" i="1"/>
  <c r="H1060" i="1"/>
  <c r="G1061" i="1"/>
  <c r="H1061" i="1"/>
  <c r="G1062" i="1"/>
  <c r="H1062" i="1"/>
  <c r="G1063" i="1"/>
  <c r="H1063" i="1"/>
  <c r="G1064" i="1"/>
  <c r="H1064" i="1"/>
  <c r="G1065" i="1"/>
  <c r="H1065" i="1"/>
  <c r="G1066" i="1"/>
  <c r="H1066" i="1"/>
  <c r="G1067" i="1"/>
  <c r="H1067" i="1"/>
  <c r="G1068" i="1"/>
  <c r="H1068" i="1"/>
  <c r="G1069" i="1"/>
  <c r="H1069" i="1"/>
  <c r="G1070" i="1"/>
  <c r="H1070" i="1"/>
  <c r="G1071" i="1"/>
  <c r="H1071" i="1"/>
  <c r="G1072" i="1"/>
  <c r="H1072" i="1"/>
  <c r="G1073" i="1"/>
  <c r="H1073" i="1"/>
  <c r="G1074" i="1"/>
  <c r="H1074" i="1"/>
  <c r="G1075" i="1"/>
  <c r="H1075" i="1"/>
  <c r="G1076" i="1"/>
  <c r="H1076" i="1"/>
  <c r="G1077" i="1"/>
  <c r="H1077" i="1"/>
  <c r="G1078" i="1"/>
  <c r="H1078" i="1"/>
  <c r="G1079" i="1"/>
  <c r="H1079" i="1"/>
  <c r="G1080" i="1"/>
  <c r="H1080" i="1"/>
  <c r="G1081" i="1"/>
  <c r="H1081" i="1"/>
  <c r="G1082" i="1"/>
  <c r="H1082" i="1"/>
  <c r="G1083" i="1"/>
  <c r="H1083" i="1"/>
  <c r="G1084" i="1"/>
  <c r="H1084" i="1"/>
  <c r="G1085" i="1"/>
  <c r="H1085" i="1"/>
  <c r="G1086" i="1"/>
  <c r="H1086" i="1"/>
  <c r="G1087" i="1"/>
  <c r="H1087" i="1"/>
  <c r="G1088" i="1"/>
  <c r="H1088" i="1"/>
  <c r="G1089" i="1"/>
  <c r="H1089" i="1"/>
  <c r="G1090" i="1"/>
  <c r="H1090" i="1"/>
  <c r="G1091" i="1"/>
  <c r="H1091" i="1"/>
  <c r="G1092" i="1"/>
  <c r="H1092" i="1"/>
  <c r="G1093" i="1"/>
  <c r="H1093" i="1"/>
  <c r="G1094" i="1"/>
  <c r="H1094" i="1"/>
  <c r="G1095" i="1"/>
  <c r="H1095" i="1"/>
  <c r="G1096" i="1"/>
  <c r="H1096" i="1"/>
  <c r="G1097" i="1"/>
  <c r="H1097" i="1"/>
  <c r="G1098" i="1"/>
  <c r="H1098" i="1"/>
  <c r="G1099" i="1"/>
  <c r="H1099" i="1"/>
  <c r="G1100" i="1"/>
  <c r="H1100" i="1"/>
  <c r="G1101" i="1"/>
  <c r="H1101" i="1"/>
  <c r="G1102" i="1"/>
  <c r="H1102" i="1"/>
  <c r="G1103" i="1"/>
  <c r="H1103" i="1"/>
  <c r="G1104" i="1"/>
  <c r="H1104" i="1"/>
  <c r="G1105" i="1"/>
  <c r="H1105" i="1"/>
  <c r="G1106" i="1"/>
  <c r="H1106" i="1"/>
  <c r="G1107" i="1"/>
  <c r="H1107" i="1"/>
  <c r="G1108" i="1"/>
  <c r="H1108" i="1"/>
  <c r="G1109" i="1"/>
  <c r="H1109" i="1"/>
  <c r="G1110" i="1"/>
  <c r="H1110" i="1"/>
  <c r="G1111" i="1"/>
  <c r="H1111" i="1"/>
  <c r="G1112" i="1"/>
  <c r="H1112" i="1"/>
  <c r="G1113" i="1"/>
  <c r="H1113" i="1"/>
  <c r="G1114" i="1"/>
  <c r="H1114" i="1"/>
  <c r="G1115" i="1"/>
  <c r="H1115" i="1"/>
  <c r="G1116" i="1"/>
  <c r="H1116" i="1"/>
  <c r="G1117" i="1"/>
  <c r="H1117" i="1"/>
  <c r="G1118" i="1"/>
  <c r="H1118" i="1"/>
  <c r="G1119" i="1"/>
  <c r="H1119" i="1"/>
  <c r="G1120" i="1"/>
  <c r="H1120" i="1"/>
  <c r="G1121" i="1"/>
  <c r="H1121" i="1"/>
  <c r="G1122" i="1"/>
  <c r="H1122" i="1"/>
  <c r="G1123" i="1"/>
  <c r="H1123" i="1"/>
  <c r="G1124" i="1"/>
  <c r="H1124" i="1"/>
  <c r="G1125" i="1"/>
  <c r="H1125" i="1"/>
  <c r="G1126" i="1"/>
  <c r="H1126" i="1"/>
  <c r="G1127" i="1"/>
  <c r="H1127" i="1"/>
  <c r="G1128" i="1"/>
  <c r="H1128" i="1"/>
  <c r="G1129" i="1"/>
  <c r="H1129" i="1"/>
  <c r="G1130" i="1"/>
  <c r="H1130" i="1"/>
  <c r="G1131" i="1"/>
  <c r="H1131" i="1"/>
  <c r="G1132" i="1"/>
  <c r="H1132" i="1"/>
  <c r="G1133" i="1"/>
  <c r="H1133" i="1"/>
  <c r="G1134" i="1"/>
  <c r="H1134" i="1"/>
  <c r="G1135" i="1"/>
  <c r="H1135" i="1"/>
  <c r="G1136" i="1"/>
  <c r="H1136" i="1"/>
  <c r="G1137" i="1"/>
  <c r="H1137" i="1"/>
  <c r="G1138" i="1"/>
  <c r="H1138" i="1"/>
  <c r="G1139" i="1"/>
  <c r="H1139" i="1"/>
  <c r="G1140" i="1"/>
  <c r="H1140" i="1"/>
  <c r="G1141" i="1"/>
  <c r="H1141" i="1"/>
  <c r="G1142" i="1"/>
  <c r="H1142" i="1"/>
  <c r="G1143" i="1"/>
  <c r="H1143" i="1"/>
  <c r="G1144" i="1"/>
  <c r="H1144" i="1"/>
  <c r="G1145" i="1"/>
  <c r="H1145" i="1"/>
  <c r="G1146" i="1"/>
  <c r="H1146" i="1"/>
  <c r="G1147" i="1"/>
  <c r="H1147" i="1"/>
  <c r="G1148" i="1"/>
  <c r="H1148" i="1"/>
  <c r="G1149" i="1"/>
  <c r="H1149" i="1"/>
  <c r="G1150" i="1"/>
  <c r="H1150" i="1"/>
  <c r="G1151" i="1"/>
  <c r="H1151" i="1"/>
  <c r="G1152" i="1"/>
  <c r="H1152" i="1"/>
  <c r="G1153" i="1"/>
  <c r="H1153" i="1"/>
  <c r="G1154" i="1"/>
  <c r="H1154" i="1"/>
  <c r="G1155" i="1"/>
  <c r="H1155" i="1"/>
  <c r="G1156" i="1"/>
  <c r="H1156" i="1"/>
  <c r="G1157" i="1"/>
  <c r="H1157" i="1"/>
  <c r="G1158" i="1"/>
  <c r="H1158" i="1"/>
  <c r="G1159" i="1"/>
  <c r="H1159" i="1"/>
  <c r="G1160" i="1"/>
  <c r="H1160" i="1"/>
  <c r="G1161" i="1"/>
  <c r="H1161" i="1"/>
  <c r="G1162" i="1"/>
  <c r="H1162" i="1"/>
  <c r="G1163" i="1"/>
  <c r="H1163" i="1"/>
  <c r="G1164" i="1"/>
  <c r="H1164" i="1"/>
  <c r="G1165" i="1"/>
  <c r="H1165" i="1"/>
  <c r="G1166" i="1"/>
  <c r="H1166" i="1"/>
  <c r="G1167" i="1"/>
  <c r="H1167" i="1"/>
  <c r="G1168" i="1"/>
  <c r="H1168" i="1"/>
  <c r="G1169" i="1"/>
  <c r="H1169" i="1"/>
  <c r="G1170" i="1"/>
  <c r="H1170" i="1"/>
  <c r="G1171" i="1"/>
  <c r="H1171" i="1"/>
  <c r="G1172" i="1"/>
  <c r="H1172" i="1"/>
  <c r="G1173" i="1"/>
  <c r="H1173" i="1"/>
  <c r="G1174" i="1"/>
  <c r="H1174" i="1"/>
  <c r="G1175" i="1"/>
  <c r="H1175" i="1"/>
  <c r="G1176" i="1"/>
  <c r="H1176" i="1"/>
  <c r="G1177" i="1"/>
  <c r="H1177" i="1"/>
  <c r="G1178" i="1"/>
  <c r="H1178" i="1"/>
  <c r="G1179" i="1"/>
  <c r="H1179" i="1"/>
  <c r="G1180" i="1"/>
  <c r="H1180" i="1"/>
  <c r="G1181" i="1"/>
  <c r="H1181" i="1"/>
  <c r="G1182" i="1"/>
  <c r="H1182" i="1"/>
  <c r="G1183" i="1"/>
  <c r="H1183" i="1"/>
  <c r="G1184" i="1"/>
  <c r="H1184" i="1"/>
  <c r="G1185" i="1"/>
  <c r="H1185" i="1"/>
  <c r="G1186" i="1"/>
  <c r="H1186" i="1"/>
  <c r="G1187" i="1"/>
  <c r="H1187" i="1"/>
  <c r="G1188" i="1"/>
  <c r="H1188" i="1"/>
  <c r="G1189" i="1"/>
  <c r="H1189" i="1"/>
  <c r="G1190" i="1"/>
  <c r="H1190" i="1"/>
  <c r="G1191" i="1"/>
  <c r="H1191" i="1"/>
  <c r="G1192" i="1"/>
  <c r="H1192" i="1"/>
  <c r="G1193" i="1"/>
  <c r="H1193" i="1"/>
  <c r="G1194" i="1"/>
  <c r="H1194" i="1"/>
  <c r="G1195" i="1"/>
  <c r="H1195" i="1"/>
  <c r="G1196" i="1"/>
  <c r="H1196" i="1"/>
  <c r="G1197" i="1"/>
  <c r="H1197" i="1"/>
  <c r="G1198" i="1"/>
  <c r="H1198" i="1"/>
  <c r="G1199" i="1"/>
  <c r="H1199" i="1"/>
  <c r="G1200" i="1"/>
  <c r="H1200" i="1"/>
  <c r="G1201" i="1"/>
  <c r="H1201" i="1"/>
  <c r="G1202" i="1"/>
  <c r="H1202" i="1"/>
  <c r="G1203" i="1"/>
  <c r="H1203" i="1"/>
  <c r="G1204" i="1"/>
  <c r="H1204" i="1"/>
  <c r="G1205" i="1"/>
  <c r="H1205" i="1"/>
  <c r="G1206" i="1"/>
  <c r="H1206" i="1"/>
  <c r="G1207" i="1"/>
  <c r="H1207" i="1"/>
  <c r="G1208" i="1"/>
  <c r="H1208" i="1"/>
  <c r="G1209" i="1"/>
  <c r="H1209" i="1"/>
  <c r="G1210" i="1"/>
  <c r="H1210" i="1"/>
  <c r="G1211" i="1"/>
  <c r="H1211" i="1"/>
  <c r="G1212" i="1"/>
  <c r="H1212" i="1"/>
  <c r="G1213" i="1"/>
  <c r="H1213" i="1"/>
  <c r="G1214" i="1"/>
  <c r="H1214" i="1"/>
  <c r="G1215" i="1"/>
  <c r="H1215" i="1"/>
  <c r="G1216" i="1"/>
  <c r="H1216" i="1"/>
  <c r="G1217" i="1"/>
  <c r="H1217" i="1"/>
  <c r="G1218" i="1"/>
  <c r="H1218" i="1"/>
  <c r="G1219" i="1"/>
  <c r="H1219" i="1"/>
  <c r="G1220" i="1"/>
  <c r="H1220" i="1"/>
  <c r="G1221" i="1"/>
  <c r="H1221" i="1"/>
  <c r="G1222" i="1"/>
  <c r="H1222" i="1"/>
  <c r="G1223" i="1"/>
  <c r="H1223" i="1"/>
  <c r="G1224" i="1"/>
  <c r="H1224" i="1"/>
  <c r="G1225" i="1"/>
  <c r="H1225" i="1"/>
  <c r="G1226" i="1"/>
  <c r="H1226" i="1"/>
  <c r="G1227" i="1"/>
  <c r="H1227" i="1"/>
  <c r="G1228" i="1"/>
  <c r="H1228" i="1"/>
  <c r="G1229" i="1"/>
  <c r="H1229" i="1"/>
  <c r="G1230" i="1"/>
  <c r="H1230" i="1"/>
  <c r="G1231" i="1"/>
  <c r="H1231" i="1"/>
  <c r="G1232" i="1"/>
  <c r="H1232" i="1"/>
  <c r="G1233" i="1"/>
  <c r="H1233" i="1"/>
  <c r="G1234" i="1"/>
  <c r="H1234" i="1"/>
  <c r="G1235" i="1"/>
  <c r="H1235" i="1"/>
  <c r="G1236" i="1"/>
  <c r="H1236" i="1"/>
  <c r="G1237" i="1"/>
  <c r="H1237" i="1"/>
  <c r="G1238" i="1"/>
  <c r="H1238" i="1"/>
  <c r="G1239" i="1"/>
  <c r="H1239" i="1"/>
  <c r="G1240" i="1"/>
  <c r="H1240" i="1"/>
  <c r="G1241" i="1"/>
  <c r="H1241" i="1"/>
  <c r="G1242" i="1"/>
  <c r="H1242" i="1"/>
  <c r="G1243" i="1"/>
  <c r="H1243" i="1"/>
  <c r="G1244" i="1"/>
  <c r="H1244" i="1"/>
  <c r="G1245" i="1"/>
  <c r="H1245" i="1"/>
  <c r="G1246" i="1"/>
  <c r="H1246" i="1"/>
  <c r="G1247" i="1"/>
  <c r="H1247" i="1"/>
  <c r="G1248" i="1"/>
  <c r="H1248" i="1"/>
  <c r="G1249" i="1"/>
  <c r="H1249" i="1"/>
  <c r="G1250" i="1"/>
  <c r="H1250" i="1"/>
  <c r="G1251" i="1"/>
  <c r="H1251" i="1"/>
  <c r="G1252" i="1"/>
  <c r="H1252" i="1"/>
  <c r="G1253" i="1"/>
  <c r="H1253" i="1"/>
  <c r="G1254" i="1"/>
  <c r="H1254" i="1"/>
  <c r="G1255" i="1"/>
  <c r="H1255" i="1"/>
  <c r="G1256" i="1"/>
  <c r="H1256" i="1"/>
  <c r="G1257" i="1"/>
  <c r="H1257" i="1"/>
  <c r="G1258" i="1"/>
  <c r="H1258" i="1"/>
  <c r="G1259" i="1"/>
  <c r="H1259" i="1"/>
  <c r="G1260" i="1"/>
  <c r="H1260" i="1"/>
  <c r="G1261" i="1"/>
  <c r="H1261" i="1"/>
  <c r="H5" i="1"/>
  <c r="G5" i="1"/>
  <c r="I5" i="1" a="1"/>
  <c r="K5" i="1" a="1"/>
  <c r="O5" i="1" a="1"/>
  <c r="M5" i="1" a="1"/>
  <c r="I5" i="1" l="1"/>
  <c r="O5" i="1"/>
  <c r="M5" i="1"/>
  <c r="K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<sst xmlns="http://schemas.openxmlformats.org/spreadsheetml/2006/main" count="30" uniqueCount="9">
  <si>
    <t>TSLA</t>
  </si>
  <si>
    <t>MSFT</t>
  </si>
  <si>
    <t>Dátum</t>
  </si>
  <si>
    <t>Adatok</t>
  </si>
  <si>
    <t>Loghozam</t>
  </si>
  <si>
    <t xml:space="preserve">TSLA loghozam </t>
  </si>
  <si>
    <t>+</t>
  </si>
  <si>
    <t>-</t>
  </si>
  <si>
    <t xml:space="preserve">MSFT loghozam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</si>
</sst>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3" x14ac:knownFonts="1">
    <font>
      <sz val="11"/>
      <color theme="1"/>
      <name val="Aptos Narrow"/>
      <family val="2"/>
      <charset val="238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charset val="23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14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4" fontId="0" fillId="0" borderId="3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0" fontId="0" fillId="2" borderId="2" xfId="0" applyFill="1" applyBorder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1" xfId="0" applyBorder="1"/>
    <xf numFmtId="0" fontId="0" fillId="0" borderId="3" xfId="0" applyBorder="1"/>
    <xf numFmtId="0" fontId="0" fillId="2" borderId="1" xfId="0" applyFill="1" applyBorder="1"/>
    <xf numFmtId="0" fontId="2" fillId="0" borderId="0" xfId="0" applyFont="1"/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1" fillId="2" borderId="6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0" fillId="2" borderId="15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1" fillId="2" borderId="12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/>
    </xf>
    <xf numFmtId="0" fontId="0" fillId="2" borderId="1" xfId="0" applyFill="1" applyBorder="1" applyAlignment="1">
      <alignment horizontal="center"/>
    </xf>
  </cellXfs>
  <cellStyles count="1">
    <cellStyle name="Normál" xfId="0" builtinId="0"/>
  </cellStyles>
  <dxfs count="3"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6F73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u-H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hu-HU"/>
              <a:t>TSLA, MSFT loghozamok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u-H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1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rgbClr val="002060"/>
              </a:solidFill>
              <a:ln w="9525">
                <a:noFill/>
              </a:ln>
              <a:effectLst/>
            </c:spPr>
          </c:marker>
          <c:dPt>
            <c:idx val="0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F2A4-406A-A7DA-6B5418467181}"/>
              </c:ext>
            </c:extLst>
          </c:dPt>
          <c:dPt>
            <c:idx val="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F2A4-406A-A7DA-6B5418467181}"/>
              </c:ext>
            </c:extLst>
          </c:dPt>
          <c:dPt>
            <c:idx val="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F2A4-406A-A7DA-6B5418467181}"/>
              </c:ext>
            </c:extLst>
          </c:dPt>
          <c:dPt>
            <c:idx val="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F2A4-406A-A7DA-6B5418467181}"/>
              </c:ext>
            </c:extLst>
          </c:dPt>
          <c:dPt>
            <c:idx val="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F2A4-406A-A7DA-6B5418467181}"/>
              </c:ext>
            </c:extLst>
          </c:dPt>
          <c:dPt>
            <c:idx val="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F2A4-406A-A7DA-6B5418467181}"/>
              </c:ext>
            </c:extLst>
          </c:dPt>
          <c:dPt>
            <c:idx val="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F2A4-406A-A7DA-6B5418467181}"/>
              </c:ext>
            </c:extLst>
          </c:dPt>
          <c:dPt>
            <c:idx val="7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F2A4-406A-A7DA-6B5418467181}"/>
              </c:ext>
            </c:extLst>
          </c:dPt>
          <c:dPt>
            <c:idx val="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F2A4-406A-A7DA-6B5418467181}"/>
              </c:ext>
            </c:extLst>
          </c:dPt>
          <c:dPt>
            <c:idx val="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F2A4-406A-A7DA-6B5418467181}"/>
              </c:ext>
            </c:extLst>
          </c:dPt>
          <c:dPt>
            <c:idx val="1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F2A4-406A-A7DA-6B5418467181}"/>
              </c:ext>
            </c:extLst>
          </c:dPt>
          <c:dPt>
            <c:idx val="1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F2A4-406A-A7DA-6B5418467181}"/>
              </c:ext>
            </c:extLst>
          </c:dPt>
          <c:dPt>
            <c:idx val="12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F2A4-406A-A7DA-6B5418467181}"/>
              </c:ext>
            </c:extLst>
          </c:dPt>
          <c:dPt>
            <c:idx val="1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F2A4-406A-A7DA-6B5418467181}"/>
              </c:ext>
            </c:extLst>
          </c:dPt>
          <c:dPt>
            <c:idx val="1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F2A4-406A-A7DA-6B5418467181}"/>
              </c:ext>
            </c:extLst>
          </c:dPt>
          <c:dPt>
            <c:idx val="1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F2A4-406A-A7DA-6B5418467181}"/>
              </c:ext>
            </c:extLst>
          </c:dPt>
          <c:dPt>
            <c:idx val="16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F2A4-406A-A7DA-6B5418467181}"/>
              </c:ext>
            </c:extLst>
          </c:dPt>
          <c:dPt>
            <c:idx val="1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F2A4-406A-A7DA-6B5418467181}"/>
              </c:ext>
            </c:extLst>
          </c:dPt>
          <c:dPt>
            <c:idx val="1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F2A4-406A-A7DA-6B5418467181}"/>
              </c:ext>
            </c:extLst>
          </c:dPt>
          <c:dPt>
            <c:idx val="19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F2A4-406A-A7DA-6B5418467181}"/>
              </c:ext>
            </c:extLst>
          </c:dPt>
          <c:dPt>
            <c:idx val="2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F2A4-406A-A7DA-6B5418467181}"/>
              </c:ext>
            </c:extLst>
          </c:dPt>
          <c:dPt>
            <c:idx val="2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F2A4-406A-A7DA-6B5418467181}"/>
              </c:ext>
            </c:extLst>
          </c:dPt>
          <c:dPt>
            <c:idx val="2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F2A4-406A-A7DA-6B5418467181}"/>
              </c:ext>
            </c:extLst>
          </c:dPt>
          <c:dPt>
            <c:idx val="23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F2A4-406A-A7DA-6B5418467181}"/>
              </c:ext>
            </c:extLst>
          </c:dPt>
          <c:dPt>
            <c:idx val="24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F2A4-406A-A7DA-6B5418467181}"/>
              </c:ext>
            </c:extLst>
          </c:dPt>
          <c:dPt>
            <c:idx val="2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F2A4-406A-A7DA-6B5418467181}"/>
              </c:ext>
            </c:extLst>
          </c:dPt>
          <c:dPt>
            <c:idx val="2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F2A4-406A-A7DA-6B5418467181}"/>
              </c:ext>
            </c:extLst>
          </c:dPt>
          <c:dPt>
            <c:idx val="2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F2A4-406A-A7DA-6B5418467181}"/>
              </c:ext>
            </c:extLst>
          </c:dPt>
          <c:dPt>
            <c:idx val="28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F2A4-406A-A7DA-6B5418467181}"/>
              </c:ext>
            </c:extLst>
          </c:dPt>
          <c:dPt>
            <c:idx val="2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F2A4-406A-A7DA-6B5418467181}"/>
              </c:ext>
            </c:extLst>
          </c:dPt>
          <c:dPt>
            <c:idx val="3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F2A4-406A-A7DA-6B5418467181}"/>
              </c:ext>
            </c:extLst>
          </c:dPt>
          <c:dPt>
            <c:idx val="31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F2A4-406A-A7DA-6B5418467181}"/>
              </c:ext>
            </c:extLst>
          </c:dPt>
          <c:dPt>
            <c:idx val="32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F2A4-406A-A7DA-6B5418467181}"/>
              </c:ext>
            </c:extLst>
          </c:dPt>
          <c:dPt>
            <c:idx val="3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F2A4-406A-A7DA-6B5418467181}"/>
              </c:ext>
            </c:extLst>
          </c:dPt>
          <c:dPt>
            <c:idx val="3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F2A4-406A-A7DA-6B5418467181}"/>
              </c:ext>
            </c:extLst>
          </c:dPt>
          <c:dPt>
            <c:idx val="3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F2A4-406A-A7DA-6B5418467181}"/>
              </c:ext>
            </c:extLst>
          </c:dPt>
          <c:dPt>
            <c:idx val="3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F2A4-406A-A7DA-6B5418467181}"/>
              </c:ext>
            </c:extLst>
          </c:dPt>
          <c:dPt>
            <c:idx val="3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F2A4-406A-A7DA-6B5418467181}"/>
              </c:ext>
            </c:extLst>
          </c:dPt>
          <c:dPt>
            <c:idx val="3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F2A4-406A-A7DA-6B5418467181}"/>
              </c:ext>
            </c:extLst>
          </c:dPt>
          <c:dPt>
            <c:idx val="3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F2A4-406A-A7DA-6B5418467181}"/>
              </c:ext>
            </c:extLst>
          </c:dPt>
          <c:dPt>
            <c:idx val="40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F2A4-406A-A7DA-6B5418467181}"/>
              </c:ext>
            </c:extLst>
          </c:dPt>
          <c:dPt>
            <c:idx val="41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F2A4-406A-A7DA-6B5418467181}"/>
              </c:ext>
            </c:extLst>
          </c:dPt>
          <c:dPt>
            <c:idx val="4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F2A4-406A-A7DA-6B5418467181}"/>
              </c:ext>
            </c:extLst>
          </c:dPt>
          <c:dPt>
            <c:idx val="4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F2A4-406A-A7DA-6B5418467181}"/>
              </c:ext>
            </c:extLst>
          </c:dPt>
          <c:dPt>
            <c:idx val="4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F2A4-406A-A7DA-6B5418467181}"/>
              </c:ext>
            </c:extLst>
          </c:dPt>
          <c:dPt>
            <c:idx val="4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F2A4-406A-A7DA-6B5418467181}"/>
              </c:ext>
            </c:extLst>
          </c:dPt>
          <c:dPt>
            <c:idx val="4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F2A4-406A-A7DA-6B5418467181}"/>
              </c:ext>
            </c:extLst>
          </c:dPt>
          <c:dPt>
            <c:idx val="4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F2A4-406A-A7DA-6B5418467181}"/>
              </c:ext>
            </c:extLst>
          </c:dPt>
          <c:dPt>
            <c:idx val="4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F2A4-406A-A7DA-6B5418467181}"/>
              </c:ext>
            </c:extLst>
          </c:dPt>
          <c:dPt>
            <c:idx val="4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F2A4-406A-A7DA-6B5418467181}"/>
              </c:ext>
            </c:extLst>
          </c:dPt>
          <c:dPt>
            <c:idx val="5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F2A4-406A-A7DA-6B5418467181}"/>
              </c:ext>
            </c:extLst>
          </c:dPt>
          <c:dPt>
            <c:idx val="5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F2A4-406A-A7DA-6B5418467181}"/>
              </c:ext>
            </c:extLst>
          </c:dPt>
          <c:dPt>
            <c:idx val="5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F2A4-406A-A7DA-6B5418467181}"/>
              </c:ext>
            </c:extLst>
          </c:dPt>
          <c:dPt>
            <c:idx val="5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F2A4-406A-A7DA-6B5418467181}"/>
              </c:ext>
            </c:extLst>
          </c:dPt>
          <c:dPt>
            <c:idx val="54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F2A4-406A-A7DA-6B5418467181}"/>
              </c:ext>
            </c:extLst>
          </c:dPt>
          <c:dPt>
            <c:idx val="5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F2A4-406A-A7DA-6B5418467181}"/>
              </c:ext>
            </c:extLst>
          </c:dPt>
          <c:dPt>
            <c:idx val="5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F2A4-406A-A7DA-6B5418467181}"/>
              </c:ext>
            </c:extLst>
          </c:dPt>
          <c:dPt>
            <c:idx val="5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F2A4-406A-A7DA-6B5418467181}"/>
              </c:ext>
            </c:extLst>
          </c:dPt>
          <c:dPt>
            <c:idx val="5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F2A4-406A-A7DA-6B5418467181}"/>
              </c:ext>
            </c:extLst>
          </c:dPt>
          <c:dPt>
            <c:idx val="5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F2A4-406A-A7DA-6B5418467181}"/>
              </c:ext>
            </c:extLst>
          </c:dPt>
          <c:dPt>
            <c:idx val="6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C-F2A4-406A-A7DA-6B5418467181}"/>
              </c:ext>
            </c:extLst>
          </c:dPt>
          <c:dPt>
            <c:idx val="6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D-F2A4-406A-A7DA-6B5418467181}"/>
              </c:ext>
            </c:extLst>
          </c:dPt>
          <c:dPt>
            <c:idx val="6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E-F2A4-406A-A7DA-6B5418467181}"/>
              </c:ext>
            </c:extLst>
          </c:dPt>
          <c:dPt>
            <c:idx val="63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F-F2A4-406A-A7DA-6B5418467181}"/>
              </c:ext>
            </c:extLst>
          </c:dPt>
          <c:dPt>
            <c:idx val="6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0-F2A4-406A-A7DA-6B5418467181}"/>
              </c:ext>
            </c:extLst>
          </c:dPt>
          <c:dPt>
            <c:idx val="6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1-F2A4-406A-A7DA-6B5418467181}"/>
              </c:ext>
            </c:extLst>
          </c:dPt>
          <c:dPt>
            <c:idx val="66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2-F2A4-406A-A7DA-6B5418467181}"/>
              </c:ext>
            </c:extLst>
          </c:dPt>
          <c:dPt>
            <c:idx val="6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3-F2A4-406A-A7DA-6B5418467181}"/>
              </c:ext>
            </c:extLst>
          </c:dPt>
          <c:dPt>
            <c:idx val="6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4-F2A4-406A-A7DA-6B5418467181}"/>
              </c:ext>
            </c:extLst>
          </c:dPt>
          <c:dPt>
            <c:idx val="6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5-F2A4-406A-A7DA-6B5418467181}"/>
              </c:ext>
            </c:extLst>
          </c:dPt>
          <c:dPt>
            <c:idx val="7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6-F2A4-406A-A7DA-6B5418467181}"/>
              </c:ext>
            </c:extLst>
          </c:dPt>
          <c:dPt>
            <c:idx val="7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7-F2A4-406A-A7DA-6B5418467181}"/>
              </c:ext>
            </c:extLst>
          </c:dPt>
          <c:dPt>
            <c:idx val="7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8-F2A4-406A-A7DA-6B5418467181}"/>
              </c:ext>
            </c:extLst>
          </c:dPt>
          <c:dPt>
            <c:idx val="7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9-F2A4-406A-A7DA-6B5418467181}"/>
              </c:ext>
            </c:extLst>
          </c:dPt>
          <c:dPt>
            <c:idx val="7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A-F2A4-406A-A7DA-6B5418467181}"/>
              </c:ext>
            </c:extLst>
          </c:dPt>
          <c:dPt>
            <c:idx val="7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B-F2A4-406A-A7DA-6B5418467181}"/>
              </c:ext>
            </c:extLst>
          </c:dPt>
          <c:dPt>
            <c:idx val="76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C-F2A4-406A-A7DA-6B5418467181}"/>
              </c:ext>
            </c:extLst>
          </c:dPt>
          <c:dPt>
            <c:idx val="7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D-F2A4-406A-A7DA-6B5418467181}"/>
              </c:ext>
            </c:extLst>
          </c:dPt>
          <c:dPt>
            <c:idx val="7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E-F2A4-406A-A7DA-6B5418467181}"/>
              </c:ext>
            </c:extLst>
          </c:dPt>
          <c:dPt>
            <c:idx val="7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F-F2A4-406A-A7DA-6B5418467181}"/>
              </c:ext>
            </c:extLst>
          </c:dPt>
          <c:dPt>
            <c:idx val="8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0-F2A4-406A-A7DA-6B5418467181}"/>
              </c:ext>
            </c:extLst>
          </c:dPt>
          <c:dPt>
            <c:idx val="81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1-F2A4-406A-A7DA-6B5418467181}"/>
              </c:ext>
            </c:extLst>
          </c:dPt>
          <c:dPt>
            <c:idx val="8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2-F2A4-406A-A7DA-6B5418467181}"/>
              </c:ext>
            </c:extLst>
          </c:dPt>
          <c:dPt>
            <c:idx val="8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3-F2A4-406A-A7DA-6B5418467181}"/>
              </c:ext>
            </c:extLst>
          </c:dPt>
          <c:dPt>
            <c:idx val="8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4-F2A4-406A-A7DA-6B5418467181}"/>
              </c:ext>
            </c:extLst>
          </c:dPt>
          <c:dPt>
            <c:idx val="85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5-F2A4-406A-A7DA-6B5418467181}"/>
              </c:ext>
            </c:extLst>
          </c:dPt>
          <c:dPt>
            <c:idx val="86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6-F2A4-406A-A7DA-6B5418467181}"/>
              </c:ext>
            </c:extLst>
          </c:dPt>
          <c:dPt>
            <c:idx val="87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7-F2A4-406A-A7DA-6B5418467181}"/>
              </c:ext>
            </c:extLst>
          </c:dPt>
          <c:dPt>
            <c:idx val="8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8-F2A4-406A-A7DA-6B5418467181}"/>
              </c:ext>
            </c:extLst>
          </c:dPt>
          <c:dPt>
            <c:idx val="89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9-F2A4-406A-A7DA-6B5418467181}"/>
              </c:ext>
            </c:extLst>
          </c:dPt>
          <c:dPt>
            <c:idx val="9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A-F2A4-406A-A7DA-6B5418467181}"/>
              </c:ext>
            </c:extLst>
          </c:dPt>
          <c:dPt>
            <c:idx val="9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B-F2A4-406A-A7DA-6B5418467181}"/>
              </c:ext>
            </c:extLst>
          </c:dPt>
          <c:dPt>
            <c:idx val="9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C-F2A4-406A-A7DA-6B5418467181}"/>
              </c:ext>
            </c:extLst>
          </c:dPt>
          <c:dPt>
            <c:idx val="93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D-F2A4-406A-A7DA-6B5418467181}"/>
              </c:ext>
            </c:extLst>
          </c:dPt>
          <c:dPt>
            <c:idx val="94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E-F2A4-406A-A7DA-6B5418467181}"/>
              </c:ext>
            </c:extLst>
          </c:dPt>
          <c:dPt>
            <c:idx val="9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F-F2A4-406A-A7DA-6B5418467181}"/>
              </c:ext>
            </c:extLst>
          </c:dPt>
          <c:dPt>
            <c:idx val="9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0-F2A4-406A-A7DA-6B5418467181}"/>
              </c:ext>
            </c:extLst>
          </c:dPt>
          <c:dPt>
            <c:idx val="9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1-F2A4-406A-A7DA-6B5418467181}"/>
              </c:ext>
            </c:extLst>
          </c:dPt>
          <c:dPt>
            <c:idx val="9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2-F2A4-406A-A7DA-6B5418467181}"/>
              </c:ext>
            </c:extLst>
          </c:dPt>
          <c:dPt>
            <c:idx val="99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3-F2A4-406A-A7DA-6B5418467181}"/>
              </c:ext>
            </c:extLst>
          </c:dPt>
          <c:dPt>
            <c:idx val="10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4-F2A4-406A-A7DA-6B5418467181}"/>
              </c:ext>
            </c:extLst>
          </c:dPt>
          <c:dPt>
            <c:idx val="10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5-F2A4-406A-A7DA-6B5418467181}"/>
              </c:ext>
            </c:extLst>
          </c:dPt>
          <c:dPt>
            <c:idx val="102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6-F2A4-406A-A7DA-6B5418467181}"/>
              </c:ext>
            </c:extLst>
          </c:dPt>
          <c:dPt>
            <c:idx val="103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7-F2A4-406A-A7DA-6B5418467181}"/>
              </c:ext>
            </c:extLst>
          </c:dPt>
          <c:dPt>
            <c:idx val="10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8-F2A4-406A-A7DA-6B5418467181}"/>
              </c:ext>
            </c:extLst>
          </c:dPt>
          <c:dPt>
            <c:idx val="10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9-F2A4-406A-A7DA-6B5418467181}"/>
              </c:ext>
            </c:extLst>
          </c:dPt>
          <c:dPt>
            <c:idx val="10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A-F2A4-406A-A7DA-6B5418467181}"/>
              </c:ext>
            </c:extLst>
          </c:dPt>
          <c:dPt>
            <c:idx val="10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B-F2A4-406A-A7DA-6B5418467181}"/>
              </c:ext>
            </c:extLst>
          </c:dPt>
          <c:dPt>
            <c:idx val="10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C-F2A4-406A-A7DA-6B5418467181}"/>
              </c:ext>
            </c:extLst>
          </c:dPt>
          <c:dPt>
            <c:idx val="10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D-F2A4-406A-A7DA-6B5418467181}"/>
              </c:ext>
            </c:extLst>
          </c:dPt>
          <c:dPt>
            <c:idx val="110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E-F2A4-406A-A7DA-6B5418467181}"/>
              </c:ext>
            </c:extLst>
          </c:dPt>
          <c:dPt>
            <c:idx val="11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F-F2A4-406A-A7DA-6B5418467181}"/>
              </c:ext>
            </c:extLst>
          </c:dPt>
          <c:dPt>
            <c:idx val="11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0-F2A4-406A-A7DA-6B5418467181}"/>
              </c:ext>
            </c:extLst>
          </c:dPt>
          <c:dPt>
            <c:idx val="11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1-F2A4-406A-A7DA-6B5418467181}"/>
              </c:ext>
            </c:extLst>
          </c:dPt>
          <c:dPt>
            <c:idx val="11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2-F2A4-406A-A7DA-6B5418467181}"/>
              </c:ext>
            </c:extLst>
          </c:dPt>
          <c:dPt>
            <c:idx val="11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3-F2A4-406A-A7DA-6B5418467181}"/>
              </c:ext>
            </c:extLst>
          </c:dPt>
          <c:dPt>
            <c:idx val="11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4-F2A4-406A-A7DA-6B5418467181}"/>
              </c:ext>
            </c:extLst>
          </c:dPt>
          <c:dPt>
            <c:idx val="11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5-F2A4-406A-A7DA-6B5418467181}"/>
              </c:ext>
            </c:extLst>
          </c:dPt>
          <c:dPt>
            <c:idx val="11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6-F2A4-406A-A7DA-6B5418467181}"/>
              </c:ext>
            </c:extLst>
          </c:dPt>
          <c:dPt>
            <c:idx val="119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7-F2A4-406A-A7DA-6B5418467181}"/>
              </c:ext>
            </c:extLst>
          </c:dPt>
          <c:dPt>
            <c:idx val="12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8-F2A4-406A-A7DA-6B5418467181}"/>
              </c:ext>
            </c:extLst>
          </c:dPt>
          <c:dPt>
            <c:idx val="12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9-F2A4-406A-A7DA-6B5418467181}"/>
              </c:ext>
            </c:extLst>
          </c:dPt>
          <c:dPt>
            <c:idx val="12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A-F2A4-406A-A7DA-6B5418467181}"/>
              </c:ext>
            </c:extLst>
          </c:dPt>
          <c:dPt>
            <c:idx val="12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B-F2A4-406A-A7DA-6B5418467181}"/>
              </c:ext>
            </c:extLst>
          </c:dPt>
          <c:dPt>
            <c:idx val="12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C-F2A4-406A-A7DA-6B5418467181}"/>
              </c:ext>
            </c:extLst>
          </c:dPt>
          <c:dPt>
            <c:idx val="12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D-F2A4-406A-A7DA-6B5418467181}"/>
              </c:ext>
            </c:extLst>
          </c:dPt>
          <c:dPt>
            <c:idx val="126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E-F2A4-406A-A7DA-6B5418467181}"/>
              </c:ext>
            </c:extLst>
          </c:dPt>
          <c:dPt>
            <c:idx val="127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F-F2A4-406A-A7DA-6B5418467181}"/>
              </c:ext>
            </c:extLst>
          </c:dPt>
          <c:dPt>
            <c:idx val="128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0-F2A4-406A-A7DA-6B5418467181}"/>
              </c:ext>
            </c:extLst>
          </c:dPt>
          <c:dPt>
            <c:idx val="12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1-F2A4-406A-A7DA-6B5418467181}"/>
              </c:ext>
            </c:extLst>
          </c:dPt>
          <c:dPt>
            <c:idx val="13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2-F2A4-406A-A7DA-6B5418467181}"/>
              </c:ext>
            </c:extLst>
          </c:dPt>
          <c:dPt>
            <c:idx val="13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3-F2A4-406A-A7DA-6B5418467181}"/>
              </c:ext>
            </c:extLst>
          </c:dPt>
          <c:dPt>
            <c:idx val="13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4-F2A4-406A-A7DA-6B5418467181}"/>
              </c:ext>
            </c:extLst>
          </c:dPt>
          <c:dPt>
            <c:idx val="133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5-F2A4-406A-A7DA-6B5418467181}"/>
              </c:ext>
            </c:extLst>
          </c:dPt>
          <c:dPt>
            <c:idx val="13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6-F2A4-406A-A7DA-6B5418467181}"/>
              </c:ext>
            </c:extLst>
          </c:dPt>
          <c:dPt>
            <c:idx val="13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7-F2A4-406A-A7DA-6B5418467181}"/>
              </c:ext>
            </c:extLst>
          </c:dPt>
          <c:dPt>
            <c:idx val="13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8-F2A4-406A-A7DA-6B5418467181}"/>
              </c:ext>
            </c:extLst>
          </c:dPt>
          <c:dPt>
            <c:idx val="13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9-F2A4-406A-A7DA-6B5418467181}"/>
              </c:ext>
            </c:extLst>
          </c:dPt>
          <c:dPt>
            <c:idx val="13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A-F2A4-406A-A7DA-6B5418467181}"/>
              </c:ext>
            </c:extLst>
          </c:dPt>
          <c:dPt>
            <c:idx val="13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B-F2A4-406A-A7DA-6B5418467181}"/>
              </c:ext>
            </c:extLst>
          </c:dPt>
          <c:dPt>
            <c:idx val="140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C-F2A4-406A-A7DA-6B5418467181}"/>
              </c:ext>
            </c:extLst>
          </c:dPt>
          <c:dPt>
            <c:idx val="14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D-F2A4-406A-A7DA-6B5418467181}"/>
              </c:ext>
            </c:extLst>
          </c:dPt>
          <c:dPt>
            <c:idx val="14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E-F2A4-406A-A7DA-6B5418467181}"/>
              </c:ext>
            </c:extLst>
          </c:dPt>
          <c:dPt>
            <c:idx val="14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F-F2A4-406A-A7DA-6B5418467181}"/>
              </c:ext>
            </c:extLst>
          </c:dPt>
          <c:dPt>
            <c:idx val="144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0-F2A4-406A-A7DA-6B5418467181}"/>
              </c:ext>
            </c:extLst>
          </c:dPt>
          <c:dPt>
            <c:idx val="14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1-F2A4-406A-A7DA-6B5418467181}"/>
              </c:ext>
            </c:extLst>
          </c:dPt>
          <c:dPt>
            <c:idx val="14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2-F2A4-406A-A7DA-6B5418467181}"/>
              </c:ext>
            </c:extLst>
          </c:dPt>
          <c:dPt>
            <c:idx val="147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3-F2A4-406A-A7DA-6B5418467181}"/>
              </c:ext>
            </c:extLst>
          </c:dPt>
          <c:dPt>
            <c:idx val="14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4-F2A4-406A-A7DA-6B5418467181}"/>
              </c:ext>
            </c:extLst>
          </c:dPt>
          <c:dPt>
            <c:idx val="14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5-F2A4-406A-A7DA-6B5418467181}"/>
              </c:ext>
            </c:extLst>
          </c:dPt>
          <c:dPt>
            <c:idx val="15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6-F2A4-406A-A7DA-6B5418467181}"/>
              </c:ext>
            </c:extLst>
          </c:dPt>
          <c:dPt>
            <c:idx val="151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7-F2A4-406A-A7DA-6B5418467181}"/>
              </c:ext>
            </c:extLst>
          </c:dPt>
          <c:dPt>
            <c:idx val="152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8-F2A4-406A-A7DA-6B5418467181}"/>
              </c:ext>
            </c:extLst>
          </c:dPt>
          <c:dPt>
            <c:idx val="15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9-F2A4-406A-A7DA-6B5418467181}"/>
              </c:ext>
            </c:extLst>
          </c:dPt>
          <c:dPt>
            <c:idx val="154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A-F2A4-406A-A7DA-6B5418467181}"/>
              </c:ext>
            </c:extLst>
          </c:dPt>
          <c:dPt>
            <c:idx val="155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B-F2A4-406A-A7DA-6B5418467181}"/>
              </c:ext>
            </c:extLst>
          </c:dPt>
          <c:dPt>
            <c:idx val="15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C-F2A4-406A-A7DA-6B5418467181}"/>
              </c:ext>
            </c:extLst>
          </c:dPt>
          <c:dPt>
            <c:idx val="15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D-F2A4-406A-A7DA-6B5418467181}"/>
              </c:ext>
            </c:extLst>
          </c:dPt>
          <c:dPt>
            <c:idx val="158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E-F2A4-406A-A7DA-6B5418467181}"/>
              </c:ext>
            </c:extLst>
          </c:dPt>
          <c:dPt>
            <c:idx val="15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F-F2A4-406A-A7DA-6B5418467181}"/>
              </c:ext>
            </c:extLst>
          </c:dPt>
          <c:dPt>
            <c:idx val="16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0-F2A4-406A-A7DA-6B5418467181}"/>
              </c:ext>
            </c:extLst>
          </c:dPt>
          <c:dPt>
            <c:idx val="161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1-F2A4-406A-A7DA-6B5418467181}"/>
              </c:ext>
            </c:extLst>
          </c:dPt>
          <c:dPt>
            <c:idx val="16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2-F2A4-406A-A7DA-6B5418467181}"/>
              </c:ext>
            </c:extLst>
          </c:dPt>
          <c:dPt>
            <c:idx val="16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3-F2A4-406A-A7DA-6B5418467181}"/>
              </c:ext>
            </c:extLst>
          </c:dPt>
          <c:dPt>
            <c:idx val="16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4-F2A4-406A-A7DA-6B5418467181}"/>
              </c:ext>
            </c:extLst>
          </c:dPt>
          <c:dPt>
            <c:idx val="16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5-F2A4-406A-A7DA-6B5418467181}"/>
              </c:ext>
            </c:extLst>
          </c:dPt>
          <c:dPt>
            <c:idx val="16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6-F2A4-406A-A7DA-6B5418467181}"/>
              </c:ext>
            </c:extLst>
          </c:dPt>
          <c:dPt>
            <c:idx val="167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7-F2A4-406A-A7DA-6B5418467181}"/>
              </c:ext>
            </c:extLst>
          </c:dPt>
          <c:dPt>
            <c:idx val="16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8-F2A4-406A-A7DA-6B5418467181}"/>
              </c:ext>
            </c:extLst>
          </c:dPt>
          <c:dPt>
            <c:idx val="16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9-F2A4-406A-A7DA-6B5418467181}"/>
              </c:ext>
            </c:extLst>
          </c:dPt>
          <c:dPt>
            <c:idx val="170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A-F2A4-406A-A7DA-6B5418467181}"/>
              </c:ext>
            </c:extLst>
          </c:dPt>
          <c:dPt>
            <c:idx val="17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B-F2A4-406A-A7DA-6B5418467181}"/>
              </c:ext>
            </c:extLst>
          </c:dPt>
          <c:dPt>
            <c:idx val="17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C-F2A4-406A-A7DA-6B5418467181}"/>
              </c:ext>
            </c:extLst>
          </c:dPt>
          <c:dPt>
            <c:idx val="17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D-F2A4-406A-A7DA-6B5418467181}"/>
              </c:ext>
            </c:extLst>
          </c:dPt>
          <c:dPt>
            <c:idx val="17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E-F2A4-406A-A7DA-6B5418467181}"/>
              </c:ext>
            </c:extLst>
          </c:dPt>
          <c:dPt>
            <c:idx val="175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F-F2A4-406A-A7DA-6B5418467181}"/>
              </c:ext>
            </c:extLst>
          </c:dPt>
          <c:dPt>
            <c:idx val="176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0-F2A4-406A-A7DA-6B5418467181}"/>
              </c:ext>
            </c:extLst>
          </c:dPt>
          <c:dPt>
            <c:idx val="17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1-F2A4-406A-A7DA-6B5418467181}"/>
              </c:ext>
            </c:extLst>
          </c:dPt>
          <c:dPt>
            <c:idx val="17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2-F2A4-406A-A7DA-6B5418467181}"/>
              </c:ext>
            </c:extLst>
          </c:dPt>
          <c:dPt>
            <c:idx val="17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3-F2A4-406A-A7DA-6B5418467181}"/>
              </c:ext>
            </c:extLst>
          </c:dPt>
          <c:dPt>
            <c:idx val="180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4-F2A4-406A-A7DA-6B5418467181}"/>
              </c:ext>
            </c:extLst>
          </c:dPt>
          <c:dPt>
            <c:idx val="18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5-F2A4-406A-A7DA-6B5418467181}"/>
              </c:ext>
            </c:extLst>
          </c:dPt>
          <c:dPt>
            <c:idx val="182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6-F2A4-406A-A7DA-6B5418467181}"/>
              </c:ext>
            </c:extLst>
          </c:dPt>
          <c:dPt>
            <c:idx val="18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7-F2A4-406A-A7DA-6B5418467181}"/>
              </c:ext>
            </c:extLst>
          </c:dPt>
          <c:dPt>
            <c:idx val="18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8-F2A4-406A-A7DA-6B5418467181}"/>
              </c:ext>
            </c:extLst>
          </c:dPt>
          <c:dPt>
            <c:idx val="185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9-F2A4-406A-A7DA-6B5418467181}"/>
              </c:ext>
            </c:extLst>
          </c:dPt>
          <c:dPt>
            <c:idx val="18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A-F2A4-406A-A7DA-6B5418467181}"/>
              </c:ext>
            </c:extLst>
          </c:dPt>
          <c:dPt>
            <c:idx val="18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B-F2A4-406A-A7DA-6B5418467181}"/>
              </c:ext>
            </c:extLst>
          </c:dPt>
          <c:dPt>
            <c:idx val="188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C-F2A4-406A-A7DA-6B5418467181}"/>
              </c:ext>
            </c:extLst>
          </c:dPt>
          <c:dPt>
            <c:idx val="18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D-F2A4-406A-A7DA-6B5418467181}"/>
              </c:ext>
            </c:extLst>
          </c:dPt>
          <c:dPt>
            <c:idx val="19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E-F2A4-406A-A7DA-6B5418467181}"/>
              </c:ext>
            </c:extLst>
          </c:dPt>
          <c:dPt>
            <c:idx val="19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F-F2A4-406A-A7DA-6B5418467181}"/>
              </c:ext>
            </c:extLst>
          </c:dPt>
          <c:dPt>
            <c:idx val="19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0-F2A4-406A-A7DA-6B5418467181}"/>
              </c:ext>
            </c:extLst>
          </c:dPt>
          <c:dPt>
            <c:idx val="19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1-F2A4-406A-A7DA-6B5418467181}"/>
              </c:ext>
            </c:extLst>
          </c:dPt>
          <c:dPt>
            <c:idx val="19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2-F2A4-406A-A7DA-6B5418467181}"/>
              </c:ext>
            </c:extLst>
          </c:dPt>
          <c:dPt>
            <c:idx val="19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3-F2A4-406A-A7DA-6B5418467181}"/>
              </c:ext>
            </c:extLst>
          </c:dPt>
          <c:dPt>
            <c:idx val="19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4-F2A4-406A-A7DA-6B5418467181}"/>
              </c:ext>
            </c:extLst>
          </c:dPt>
          <c:dPt>
            <c:idx val="19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5-F2A4-406A-A7DA-6B5418467181}"/>
              </c:ext>
            </c:extLst>
          </c:dPt>
          <c:dPt>
            <c:idx val="19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6-F2A4-406A-A7DA-6B5418467181}"/>
              </c:ext>
            </c:extLst>
          </c:dPt>
          <c:dPt>
            <c:idx val="19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7-F2A4-406A-A7DA-6B5418467181}"/>
              </c:ext>
            </c:extLst>
          </c:dPt>
          <c:dPt>
            <c:idx val="200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8-F2A4-406A-A7DA-6B5418467181}"/>
              </c:ext>
            </c:extLst>
          </c:dPt>
          <c:dPt>
            <c:idx val="20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9-F2A4-406A-A7DA-6B5418467181}"/>
              </c:ext>
            </c:extLst>
          </c:dPt>
          <c:dPt>
            <c:idx val="20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A-F2A4-406A-A7DA-6B5418467181}"/>
              </c:ext>
            </c:extLst>
          </c:dPt>
          <c:dPt>
            <c:idx val="20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B-F2A4-406A-A7DA-6B5418467181}"/>
              </c:ext>
            </c:extLst>
          </c:dPt>
          <c:dPt>
            <c:idx val="20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C-F2A4-406A-A7DA-6B5418467181}"/>
              </c:ext>
            </c:extLst>
          </c:dPt>
          <c:dPt>
            <c:idx val="20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D-F2A4-406A-A7DA-6B5418467181}"/>
              </c:ext>
            </c:extLst>
          </c:dPt>
          <c:dPt>
            <c:idx val="20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E-F2A4-406A-A7DA-6B5418467181}"/>
              </c:ext>
            </c:extLst>
          </c:dPt>
          <c:dPt>
            <c:idx val="207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F-F2A4-406A-A7DA-6B5418467181}"/>
              </c:ext>
            </c:extLst>
          </c:dPt>
          <c:dPt>
            <c:idx val="20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0-F2A4-406A-A7DA-6B5418467181}"/>
              </c:ext>
            </c:extLst>
          </c:dPt>
          <c:dPt>
            <c:idx val="209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1-F2A4-406A-A7DA-6B5418467181}"/>
              </c:ext>
            </c:extLst>
          </c:dPt>
          <c:dPt>
            <c:idx val="21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2-F2A4-406A-A7DA-6B5418467181}"/>
              </c:ext>
            </c:extLst>
          </c:dPt>
          <c:dPt>
            <c:idx val="21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3-F2A4-406A-A7DA-6B5418467181}"/>
              </c:ext>
            </c:extLst>
          </c:dPt>
          <c:dPt>
            <c:idx val="212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4-F2A4-406A-A7DA-6B5418467181}"/>
              </c:ext>
            </c:extLst>
          </c:dPt>
          <c:dPt>
            <c:idx val="21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5-F2A4-406A-A7DA-6B5418467181}"/>
              </c:ext>
            </c:extLst>
          </c:dPt>
          <c:dPt>
            <c:idx val="21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6-F2A4-406A-A7DA-6B5418467181}"/>
              </c:ext>
            </c:extLst>
          </c:dPt>
          <c:dPt>
            <c:idx val="21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7-F2A4-406A-A7DA-6B5418467181}"/>
              </c:ext>
            </c:extLst>
          </c:dPt>
          <c:dPt>
            <c:idx val="21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8-F2A4-406A-A7DA-6B5418467181}"/>
              </c:ext>
            </c:extLst>
          </c:dPt>
          <c:dPt>
            <c:idx val="21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9-F2A4-406A-A7DA-6B5418467181}"/>
              </c:ext>
            </c:extLst>
          </c:dPt>
          <c:dPt>
            <c:idx val="21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A-F2A4-406A-A7DA-6B5418467181}"/>
              </c:ext>
            </c:extLst>
          </c:dPt>
          <c:dPt>
            <c:idx val="21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B-F2A4-406A-A7DA-6B5418467181}"/>
              </c:ext>
            </c:extLst>
          </c:dPt>
          <c:dPt>
            <c:idx val="22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C-F2A4-406A-A7DA-6B5418467181}"/>
              </c:ext>
            </c:extLst>
          </c:dPt>
          <c:dPt>
            <c:idx val="22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D-F2A4-406A-A7DA-6B5418467181}"/>
              </c:ext>
            </c:extLst>
          </c:dPt>
          <c:dPt>
            <c:idx val="22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E-F2A4-406A-A7DA-6B5418467181}"/>
              </c:ext>
            </c:extLst>
          </c:dPt>
          <c:dPt>
            <c:idx val="223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F-F2A4-406A-A7DA-6B5418467181}"/>
              </c:ext>
            </c:extLst>
          </c:dPt>
          <c:dPt>
            <c:idx val="22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0-F2A4-406A-A7DA-6B5418467181}"/>
              </c:ext>
            </c:extLst>
          </c:dPt>
          <c:dPt>
            <c:idx val="22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1-F2A4-406A-A7DA-6B5418467181}"/>
              </c:ext>
            </c:extLst>
          </c:dPt>
          <c:dPt>
            <c:idx val="22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2-F2A4-406A-A7DA-6B5418467181}"/>
              </c:ext>
            </c:extLst>
          </c:dPt>
          <c:dPt>
            <c:idx val="22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3-F2A4-406A-A7DA-6B5418467181}"/>
              </c:ext>
            </c:extLst>
          </c:dPt>
          <c:dPt>
            <c:idx val="22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4-F2A4-406A-A7DA-6B5418467181}"/>
              </c:ext>
            </c:extLst>
          </c:dPt>
          <c:dPt>
            <c:idx val="229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5-F2A4-406A-A7DA-6B5418467181}"/>
              </c:ext>
            </c:extLst>
          </c:dPt>
          <c:dPt>
            <c:idx val="23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6-F2A4-406A-A7DA-6B5418467181}"/>
              </c:ext>
            </c:extLst>
          </c:dPt>
          <c:dPt>
            <c:idx val="23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7-F2A4-406A-A7DA-6B5418467181}"/>
              </c:ext>
            </c:extLst>
          </c:dPt>
          <c:dPt>
            <c:idx val="23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8-F2A4-406A-A7DA-6B5418467181}"/>
              </c:ext>
            </c:extLst>
          </c:dPt>
          <c:dPt>
            <c:idx val="23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9-F2A4-406A-A7DA-6B5418467181}"/>
              </c:ext>
            </c:extLst>
          </c:dPt>
          <c:dPt>
            <c:idx val="23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A-F2A4-406A-A7DA-6B5418467181}"/>
              </c:ext>
            </c:extLst>
          </c:dPt>
          <c:dPt>
            <c:idx val="23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B-F2A4-406A-A7DA-6B5418467181}"/>
              </c:ext>
            </c:extLst>
          </c:dPt>
          <c:dPt>
            <c:idx val="23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C-F2A4-406A-A7DA-6B5418467181}"/>
              </c:ext>
            </c:extLst>
          </c:dPt>
          <c:dPt>
            <c:idx val="23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D-F2A4-406A-A7DA-6B5418467181}"/>
              </c:ext>
            </c:extLst>
          </c:dPt>
          <c:dPt>
            <c:idx val="23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E-F2A4-406A-A7DA-6B5418467181}"/>
              </c:ext>
            </c:extLst>
          </c:dPt>
          <c:dPt>
            <c:idx val="23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F-F2A4-406A-A7DA-6B5418467181}"/>
              </c:ext>
            </c:extLst>
          </c:dPt>
          <c:dPt>
            <c:idx val="24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0-F2A4-406A-A7DA-6B5418467181}"/>
              </c:ext>
            </c:extLst>
          </c:dPt>
          <c:dPt>
            <c:idx val="241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1-F2A4-406A-A7DA-6B5418467181}"/>
              </c:ext>
            </c:extLst>
          </c:dPt>
          <c:dPt>
            <c:idx val="24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2-F2A4-406A-A7DA-6B5418467181}"/>
              </c:ext>
            </c:extLst>
          </c:dPt>
          <c:dPt>
            <c:idx val="24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3-F2A4-406A-A7DA-6B5418467181}"/>
              </c:ext>
            </c:extLst>
          </c:dPt>
          <c:dPt>
            <c:idx val="24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4-F2A4-406A-A7DA-6B5418467181}"/>
              </c:ext>
            </c:extLst>
          </c:dPt>
          <c:dPt>
            <c:idx val="24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5-F2A4-406A-A7DA-6B5418467181}"/>
              </c:ext>
            </c:extLst>
          </c:dPt>
          <c:dPt>
            <c:idx val="24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6-F2A4-406A-A7DA-6B5418467181}"/>
              </c:ext>
            </c:extLst>
          </c:dPt>
          <c:dPt>
            <c:idx val="24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7-F2A4-406A-A7DA-6B5418467181}"/>
              </c:ext>
            </c:extLst>
          </c:dPt>
          <c:dPt>
            <c:idx val="24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8-F2A4-406A-A7DA-6B5418467181}"/>
              </c:ext>
            </c:extLst>
          </c:dPt>
          <c:dPt>
            <c:idx val="249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9-F2A4-406A-A7DA-6B5418467181}"/>
              </c:ext>
            </c:extLst>
          </c:dPt>
          <c:dPt>
            <c:idx val="25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A-F2A4-406A-A7DA-6B5418467181}"/>
              </c:ext>
            </c:extLst>
          </c:dPt>
          <c:dPt>
            <c:idx val="25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B-F2A4-406A-A7DA-6B5418467181}"/>
              </c:ext>
            </c:extLst>
          </c:dPt>
          <c:dPt>
            <c:idx val="25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C-F2A4-406A-A7DA-6B5418467181}"/>
              </c:ext>
            </c:extLst>
          </c:dPt>
          <c:dPt>
            <c:idx val="25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D-F2A4-406A-A7DA-6B5418467181}"/>
              </c:ext>
            </c:extLst>
          </c:dPt>
          <c:dPt>
            <c:idx val="25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E-F2A4-406A-A7DA-6B5418467181}"/>
              </c:ext>
            </c:extLst>
          </c:dPt>
          <c:dPt>
            <c:idx val="25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F-F2A4-406A-A7DA-6B5418467181}"/>
              </c:ext>
            </c:extLst>
          </c:dPt>
          <c:dPt>
            <c:idx val="25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0-F2A4-406A-A7DA-6B5418467181}"/>
              </c:ext>
            </c:extLst>
          </c:dPt>
          <c:dPt>
            <c:idx val="257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1-F2A4-406A-A7DA-6B5418467181}"/>
              </c:ext>
            </c:extLst>
          </c:dPt>
          <c:dPt>
            <c:idx val="25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2-F2A4-406A-A7DA-6B5418467181}"/>
              </c:ext>
            </c:extLst>
          </c:dPt>
          <c:dPt>
            <c:idx val="25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3-F2A4-406A-A7DA-6B5418467181}"/>
              </c:ext>
            </c:extLst>
          </c:dPt>
          <c:dPt>
            <c:idx val="26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4-F2A4-406A-A7DA-6B5418467181}"/>
              </c:ext>
            </c:extLst>
          </c:dPt>
          <c:dPt>
            <c:idx val="26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5-F2A4-406A-A7DA-6B5418467181}"/>
              </c:ext>
            </c:extLst>
          </c:dPt>
          <c:dPt>
            <c:idx val="26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6-F2A4-406A-A7DA-6B5418467181}"/>
              </c:ext>
            </c:extLst>
          </c:dPt>
          <c:dPt>
            <c:idx val="26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7-F2A4-406A-A7DA-6B5418467181}"/>
              </c:ext>
            </c:extLst>
          </c:dPt>
          <c:dPt>
            <c:idx val="26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8-F2A4-406A-A7DA-6B5418467181}"/>
              </c:ext>
            </c:extLst>
          </c:dPt>
          <c:dPt>
            <c:idx val="26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9-F2A4-406A-A7DA-6B5418467181}"/>
              </c:ext>
            </c:extLst>
          </c:dPt>
          <c:dPt>
            <c:idx val="266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A-F2A4-406A-A7DA-6B5418467181}"/>
              </c:ext>
            </c:extLst>
          </c:dPt>
          <c:dPt>
            <c:idx val="267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B-F2A4-406A-A7DA-6B5418467181}"/>
              </c:ext>
            </c:extLst>
          </c:dPt>
          <c:dPt>
            <c:idx val="26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C-F2A4-406A-A7DA-6B5418467181}"/>
              </c:ext>
            </c:extLst>
          </c:dPt>
          <c:dPt>
            <c:idx val="26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D-F2A4-406A-A7DA-6B5418467181}"/>
              </c:ext>
            </c:extLst>
          </c:dPt>
          <c:dPt>
            <c:idx val="27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E-F2A4-406A-A7DA-6B5418467181}"/>
              </c:ext>
            </c:extLst>
          </c:dPt>
          <c:dPt>
            <c:idx val="27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F-F2A4-406A-A7DA-6B5418467181}"/>
              </c:ext>
            </c:extLst>
          </c:dPt>
          <c:dPt>
            <c:idx val="27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0-F2A4-406A-A7DA-6B5418467181}"/>
              </c:ext>
            </c:extLst>
          </c:dPt>
          <c:dPt>
            <c:idx val="27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1-F2A4-406A-A7DA-6B5418467181}"/>
              </c:ext>
            </c:extLst>
          </c:dPt>
          <c:dPt>
            <c:idx val="274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2-F2A4-406A-A7DA-6B5418467181}"/>
              </c:ext>
            </c:extLst>
          </c:dPt>
          <c:dPt>
            <c:idx val="27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3-F2A4-406A-A7DA-6B5418467181}"/>
              </c:ext>
            </c:extLst>
          </c:dPt>
          <c:dPt>
            <c:idx val="27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4-F2A4-406A-A7DA-6B5418467181}"/>
              </c:ext>
            </c:extLst>
          </c:dPt>
          <c:dPt>
            <c:idx val="27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5-F2A4-406A-A7DA-6B5418467181}"/>
              </c:ext>
            </c:extLst>
          </c:dPt>
          <c:dPt>
            <c:idx val="27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6-F2A4-406A-A7DA-6B5418467181}"/>
              </c:ext>
            </c:extLst>
          </c:dPt>
          <c:dPt>
            <c:idx val="27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7-F2A4-406A-A7DA-6B5418467181}"/>
              </c:ext>
            </c:extLst>
          </c:dPt>
          <c:dPt>
            <c:idx val="28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8-F2A4-406A-A7DA-6B5418467181}"/>
              </c:ext>
            </c:extLst>
          </c:dPt>
          <c:dPt>
            <c:idx val="28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9-F2A4-406A-A7DA-6B5418467181}"/>
              </c:ext>
            </c:extLst>
          </c:dPt>
          <c:dPt>
            <c:idx val="28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A-F2A4-406A-A7DA-6B5418467181}"/>
              </c:ext>
            </c:extLst>
          </c:dPt>
          <c:dPt>
            <c:idx val="28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B-F2A4-406A-A7DA-6B5418467181}"/>
              </c:ext>
            </c:extLst>
          </c:dPt>
          <c:dPt>
            <c:idx val="284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C-F2A4-406A-A7DA-6B5418467181}"/>
              </c:ext>
            </c:extLst>
          </c:dPt>
          <c:dPt>
            <c:idx val="28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D-F2A4-406A-A7DA-6B5418467181}"/>
              </c:ext>
            </c:extLst>
          </c:dPt>
          <c:dPt>
            <c:idx val="286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E-F2A4-406A-A7DA-6B5418467181}"/>
              </c:ext>
            </c:extLst>
          </c:dPt>
          <c:dPt>
            <c:idx val="287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F-F2A4-406A-A7DA-6B5418467181}"/>
              </c:ext>
            </c:extLst>
          </c:dPt>
          <c:dPt>
            <c:idx val="28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0-F2A4-406A-A7DA-6B5418467181}"/>
              </c:ext>
            </c:extLst>
          </c:dPt>
          <c:dPt>
            <c:idx val="289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1-F2A4-406A-A7DA-6B5418467181}"/>
              </c:ext>
            </c:extLst>
          </c:dPt>
          <c:dPt>
            <c:idx val="29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2-F2A4-406A-A7DA-6B5418467181}"/>
              </c:ext>
            </c:extLst>
          </c:dPt>
          <c:dPt>
            <c:idx val="29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3-F2A4-406A-A7DA-6B5418467181}"/>
              </c:ext>
            </c:extLst>
          </c:dPt>
          <c:dPt>
            <c:idx val="29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4-F2A4-406A-A7DA-6B5418467181}"/>
              </c:ext>
            </c:extLst>
          </c:dPt>
          <c:dPt>
            <c:idx val="29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5-F2A4-406A-A7DA-6B5418467181}"/>
              </c:ext>
            </c:extLst>
          </c:dPt>
          <c:dPt>
            <c:idx val="294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6-F2A4-406A-A7DA-6B5418467181}"/>
              </c:ext>
            </c:extLst>
          </c:dPt>
          <c:dPt>
            <c:idx val="295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7-F2A4-406A-A7DA-6B5418467181}"/>
              </c:ext>
            </c:extLst>
          </c:dPt>
          <c:dPt>
            <c:idx val="296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8-F2A4-406A-A7DA-6B5418467181}"/>
              </c:ext>
            </c:extLst>
          </c:dPt>
          <c:dPt>
            <c:idx val="29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9-F2A4-406A-A7DA-6B5418467181}"/>
              </c:ext>
            </c:extLst>
          </c:dPt>
          <c:dPt>
            <c:idx val="298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A-F2A4-406A-A7DA-6B5418467181}"/>
              </c:ext>
            </c:extLst>
          </c:dPt>
          <c:dPt>
            <c:idx val="299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B-F2A4-406A-A7DA-6B5418467181}"/>
              </c:ext>
            </c:extLst>
          </c:dPt>
          <c:dPt>
            <c:idx val="30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C-F2A4-406A-A7DA-6B5418467181}"/>
              </c:ext>
            </c:extLst>
          </c:dPt>
          <c:dPt>
            <c:idx val="301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D-F2A4-406A-A7DA-6B5418467181}"/>
              </c:ext>
            </c:extLst>
          </c:dPt>
          <c:dPt>
            <c:idx val="30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E-F2A4-406A-A7DA-6B5418467181}"/>
              </c:ext>
            </c:extLst>
          </c:dPt>
          <c:dPt>
            <c:idx val="303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F-F2A4-406A-A7DA-6B5418467181}"/>
              </c:ext>
            </c:extLst>
          </c:dPt>
          <c:dPt>
            <c:idx val="30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0-F2A4-406A-A7DA-6B5418467181}"/>
              </c:ext>
            </c:extLst>
          </c:dPt>
          <c:dPt>
            <c:idx val="305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1-F2A4-406A-A7DA-6B5418467181}"/>
              </c:ext>
            </c:extLst>
          </c:dPt>
          <c:dPt>
            <c:idx val="30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2-F2A4-406A-A7DA-6B5418467181}"/>
              </c:ext>
            </c:extLst>
          </c:dPt>
          <c:dPt>
            <c:idx val="30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3-F2A4-406A-A7DA-6B5418467181}"/>
              </c:ext>
            </c:extLst>
          </c:dPt>
          <c:dPt>
            <c:idx val="30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4-F2A4-406A-A7DA-6B5418467181}"/>
              </c:ext>
            </c:extLst>
          </c:dPt>
          <c:dPt>
            <c:idx val="30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5-F2A4-406A-A7DA-6B5418467181}"/>
              </c:ext>
            </c:extLst>
          </c:dPt>
          <c:dPt>
            <c:idx val="310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6-F2A4-406A-A7DA-6B5418467181}"/>
              </c:ext>
            </c:extLst>
          </c:dPt>
          <c:dPt>
            <c:idx val="31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7-F2A4-406A-A7DA-6B5418467181}"/>
              </c:ext>
            </c:extLst>
          </c:dPt>
          <c:dPt>
            <c:idx val="31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8-F2A4-406A-A7DA-6B5418467181}"/>
              </c:ext>
            </c:extLst>
          </c:dPt>
          <c:dPt>
            <c:idx val="313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9-F2A4-406A-A7DA-6B5418467181}"/>
              </c:ext>
            </c:extLst>
          </c:dPt>
          <c:dPt>
            <c:idx val="31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A-F2A4-406A-A7DA-6B5418467181}"/>
              </c:ext>
            </c:extLst>
          </c:dPt>
          <c:dPt>
            <c:idx val="31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B-F2A4-406A-A7DA-6B5418467181}"/>
              </c:ext>
            </c:extLst>
          </c:dPt>
          <c:dPt>
            <c:idx val="31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C-F2A4-406A-A7DA-6B5418467181}"/>
              </c:ext>
            </c:extLst>
          </c:dPt>
          <c:dPt>
            <c:idx val="31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D-F2A4-406A-A7DA-6B5418467181}"/>
              </c:ext>
            </c:extLst>
          </c:dPt>
          <c:dPt>
            <c:idx val="31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E-F2A4-406A-A7DA-6B5418467181}"/>
              </c:ext>
            </c:extLst>
          </c:dPt>
          <c:dPt>
            <c:idx val="31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F-F2A4-406A-A7DA-6B5418467181}"/>
              </c:ext>
            </c:extLst>
          </c:dPt>
          <c:dPt>
            <c:idx val="32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0-F2A4-406A-A7DA-6B5418467181}"/>
              </c:ext>
            </c:extLst>
          </c:dPt>
          <c:dPt>
            <c:idx val="32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1-F2A4-406A-A7DA-6B5418467181}"/>
              </c:ext>
            </c:extLst>
          </c:dPt>
          <c:dPt>
            <c:idx val="32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2-F2A4-406A-A7DA-6B5418467181}"/>
              </c:ext>
            </c:extLst>
          </c:dPt>
          <c:dPt>
            <c:idx val="32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3-F2A4-406A-A7DA-6B5418467181}"/>
              </c:ext>
            </c:extLst>
          </c:dPt>
          <c:dPt>
            <c:idx val="32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4-F2A4-406A-A7DA-6B5418467181}"/>
              </c:ext>
            </c:extLst>
          </c:dPt>
          <c:dPt>
            <c:idx val="325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5-F2A4-406A-A7DA-6B5418467181}"/>
              </c:ext>
            </c:extLst>
          </c:dPt>
          <c:dPt>
            <c:idx val="326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6-F2A4-406A-A7DA-6B5418467181}"/>
              </c:ext>
            </c:extLst>
          </c:dPt>
          <c:dPt>
            <c:idx val="32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7-F2A4-406A-A7DA-6B5418467181}"/>
              </c:ext>
            </c:extLst>
          </c:dPt>
          <c:dPt>
            <c:idx val="328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8-F2A4-406A-A7DA-6B5418467181}"/>
              </c:ext>
            </c:extLst>
          </c:dPt>
          <c:dPt>
            <c:idx val="32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9-F2A4-406A-A7DA-6B5418467181}"/>
              </c:ext>
            </c:extLst>
          </c:dPt>
          <c:dPt>
            <c:idx val="33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A-F2A4-406A-A7DA-6B5418467181}"/>
              </c:ext>
            </c:extLst>
          </c:dPt>
          <c:dPt>
            <c:idx val="331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B-F2A4-406A-A7DA-6B5418467181}"/>
              </c:ext>
            </c:extLst>
          </c:dPt>
          <c:dPt>
            <c:idx val="33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C-F2A4-406A-A7DA-6B5418467181}"/>
              </c:ext>
            </c:extLst>
          </c:dPt>
          <c:dPt>
            <c:idx val="33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D-F2A4-406A-A7DA-6B5418467181}"/>
              </c:ext>
            </c:extLst>
          </c:dPt>
          <c:dPt>
            <c:idx val="334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E-F2A4-406A-A7DA-6B5418467181}"/>
              </c:ext>
            </c:extLst>
          </c:dPt>
          <c:dPt>
            <c:idx val="33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F-F2A4-406A-A7DA-6B5418467181}"/>
              </c:ext>
            </c:extLst>
          </c:dPt>
          <c:dPt>
            <c:idx val="33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0-F2A4-406A-A7DA-6B5418467181}"/>
              </c:ext>
            </c:extLst>
          </c:dPt>
          <c:dPt>
            <c:idx val="33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1-F2A4-406A-A7DA-6B5418467181}"/>
              </c:ext>
            </c:extLst>
          </c:dPt>
          <c:dPt>
            <c:idx val="33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2-F2A4-406A-A7DA-6B5418467181}"/>
              </c:ext>
            </c:extLst>
          </c:dPt>
          <c:dPt>
            <c:idx val="33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3-F2A4-406A-A7DA-6B5418467181}"/>
              </c:ext>
            </c:extLst>
          </c:dPt>
          <c:dPt>
            <c:idx val="34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4-F2A4-406A-A7DA-6B5418467181}"/>
              </c:ext>
            </c:extLst>
          </c:dPt>
          <c:dPt>
            <c:idx val="341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5-F2A4-406A-A7DA-6B5418467181}"/>
              </c:ext>
            </c:extLst>
          </c:dPt>
          <c:dPt>
            <c:idx val="342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6-F2A4-406A-A7DA-6B5418467181}"/>
              </c:ext>
            </c:extLst>
          </c:dPt>
          <c:dPt>
            <c:idx val="34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7-F2A4-406A-A7DA-6B5418467181}"/>
              </c:ext>
            </c:extLst>
          </c:dPt>
          <c:dPt>
            <c:idx val="34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8-F2A4-406A-A7DA-6B5418467181}"/>
              </c:ext>
            </c:extLst>
          </c:dPt>
          <c:dPt>
            <c:idx val="34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9-F2A4-406A-A7DA-6B5418467181}"/>
              </c:ext>
            </c:extLst>
          </c:dPt>
          <c:dPt>
            <c:idx val="346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A-F2A4-406A-A7DA-6B5418467181}"/>
              </c:ext>
            </c:extLst>
          </c:dPt>
          <c:dPt>
            <c:idx val="34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B-F2A4-406A-A7DA-6B5418467181}"/>
              </c:ext>
            </c:extLst>
          </c:dPt>
          <c:dPt>
            <c:idx val="34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C-F2A4-406A-A7DA-6B5418467181}"/>
              </c:ext>
            </c:extLst>
          </c:dPt>
          <c:dPt>
            <c:idx val="34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D-F2A4-406A-A7DA-6B5418467181}"/>
              </c:ext>
            </c:extLst>
          </c:dPt>
          <c:dPt>
            <c:idx val="35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E-F2A4-406A-A7DA-6B5418467181}"/>
              </c:ext>
            </c:extLst>
          </c:dPt>
          <c:dPt>
            <c:idx val="35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F-F2A4-406A-A7DA-6B5418467181}"/>
              </c:ext>
            </c:extLst>
          </c:dPt>
          <c:dPt>
            <c:idx val="352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0-F2A4-406A-A7DA-6B5418467181}"/>
              </c:ext>
            </c:extLst>
          </c:dPt>
          <c:dPt>
            <c:idx val="35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1-F2A4-406A-A7DA-6B5418467181}"/>
              </c:ext>
            </c:extLst>
          </c:dPt>
          <c:dPt>
            <c:idx val="35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2-F2A4-406A-A7DA-6B5418467181}"/>
              </c:ext>
            </c:extLst>
          </c:dPt>
          <c:dPt>
            <c:idx val="35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3-F2A4-406A-A7DA-6B5418467181}"/>
              </c:ext>
            </c:extLst>
          </c:dPt>
          <c:dPt>
            <c:idx val="35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4-F2A4-406A-A7DA-6B5418467181}"/>
              </c:ext>
            </c:extLst>
          </c:dPt>
          <c:dPt>
            <c:idx val="357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5-F2A4-406A-A7DA-6B5418467181}"/>
              </c:ext>
            </c:extLst>
          </c:dPt>
          <c:dPt>
            <c:idx val="35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6-F2A4-406A-A7DA-6B5418467181}"/>
              </c:ext>
            </c:extLst>
          </c:dPt>
          <c:dPt>
            <c:idx val="35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7-F2A4-406A-A7DA-6B5418467181}"/>
              </c:ext>
            </c:extLst>
          </c:dPt>
          <c:dPt>
            <c:idx val="36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8-F2A4-406A-A7DA-6B5418467181}"/>
              </c:ext>
            </c:extLst>
          </c:dPt>
          <c:dPt>
            <c:idx val="36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9-F2A4-406A-A7DA-6B5418467181}"/>
              </c:ext>
            </c:extLst>
          </c:dPt>
          <c:dPt>
            <c:idx val="362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A-F2A4-406A-A7DA-6B5418467181}"/>
              </c:ext>
            </c:extLst>
          </c:dPt>
          <c:dPt>
            <c:idx val="36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B-F2A4-406A-A7DA-6B5418467181}"/>
              </c:ext>
            </c:extLst>
          </c:dPt>
          <c:dPt>
            <c:idx val="36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C-F2A4-406A-A7DA-6B5418467181}"/>
              </c:ext>
            </c:extLst>
          </c:dPt>
          <c:dPt>
            <c:idx val="36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D-F2A4-406A-A7DA-6B5418467181}"/>
              </c:ext>
            </c:extLst>
          </c:dPt>
          <c:dPt>
            <c:idx val="36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E-F2A4-406A-A7DA-6B5418467181}"/>
              </c:ext>
            </c:extLst>
          </c:dPt>
          <c:dPt>
            <c:idx val="36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F-F2A4-406A-A7DA-6B5418467181}"/>
              </c:ext>
            </c:extLst>
          </c:dPt>
          <c:dPt>
            <c:idx val="368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0-F2A4-406A-A7DA-6B5418467181}"/>
              </c:ext>
            </c:extLst>
          </c:dPt>
          <c:dPt>
            <c:idx val="36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1-F2A4-406A-A7DA-6B5418467181}"/>
              </c:ext>
            </c:extLst>
          </c:dPt>
          <c:dPt>
            <c:idx val="37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2-F2A4-406A-A7DA-6B5418467181}"/>
              </c:ext>
            </c:extLst>
          </c:dPt>
          <c:dPt>
            <c:idx val="371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3-F2A4-406A-A7DA-6B5418467181}"/>
              </c:ext>
            </c:extLst>
          </c:dPt>
          <c:dPt>
            <c:idx val="37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4-F2A4-406A-A7DA-6B5418467181}"/>
              </c:ext>
            </c:extLst>
          </c:dPt>
          <c:dPt>
            <c:idx val="373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5-F2A4-406A-A7DA-6B5418467181}"/>
              </c:ext>
            </c:extLst>
          </c:dPt>
          <c:dPt>
            <c:idx val="37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6-F2A4-406A-A7DA-6B5418467181}"/>
              </c:ext>
            </c:extLst>
          </c:dPt>
          <c:dPt>
            <c:idx val="37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7-F2A4-406A-A7DA-6B5418467181}"/>
              </c:ext>
            </c:extLst>
          </c:dPt>
          <c:dPt>
            <c:idx val="37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8-F2A4-406A-A7DA-6B5418467181}"/>
              </c:ext>
            </c:extLst>
          </c:dPt>
          <c:dPt>
            <c:idx val="37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9-F2A4-406A-A7DA-6B5418467181}"/>
              </c:ext>
            </c:extLst>
          </c:dPt>
          <c:dPt>
            <c:idx val="37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A-F2A4-406A-A7DA-6B5418467181}"/>
              </c:ext>
            </c:extLst>
          </c:dPt>
          <c:dPt>
            <c:idx val="37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B-F2A4-406A-A7DA-6B5418467181}"/>
              </c:ext>
            </c:extLst>
          </c:dPt>
          <c:dPt>
            <c:idx val="38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C-F2A4-406A-A7DA-6B5418467181}"/>
              </c:ext>
            </c:extLst>
          </c:dPt>
          <c:dPt>
            <c:idx val="38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D-F2A4-406A-A7DA-6B5418467181}"/>
              </c:ext>
            </c:extLst>
          </c:dPt>
          <c:dPt>
            <c:idx val="38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E-F2A4-406A-A7DA-6B5418467181}"/>
              </c:ext>
            </c:extLst>
          </c:dPt>
          <c:dPt>
            <c:idx val="383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F-F2A4-406A-A7DA-6B5418467181}"/>
              </c:ext>
            </c:extLst>
          </c:dPt>
          <c:dPt>
            <c:idx val="38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0-F2A4-406A-A7DA-6B5418467181}"/>
              </c:ext>
            </c:extLst>
          </c:dPt>
          <c:dPt>
            <c:idx val="38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1-F2A4-406A-A7DA-6B5418467181}"/>
              </c:ext>
            </c:extLst>
          </c:dPt>
          <c:dPt>
            <c:idx val="386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2-F2A4-406A-A7DA-6B5418467181}"/>
              </c:ext>
            </c:extLst>
          </c:dPt>
          <c:dPt>
            <c:idx val="38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3-F2A4-406A-A7DA-6B5418467181}"/>
              </c:ext>
            </c:extLst>
          </c:dPt>
          <c:dPt>
            <c:idx val="38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4-F2A4-406A-A7DA-6B5418467181}"/>
              </c:ext>
            </c:extLst>
          </c:dPt>
          <c:dPt>
            <c:idx val="389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5-F2A4-406A-A7DA-6B5418467181}"/>
              </c:ext>
            </c:extLst>
          </c:dPt>
          <c:dPt>
            <c:idx val="39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6-F2A4-406A-A7DA-6B5418467181}"/>
              </c:ext>
            </c:extLst>
          </c:dPt>
          <c:dPt>
            <c:idx val="391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7-F2A4-406A-A7DA-6B5418467181}"/>
              </c:ext>
            </c:extLst>
          </c:dPt>
          <c:dPt>
            <c:idx val="392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8-F2A4-406A-A7DA-6B5418467181}"/>
              </c:ext>
            </c:extLst>
          </c:dPt>
          <c:dPt>
            <c:idx val="39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9-F2A4-406A-A7DA-6B5418467181}"/>
              </c:ext>
            </c:extLst>
          </c:dPt>
          <c:dPt>
            <c:idx val="394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A-F2A4-406A-A7DA-6B5418467181}"/>
              </c:ext>
            </c:extLst>
          </c:dPt>
          <c:dPt>
            <c:idx val="39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B-F2A4-406A-A7DA-6B5418467181}"/>
              </c:ext>
            </c:extLst>
          </c:dPt>
          <c:dPt>
            <c:idx val="396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C-F2A4-406A-A7DA-6B5418467181}"/>
              </c:ext>
            </c:extLst>
          </c:dPt>
          <c:dPt>
            <c:idx val="39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D-F2A4-406A-A7DA-6B5418467181}"/>
              </c:ext>
            </c:extLst>
          </c:dPt>
          <c:dPt>
            <c:idx val="39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E-F2A4-406A-A7DA-6B5418467181}"/>
              </c:ext>
            </c:extLst>
          </c:dPt>
          <c:dPt>
            <c:idx val="39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F-F2A4-406A-A7DA-6B5418467181}"/>
              </c:ext>
            </c:extLst>
          </c:dPt>
          <c:dPt>
            <c:idx val="400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0-F2A4-406A-A7DA-6B5418467181}"/>
              </c:ext>
            </c:extLst>
          </c:dPt>
          <c:dPt>
            <c:idx val="40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1-F2A4-406A-A7DA-6B5418467181}"/>
              </c:ext>
            </c:extLst>
          </c:dPt>
          <c:dPt>
            <c:idx val="402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2-F2A4-406A-A7DA-6B5418467181}"/>
              </c:ext>
            </c:extLst>
          </c:dPt>
          <c:dPt>
            <c:idx val="403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3-F2A4-406A-A7DA-6B5418467181}"/>
              </c:ext>
            </c:extLst>
          </c:dPt>
          <c:dPt>
            <c:idx val="404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4-F2A4-406A-A7DA-6B5418467181}"/>
              </c:ext>
            </c:extLst>
          </c:dPt>
          <c:dPt>
            <c:idx val="40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5-F2A4-406A-A7DA-6B5418467181}"/>
              </c:ext>
            </c:extLst>
          </c:dPt>
          <c:dPt>
            <c:idx val="40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6-F2A4-406A-A7DA-6B5418467181}"/>
              </c:ext>
            </c:extLst>
          </c:dPt>
          <c:dPt>
            <c:idx val="40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7-F2A4-406A-A7DA-6B5418467181}"/>
              </c:ext>
            </c:extLst>
          </c:dPt>
          <c:dPt>
            <c:idx val="40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8-F2A4-406A-A7DA-6B5418467181}"/>
              </c:ext>
            </c:extLst>
          </c:dPt>
          <c:dPt>
            <c:idx val="40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9-F2A4-406A-A7DA-6B5418467181}"/>
              </c:ext>
            </c:extLst>
          </c:dPt>
          <c:dPt>
            <c:idx val="410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A-F2A4-406A-A7DA-6B5418467181}"/>
              </c:ext>
            </c:extLst>
          </c:dPt>
          <c:dPt>
            <c:idx val="41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B-F2A4-406A-A7DA-6B5418467181}"/>
              </c:ext>
            </c:extLst>
          </c:dPt>
          <c:dPt>
            <c:idx val="41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C-F2A4-406A-A7DA-6B5418467181}"/>
              </c:ext>
            </c:extLst>
          </c:dPt>
          <c:dPt>
            <c:idx val="41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D-F2A4-406A-A7DA-6B5418467181}"/>
              </c:ext>
            </c:extLst>
          </c:dPt>
          <c:dPt>
            <c:idx val="41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E-F2A4-406A-A7DA-6B5418467181}"/>
              </c:ext>
            </c:extLst>
          </c:dPt>
          <c:dPt>
            <c:idx val="41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F-F2A4-406A-A7DA-6B5418467181}"/>
              </c:ext>
            </c:extLst>
          </c:dPt>
          <c:dPt>
            <c:idx val="41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0-F2A4-406A-A7DA-6B5418467181}"/>
              </c:ext>
            </c:extLst>
          </c:dPt>
          <c:dPt>
            <c:idx val="41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1-F2A4-406A-A7DA-6B5418467181}"/>
              </c:ext>
            </c:extLst>
          </c:dPt>
          <c:dPt>
            <c:idx val="41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2-F2A4-406A-A7DA-6B5418467181}"/>
              </c:ext>
            </c:extLst>
          </c:dPt>
          <c:dPt>
            <c:idx val="41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3-F2A4-406A-A7DA-6B5418467181}"/>
              </c:ext>
            </c:extLst>
          </c:dPt>
          <c:dPt>
            <c:idx val="42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4-F2A4-406A-A7DA-6B5418467181}"/>
              </c:ext>
            </c:extLst>
          </c:dPt>
          <c:dPt>
            <c:idx val="421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5-F2A4-406A-A7DA-6B5418467181}"/>
              </c:ext>
            </c:extLst>
          </c:dPt>
          <c:dPt>
            <c:idx val="42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6-F2A4-406A-A7DA-6B5418467181}"/>
              </c:ext>
            </c:extLst>
          </c:dPt>
          <c:dPt>
            <c:idx val="423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7-F2A4-406A-A7DA-6B5418467181}"/>
              </c:ext>
            </c:extLst>
          </c:dPt>
          <c:dPt>
            <c:idx val="42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8-F2A4-406A-A7DA-6B5418467181}"/>
              </c:ext>
            </c:extLst>
          </c:dPt>
          <c:dPt>
            <c:idx val="42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9-F2A4-406A-A7DA-6B5418467181}"/>
              </c:ext>
            </c:extLst>
          </c:dPt>
          <c:dPt>
            <c:idx val="42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A-F2A4-406A-A7DA-6B5418467181}"/>
              </c:ext>
            </c:extLst>
          </c:dPt>
          <c:dPt>
            <c:idx val="42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B-F2A4-406A-A7DA-6B5418467181}"/>
              </c:ext>
            </c:extLst>
          </c:dPt>
          <c:dPt>
            <c:idx val="42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C-F2A4-406A-A7DA-6B5418467181}"/>
              </c:ext>
            </c:extLst>
          </c:dPt>
          <c:dPt>
            <c:idx val="429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D-F2A4-406A-A7DA-6B5418467181}"/>
              </c:ext>
            </c:extLst>
          </c:dPt>
          <c:dPt>
            <c:idx val="430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E-F2A4-406A-A7DA-6B5418467181}"/>
              </c:ext>
            </c:extLst>
          </c:dPt>
          <c:dPt>
            <c:idx val="43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F-F2A4-406A-A7DA-6B5418467181}"/>
              </c:ext>
            </c:extLst>
          </c:dPt>
          <c:dPt>
            <c:idx val="43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0-F2A4-406A-A7DA-6B5418467181}"/>
              </c:ext>
            </c:extLst>
          </c:dPt>
          <c:dPt>
            <c:idx val="43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1-F2A4-406A-A7DA-6B5418467181}"/>
              </c:ext>
            </c:extLst>
          </c:dPt>
          <c:dPt>
            <c:idx val="434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2-F2A4-406A-A7DA-6B5418467181}"/>
              </c:ext>
            </c:extLst>
          </c:dPt>
          <c:dPt>
            <c:idx val="43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3-F2A4-406A-A7DA-6B5418467181}"/>
              </c:ext>
            </c:extLst>
          </c:dPt>
          <c:dPt>
            <c:idx val="43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4-F2A4-406A-A7DA-6B5418467181}"/>
              </c:ext>
            </c:extLst>
          </c:dPt>
          <c:dPt>
            <c:idx val="43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5-F2A4-406A-A7DA-6B5418467181}"/>
              </c:ext>
            </c:extLst>
          </c:dPt>
          <c:dPt>
            <c:idx val="438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6-F2A4-406A-A7DA-6B5418467181}"/>
              </c:ext>
            </c:extLst>
          </c:dPt>
          <c:dPt>
            <c:idx val="43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7-F2A4-406A-A7DA-6B5418467181}"/>
              </c:ext>
            </c:extLst>
          </c:dPt>
          <c:dPt>
            <c:idx val="44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8-F2A4-406A-A7DA-6B5418467181}"/>
              </c:ext>
            </c:extLst>
          </c:dPt>
          <c:dPt>
            <c:idx val="441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9-F2A4-406A-A7DA-6B5418467181}"/>
              </c:ext>
            </c:extLst>
          </c:dPt>
          <c:dPt>
            <c:idx val="44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A-F2A4-406A-A7DA-6B5418467181}"/>
              </c:ext>
            </c:extLst>
          </c:dPt>
          <c:dPt>
            <c:idx val="443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B-F2A4-406A-A7DA-6B5418467181}"/>
              </c:ext>
            </c:extLst>
          </c:dPt>
          <c:dPt>
            <c:idx val="44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C-F2A4-406A-A7DA-6B5418467181}"/>
              </c:ext>
            </c:extLst>
          </c:dPt>
          <c:dPt>
            <c:idx val="44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D-F2A4-406A-A7DA-6B5418467181}"/>
              </c:ext>
            </c:extLst>
          </c:dPt>
          <c:dPt>
            <c:idx val="44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E-F2A4-406A-A7DA-6B5418467181}"/>
              </c:ext>
            </c:extLst>
          </c:dPt>
          <c:dPt>
            <c:idx val="44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F-F2A4-406A-A7DA-6B5418467181}"/>
              </c:ext>
            </c:extLst>
          </c:dPt>
          <c:dPt>
            <c:idx val="44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0-F2A4-406A-A7DA-6B5418467181}"/>
              </c:ext>
            </c:extLst>
          </c:dPt>
          <c:dPt>
            <c:idx val="44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1-F2A4-406A-A7DA-6B5418467181}"/>
              </c:ext>
            </c:extLst>
          </c:dPt>
          <c:dPt>
            <c:idx val="450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2-F2A4-406A-A7DA-6B5418467181}"/>
              </c:ext>
            </c:extLst>
          </c:dPt>
          <c:dPt>
            <c:idx val="45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3-F2A4-406A-A7DA-6B5418467181}"/>
              </c:ext>
            </c:extLst>
          </c:dPt>
          <c:dPt>
            <c:idx val="452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4-F2A4-406A-A7DA-6B5418467181}"/>
              </c:ext>
            </c:extLst>
          </c:dPt>
          <c:dPt>
            <c:idx val="45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5-F2A4-406A-A7DA-6B5418467181}"/>
              </c:ext>
            </c:extLst>
          </c:dPt>
          <c:dPt>
            <c:idx val="45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6-F2A4-406A-A7DA-6B5418467181}"/>
              </c:ext>
            </c:extLst>
          </c:dPt>
          <c:dPt>
            <c:idx val="45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7-F2A4-406A-A7DA-6B5418467181}"/>
              </c:ext>
            </c:extLst>
          </c:dPt>
          <c:dPt>
            <c:idx val="45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8-F2A4-406A-A7DA-6B5418467181}"/>
              </c:ext>
            </c:extLst>
          </c:dPt>
          <c:dPt>
            <c:idx val="457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9-F2A4-406A-A7DA-6B5418467181}"/>
              </c:ext>
            </c:extLst>
          </c:dPt>
          <c:dPt>
            <c:idx val="45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A-F2A4-406A-A7DA-6B5418467181}"/>
              </c:ext>
            </c:extLst>
          </c:dPt>
          <c:dPt>
            <c:idx val="459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B-F2A4-406A-A7DA-6B5418467181}"/>
              </c:ext>
            </c:extLst>
          </c:dPt>
          <c:dPt>
            <c:idx val="46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C-F2A4-406A-A7DA-6B5418467181}"/>
              </c:ext>
            </c:extLst>
          </c:dPt>
          <c:dPt>
            <c:idx val="461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D-F2A4-406A-A7DA-6B5418467181}"/>
              </c:ext>
            </c:extLst>
          </c:dPt>
          <c:dPt>
            <c:idx val="46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E-F2A4-406A-A7DA-6B5418467181}"/>
              </c:ext>
            </c:extLst>
          </c:dPt>
          <c:dPt>
            <c:idx val="46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F-F2A4-406A-A7DA-6B5418467181}"/>
              </c:ext>
            </c:extLst>
          </c:dPt>
          <c:dPt>
            <c:idx val="46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0-F2A4-406A-A7DA-6B5418467181}"/>
              </c:ext>
            </c:extLst>
          </c:dPt>
          <c:dPt>
            <c:idx val="46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1-F2A4-406A-A7DA-6B5418467181}"/>
              </c:ext>
            </c:extLst>
          </c:dPt>
          <c:dPt>
            <c:idx val="46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2-F2A4-406A-A7DA-6B5418467181}"/>
              </c:ext>
            </c:extLst>
          </c:dPt>
          <c:dPt>
            <c:idx val="467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3-F2A4-406A-A7DA-6B5418467181}"/>
              </c:ext>
            </c:extLst>
          </c:dPt>
          <c:dPt>
            <c:idx val="468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4-F2A4-406A-A7DA-6B5418467181}"/>
              </c:ext>
            </c:extLst>
          </c:dPt>
          <c:dPt>
            <c:idx val="46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5-F2A4-406A-A7DA-6B5418467181}"/>
              </c:ext>
            </c:extLst>
          </c:dPt>
          <c:dPt>
            <c:idx val="470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6-F2A4-406A-A7DA-6B5418467181}"/>
              </c:ext>
            </c:extLst>
          </c:dPt>
          <c:dPt>
            <c:idx val="47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7-F2A4-406A-A7DA-6B5418467181}"/>
              </c:ext>
            </c:extLst>
          </c:dPt>
          <c:dPt>
            <c:idx val="47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8-F2A4-406A-A7DA-6B5418467181}"/>
              </c:ext>
            </c:extLst>
          </c:dPt>
          <c:dPt>
            <c:idx val="47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9-F2A4-406A-A7DA-6B5418467181}"/>
              </c:ext>
            </c:extLst>
          </c:dPt>
          <c:dPt>
            <c:idx val="47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A-F2A4-406A-A7DA-6B5418467181}"/>
              </c:ext>
            </c:extLst>
          </c:dPt>
          <c:dPt>
            <c:idx val="47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B-F2A4-406A-A7DA-6B5418467181}"/>
              </c:ext>
            </c:extLst>
          </c:dPt>
          <c:dPt>
            <c:idx val="476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C-F2A4-406A-A7DA-6B5418467181}"/>
              </c:ext>
            </c:extLst>
          </c:dPt>
          <c:dPt>
            <c:idx val="47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D-F2A4-406A-A7DA-6B5418467181}"/>
              </c:ext>
            </c:extLst>
          </c:dPt>
          <c:dPt>
            <c:idx val="47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E-F2A4-406A-A7DA-6B5418467181}"/>
              </c:ext>
            </c:extLst>
          </c:dPt>
          <c:dPt>
            <c:idx val="47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F-F2A4-406A-A7DA-6B5418467181}"/>
              </c:ext>
            </c:extLst>
          </c:dPt>
          <c:dPt>
            <c:idx val="48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0-F2A4-406A-A7DA-6B5418467181}"/>
              </c:ext>
            </c:extLst>
          </c:dPt>
          <c:dPt>
            <c:idx val="481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1-F2A4-406A-A7DA-6B5418467181}"/>
              </c:ext>
            </c:extLst>
          </c:dPt>
          <c:dPt>
            <c:idx val="48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2-F2A4-406A-A7DA-6B5418467181}"/>
              </c:ext>
            </c:extLst>
          </c:dPt>
          <c:dPt>
            <c:idx val="483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3-F2A4-406A-A7DA-6B5418467181}"/>
              </c:ext>
            </c:extLst>
          </c:dPt>
          <c:dPt>
            <c:idx val="48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4-F2A4-406A-A7DA-6B5418467181}"/>
              </c:ext>
            </c:extLst>
          </c:dPt>
          <c:dPt>
            <c:idx val="48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5-F2A4-406A-A7DA-6B5418467181}"/>
              </c:ext>
            </c:extLst>
          </c:dPt>
          <c:dPt>
            <c:idx val="48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6-F2A4-406A-A7DA-6B5418467181}"/>
              </c:ext>
            </c:extLst>
          </c:dPt>
          <c:dPt>
            <c:idx val="48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7-F2A4-406A-A7DA-6B5418467181}"/>
              </c:ext>
            </c:extLst>
          </c:dPt>
          <c:dPt>
            <c:idx val="488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8-F2A4-406A-A7DA-6B5418467181}"/>
              </c:ext>
            </c:extLst>
          </c:dPt>
          <c:dPt>
            <c:idx val="48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9-F2A4-406A-A7DA-6B5418467181}"/>
              </c:ext>
            </c:extLst>
          </c:dPt>
          <c:dPt>
            <c:idx val="49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A-F2A4-406A-A7DA-6B5418467181}"/>
              </c:ext>
            </c:extLst>
          </c:dPt>
          <c:dPt>
            <c:idx val="49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B-F2A4-406A-A7DA-6B5418467181}"/>
              </c:ext>
            </c:extLst>
          </c:dPt>
          <c:dPt>
            <c:idx val="492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C-F2A4-406A-A7DA-6B5418467181}"/>
              </c:ext>
            </c:extLst>
          </c:dPt>
          <c:dPt>
            <c:idx val="49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D-F2A4-406A-A7DA-6B5418467181}"/>
              </c:ext>
            </c:extLst>
          </c:dPt>
          <c:dPt>
            <c:idx val="49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E-F2A4-406A-A7DA-6B5418467181}"/>
              </c:ext>
            </c:extLst>
          </c:dPt>
          <c:dPt>
            <c:idx val="49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F-F2A4-406A-A7DA-6B5418467181}"/>
              </c:ext>
            </c:extLst>
          </c:dPt>
          <c:dPt>
            <c:idx val="49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0-F2A4-406A-A7DA-6B5418467181}"/>
              </c:ext>
            </c:extLst>
          </c:dPt>
          <c:dPt>
            <c:idx val="49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1-F2A4-406A-A7DA-6B5418467181}"/>
              </c:ext>
            </c:extLst>
          </c:dPt>
          <c:dPt>
            <c:idx val="49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2-F2A4-406A-A7DA-6B5418467181}"/>
              </c:ext>
            </c:extLst>
          </c:dPt>
          <c:dPt>
            <c:idx val="49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3-F2A4-406A-A7DA-6B5418467181}"/>
              </c:ext>
            </c:extLst>
          </c:dPt>
          <c:dPt>
            <c:idx val="50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4-F2A4-406A-A7DA-6B5418467181}"/>
              </c:ext>
            </c:extLst>
          </c:dPt>
          <c:dPt>
            <c:idx val="50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5-F2A4-406A-A7DA-6B5418467181}"/>
              </c:ext>
            </c:extLst>
          </c:dPt>
          <c:dPt>
            <c:idx val="50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6-F2A4-406A-A7DA-6B5418467181}"/>
              </c:ext>
            </c:extLst>
          </c:dPt>
          <c:dPt>
            <c:idx val="50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7-F2A4-406A-A7DA-6B5418467181}"/>
              </c:ext>
            </c:extLst>
          </c:dPt>
          <c:dPt>
            <c:idx val="50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8-F2A4-406A-A7DA-6B5418467181}"/>
              </c:ext>
            </c:extLst>
          </c:dPt>
          <c:dPt>
            <c:idx val="50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9-F2A4-406A-A7DA-6B5418467181}"/>
              </c:ext>
            </c:extLst>
          </c:dPt>
          <c:dPt>
            <c:idx val="50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A-F2A4-406A-A7DA-6B5418467181}"/>
              </c:ext>
            </c:extLst>
          </c:dPt>
          <c:dPt>
            <c:idx val="50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B-F2A4-406A-A7DA-6B5418467181}"/>
              </c:ext>
            </c:extLst>
          </c:dPt>
          <c:dPt>
            <c:idx val="50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C-F2A4-406A-A7DA-6B5418467181}"/>
              </c:ext>
            </c:extLst>
          </c:dPt>
          <c:dPt>
            <c:idx val="509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D-F2A4-406A-A7DA-6B5418467181}"/>
              </c:ext>
            </c:extLst>
          </c:dPt>
          <c:dPt>
            <c:idx val="51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E-F2A4-406A-A7DA-6B5418467181}"/>
              </c:ext>
            </c:extLst>
          </c:dPt>
          <c:dPt>
            <c:idx val="51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F-F2A4-406A-A7DA-6B5418467181}"/>
              </c:ext>
            </c:extLst>
          </c:dPt>
          <c:dPt>
            <c:idx val="512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0-F2A4-406A-A7DA-6B5418467181}"/>
              </c:ext>
            </c:extLst>
          </c:dPt>
          <c:dPt>
            <c:idx val="513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1-F2A4-406A-A7DA-6B5418467181}"/>
              </c:ext>
            </c:extLst>
          </c:dPt>
          <c:dPt>
            <c:idx val="51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2-F2A4-406A-A7DA-6B5418467181}"/>
              </c:ext>
            </c:extLst>
          </c:dPt>
          <c:dPt>
            <c:idx val="51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3-F2A4-406A-A7DA-6B5418467181}"/>
              </c:ext>
            </c:extLst>
          </c:dPt>
          <c:dPt>
            <c:idx val="51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4-F2A4-406A-A7DA-6B5418467181}"/>
              </c:ext>
            </c:extLst>
          </c:dPt>
          <c:dPt>
            <c:idx val="51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5-F2A4-406A-A7DA-6B5418467181}"/>
              </c:ext>
            </c:extLst>
          </c:dPt>
          <c:dPt>
            <c:idx val="51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6-F2A4-406A-A7DA-6B5418467181}"/>
              </c:ext>
            </c:extLst>
          </c:dPt>
          <c:dPt>
            <c:idx val="51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7-F2A4-406A-A7DA-6B5418467181}"/>
              </c:ext>
            </c:extLst>
          </c:dPt>
          <c:dPt>
            <c:idx val="52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8-F2A4-406A-A7DA-6B5418467181}"/>
              </c:ext>
            </c:extLst>
          </c:dPt>
          <c:dPt>
            <c:idx val="52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9-F2A4-406A-A7DA-6B5418467181}"/>
              </c:ext>
            </c:extLst>
          </c:dPt>
          <c:dPt>
            <c:idx val="522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A-F2A4-406A-A7DA-6B5418467181}"/>
              </c:ext>
            </c:extLst>
          </c:dPt>
          <c:dPt>
            <c:idx val="52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B-F2A4-406A-A7DA-6B5418467181}"/>
              </c:ext>
            </c:extLst>
          </c:dPt>
          <c:dPt>
            <c:idx val="52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C-F2A4-406A-A7DA-6B5418467181}"/>
              </c:ext>
            </c:extLst>
          </c:dPt>
          <c:dPt>
            <c:idx val="52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D-F2A4-406A-A7DA-6B5418467181}"/>
              </c:ext>
            </c:extLst>
          </c:dPt>
          <c:dPt>
            <c:idx val="526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E-F2A4-406A-A7DA-6B5418467181}"/>
              </c:ext>
            </c:extLst>
          </c:dPt>
          <c:dPt>
            <c:idx val="52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F-F2A4-406A-A7DA-6B5418467181}"/>
              </c:ext>
            </c:extLst>
          </c:dPt>
          <c:dPt>
            <c:idx val="52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0-F2A4-406A-A7DA-6B5418467181}"/>
              </c:ext>
            </c:extLst>
          </c:dPt>
          <c:dPt>
            <c:idx val="52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1-F2A4-406A-A7DA-6B5418467181}"/>
              </c:ext>
            </c:extLst>
          </c:dPt>
          <c:dPt>
            <c:idx val="530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2-F2A4-406A-A7DA-6B5418467181}"/>
              </c:ext>
            </c:extLst>
          </c:dPt>
          <c:dPt>
            <c:idx val="53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3-F2A4-406A-A7DA-6B5418467181}"/>
              </c:ext>
            </c:extLst>
          </c:dPt>
          <c:dPt>
            <c:idx val="53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4-F2A4-406A-A7DA-6B5418467181}"/>
              </c:ext>
            </c:extLst>
          </c:dPt>
          <c:dPt>
            <c:idx val="533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5-F2A4-406A-A7DA-6B5418467181}"/>
              </c:ext>
            </c:extLst>
          </c:dPt>
          <c:dPt>
            <c:idx val="53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6-F2A4-406A-A7DA-6B5418467181}"/>
              </c:ext>
            </c:extLst>
          </c:dPt>
          <c:dPt>
            <c:idx val="535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7-F2A4-406A-A7DA-6B5418467181}"/>
              </c:ext>
            </c:extLst>
          </c:dPt>
          <c:dPt>
            <c:idx val="536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8-F2A4-406A-A7DA-6B5418467181}"/>
              </c:ext>
            </c:extLst>
          </c:dPt>
          <c:dPt>
            <c:idx val="537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9-F2A4-406A-A7DA-6B5418467181}"/>
              </c:ext>
            </c:extLst>
          </c:dPt>
          <c:dPt>
            <c:idx val="538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A-F2A4-406A-A7DA-6B5418467181}"/>
              </c:ext>
            </c:extLst>
          </c:dPt>
          <c:dPt>
            <c:idx val="53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B-F2A4-406A-A7DA-6B5418467181}"/>
              </c:ext>
            </c:extLst>
          </c:dPt>
          <c:dPt>
            <c:idx val="540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C-F2A4-406A-A7DA-6B5418467181}"/>
              </c:ext>
            </c:extLst>
          </c:dPt>
          <c:dPt>
            <c:idx val="54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D-F2A4-406A-A7DA-6B5418467181}"/>
              </c:ext>
            </c:extLst>
          </c:dPt>
          <c:dPt>
            <c:idx val="54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E-F2A4-406A-A7DA-6B5418467181}"/>
              </c:ext>
            </c:extLst>
          </c:dPt>
          <c:dPt>
            <c:idx val="543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F-F2A4-406A-A7DA-6B5418467181}"/>
              </c:ext>
            </c:extLst>
          </c:dPt>
          <c:dPt>
            <c:idx val="544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0-F2A4-406A-A7DA-6B5418467181}"/>
              </c:ext>
            </c:extLst>
          </c:dPt>
          <c:dPt>
            <c:idx val="545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1-F2A4-406A-A7DA-6B5418467181}"/>
              </c:ext>
            </c:extLst>
          </c:dPt>
          <c:dPt>
            <c:idx val="54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2-F2A4-406A-A7DA-6B5418467181}"/>
              </c:ext>
            </c:extLst>
          </c:dPt>
          <c:dPt>
            <c:idx val="547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3-F2A4-406A-A7DA-6B5418467181}"/>
              </c:ext>
            </c:extLst>
          </c:dPt>
          <c:dPt>
            <c:idx val="54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4-F2A4-406A-A7DA-6B5418467181}"/>
              </c:ext>
            </c:extLst>
          </c:dPt>
          <c:dPt>
            <c:idx val="549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5-F2A4-406A-A7DA-6B5418467181}"/>
              </c:ext>
            </c:extLst>
          </c:dPt>
          <c:dPt>
            <c:idx val="55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6-F2A4-406A-A7DA-6B5418467181}"/>
              </c:ext>
            </c:extLst>
          </c:dPt>
          <c:dPt>
            <c:idx val="551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7-F2A4-406A-A7DA-6B5418467181}"/>
              </c:ext>
            </c:extLst>
          </c:dPt>
          <c:dPt>
            <c:idx val="55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8-F2A4-406A-A7DA-6B5418467181}"/>
              </c:ext>
            </c:extLst>
          </c:dPt>
          <c:dPt>
            <c:idx val="55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9-F2A4-406A-A7DA-6B5418467181}"/>
              </c:ext>
            </c:extLst>
          </c:dPt>
          <c:dPt>
            <c:idx val="55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A-F2A4-406A-A7DA-6B5418467181}"/>
              </c:ext>
            </c:extLst>
          </c:dPt>
          <c:dPt>
            <c:idx val="555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B-F2A4-406A-A7DA-6B5418467181}"/>
              </c:ext>
            </c:extLst>
          </c:dPt>
          <c:dPt>
            <c:idx val="55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C-F2A4-406A-A7DA-6B5418467181}"/>
              </c:ext>
            </c:extLst>
          </c:dPt>
          <c:dPt>
            <c:idx val="55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D-F2A4-406A-A7DA-6B5418467181}"/>
              </c:ext>
            </c:extLst>
          </c:dPt>
          <c:dPt>
            <c:idx val="55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E-F2A4-406A-A7DA-6B5418467181}"/>
              </c:ext>
            </c:extLst>
          </c:dPt>
          <c:dPt>
            <c:idx val="559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F-F2A4-406A-A7DA-6B5418467181}"/>
              </c:ext>
            </c:extLst>
          </c:dPt>
          <c:dPt>
            <c:idx val="56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0-F2A4-406A-A7DA-6B5418467181}"/>
              </c:ext>
            </c:extLst>
          </c:dPt>
          <c:dPt>
            <c:idx val="56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1-F2A4-406A-A7DA-6B5418467181}"/>
              </c:ext>
            </c:extLst>
          </c:dPt>
          <c:dPt>
            <c:idx val="562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2-F2A4-406A-A7DA-6B5418467181}"/>
              </c:ext>
            </c:extLst>
          </c:dPt>
          <c:dPt>
            <c:idx val="56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3-F2A4-406A-A7DA-6B5418467181}"/>
              </c:ext>
            </c:extLst>
          </c:dPt>
          <c:dPt>
            <c:idx val="56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4-F2A4-406A-A7DA-6B5418467181}"/>
              </c:ext>
            </c:extLst>
          </c:dPt>
          <c:dPt>
            <c:idx val="56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5-F2A4-406A-A7DA-6B5418467181}"/>
              </c:ext>
            </c:extLst>
          </c:dPt>
          <c:dPt>
            <c:idx val="56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6-F2A4-406A-A7DA-6B5418467181}"/>
              </c:ext>
            </c:extLst>
          </c:dPt>
          <c:dPt>
            <c:idx val="56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7-F2A4-406A-A7DA-6B5418467181}"/>
              </c:ext>
            </c:extLst>
          </c:dPt>
          <c:dPt>
            <c:idx val="56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8-F2A4-406A-A7DA-6B5418467181}"/>
              </c:ext>
            </c:extLst>
          </c:dPt>
          <c:dPt>
            <c:idx val="56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9-F2A4-406A-A7DA-6B5418467181}"/>
              </c:ext>
            </c:extLst>
          </c:dPt>
          <c:dPt>
            <c:idx val="57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A-F2A4-406A-A7DA-6B5418467181}"/>
              </c:ext>
            </c:extLst>
          </c:dPt>
          <c:dPt>
            <c:idx val="57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B-F2A4-406A-A7DA-6B5418467181}"/>
              </c:ext>
            </c:extLst>
          </c:dPt>
          <c:dPt>
            <c:idx val="57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C-F2A4-406A-A7DA-6B5418467181}"/>
              </c:ext>
            </c:extLst>
          </c:dPt>
          <c:dPt>
            <c:idx val="573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D-F2A4-406A-A7DA-6B5418467181}"/>
              </c:ext>
            </c:extLst>
          </c:dPt>
          <c:dPt>
            <c:idx val="57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E-F2A4-406A-A7DA-6B5418467181}"/>
              </c:ext>
            </c:extLst>
          </c:dPt>
          <c:dPt>
            <c:idx val="57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F-F2A4-406A-A7DA-6B5418467181}"/>
              </c:ext>
            </c:extLst>
          </c:dPt>
          <c:dPt>
            <c:idx val="576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0-F2A4-406A-A7DA-6B5418467181}"/>
              </c:ext>
            </c:extLst>
          </c:dPt>
          <c:dPt>
            <c:idx val="57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1-F2A4-406A-A7DA-6B5418467181}"/>
              </c:ext>
            </c:extLst>
          </c:dPt>
          <c:dPt>
            <c:idx val="57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2-F2A4-406A-A7DA-6B5418467181}"/>
              </c:ext>
            </c:extLst>
          </c:dPt>
          <c:dPt>
            <c:idx val="579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3-F2A4-406A-A7DA-6B5418467181}"/>
              </c:ext>
            </c:extLst>
          </c:dPt>
          <c:dPt>
            <c:idx val="58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4-F2A4-406A-A7DA-6B5418467181}"/>
              </c:ext>
            </c:extLst>
          </c:dPt>
          <c:dPt>
            <c:idx val="58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5-F2A4-406A-A7DA-6B5418467181}"/>
              </c:ext>
            </c:extLst>
          </c:dPt>
          <c:dPt>
            <c:idx val="58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6-F2A4-406A-A7DA-6B5418467181}"/>
              </c:ext>
            </c:extLst>
          </c:dPt>
          <c:dPt>
            <c:idx val="583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7-F2A4-406A-A7DA-6B5418467181}"/>
              </c:ext>
            </c:extLst>
          </c:dPt>
          <c:dPt>
            <c:idx val="584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8-F2A4-406A-A7DA-6B5418467181}"/>
              </c:ext>
            </c:extLst>
          </c:dPt>
          <c:dPt>
            <c:idx val="58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9-F2A4-406A-A7DA-6B5418467181}"/>
              </c:ext>
            </c:extLst>
          </c:dPt>
          <c:dPt>
            <c:idx val="586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A-F2A4-406A-A7DA-6B5418467181}"/>
              </c:ext>
            </c:extLst>
          </c:dPt>
          <c:dPt>
            <c:idx val="587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B-F2A4-406A-A7DA-6B5418467181}"/>
              </c:ext>
            </c:extLst>
          </c:dPt>
          <c:dPt>
            <c:idx val="588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C-F2A4-406A-A7DA-6B5418467181}"/>
              </c:ext>
            </c:extLst>
          </c:dPt>
          <c:dPt>
            <c:idx val="58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D-F2A4-406A-A7DA-6B5418467181}"/>
              </c:ext>
            </c:extLst>
          </c:dPt>
          <c:dPt>
            <c:idx val="59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E-F2A4-406A-A7DA-6B5418467181}"/>
              </c:ext>
            </c:extLst>
          </c:dPt>
          <c:dPt>
            <c:idx val="591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F-F2A4-406A-A7DA-6B5418467181}"/>
              </c:ext>
            </c:extLst>
          </c:dPt>
          <c:dPt>
            <c:idx val="592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0-F2A4-406A-A7DA-6B5418467181}"/>
              </c:ext>
            </c:extLst>
          </c:dPt>
          <c:dPt>
            <c:idx val="593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1-F2A4-406A-A7DA-6B5418467181}"/>
              </c:ext>
            </c:extLst>
          </c:dPt>
          <c:dPt>
            <c:idx val="59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2-F2A4-406A-A7DA-6B5418467181}"/>
              </c:ext>
            </c:extLst>
          </c:dPt>
          <c:dPt>
            <c:idx val="59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3-F2A4-406A-A7DA-6B5418467181}"/>
              </c:ext>
            </c:extLst>
          </c:dPt>
          <c:dPt>
            <c:idx val="596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4-F2A4-406A-A7DA-6B5418467181}"/>
              </c:ext>
            </c:extLst>
          </c:dPt>
          <c:dPt>
            <c:idx val="59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5-F2A4-406A-A7DA-6B5418467181}"/>
              </c:ext>
            </c:extLst>
          </c:dPt>
          <c:dPt>
            <c:idx val="59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6-F2A4-406A-A7DA-6B5418467181}"/>
              </c:ext>
            </c:extLst>
          </c:dPt>
          <c:dPt>
            <c:idx val="59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7-F2A4-406A-A7DA-6B5418467181}"/>
              </c:ext>
            </c:extLst>
          </c:dPt>
          <c:dPt>
            <c:idx val="600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8-F2A4-406A-A7DA-6B5418467181}"/>
              </c:ext>
            </c:extLst>
          </c:dPt>
          <c:dPt>
            <c:idx val="60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9-F2A4-406A-A7DA-6B5418467181}"/>
              </c:ext>
            </c:extLst>
          </c:dPt>
          <c:dPt>
            <c:idx val="60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A-F2A4-406A-A7DA-6B5418467181}"/>
              </c:ext>
            </c:extLst>
          </c:dPt>
          <c:dPt>
            <c:idx val="60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B-F2A4-406A-A7DA-6B5418467181}"/>
              </c:ext>
            </c:extLst>
          </c:dPt>
          <c:dPt>
            <c:idx val="60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C-F2A4-406A-A7DA-6B5418467181}"/>
              </c:ext>
            </c:extLst>
          </c:dPt>
          <c:dPt>
            <c:idx val="60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D-F2A4-406A-A7DA-6B5418467181}"/>
              </c:ext>
            </c:extLst>
          </c:dPt>
          <c:dPt>
            <c:idx val="606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E-F2A4-406A-A7DA-6B5418467181}"/>
              </c:ext>
            </c:extLst>
          </c:dPt>
          <c:dPt>
            <c:idx val="607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F-F2A4-406A-A7DA-6B5418467181}"/>
              </c:ext>
            </c:extLst>
          </c:dPt>
          <c:dPt>
            <c:idx val="608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0-F2A4-406A-A7DA-6B5418467181}"/>
              </c:ext>
            </c:extLst>
          </c:dPt>
          <c:dPt>
            <c:idx val="60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1-F2A4-406A-A7DA-6B5418467181}"/>
              </c:ext>
            </c:extLst>
          </c:dPt>
          <c:dPt>
            <c:idx val="61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2-F2A4-406A-A7DA-6B5418467181}"/>
              </c:ext>
            </c:extLst>
          </c:dPt>
          <c:dPt>
            <c:idx val="611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3-F2A4-406A-A7DA-6B5418467181}"/>
              </c:ext>
            </c:extLst>
          </c:dPt>
          <c:dPt>
            <c:idx val="61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4-F2A4-406A-A7DA-6B5418467181}"/>
              </c:ext>
            </c:extLst>
          </c:dPt>
          <c:dPt>
            <c:idx val="61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5-F2A4-406A-A7DA-6B5418467181}"/>
              </c:ext>
            </c:extLst>
          </c:dPt>
          <c:dPt>
            <c:idx val="61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6-F2A4-406A-A7DA-6B5418467181}"/>
              </c:ext>
            </c:extLst>
          </c:dPt>
          <c:dPt>
            <c:idx val="61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7-F2A4-406A-A7DA-6B5418467181}"/>
              </c:ext>
            </c:extLst>
          </c:dPt>
          <c:dPt>
            <c:idx val="616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8-F2A4-406A-A7DA-6B5418467181}"/>
              </c:ext>
            </c:extLst>
          </c:dPt>
          <c:dPt>
            <c:idx val="61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9-F2A4-406A-A7DA-6B5418467181}"/>
              </c:ext>
            </c:extLst>
          </c:dPt>
          <c:dPt>
            <c:idx val="61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A-F2A4-406A-A7DA-6B5418467181}"/>
              </c:ext>
            </c:extLst>
          </c:dPt>
          <c:dPt>
            <c:idx val="61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B-F2A4-406A-A7DA-6B5418467181}"/>
              </c:ext>
            </c:extLst>
          </c:dPt>
          <c:dPt>
            <c:idx val="62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C-F2A4-406A-A7DA-6B5418467181}"/>
              </c:ext>
            </c:extLst>
          </c:dPt>
          <c:dPt>
            <c:idx val="62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D-F2A4-406A-A7DA-6B5418467181}"/>
              </c:ext>
            </c:extLst>
          </c:dPt>
          <c:dPt>
            <c:idx val="62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E-F2A4-406A-A7DA-6B5418467181}"/>
              </c:ext>
            </c:extLst>
          </c:dPt>
          <c:dPt>
            <c:idx val="62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F-F2A4-406A-A7DA-6B5418467181}"/>
              </c:ext>
            </c:extLst>
          </c:dPt>
          <c:dPt>
            <c:idx val="624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0-F2A4-406A-A7DA-6B5418467181}"/>
              </c:ext>
            </c:extLst>
          </c:dPt>
          <c:dPt>
            <c:idx val="62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1-F2A4-406A-A7DA-6B5418467181}"/>
              </c:ext>
            </c:extLst>
          </c:dPt>
          <c:dPt>
            <c:idx val="62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2-F2A4-406A-A7DA-6B5418467181}"/>
              </c:ext>
            </c:extLst>
          </c:dPt>
          <c:dPt>
            <c:idx val="627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3-F2A4-406A-A7DA-6B5418467181}"/>
              </c:ext>
            </c:extLst>
          </c:dPt>
          <c:dPt>
            <c:idx val="62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4-F2A4-406A-A7DA-6B5418467181}"/>
              </c:ext>
            </c:extLst>
          </c:dPt>
          <c:dPt>
            <c:idx val="62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5-F2A4-406A-A7DA-6B5418467181}"/>
              </c:ext>
            </c:extLst>
          </c:dPt>
          <c:dPt>
            <c:idx val="63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6-F2A4-406A-A7DA-6B5418467181}"/>
              </c:ext>
            </c:extLst>
          </c:dPt>
          <c:dPt>
            <c:idx val="63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7-F2A4-406A-A7DA-6B5418467181}"/>
              </c:ext>
            </c:extLst>
          </c:dPt>
          <c:dPt>
            <c:idx val="63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8-F2A4-406A-A7DA-6B5418467181}"/>
              </c:ext>
            </c:extLst>
          </c:dPt>
          <c:dPt>
            <c:idx val="63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9-F2A4-406A-A7DA-6B5418467181}"/>
              </c:ext>
            </c:extLst>
          </c:dPt>
          <c:dPt>
            <c:idx val="63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A-F2A4-406A-A7DA-6B5418467181}"/>
              </c:ext>
            </c:extLst>
          </c:dPt>
          <c:dPt>
            <c:idx val="63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B-F2A4-406A-A7DA-6B5418467181}"/>
              </c:ext>
            </c:extLst>
          </c:dPt>
          <c:dPt>
            <c:idx val="63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C-F2A4-406A-A7DA-6B5418467181}"/>
              </c:ext>
            </c:extLst>
          </c:dPt>
          <c:dPt>
            <c:idx val="637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D-F2A4-406A-A7DA-6B5418467181}"/>
              </c:ext>
            </c:extLst>
          </c:dPt>
          <c:dPt>
            <c:idx val="638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E-F2A4-406A-A7DA-6B5418467181}"/>
              </c:ext>
            </c:extLst>
          </c:dPt>
          <c:dPt>
            <c:idx val="63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F-F2A4-406A-A7DA-6B5418467181}"/>
              </c:ext>
            </c:extLst>
          </c:dPt>
          <c:dPt>
            <c:idx val="64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0-F2A4-406A-A7DA-6B5418467181}"/>
              </c:ext>
            </c:extLst>
          </c:dPt>
          <c:dPt>
            <c:idx val="64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1-F2A4-406A-A7DA-6B5418467181}"/>
              </c:ext>
            </c:extLst>
          </c:dPt>
          <c:dPt>
            <c:idx val="64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2-F2A4-406A-A7DA-6B5418467181}"/>
              </c:ext>
            </c:extLst>
          </c:dPt>
          <c:dPt>
            <c:idx val="64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3-F2A4-406A-A7DA-6B5418467181}"/>
              </c:ext>
            </c:extLst>
          </c:dPt>
          <c:dPt>
            <c:idx val="64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4-F2A4-406A-A7DA-6B5418467181}"/>
              </c:ext>
            </c:extLst>
          </c:dPt>
          <c:dPt>
            <c:idx val="645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5-F2A4-406A-A7DA-6B5418467181}"/>
              </c:ext>
            </c:extLst>
          </c:dPt>
          <c:dPt>
            <c:idx val="64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6-F2A4-406A-A7DA-6B5418467181}"/>
              </c:ext>
            </c:extLst>
          </c:dPt>
          <c:dPt>
            <c:idx val="64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7-F2A4-406A-A7DA-6B5418467181}"/>
              </c:ext>
            </c:extLst>
          </c:dPt>
          <c:dPt>
            <c:idx val="64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8-F2A4-406A-A7DA-6B5418467181}"/>
              </c:ext>
            </c:extLst>
          </c:dPt>
          <c:dPt>
            <c:idx val="64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9-F2A4-406A-A7DA-6B5418467181}"/>
              </c:ext>
            </c:extLst>
          </c:dPt>
          <c:dPt>
            <c:idx val="65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A-F2A4-406A-A7DA-6B5418467181}"/>
              </c:ext>
            </c:extLst>
          </c:dPt>
          <c:dPt>
            <c:idx val="65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B-F2A4-406A-A7DA-6B5418467181}"/>
              </c:ext>
            </c:extLst>
          </c:dPt>
          <c:dPt>
            <c:idx val="65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C-F2A4-406A-A7DA-6B5418467181}"/>
              </c:ext>
            </c:extLst>
          </c:dPt>
          <c:dPt>
            <c:idx val="653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D-F2A4-406A-A7DA-6B5418467181}"/>
              </c:ext>
            </c:extLst>
          </c:dPt>
          <c:dPt>
            <c:idx val="65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E-F2A4-406A-A7DA-6B5418467181}"/>
              </c:ext>
            </c:extLst>
          </c:dPt>
          <c:dPt>
            <c:idx val="655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F-F2A4-406A-A7DA-6B5418467181}"/>
              </c:ext>
            </c:extLst>
          </c:dPt>
          <c:dPt>
            <c:idx val="65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0-F2A4-406A-A7DA-6B5418467181}"/>
              </c:ext>
            </c:extLst>
          </c:dPt>
          <c:dPt>
            <c:idx val="65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1-F2A4-406A-A7DA-6B5418467181}"/>
              </c:ext>
            </c:extLst>
          </c:dPt>
          <c:dPt>
            <c:idx val="65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2-F2A4-406A-A7DA-6B5418467181}"/>
              </c:ext>
            </c:extLst>
          </c:dPt>
          <c:dPt>
            <c:idx val="65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3-F2A4-406A-A7DA-6B5418467181}"/>
              </c:ext>
            </c:extLst>
          </c:dPt>
          <c:dPt>
            <c:idx val="660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4-F2A4-406A-A7DA-6B5418467181}"/>
              </c:ext>
            </c:extLst>
          </c:dPt>
          <c:dPt>
            <c:idx val="66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5-F2A4-406A-A7DA-6B5418467181}"/>
              </c:ext>
            </c:extLst>
          </c:dPt>
          <c:dPt>
            <c:idx val="66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6-F2A4-406A-A7DA-6B5418467181}"/>
              </c:ext>
            </c:extLst>
          </c:dPt>
          <c:dPt>
            <c:idx val="66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7-F2A4-406A-A7DA-6B5418467181}"/>
              </c:ext>
            </c:extLst>
          </c:dPt>
          <c:dPt>
            <c:idx val="66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8-F2A4-406A-A7DA-6B5418467181}"/>
              </c:ext>
            </c:extLst>
          </c:dPt>
          <c:dPt>
            <c:idx val="66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9-F2A4-406A-A7DA-6B5418467181}"/>
              </c:ext>
            </c:extLst>
          </c:dPt>
          <c:dPt>
            <c:idx val="66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A-F2A4-406A-A7DA-6B5418467181}"/>
              </c:ext>
            </c:extLst>
          </c:dPt>
          <c:dPt>
            <c:idx val="667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B-F2A4-406A-A7DA-6B5418467181}"/>
              </c:ext>
            </c:extLst>
          </c:dPt>
          <c:dPt>
            <c:idx val="66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C-F2A4-406A-A7DA-6B5418467181}"/>
              </c:ext>
            </c:extLst>
          </c:dPt>
          <c:dPt>
            <c:idx val="66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D-F2A4-406A-A7DA-6B5418467181}"/>
              </c:ext>
            </c:extLst>
          </c:dPt>
          <c:dPt>
            <c:idx val="67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E-F2A4-406A-A7DA-6B5418467181}"/>
              </c:ext>
            </c:extLst>
          </c:dPt>
          <c:dPt>
            <c:idx val="671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F-F2A4-406A-A7DA-6B5418467181}"/>
              </c:ext>
            </c:extLst>
          </c:dPt>
          <c:dPt>
            <c:idx val="672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0-F2A4-406A-A7DA-6B5418467181}"/>
              </c:ext>
            </c:extLst>
          </c:dPt>
          <c:dPt>
            <c:idx val="67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1-F2A4-406A-A7DA-6B5418467181}"/>
              </c:ext>
            </c:extLst>
          </c:dPt>
          <c:dPt>
            <c:idx val="67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2-F2A4-406A-A7DA-6B5418467181}"/>
              </c:ext>
            </c:extLst>
          </c:dPt>
          <c:dPt>
            <c:idx val="67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3-F2A4-406A-A7DA-6B5418467181}"/>
              </c:ext>
            </c:extLst>
          </c:dPt>
          <c:dPt>
            <c:idx val="67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4-F2A4-406A-A7DA-6B5418467181}"/>
              </c:ext>
            </c:extLst>
          </c:dPt>
          <c:dPt>
            <c:idx val="677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5-F2A4-406A-A7DA-6B5418467181}"/>
              </c:ext>
            </c:extLst>
          </c:dPt>
          <c:dPt>
            <c:idx val="67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6-F2A4-406A-A7DA-6B5418467181}"/>
              </c:ext>
            </c:extLst>
          </c:dPt>
          <c:dPt>
            <c:idx val="67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7-F2A4-406A-A7DA-6B5418467181}"/>
              </c:ext>
            </c:extLst>
          </c:dPt>
          <c:dPt>
            <c:idx val="68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8-F2A4-406A-A7DA-6B5418467181}"/>
              </c:ext>
            </c:extLst>
          </c:dPt>
          <c:dPt>
            <c:idx val="68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9-F2A4-406A-A7DA-6B5418467181}"/>
              </c:ext>
            </c:extLst>
          </c:dPt>
          <c:dPt>
            <c:idx val="68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A-F2A4-406A-A7DA-6B5418467181}"/>
              </c:ext>
            </c:extLst>
          </c:dPt>
          <c:dPt>
            <c:idx val="683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B-F2A4-406A-A7DA-6B5418467181}"/>
              </c:ext>
            </c:extLst>
          </c:dPt>
          <c:dPt>
            <c:idx val="68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F2A4-406A-A7DA-6B5418467181}"/>
              </c:ext>
            </c:extLst>
          </c:dPt>
          <c:dPt>
            <c:idx val="68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D-F2A4-406A-A7DA-6B5418467181}"/>
              </c:ext>
            </c:extLst>
          </c:dPt>
          <c:dPt>
            <c:idx val="68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E-F2A4-406A-A7DA-6B5418467181}"/>
              </c:ext>
            </c:extLst>
          </c:dPt>
          <c:dPt>
            <c:idx val="68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F-F2A4-406A-A7DA-6B5418467181}"/>
              </c:ext>
            </c:extLst>
          </c:dPt>
          <c:dPt>
            <c:idx val="68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0-F2A4-406A-A7DA-6B5418467181}"/>
              </c:ext>
            </c:extLst>
          </c:dPt>
          <c:dPt>
            <c:idx val="689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1-F2A4-406A-A7DA-6B5418467181}"/>
              </c:ext>
            </c:extLst>
          </c:dPt>
          <c:dPt>
            <c:idx val="69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2-F2A4-406A-A7DA-6B5418467181}"/>
              </c:ext>
            </c:extLst>
          </c:dPt>
          <c:dPt>
            <c:idx val="691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3-F2A4-406A-A7DA-6B5418467181}"/>
              </c:ext>
            </c:extLst>
          </c:dPt>
          <c:dPt>
            <c:idx val="69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4-F2A4-406A-A7DA-6B5418467181}"/>
              </c:ext>
            </c:extLst>
          </c:dPt>
          <c:dPt>
            <c:idx val="69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5-F2A4-406A-A7DA-6B5418467181}"/>
              </c:ext>
            </c:extLst>
          </c:dPt>
          <c:dPt>
            <c:idx val="69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6-F2A4-406A-A7DA-6B5418467181}"/>
              </c:ext>
            </c:extLst>
          </c:dPt>
          <c:dPt>
            <c:idx val="69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7-F2A4-406A-A7DA-6B5418467181}"/>
              </c:ext>
            </c:extLst>
          </c:dPt>
          <c:dPt>
            <c:idx val="69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8-F2A4-406A-A7DA-6B5418467181}"/>
              </c:ext>
            </c:extLst>
          </c:dPt>
          <c:dPt>
            <c:idx val="69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9-F2A4-406A-A7DA-6B5418467181}"/>
              </c:ext>
            </c:extLst>
          </c:dPt>
          <c:dPt>
            <c:idx val="69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A-F2A4-406A-A7DA-6B5418467181}"/>
              </c:ext>
            </c:extLst>
          </c:dPt>
          <c:dPt>
            <c:idx val="69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B-F2A4-406A-A7DA-6B5418467181}"/>
              </c:ext>
            </c:extLst>
          </c:dPt>
          <c:dPt>
            <c:idx val="70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C-F2A4-406A-A7DA-6B5418467181}"/>
              </c:ext>
            </c:extLst>
          </c:dPt>
          <c:dPt>
            <c:idx val="70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D-F2A4-406A-A7DA-6B5418467181}"/>
              </c:ext>
            </c:extLst>
          </c:dPt>
          <c:dPt>
            <c:idx val="70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E-F2A4-406A-A7DA-6B5418467181}"/>
              </c:ext>
            </c:extLst>
          </c:dPt>
          <c:dPt>
            <c:idx val="70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F-F2A4-406A-A7DA-6B5418467181}"/>
              </c:ext>
            </c:extLst>
          </c:dPt>
          <c:dPt>
            <c:idx val="70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0-F2A4-406A-A7DA-6B5418467181}"/>
              </c:ext>
            </c:extLst>
          </c:dPt>
          <c:dPt>
            <c:idx val="70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1-F2A4-406A-A7DA-6B5418467181}"/>
              </c:ext>
            </c:extLst>
          </c:dPt>
          <c:dPt>
            <c:idx val="70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2-F2A4-406A-A7DA-6B5418467181}"/>
              </c:ext>
            </c:extLst>
          </c:dPt>
          <c:dPt>
            <c:idx val="70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3-F2A4-406A-A7DA-6B5418467181}"/>
              </c:ext>
            </c:extLst>
          </c:dPt>
          <c:dPt>
            <c:idx val="70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4-F2A4-406A-A7DA-6B5418467181}"/>
              </c:ext>
            </c:extLst>
          </c:dPt>
          <c:dPt>
            <c:idx val="70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5-F2A4-406A-A7DA-6B5418467181}"/>
              </c:ext>
            </c:extLst>
          </c:dPt>
          <c:dPt>
            <c:idx val="71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6-F2A4-406A-A7DA-6B5418467181}"/>
              </c:ext>
            </c:extLst>
          </c:dPt>
          <c:dPt>
            <c:idx val="71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7-F2A4-406A-A7DA-6B5418467181}"/>
              </c:ext>
            </c:extLst>
          </c:dPt>
          <c:dPt>
            <c:idx val="71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8-F2A4-406A-A7DA-6B5418467181}"/>
              </c:ext>
            </c:extLst>
          </c:dPt>
          <c:dPt>
            <c:idx val="71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9-F2A4-406A-A7DA-6B5418467181}"/>
              </c:ext>
            </c:extLst>
          </c:dPt>
          <c:dPt>
            <c:idx val="71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A-F2A4-406A-A7DA-6B5418467181}"/>
              </c:ext>
            </c:extLst>
          </c:dPt>
          <c:dPt>
            <c:idx val="71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B-F2A4-406A-A7DA-6B5418467181}"/>
              </c:ext>
            </c:extLst>
          </c:dPt>
          <c:dPt>
            <c:idx val="71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C-F2A4-406A-A7DA-6B5418467181}"/>
              </c:ext>
            </c:extLst>
          </c:dPt>
          <c:dPt>
            <c:idx val="717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D-F2A4-406A-A7DA-6B5418467181}"/>
              </c:ext>
            </c:extLst>
          </c:dPt>
          <c:dPt>
            <c:idx val="71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E-F2A4-406A-A7DA-6B5418467181}"/>
              </c:ext>
            </c:extLst>
          </c:dPt>
          <c:dPt>
            <c:idx val="719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F-F2A4-406A-A7DA-6B5418467181}"/>
              </c:ext>
            </c:extLst>
          </c:dPt>
          <c:dPt>
            <c:idx val="72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0-F2A4-406A-A7DA-6B5418467181}"/>
              </c:ext>
            </c:extLst>
          </c:dPt>
          <c:dPt>
            <c:idx val="72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1-F2A4-406A-A7DA-6B5418467181}"/>
              </c:ext>
            </c:extLst>
          </c:dPt>
          <c:dPt>
            <c:idx val="72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2-F2A4-406A-A7DA-6B5418467181}"/>
              </c:ext>
            </c:extLst>
          </c:dPt>
          <c:dPt>
            <c:idx val="723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3-F2A4-406A-A7DA-6B5418467181}"/>
              </c:ext>
            </c:extLst>
          </c:dPt>
          <c:dPt>
            <c:idx val="72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4-F2A4-406A-A7DA-6B5418467181}"/>
              </c:ext>
            </c:extLst>
          </c:dPt>
          <c:dPt>
            <c:idx val="72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5-F2A4-406A-A7DA-6B5418467181}"/>
              </c:ext>
            </c:extLst>
          </c:dPt>
          <c:dPt>
            <c:idx val="72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6-F2A4-406A-A7DA-6B5418467181}"/>
              </c:ext>
            </c:extLst>
          </c:dPt>
          <c:dPt>
            <c:idx val="72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7-F2A4-406A-A7DA-6B5418467181}"/>
              </c:ext>
            </c:extLst>
          </c:dPt>
          <c:dPt>
            <c:idx val="72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8-F2A4-406A-A7DA-6B5418467181}"/>
              </c:ext>
            </c:extLst>
          </c:dPt>
          <c:dPt>
            <c:idx val="729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9-F2A4-406A-A7DA-6B5418467181}"/>
              </c:ext>
            </c:extLst>
          </c:dPt>
          <c:dPt>
            <c:idx val="73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A-F2A4-406A-A7DA-6B5418467181}"/>
              </c:ext>
            </c:extLst>
          </c:dPt>
          <c:dPt>
            <c:idx val="731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B-F2A4-406A-A7DA-6B5418467181}"/>
              </c:ext>
            </c:extLst>
          </c:dPt>
          <c:dPt>
            <c:idx val="73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C-F2A4-406A-A7DA-6B5418467181}"/>
              </c:ext>
            </c:extLst>
          </c:dPt>
          <c:dPt>
            <c:idx val="73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D-F2A4-406A-A7DA-6B5418467181}"/>
              </c:ext>
            </c:extLst>
          </c:dPt>
          <c:dPt>
            <c:idx val="734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E-F2A4-406A-A7DA-6B5418467181}"/>
              </c:ext>
            </c:extLst>
          </c:dPt>
          <c:dPt>
            <c:idx val="735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F-F2A4-406A-A7DA-6B5418467181}"/>
              </c:ext>
            </c:extLst>
          </c:dPt>
          <c:dPt>
            <c:idx val="736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0-F2A4-406A-A7DA-6B5418467181}"/>
              </c:ext>
            </c:extLst>
          </c:dPt>
          <c:dPt>
            <c:idx val="73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1-F2A4-406A-A7DA-6B5418467181}"/>
              </c:ext>
            </c:extLst>
          </c:dPt>
          <c:dPt>
            <c:idx val="73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2-F2A4-406A-A7DA-6B5418467181}"/>
              </c:ext>
            </c:extLst>
          </c:dPt>
          <c:dPt>
            <c:idx val="73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3-F2A4-406A-A7DA-6B5418467181}"/>
              </c:ext>
            </c:extLst>
          </c:dPt>
          <c:dPt>
            <c:idx val="740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4-F2A4-406A-A7DA-6B5418467181}"/>
              </c:ext>
            </c:extLst>
          </c:dPt>
          <c:dPt>
            <c:idx val="74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5-F2A4-406A-A7DA-6B5418467181}"/>
              </c:ext>
            </c:extLst>
          </c:dPt>
          <c:dPt>
            <c:idx val="742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6-F2A4-406A-A7DA-6B5418467181}"/>
              </c:ext>
            </c:extLst>
          </c:dPt>
          <c:dPt>
            <c:idx val="743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7-F2A4-406A-A7DA-6B5418467181}"/>
              </c:ext>
            </c:extLst>
          </c:dPt>
          <c:dPt>
            <c:idx val="74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8-F2A4-406A-A7DA-6B5418467181}"/>
              </c:ext>
            </c:extLst>
          </c:dPt>
          <c:dPt>
            <c:idx val="745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9-F2A4-406A-A7DA-6B5418467181}"/>
              </c:ext>
            </c:extLst>
          </c:dPt>
          <c:dPt>
            <c:idx val="74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A-F2A4-406A-A7DA-6B5418467181}"/>
              </c:ext>
            </c:extLst>
          </c:dPt>
          <c:dPt>
            <c:idx val="747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B-F2A4-406A-A7DA-6B5418467181}"/>
              </c:ext>
            </c:extLst>
          </c:dPt>
          <c:dPt>
            <c:idx val="74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C-F2A4-406A-A7DA-6B5418467181}"/>
              </c:ext>
            </c:extLst>
          </c:dPt>
          <c:dPt>
            <c:idx val="74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D-F2A4-406A-A7DA-6B5418467181}"/>
              </c:ext>
            </c:extLst>
          </c:dPt>
          <c:dPt>
            <c:idx val="75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E-F2A4-406A-A7DA-6B5418467181}"/>
              </c:ext>
            </c:extLst>
          </c:dPt>
          <c:dPt>
            <c:idx val="75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F-F2A4-406A-A7DA-6B5418467181}"/>
              </c:ext>
            </c:extLst>
          </c:dPt>
          <c:dPt>
            <c:idx val="752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0-F2A4-406A-A7DA-6B5418467181}"/>
              </c:ext>
            </c:extLst>
          </c:dPt>
          <c:dPt>
            <c:idx val="75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1-F2A4-406A-A7DA-6B5418467181}"/>
              </c:ext>
            </c:extLst>
          </c:dPt>
          <c:dPt>
            <c:idx val="754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2-F2A4-406A-A7DA-6B5418467181}"/>
              </c:ext>
            </c:extLst>
          </c:dPt>
          <c:dPt>
            <c:idx val="755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3-F2A4-406A-A7DA-6B5418467181}"/>
              </c:ext>
            </c:extLst>
          </c:dPt>
          <c:dPt>
            <c:idx val="75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4-F2A4-406A-A7DA-6B5418467181}"/>
              </c:ext>
            </c:extLst>
          </c:dPt>
          <c:dPt>
            <c:idx val="757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5-F2A4-406A-A7DA-6B5418467181}"/>
              </c:ext>
            </c:extLst>
          </c:dPt>
          <c:dPt>
            <c:idx val="758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6-F2A4-406A-A7DA-6B5418467181}"/>
              </c:ext>
            </c:extLst>
          </c:dPt>
          <c:dPt>
            <c:idx val="759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7-F2A4-406A-A7DA-6B5418467181}"/>
              </c:ext>
            </c:extLst>
          </c:dPt>
          <c:dPt>
            <c:idx val="76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8-F2A4-406A-A7DA-6B5418467181}"/>
              </c:ext>
            </c:extLst>
          </c:dPt>
          <c:dPt>
            <c:idx val="76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9-F2A4-406A-A7DA-6B5418467181}"/>
              </c:ext>
            </c:extLst>
          </c:dPt>
          <c:dPt>
            <c:idx val="76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A-F2A4-406A-A7DA-6B5418467181}"/>
              </c:ext>
            </c:extLst>
          </c:dPt>
          <c:dPt>
            <c:idx val="76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B-F2A4-406A-A7DA-6B5418467181}"/>
              </c:ext>
            </c:extLst>
          </c:dPt>
          <c:dPt>
            <c:idx val="764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C-F2A4-406A-A7DA-6B5418467181}"/>
              </c:ext>
            </c:extLst>
          </c:dPt>
          <c:dPt>
            <c:idx val="76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D-F2A4-406A-A7DA-6B5418467181}"/>
              </c:ext>
            </c:extLst>
          </c:dPt>
          <c:dPt>
            <c:idx val="766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E-F2A4-406A-A7DA-6B5418467181}"/>
              </c:ext>
            </c:extLst>
          </c:dPt>
          <c:dPt>
            <c:idx val="76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F-F2A4-406A-A7DA-6B5418467181}"/>
              </c:ext>
            </c:extLst>
          </c:dPt>
          <c:dPt>
            <c:idx val="76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0-F2A4-406A-A7DA-6B5418467181}"/>
              </c:ext>
            </c:extLst>
          </c:dPt>
          <c:dPt>
            <c:idx val="769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1-F2A4-406A-A7DA-6B5418467181}"/>
              </c:ext>
            </c:extLst>
          </c:dPt>
          <c:dPt>
            <c:idx val="77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2-F2A4-406A-A7DA-6B5418467181}"/>
              </c:ext>
            </c:extLst>
          </c:dPt>
          <c:dPt>
            <c:idx val="771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3-F2A4-406A-A7DA-6B5418467181}"/>
              </c:ext>
            </c:extLst>
          </c:dPt>
          <c:dPt>
            <c:idx val="77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4-F2A4-406A-A7DA-6B5418467181}"/>
              </c:ext>
            </c:extLst>
          </c:dPt>
          <c:dPt>
            <c:idx val="77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5-F2A4-406A-A7DA-6B5418467181}"/>
              </c:ext>
            </c:extLst>
          </c:dPt>
          <c:dPt>
            <c:idx val="77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6-F2A4-406A-A7DA-6B5418467181}"/>
              </c:ext>
            </c:extLst>
          </c:dPt>
          <c:dPt>
            <c:idx val="77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7-F2A4-406A-A7DA-6B5418467181}"/>
              </c:ext>
            </c:extLst>
          </c:dPt>
          <c:dPt>
            <c:idx val="776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8-F2A4-406A-A7DA-6B5418467181}"/>
              </c:ext>
            </c:extLst>
          </c:dPt>
          <c:dPt>
            <c:idx val="77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9-F2A4-406A-A7DA-6B5418467181}"/>
              </c:ext>
            </c:extLst>
          </c:dPt>
          <c:dPt>
            <c:idx val="778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A-F2A4-406A-A7DA-6B5418467181}"/>
              </c:ext>
            </c:extLst>
          </c:dPt>
          <c:dPt>
            <c:idx val="77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B-F2A4-406A-A7DA-6B5418467181}"/>
              </c:ext>
            </c:extLst>
          </c:dPt>
          <c:dPt>
            <c:idx val="780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C-F2A4-406A-A7DA-6B5418467181}"/>
              </c:ext>
            </c:extLst>
          </c:dPt>
          <c:dPt>
            <c:idx val="78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D-F2A4-406A-A7DA-6B5418467181}"/>
              </c:ext>
            </c:extLst>
          </c:dPt>
          <c:dPt>
            <c:idx val="78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E-F2A4-406A-A7DA-6B5418467181}"/>
              </c:ext>
            </c:extLst>
          </c:dPt>
          <c:dPt>
            <c:idx val="783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F-F2A4-406A-A7DA-6B5418467181}"/>
              </c:ext>
            </c:extLst>
          </c:dPt>
          <c:dPt>
            <c:idx val="784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0-F2A4-406A-A7DA-6B5418467181}"/>
              </c:ext>
            </c:extLst>
          </c:dPt>
          <c:dPt>
            <c:idx val="78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1-F2A4-406A-A7DA-6B5418467181}"/>
              </c:ext>
            </c:extLst>
          </c:dPt>
          <c:dPt>
            <c:idx val="78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2-F2A4-406A-A7DA-6B5418467181}"/>
              </c:ext>
            </c:extLst>
          </c:dPt>
          <c:dPt>
            <c:idx val="78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3-F2A4-406A-A7DA-6B5418467181}"/>
              </c:ext>
            </c:extLst>
          </c:dPt>
          <c:dPt>
            <c:idx val="788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4-F2A4-406A-A7DA-6B5418467181}"/>
              </c:ext>
            </c:extLst>
          </c:dPt>
          <c:dPt>
            <c:idx val="789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5-F2A4-406A-A7DA-6B5418467181}"/>
              </c:ext>
            </c:extLst>
          </c:dPt>
          <c:dPt>
            <c:idx val="790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6-F2A4-406A-A7DA-6B5418467181}"/>
              </c:ext>
            </c:extLst>
          </c:dPt>
          <c:dPt>
            <c:idx val="791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7-F2A4-406A-A7DA-6B5418467181}"/>
              </c:ext>
            </c:extLst>
          </c:dPt>
          <c:dPt>
            <c:idx val="79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8-F2A4-406A-A7DA-6B5418467181}"/>
              </c:ext>
            </c:extLst>
          </c:dPt>
          <c:dPt>
            <c:idx val="79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9-F2A4-406A-A7DA-6B5418467181}"/>
              </c:ext>
            </c:extLst>
          </c:dPt>
          <c:dPt>
            <c:idx val="79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A-F2A4-406A-A7DA-6B5418467181}"/>
              </c:ext>
            </c:extLst>
          </c:dPt>
          <c:dPt>
            <c:idx val="795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B-F2A4-406A-A7DA-6B5418467181}"/>
              </c:ext>
            </c:extLst>
          </c:dPt>
          <c:dPt>
            <c:idx val="79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C-F2A4-406A-A7DA-6B5418467181}"/>
              </c:ext>
            </c:extLst>
          </c:dPt>
          <c:dPt>
            <c:idx val="797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D-F2A4-406A-A7DA-6B5418467181}"/>
              </c:ext>
            </c:extLst>
          </c:dPt>
          <c:dPt>
            <c:idx val="798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E-F2A4-406A-A7DA-6B5418467181}"/>
              </c:ext>
            </c:extLst>
          </c:dPt>
          <c:dPt>
            <c:idx val="799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F-F2A4-406A-A7DA-6B5418467181}"/>
              </c:ext>
            </c:extLst>
          </c:dPt>
          <c:dPt>
            <c:idx val="80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0-F2A4-406A-A7DA-6B5418467181}"/>
              </c:ext>
            </c:extLst>
          </c:dPt>
          <c:dPt>
            <c:idx val="80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1-F2A4-406A-A7DA-6B5418467181}"/>
              </c:ext>
            </c:extLst>
          </c:dPt>
          <c:dPt>
            <c:idx val="802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2-F2A4-406A-A7DA-6B5418467181}"/>
              </c:ext>
            </c:extLst>
          </c:dPt>
          <c:dPt>
            <c:idx val="803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3-F2A4-406A-A7DA-6B5418467181}"/>
              </c:ext>
            </c:extLst>
          </c:dPt>
          <c:dPt>
            <c:idx val="804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4-F2A4-406A-A7DA-6B5418467181}"/>
              </c:ext>
            </c:extLst>
          </c:dPt>
          <c:dPt>
            <c:idx val="80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5-F2A4-406A-A7DA-6B5418467181}"/>
              </c:ext>
            </c:extLst>
          </c:dPt>
          <c:dPt>
            <c:idx val="80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6-F2A4-406A-A7DA-6B5418467181}"/>
              </c:ext>
            </c:extLst>
          </c:dPt>
          <c:dPt>
            <c:idx val="80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7-F2A4-406A-A7DA-6B5418467181}"/>
              </c:ext>
            </c:extLst>
          </c:dPt>
          <c:dPt>
            <c:idx val="80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8-F2A4-406A-A7DA-6B5418467181}"/>
              </c:ext>
            </c:extLst>
          </c:dPt>
          <c:dPt>
            <c:idx val="80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9-F2A4-406A-A7DA-6B5418467181}"/>
              </c:ext>
            </c:extLst>
          </c:dPt>
          <c:dPt>
            <c:idx val="81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A-F2A4-406A-A7DA-6B5418467181}"/>
              </c:ext>
            </c:extLst>
          </c:dPt>
          <c:dPt>
            <c:idx val="81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B-F2A4-406A-A7DA-6B5418467181}"/>
              </c:ext>
            </c:extLst>
          </c:dPt>
          <c:dPt>
            <c:idx val="81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C-F2A4-406A-A7DA-6B5418467181}"/>
              </c:ext>
            </c:extLst>
          </c:dPt>
          <c:dPt>
            <c:idx val="813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D-F2A4-406A-A7DA-6B5418467181}"/>
              </c:ext>
            </c:extLst>
          </c:dPt>
          <c:dPt>
            <c:idx val="81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E-F2A4-406A-A7DA-6B5418467181}"/>
              </c:ext>
            </c:extLst>
          </c:dPt>
          <c:dPt>
            <c:idx val="81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F-F2A4-406A-A7DA-6B5418467181}"/>
              </c:ext>
            </c:extLst>
          </c:dPt>
          <c:dPt>
            <c:idx val="816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0-F2A4-406A-A7DA-6B5418467181}"/>
              </c:ext>
            </c:extLst>
          </c:dPt>
          <c:dPt>
            <c:idx val="817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1-F2A4-406A-A7DA-6B5418467181}"/>
              </c:ext>
            </c:extLst>
          </c:dPt>
          <c:dPt>
            <c:idx val="81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2-F2A4-406A-A7DA-6B5418467181}"/>
              </c:ext>
            </c:extLst>
          </c:dPt>
          <c:dPt>
            <c:idx val="81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3-F2A4-406A-A7DA-6B5418467181}"/>
              </c:ext>
            </c:extLst>
          </c:dPt>
          <c:dPt>
            <c:idx val="820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4-F2A4-406A-A7DA-6B5418467181}"/>
              </c:ext>
            </c:extLst>
          </c:dPt>
          <c:dPt>
            <c:idx val="821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5-F2A4-406A-A7DA-6B5418467181}"/>
              </c:ext>
            </c:extLst>
          </c:dPt>
          <c:dPt>
            <c:idx val="82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6-F2A4-406A-A7DA-6B5418467181}"/>
              </c:ext>
            </c:extLst>
          </c:dPt>
          <c:dPt>
            <c:idx val="823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7-F2A4-406A-A7DA-6B5418467181}"/>
              </c:ext>
            </c:extLst>
          </c:dPt>
          <c:dPt>
            <c:idx val="824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8-F2A4-406A-A7DA-6B5418467181}"/>
              </c:ext>
            </c:extLst>
          </c:dPt>
          <c:dPt>
            <c:idx val="82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9-F2A4-406A-A7DA-6B5418467181}"/>
              </c:ext>
            </c:extLst>
          </c:dPt>
          <c:dPt>
            <c:idx val="82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A-F2A4-406A-A7DA-6B5418467181}"/>
              </c:ext>
            </c:extLst>
          </c:dPt>
          <c:dPt>
            <c:idx val="827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B-F2A4-406A-A7DA-6B5418467181}"/>
              </c:ext>
            </c:extLst>
          </c:dPt>
          <c:dPt>
            <c:idx val="82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C-F2A4-406A-A7DA-6B5418467181}"/>
              </c:ext>
            </c:extLst>
          </c:dPt>
          <c:dPt>
            <c:idx val="82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D-F2A4-406A-A7DA-6B5418467181}"/>
              </c:ext>
            </c:extLst>
          </c:dPt>
          <c:dPt>
            <c:idx val="83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E-F2A4-406A-A7DA-6B5418467181}"/>
              </c:ext>
            </c:extLst>
          </c:dPt>
          <c:dPt>
            <c:idx val="83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F-F2A4-406A-A7DA-6B5418467181}"/>
              </c:ext>
            </c:extLst>
          </c:dPt>
          <c:dPt>
            <c:idx val="832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0-F2A4-406A-A7DA-6B5418467181}"/>
              </c:ext>
            </c:extLst>
          </c:dPt>
          <c:dPt>
            <c:idx val="83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1-F2A4-406A-A7DA-6B5418467181}"/>
              </c:ext>
            </c:extLst>
          </c:dPt>
          <c:dPt>
            <c:idx val="834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2-F2A4-406A-A7DA-6B5418467181}"/>
              </c:ext>
            </c:extLst>
          </c:dPt>
          <c:dPt>
            <c:idx val="83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3-F2A4-406A-A7DA-6B5418467181}"/>
              </c:ext>
            </c:extLst>
          </c:dPt>
          <c:dPt>
            <c:idx val="83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4-F2A4-406A-A7DA-6B5418467181}"/>
              </c:ext>
            </c:extLst>
          </c:dPt>
          <c:dPt>
            <c:idx val="837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5-F2A4-406A-A7DA-6B5418467181}"/>
              </c:ext>
            </c:extLst>
          </c:dPt>
          <c:dPt>
            <c:idx val="83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6-F2A4-406A-A7DA-6B5418467181}"/>
              </c:ext>
            </c:extLst>
          </c:dPt>
          <c:dPt>
            <c:idx val="83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7-F2A4-406A-A7DA-6B5418467181}"/>
              </c:ext>
            </c:extLst>
          </c:dPt>
          <c:dPt>
            <c:idx val="84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8-F2A4-406A-A7DA-6B5418467181}"/>
              </c:ext>
            </c:extLst>
          </c:dPt>
          <c:dPt>
            <c:idx val="841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9-F2A4-406A-A7DA-6B5418467181}"/>
              </c:ext>
            </c:extLst>
          </c:dPt>
          <c:dPt>
            <c:idx val="842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A-F2A4-406A-A7DA-6B5418467181}"/>
              </c:ext>
            </c:extLst>
          </c:dPt>
          <c:dPt>
            <c:idx val="843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B-F2A4-406A-A7DA-6B5418467181}"/>
              </c:ext>
            </c:extLst>
          </c:dPt>
          <c:dPt>
            <c:idx val="84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C-F2A4-406A-A7DA-6B5418467181}"/>
              </c:ext>
            </c:extLst>
          </c:dPt>
          <c:dPt>
            <c:idx val="845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D-F2A4-406A-A7DA-6B5418467181}"/>
              </c:ext>
            </c:extLst>
          </c:dPt>
          <c:dPt>
            <c:idx val="846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E-F2A4-406A-A7DA-6B5418467181}"/>
              </c:ext>
            </c:extLst>
          </c:dPt>
          <c:dPt>
            <c:idx val="84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F-F2A4-406A-A7DA-6B5418467181}"/>
              </c:ext>
            </c:extLst>
          </c:dPt>
          <c:dPt>
            <c:idx val="84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0-F2A4-406A-A7DA-6B5418467181}"/>
              </c:ext>
            </c:extLst>
          </c:dPt>
          <c:dPt>
            <c:idx val="84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1-F2A4-406A-A7DA-6B5418467181}"/>
              </c:ext>
            </c:extLst>
          </c:dPt>
          <c:dPt>
            <c:idx val="850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2-F2A4-406A-A7DA-6B5418467181}"/>
              </c:ext>
            </c:extLst>
          </c:dPt>
          <c:dPt>
            <c:idx val="851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3-F2A4-406A-A7DA-6B5418467181}"/>
              </c:ext>
            </c:extLst>
          </c:dPt>
          <c:dPt>
            <c:idx val="852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4-F2A4-406A-A7DA-6B5418467181}"/>
              </c:ext>
            </c:extLst>
          </c:dPt>
          <c:dPt>
            <c:idx val="85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5-F2A4-406A-A7DA-6B5418467181}"/>
              </c:ext>
            </c:extLst>
          </c:dPt>
          <c:dPt>
            <c:idx val="854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6-F2A4-406A-A7DA-6B5418467181}"/>
              </c:ext>
            </c:extLst>
          </c:dPt>
          <c:dPt>
            <c:idx val="85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7-F2A4-406A-A7DA-6B5418467181}"/>
              </c:ext>
            </c:extLst>
          </c:dPt>
          <c:dPt>
            <c:idx val="85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8-F2A4-406A-A7DA-6B5418467181}"/>
              </c:ext>
            </c:extLst>
          </c:dPt>
          <c:dPt>
            <c:idx val="85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9-F2A4-406A-A7DA-6B5418467181}"/>
              </c:ext>
            </c:extLst>
          </c:dPt>
          <c:dPt>
            <c:idx val="858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A-F2A4-406A-A7DA-6B5418467181}"/>
              </c:ext>
            </c:extLst>
          </c:dPt>
          <c:dPt>
            <c:idx val="85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B-F2A4-406A-A7DA-6B5418467181}"/>
              </c:ext>
            </c:extLst>
          </c:dPt>
          <c:dPt>
            <c:idx val="86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C-F2A4-406A-A7DA-6B5418467181}"/>
              </c:ext>
            </c:extLst>
          </c:dPt>
          <c:dPt>
            <c:idx val="861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D-F2A4-406A-A7DA-6B5418467181}"/>
              </c:ext>
            </c:extLst>
          </c:dPt>
          <c:dPt>
            <c:idx val="86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E-F2A4-406A-A7DA-6B5418467181}"/>
              </c:ext>
            </c:extLst>
          </c:dPt>
          <c:dPt>
            <c:idx val="86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F-F2A4-406A-A7DA-6B5418467181}"/>
              </c:ext>
            </c:extLst>
          </c:dPt>
          <c:dPt>
            <c:idx val="86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60-F2A4-406A-A7DA-6B5418467181}"/>
              </c:ext>
            </c:extLst>
          </c:dPt>
          <c:dPt>
            <c:idx val="865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61-F2A4-406A-A7DA-6B5418467181}"/>
              </c:ext>
            </c:extLst>
          </c:dPt>
          <c:dPt>
            <c:idx val="866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62-F2A4-406A-A7DA-6B5418467181}"/>
              </c:ext>
            </c:extLst>
          </c:dPt>
          <c:dPt>
            <c:idx val="867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63-F2A4-406A-A7DA-6B5418467181}"/>
              </c:ext>
            </c:extLst>
          </c:dPt>
          <c:dPt>
            <c:idx val="86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64-F2A4-406A-A7DA-6B5418467181}"/>
              </c:ext>
            </c:extLst>
          </c:dPt>
          <c:dPt>
            <c:idx val="86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65-F2A4-406A-A7DA-6B5418467181}"/>
              </c:ext>
            </c:extLst>
          </c:dPt>
          <c:dPt>
            <c:idx val="870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66-F2A4-406A-A7DA-6B5418467181}"/>
              </c:ext>
            </c:extLst>
          </c:dPt>
          <c:dPt>
            <c:idx val="87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67-F2A4-406A-A7DA-6B5418467181}"/>
              </c:ext>
            </c:extLst>
          </c:dPt>
          <c:dPt>
            <c:idx val="87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68-F2A4-406A-A7DA-6B5418467181}"/>
              </c:ext>
            </c:extLst>
          </c:dPt>
          <c:dPt>
            <c:idx val="873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69-F2A4-406A-A7DA-6B5418467181}"/>
              </c:ext>
            </c:extLst>
          </c:dPt>
          <c:dPt>
            <c:idx val="87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6A-F2A4-406A-A7DA-6B5418467181}"/>
              </c:ext>
            </c:extLst>
          </c:dPt>
          <c:dPt>
            <c:idx val="87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6B-F2A4-406A-A7DA-6B5418467181}"/>
              </c:ext>
            </c:extLst>
          </c:dPt>
          <c:dPt>
            <c:idx val="876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6C-F2A4-406A-A7DA-6B5418467181}"/>
              </c:ext>
            </c:extLst>
          </c:dPt>
          <c:dPt>
            <c:idx val="877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6D-F2A4-406A-A7DA-6B5418467181}"/>
              </c:ext>
            </c:extLst>
          </c:dPt>
          <c:dPt>
            <c:idx val="87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6E-F2A4-406A-A7DA-6B5418467181}"/>
              </c:ext>
            </c:extLst>
          </c:dPt>
          <c:dPt>
            <c:idx val="879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6F-F2A4-406A-A7DA-6B5418467181}"/>
              </c:ext>
            </c:extLst>
          </c:dPt>
          <c:dPt>
            <c:idx val="88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70-F2A4-406A-A7DA-6B5418467181}"/>
              </c:ext>
            </c:extLst>
          </c:dPt>
          <c:dPt>
            <c:idx val="88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71-F2A4-406A-A7DA-6B5418467181}"/>
              </c:ext>
            </c:extLst>
          </c:dPt>
          <c:dPt>
            <c:idx val="88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72-F2A4-406A-A7DA-6B5418467181}"/>
              </c:ext>
            </c:extLst>
          </c:dPt>
          <c:dPt>
            <c:idx val="88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73-F2A4-406A-A7DA-6B5418467181}"/>
              </c:ext>
            </c:extLst>
          </c:dPt>
          <c:dPt>
            <c:idx val="88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74-F2A4-406A-A7DA-6B5418467181}"/>
              </c:ext>
            </c:extLst>
          </c:dPt>
          <c:dPt>
            <c:idx val="885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75-F2A4-406A-A7DA-6B5418467181}"/>
              </c:ext>
            </c:extLst>
          </c:dPt>
          <c:dPt>
            <c:idx val="886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76-F2A4-406A-A7DA-6B5418467181}"/>
              </c:ext>
            </c:extLst>
          </c:dPt>
          <c:dPt>
            <c:idx val="88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77-F2A4-406A-A7DA-6B5418467181}"/>
              </c:ext>
            </c:extLst>
          </c:dPt>
          <c:dPt>
            <c:idx val="88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78-F2A4-406A-A7DA-6B5418467181}"/>
              </c:ext>
            </c:extLst>
          </c:dPt>
          <c:dPt>
            <c:idx val="88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79-F2A4-406A-A7DA-6B5418467181}"/>
              </c:ext>
            </c:extLst>
          </c:dPt>
          <c:dPt>
            <c:idx val="89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7A-F2A4-406A-A7DA-6B5418467181}"/>
              </c:ext>
            </c:extLst>
          </c:dPt>
          <c:dPt>
            <c:idx val="89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7B-F2A4-406A-A7DA-6B5418467181}"/>
              </c:ext>
            </c:extLst>
          </c:dPt>
          <c:dPt>
            <c:idx val="89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7C-F2A4-406A-A7DA-6B5418467181}"/>
              </c:ext>
            </c:extLst>
          </c:dPt>
          <c:dPt>
            <c:idx val="89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7D-F2A4-406A-A7DA-6B5418467181}"/>
              </c:ext>
            </c:extLst>
          </c:dPt>
          <c:dPt>
            <c:idx val="89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7E-F2A4-406A-A7DA-6B5418467181}"/>
              </c:ext>
            </c:extLst>
          </c:dPt>
          <c:dPt>
            <c:idx val="895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7F-F2A4-406A-A7DA-6B5418467181}"/>
              </c:ext>
            </c:extLst>
          </c:dPt>
          <c:dPt>
            <c:idx val="896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80-F2A4-406A-A7DA-6B5418467181}"/>
              </c:ext>
            </c:extLst>
          </c:dPt>
          <c:dPt>
            <c:idx val="89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81-F2A4-406A-A7DA-6B5418467181}"/>
              </c:ext>
            </c:extLst>
          </c:dPt>
          <c:dPt>
            <c:idx val="89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82-F2A4-406A-A7DA-6B5418467181}"/>
              </c:ext>
            </c:extLst>
          </c:dPt>
          <c:dPt>
            <c:idx val="89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83-F2A4-406A-A7DA-6B5418467181}"/>
              </c:ext>
            </c:extLst>
          </c:dPt>
          <c:dPt>
            <c:idx val="90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84-F2A4-406A-A7DA-6B5418467181}"/>
              </c:ext>
            </c:extLst>
          </c:dPt>
          <c:dPt>
            <c:idx val="90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85-F2A4-406A-A7DA-6B5418467181}"/>
              </c:ext>
            </c:extLst>
          </c:dPt>
          <c:dPt>
            <c:idx val="90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86-F2A4-406A-A7DA-6B5418467181}"/>
              </c:ext>
            </c:extLst>
          </c:dPt>
          <c:dPt>
            <c:idx val="90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87-F2A4-406A-A7DA-6B5418467181}"/>
              </c:ext>
            </c:extLst>
          </c:dPt>
          <c:dPt>
            <c:idx val="904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88-F2A4-406A-A7DA-6B5418467181}"/>
              </c:ext>
            </c:extLst>
          </c:dPt>
          <c:dPt>
            <c:idx val="90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89-F2A4-406A-A7DA-6B5418467181}"/>
              </c:ext>
            </c:extLst>
          </c:dPt>
          <c:dPt>
            <c:idx val="90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8A-F2A4-406A-A7DA-6B5418467181}"/>
              </c:ext>
            </c:extLst>
          </c:dPt>
          <c:dPt>
            <c:idx val="90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8B-F2A4-406A-A7DA-6B5418467181}"/>
              </c:ext>
            </c:extLst>
          </c:dPt>
          <c:dPt>
            <c:idx val="908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8C-F2A4-406A-A7DA-6B5418467181}"/>
              </c:ext>
            </c:extLst>
          </c:dPt>
          <c:dPt>
            <c:idx val="90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8D-F2A4-406A-A7DA-6B5418467181}"/>
              </c:ext>
            </c:extLst>
          </c:dPt>
          <c:dPt>
            <c:idx val="91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8E-F2A4-406A-A7DA-6B5418467181}"/>
              </c:ext>
            </c:extLst>
          </c:dPt>
          <c:dPt>
            <c:idx val="911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8F-F2A4-406A-A7DA-6B5418467181}"/>
              </c:ext>
            </c:extLst>
          </c:dPt>
          <c:dPt>
            <c:idx val="912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90-F2A4-406A-A7DA-6B5418467181}"/>
              </c:ext>
            </c:extLst>
          </c:dPt>
          <c:dPt>
            <c:idx val="913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91-F2A4-406A-A7DA-6B5418467181}"/>
              </c:ext>
            </c:extLst>
          </c:dPt>
          <c:dPt>
            <c:idx val="914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92-F2A4-406A-A7DA-6B5418467181}"/>
              </c:ext>
            </c:extLst>
          </c:dPt>
          <c:dPt>
            <c:idx val="915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93-F2A4-406A-A7DA-6B5418467181}"/>
              </c:ext>
            </c:extLst>
          </c:dPt>
          <c:dPt>
            <c:idx val="91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94-F2A4-406A-A7DA-6B5418467181}"/>
              </c:ext>
            </c:extLst>
          </c:dPt>
          <c:dPt>
            <c:idx val="91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95-F2A4-406A-A7DA-6B5418467181}"/>
              </c:ext>
            </c:extLst>
          </c:dPt>
          <c:dPt>
            <c:idx val="91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96-F2A4-406A-A7DA-6B5418467181}"/>
              </c:ext>
            </c:extLst>
          </c:dPt>
          <c:dPt>
            <c:idx val="919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97-F2A4-406A-A7DA-6B5418467181}"/>
              </c:ext>
            </c:extLst>
          </c:dPt>
          <c:dPt>
            <c:idx val="920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98-F2A4-406A-A7DA-6B5418467181}"/>
              </c:ext>
            </c:extLst>
          </c:dPt>
          <c:dPt>
            <c:idx val="921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99-F2A4-406A-A7DA-6B5418467181}"/>
              </c:ext>
            </c:extLst>
          </c:dPt>
          <c:dPt>
            <c:idx val="922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9A-F2A4-406A-A7DA-6B5418467181}"/>
              </c:ext>
            </c:extLst>
          </c:dPt>
          <c:dPt>
            <c:idx val="92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9B-F2A4-406A-A7DA-6B5418467181}"/>
              </c:ext>
            </c:extLst>
          </c:dPt>
          <c:dPt>
            <c:idx val="924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9C-F2A4-406A-A7DA-6B5418467181}"/>
              </c:ext>
            </c:extLst>
          </c:dPt>
          <c:dPt>
            <c:idx val="92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9D-F2A4-406A-A7DA-6B5418467181}"/>
              </c:ext>
            </c:extLst>
          </c:dPt>
          <c:dPt>
            <c:idx val="92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9E-F2A4-406A-A7DA-6B5418467181}"/>
              </c:ext>
            </c:extLst>
          </c:dPt>
          <c:dPt>
            <c:idx val="92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9F-F2A4-406A-A7DA-6B5418467181}"/>
              </c:ext>
            </c:extLst>
          </c:dPt>
          <c:dPt>
            <c:idx val="92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A0-F2A4-406A-A7DA-6B5418467181}"/>
              </c:ext>
            </c:extLst>
          </c:dPt>
          <c:dPt>
            <c:idx val="92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A1-F2A4-406A-A7DA-6B5418467181}"/>
              </c:ext>
            </c:extLst>
          </c:dPt>
          <c:dPt>
            <c:idx val="930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A2-F2A4-406A-A7DA-6B5418467181}"/>
              </c:ext>
            </c:extLst>
          </c:dPt>
          <c:dPt>
            <c:idx val="93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A3-F2A4-406A-A7DA-6B5418467181}"/>
              </c:ext>
            </c:extLst>
          </c:dPt>
          <c:dPt>
            <c:idx val="93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A4-F2A4-406A-A7DA-6B5418467181}"/>
              </c:ext>
            </c:extLst>
          </c:dPt>
          <c:dPt>
            <c:idx val="933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A5-F2A4-406A-A7DA-6B5418467181}"/>
              </c:ext>
            </c:extLst>
          </c:dPt>
          <c:dPt>
            <c:idx val="93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A6-F2A4-406A-A7DA-6B5418467181}"/>
              </c:ext>
            </c:extLst>
          </c:dPt>
          <c:dPt>
            <c:idx val="935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A7-F2A4-406A-A7DA-6B5418467181}"/>
              </c:ext>
            </c:extLst>
          </c:dPt>
          <c:dPt>
            <c:idx val="936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A8-F2A4-406A-A7DA-6B5418467181}"/>
              </c:ext>
            </c:extLst>
          </c:dPt>
          <c:dPt>
            <c:idx val="93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A9-F2A4-406A-A7DA-6B5418467181}"/>
              </c:ext>
            </c:extLst>
          </c:dPt>
          <c:dPt>
            <c:idx val="938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AA-F2A4-406A-A7DA-6B5418467181}"/>
              </c:ext>
            </c:extLst>
          </c:dPt>
          <c:dPt>
            <c:idx val="93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AB-F2A4-406A-A7DA-6B5418467181}"/>
              </c:ext>
            </c:extLst>
          </c:dPt>
          <c:dPt>
            <c:idx val="94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AC-F2A4-406A-A7DA-6B5418467181}"/>
              </c:ext>
            </c:extLst>
          </c:dPt>
          <c:dPt>
            <c:idx val="94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AD-F2A4-406A-A7DA-6B5418467181}"/>
              </c:ext>
            </c:extLst>
          </c:dPt>
          <c:dPt>
            <c:idx val="942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AE-F2A4-406A-A7DA-6B5418467181}"/>
              </c:ext>
            </c:extLst>
          </c:dPt>
          <c:dPt>
            <c:idx val="943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AF-F2A4-406A-A7DA-6B5418467181}"/>
              </c:ext>
            </c:extLst>
          </c:dPt>
          <c:dPt>
            <c:idx val="94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B0-F2A4-406A-A7DA-6B5418467181}"/>
              </c:ext>
            </c:extLst>
          </c:dPt>
          <c:dPt>
            <c:idx val="94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B1-F2A4-406A-A7DA-6B5418467181}"/>
              </c:ext>
            </c:extLst>
          </c:dPt>
          <c:dPt>
            <c:idx val="94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B2-F2A4-406A-A7DA-6B5418467181}"/>
              </c:ext>
            </c:extLst>
          </c:dPt>
          <c:dPt>
            <c:idx val="947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B3-F2A4-406A-A7DA-6B5418467181}"/>
              </c:ext>
            </c:extLst>
          </c:dPt>
          <c:dPt>
            <c:idx val="948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B4-F2A4-406A-A7DA-6B5418467181}"/>
              </c:ext>
            </c:extLst>
          </c:dPt>
          <c:dPt>
            <c:idx val="949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B5-F2A4-406A-A7DA-6B5418467181}"/>
              </c:ext>
            </c:extLst>
          </c:dPt>
          <c:dPt>
            <c:idx val="950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B6-F2A4-406A-A7DA-6B5418467181}"/>
              </c:ext>
            </c:extLst>
          </c:dPt>
          <c:dPt>
            <c:idx val="95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B7-F2A4-406A-A7DA-6B5418467181}"/>
              </c:ext>
            </c:extLst>
          </c:dPt>
          <c:dPt>
            <c:idx val="95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B8-F2A4-406A-A7DA-6B5418467181}"/>
              </c:ext>
            </c:extLst>
          </c:dPt>
          <c:dPt>
            <c:idx val="953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B9-F2A4-406A-A7DA-6B5418467181}"/>
              </c:ext>
            </c:extLst>
          </c:dPt>
          <c:dPt>
            <c:idx val="95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BA-F2A4-406A-A7DA-6B5418467181}"/>
              </c:ext>
            </c:extLst>
          </c:dPt>
          <c:dPt>
            <c:idx val="95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BB-F2A4-406A-A7DA-6B5418467181}"/>
              </c:ext>
            </c:extLst>
          </c:dPt>
          <c:dPt>
            <c:idx val="95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BC-F2A4-406A-A7DA-6B5418467181}"/>
              </c:ext>
            </c:extLst>
          </c:dPt>
          <c:dPt>
            <c:idx val="957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BD-F2A4-406A-A7DA-6B5418467181}"/>
              </c:ext>
            </c:extLst>
          </c:dPt>
          <c:dPt>
            <c:idx val="95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BE-F2A4-406A-A7DA-6B5418467181}"/>
              </c:ext>
            </c:extLst>
          </c:dPt>
          <c:dPt>
            <c:idx val="95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BF-F2A4-406A-A7DA-6B5418467181}"/>
              </c:ext>
            </c:extLst>
          </c:dPt>
          <c:dPt>
            <c:idx val="96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C0-F2A4-406A-A7DA-6B5418467181}"/>
              </c:ext>
            </c:extLst>
          </c:dPt>
          <c:dPt>
            <c:idx val="96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C1-F2A4-406A-A7DA-6B5418467181}"/>
              </c:ext>
            </c:extLst>
          </c:dPt>
          <c:dPt>
            <c:idx val="96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C2-F2A4-406A-A7DA-6B5418467181}"/>
              </c:ext>
            </c:extLst>
          </c:dPt>
          <c:dPt>
            <c:idx val="96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C3-F2A4-406A-A7DA-6B5418467181}"/>
              </c:ext>
            </c:extLst>
          </c:dPt>
          <c:dPt>
            <c:idx val="964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C4-F2A4-406A-A7DA-6B5418467181}"/>
              </c:ext>
            </c:extLst>
          </c:dPt>
          <c:dPt>
            <c:idx val="96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C5-F2A4-406A-A7DA-6B5418467181}"/>
              </c:ext>
            </c:extLst>
          </c:dPt>
          <c:dPt>
            <c:idx val="966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C6-F2A4-406A-A7DA-6B5418467181}"/>
              </c:ext>
            </c:extLst>
          </c:dPt>
          <c:dPt>
            <c:idx val="96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C7-F2A4-406A-A7DA-6B5418467181}"/>
              </c:ext>
            </c:extLst>
          </c:dPt>
          <c:dPt>
            <c:idx val="96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C8-F2A4-406A-A7DA-6B5418467181}"/>
              </c:ext>
            </c:extLst>
          </c:dPt>
          <c:dPt>
            <c:idx val="96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C9-F2A4-406A-A7DA-6B5418467181}"/>
              </c:ext>
            </c:extLst>
          </c:dPt>
          <c:dPt>
            <c:idx val="97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CA-F2A4-406A-A7DA-6B5418467181}"/>
              </c:ext>
            </c:extLst>
          </c:dPt>
          <c:dPt>
            <c:idx val="971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CB-F2A4-406A-A7DA-6B5418467181}"/>
              </c:ext>
            </c:extLst>
          </c:dPt>
          <c:dPt>
            <c:idx val="97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CC-F2A4-406A-A7DA-6B5418467181}"/>
              </c:ext>
            </c:extLst>
          </c:dPt>
          <c:dPt>
            <c:idx val="97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CD-F2A4-406A-A7DA-6B5418467181}"/>
              </c:ext>
            </c:extLst>
          </c:dPt>
          <c:dPt>
            <c:idx val="974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CE-F2A4-406A-A7DA-6B5418467181}"/>
              </c:ext>
            </c:extLst>
          </c:dPt>
          <c:dPt>
            <c:idx val="97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CF-F2A4-406A-A7DA-6B5418467181}"/>
              </c:ext>
            </c:extLst>
          </c:dPt>
          <c:dPt>
            <c:idx val="976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D0-F2A4-406A-A7DA-6B5418467181}"/>
              </c:ext>
            </c:extLst>
          </c:dPt>
          <c:dPt>
            <c:idx val="977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D1-F2A4-406A-A7DA-6B5418467181}"/>
              </c:ext>
            </c:extLst>
          </c:dPt>
          <c:dPt>
            <c:idx val="978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D2-F2A4-406A-A7DA-6B5418467181}"/>
              </c:ext>
            </c:extLst>
          </c:dPt>
          <c:dPt>
            <c:idx val="97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D3-F2A4-406A-A7DA-6B5418467181}"/>
              </c:ext>
            </c:extLst>
          </c:dPt>
          <c:dPt>
            <c:idx val="98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D4-F2A4-406A-A7DA-6B5418467181}"/>
              </c:ext>
            </c:extLst>
          </c:dPt>
          <c:dPt>
            <c:idx val="98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D5-F2A4-406A-A7DA-6B5418467181}"/>
              </c:ext>
            </c:extLst>
          </c:dPt>
          <c:dPt>
            <c:idx val="982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D6-F2A4-406A-A7DA-6B5418467181}"/>
              </c:ext>
            </c:extLst>
          </c:dPt>
          <c:dPt>
            <c:idx val="98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D7-F2A4-406A-A7DA-6B5418467181}"/>
              </c:ext>
            </c:extLst>
          </c:dPt>
          <c:dPt>
            <c:idx val="984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D8-F2A4-406A-A7DA-6B5418467181}"/>
              </c:ext>
            </c:extLst>
          </c:dPt>
          <c:dPt>
            <c:idx val="98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D9-F2A4-406A-A7DA-6B5418467181}"/>
              </c:ext>
            </c:extLst>
          </c:dPt>
          <c:dPt>
            <c:idx val="986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DA-F2A4-406A-A7DA-6B5418467181}"/>
              </c:ext>
            </c:extLst>
          </c:dPt>
          <c:dPt>
            <c:idx val="98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DB-F2A4-406A-A7DA-6B5418467181}"/>
              </c:ext>
            </c:extLst>
          </c:dPt>
          <c:dPt>
            <c:idx val="988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DC-F2A4-406A-A7DA-6B5418467181}"/>
              </c:ext>
            </c:extLst>
          </c:dPt>
          <c:dPt>
            <c:idx val="989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DD-F2A4-406A-A7DA-6B5418467181}"/>
              </c:ext>
            </c:extLst>
          </c:dPt>
          <c:dPt>
            <c:idx val="990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DE-F2A4-406A-A7DA-6B5418467181}"/>
              </c:ext>
            </c:extLst>
          </c:dPt>
          <c:dPt>
            <c:idx val="99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DF-F2A4-406A-A7DA-6B5418467181}"/>
              </c:ext>
            </c:extLst>
          </c:dPt>
          <c:dPt>
            <c:idx val="99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E0-F2A4-406A-A7DA-6B5418467181}"/>
              </c:ext>
            </c:extLst>
          </c:dPt>
          <c:dPt>
            <c:idx val="99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E1-F2A4-406A-A7DA-6B5418467181}"/>
              </c:ext>
            </c:extLst>
          </c:dPt>
          <c:dPt>
            <c:idx val="99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E2-F2A4-406A-A7DA-6B5418467181}"/>
              </c:ext>
            </c:extLst>
          </c:dPt>
          <c:dPt>
            <c:idx val="99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E3-F2A4-406A-A7DA-6B5418467181}"/>
              </c:ext>
            </c:extLst>
          </c:dPt>
          <c:dPt>
            <c:idx val="99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E4-F2A4-406A-A7DA-6B5418467181}"/>
              </c:ext>
            </c:extLst>
          </c:dPt>
          <c:dPt>
            <c:idx val="997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E5-F2A4-406A-A7DA-6B5418467181}"/>
              </c:ext>
            </c:extLst>
          </c:dPt>
          <c:dPt>
            <c:idx val="998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E6-F2A4-406A-A7DA-6B5418467181}"/>
              </c:ext>
            </c:extLst>
          </c:dPt>
          <c:dPt>
            <c:idx val="99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E7-F2A4-406A-A7DA-6B5418467181}"/>
              </c:ext>
            </c:extLst>
          </c:dPt>
          <c:dPt>
            <c:idx val="100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E8-F2A4-406A-A7DA-6B5418467181}"/>
              </c:ext>
            </c:extLst>
          </c:dPt>
          <c:dPt>
            <c:idx val="1001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E9-F2A4-406A-A7DA-6B5418467181}"/>
              </c:ext>
            </c:extLst>
          </c:dPt>
          <c:dPt>
            <c:idx val="100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EA-F2A4-406A-A7DA-6B5418467181}"/>
              </c:ext>
            </c:extLst>
          </c:dPt>
          <c:dPt>
            <c:idx val="1003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EB-F2A4-406A-A7DA-6B5418467181}"/>
              </c:ext>
            </c:extLst>
          </c:dPt>
          <c:dPt>
            <c:idx val="100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EC-F2A4-406A-A7DA-6B5418467181}"/>
              </c:ext>
            </c:extLst>
          </c:dPt>
          <c:dPt>
            <c:idx val="100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ED-F2A4-406A-A7DA-6B5418467181}"/>
              </c:ext>
            </c:extLst>
          </c:dPt>
          <c:dPt>
            <c:idx val="100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EE-F2A4-406A-A7DA-6B5418467181}"/>
              </c:ext>
            </c:extLst>
          </c:dPt>
          <c:dPt>
            <c:idx val="1007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EF-F2A4-406A-A7DA-6B5418467181}"/>
              </c:ext>
            </c:extLst>
          </c:dPt>
          <c:dPt>
            <c:idx val="100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F0-F2A4-406A-A7DA-6B5418467181}"/>
              </c:ext>
            </c:extLst>
          </c:dPt>
          <c:dPt>
            <c:idx val="1009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F1-F2A4-406A-A7DA-6B5418467181}"/>
              </c:ext>
            </c:extLst>
          </c:dPt>
          <c:dPt>
            <c:idx val="101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F2-F2A4-406A-A7DA-6B5418467181}"/>
              </c:ext>
            </c:extLst>
          </c:dPt>
          <c:dPt>
            <c:idx val="101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F3-F2A4-406A-A7DA-6B5418467181}"/>
              </c:ext>
            </c:extLst>
          </c:dPt>
          <c:dPt>
            <c:idx val="101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F4-F2A4-406A-A7DA-6B5418467181}"/>
              </c:ext>
            </c:extLst>
          </c:dPt>
          <c:dPt>
            <c:idx val="101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F5-F2A4-406A-A7DA-6B5418467181}"/>
              </c:ext>
            </c:extLst>
          </c:dPt>
          <c:dPt>
            <c:idx val="101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F6-F2A4-406A-A7DA-6B5418467181}"/>
              </c:ext>
            </c:extLst>
          </c:dPt>
          <c:dPt>
            <c:idx val="101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F7-F2A4-406A-A7DA-6B5418467181}"/>
              </c:ext>
            </c:extLst>
          </c:dPt>
          <c:dPt>
            <c:idx val="101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F8-F2A4-406A-A7DA-6B5418467181}"/>
              </c:ext>
            </c:extLst>
          </c:dPt>
          <c:dPt>
            <c:idx val="1017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F9-F2A4-406A-A7DA-6B5418467181}"/>
              </c:ext>
            </c:extLst>
          </c:dPt>
          <c:dPt>
            <c:idx val="1018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FA-F2A4-406A-A7DA-6B5418467181}"/>
              </c:ext>
            </c:extLst>
          </c:dPt>
          <c:dPt>
            <c:idx val="101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FB-F2A4-406A-A7DA-6B5418467181}"/>
              </c:ext>
            </c:extLst>
          </c:dPt>
          <c:dPt>
            <c:idx val="102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FC-F2A4-406A-A7DA-6B5418467181}"/>
              </c:ext>
            </c:extLst>
          </c:dPt>
          <c:dPt>
            <c:idx val="102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FD-F2A4-406A-A7DA-6B5418467181}"/>
              </c:ext>
            </c:extLst>
          </c:dPt>
          <c:dPt>
            <c:idx val="102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FE-F2A4-406A-A7DA-6B5418467181}"/>
              </c:ext>
            </c:extLst>
          </c:dPt>
          <c:dPt>
            <c:idx val="102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FF-F2A4-406A-A7DA-6B5418467181}"/>
              </c:ext>
            </c:extLst>
          </c:dPt>
          <c:dPt>
            <c:idx val="102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00-F2A4-406A-A7DA-6B5418467181}"/>
              </c:ext>
            </c:extLst>
          </c:dPt>
          <c:dPt>
            <c:idx val="1025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01-F2A4-406A-A7DA-6B5418467181}"/>
              </c:ext>
            </c:extLst>
          </c:dPt>
          <c:dPt>
            <c:idx val="102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02-F2A4-406A-A7DA-6B5418467181}"/>
              </c:ext>
            </c:extLst>
          </c:dPt>
          <c:dPt>
            <c:idx val="102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03-F2A4-406A-A7DA-6B5418467181}"/>
              </c:ext>
            </c:extLst>
          </c:dPt>
          <c:dPt>
            <c:idx val="102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04-F2A4-406A-A7DA-6B5418467181}"/>
              </c:ext>
            </c:extLst>
          </c:dPt>
          <c:dPt>
            <c:idx val="102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05-F2A4-406A-A7DA-6B5418467181}"/>
              </c:ext>
            </c:extLst>
          </c:dPt>
          <c:dPt>
            <c:idx val="103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06-F2A4-406A-A7DA-6B5418467181}"/>
              </c:ext>
            </c:extLst>
          </c:dPt>
          <c:dPt>
            <c:idx val="103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07-F2A4-406A-A7DA-6B5418467181}"/>
              </c:ext>
            </c:extLst>
          </c:dPt>
          <c:dPt>
            <c:idx val="103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08-F2A4-406A-A7DA-6B5418467181}"/>
              </c:ext>
            </c:extLst>
          </c:dPt>
          <c:dPt>
            <c:idx val="103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09-F2A4-406A-A7DA-6B5418467181}"/>
              </c:ext>
            </c:extLst>
          </c:dPt>
          <c:dPt>
            <c:idx val="1034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0A-F2A4-406A-A7DA-6B5418467181}"/>
              </c:ext>
            </c:extLst>
          </c:dPt>
          <c:dPt>
            <c:idx val="103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0B-F2A4-406A-A7DA-6B5418467181}"/>
              </c:ext>
            </c:extLst>
          </c:dPt>
          <c:dPt>
            <c:idx val="103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0C-F2A4-406A-A7DA-6B5418467181}"/>
              </c:ext>
            </c:extLst>
          </c:dPt>
          <c:dPt>
            <c:idx val="103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0D-F2A4-406A-A7DA-6B5418467181}"/>
              </c:ext>
            </c:extLst>
          </c:dPt>
          <c:dPt>
            <c:idx val="1038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0E-F2A4-406A-A7DA-6B5418467181}"/>
              </c:ext>
            </c:extLst>
          </c:dPt>
          <c:dPt>
            <c:idx val="103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0F-F2A4-406A-A7DA-6B5418467181}"/>
              </c:ext>
            </c:extLst>
          </c:dPt>
          <c:dPt>
            <c:idx val="1040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10-F2A4-406A-A7DA-6B5418467181}"/>
              </c:ext>
            </c:extLst>
          </c:dPt>
          <c:dPt>
            <c:idx val="104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11-F2A4-406A-A7DA-6B5418467181}"/>
              </c:ext>
            </c:extLst>
          </c:dPt>
          <c:dPt>
            <c:idx val="104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12-F2A4-406A-A7DA-6B5418467181}"/>
              </c:ext>
            </c:extLst>
          </c:dPt>
          <c:dPt>
            <c:idx val="1043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13-F2A4-406A-A7DA-6B5418467181}"/>
              </c:ext>
            </c:extLst>
          </c:dPt>
          <c:dPt>
            <c:idx val="104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14-F2A4-406A-A7DA-6B5418467181}"/>
              </c:ext>
            </c:extLst>
          </c:dPt>
          <c:dPt>
            <c:idx val="1045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15-F2A4-406A-A7DA-6B5418467181}"/>
              </c:ext>
            </c:extLst>
          </c:dPt>
          <c:dPt>
            <c:idx val="1046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16-F2A4-406A-A7DA-6B5418467181}"/>
              </c:ext>
            </c:extLst>
          </c:dPt>
          <c:dPt>
            <c:idx val="104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17-F2A4-406A-A7DA-6B5418467181}"/>
              </c:ext>
            </c:extLst>
          </c:dPt>
          <c:dPt>
            <c:idx val="104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18-F2A4-406A-A7DA-6B5418467181}"/>
              </c:ext>
            </c:extLst>
          </c:dPt>
          <c:dPt>
            <c:idx val="104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19-F2A4-406A-A7DA-6B5418467181}"/>
              </c:ext>
            </c:extLst>
          </c:dPt>
          <c:dPt>
            <c:idx val="1050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1A-F2A4-406A-A7DA-6B5418467181}"/>
              </c:ext>
            </c:extLst>
          </c:dPt>
          <c:dPt>
            <c:idx val="1051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1B-F2A4-406A-A7DA-6B5418467181}"/>
              </c:ext>
            </c:extLst>
          </c:dPt>
          <c:dPt>
            <c:idx val="1052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1C-F2A4-406A-A7DA-6B5418467181}"/>
              </c:ext>
            </c:extLst>
          </c:dPt>
          <c:dPt>
            <c:idx val="105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1D-F2A4-406A-A7DA-6B5418467181}"/>
              </c:ext>
            </c:extLst>
          </c:dPt>
          <c:dPt>
            <c:idx val="105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1E-F2A4-406A-A7DA-6B5418467181}"/>
              </c:ext>
            </c:extLst>
          </c:dPt>
          <c:dPt>
            <c:idx val="105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1F-F2A4-406A-A7DA-6B5418467181}"/>
              </c:ext>
            </c:extLst>
          </c:dPt>
          <c:dPt>
            <c:idx val="105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20-F2A4-406A-A7DA-6B5418467181}"/>
              </c:ext>
            </c:extLst>
          </c:dPt>
          <c:dPt>
            <c:idx val="105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21-F2A4-406A-A7DA-6B5418467181}"/>
              </c:ext>
            </c:extLst>
          </c:dPt>
          <c:dPt>
            <c:idx val="105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22-F2A4-406A-A7DA-6B5418467181}"/>
              </c:ext>
            </c:extLst>
          </c:dPt>
          <c:dPt>
            <c:idx val="105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23-F2A4-406A-A7DA-6B5418467181}"/>
              </c:ext>
            </c:extLst>
          </c:dPt>
          <c:dPt>
            <c:idx val="106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24-F2A4-406A-A7DA-6B5418467181}"/>
              </c:ext>
            </c:extLst>
          </c:dPt>
          <c:dPt>
            <c:idx val="1061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25-F2A4-406A-A7DA-6B5418467181}"/>
              </c:ext>
            </c:extLst>
          </c:dPt>
          <c:dPt>
            <c:idx val="106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26-F2A4-406A-A7DA-6B5418467181}"/>
              </c:ext>
            </c:extLst>
          </c:dPt>
          <c:dPt>
            <c:idx val="106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27-F2A4-406A-A7DA-6B5418467181}"/>
              </c:ext>
            </c:extLst>
          </c:dPt>
          <c:dPt>
            <c:idx val="106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28-F2A4-406A-A7DA-6B5418467181}"/>
              </c:ext>
            </c:extLst>
          </c:dPt>
          <c:dPt>
            <c:idx val="1065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29-F2A4-406A-A7DA-6B5418467181}"/>
              </c:ext>
            </c:extLst>
          </c:dPt>
          <c:dPt>
            <c:idx val="106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2A-F2A4-406A-A7DA-6B5418467181}"/>
              </c:ext>
            </c:extLst>
          </c:dPt>
          <c:dPt>
            <c:idx val="106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2B-F2A4-406A-A7DA-6B5418467181}"/>
              </c:ext>
            </c:extLst>
          </c:dPt>
          <c:dPt>
            <c:idx val="106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2C-F2A4-406A-A7DA-6B5418467181}"/>
              </c:ext>
            </c:extLst>
          </c:dPt>
          <c:dPt>
            <c:idx val="1069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2D-F2A4-406A-A7DA-6B5418467181}"/>
              </c:ext>
            </c:extLst>
          </c:dPt>
          <c:dPt>
            <c:idx val="1070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2E-F2A4-406A-A7DA-6B5418467181}"/>
              </c:ext>
            </c:extLst>
          </c:dPt>
          <c:dPt>
            <c:idx val="1071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2F-F2A4-406A-A7DA-6B5418467181}"/>
              </c:ext>
            </c:extLst>
          </c:dPt>
          <c:dPt>
            <c:idx val="107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30-F2A4-406A-A7DA-6B5418467181}"/>
              </c:ext>
            </c:extLst>
          </c:dPt>
          <c:dPt>
            <c:idx val="1073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31-F2A4-406A-A7DA-6B5418467181}"/>
              </c:ext>
            </c:extLst>
          </c:dPt>
          <c:dPt>
            <c:idx val="107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32-F2A4-406A-A7DA-6B5418467181}"/>
              </c:ext>
            </c:extLst>
          </c:dPt>
          <c:dPt>
            <c:idx val="107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33-F2A4-406A-A7DA-6B5418467181}"/>
              </c:ext>
            </c:extLst>
          </c:dPt>
          <c:dPt>
            <c:idx val="107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34-F2A4-406A-A7DA-6B5418467181}"/>
              </c:ext>
            </c:extLst>
          </c:dPt>
          <c:dPt>
            <c:idx val="1077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35-F2A4-406A-A7DA-6B5418467181}"/>
              </c:ext>
            </c:extLst>
          </c:dPt>
          <c:dPt>
            <c:idx val="107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36-F2A4-406A-A7DA-6B5418467181}"/>
              </c:ext>
            </c:extLst>
          </c:dPt>
          <c:dPt>
            <c:idx val="1079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37-F2A4-406A-A7DA-6B5418467181}"/>
              </c:ext>
            </c:extLst>
          </c:dPt>
          <c:dPt>
            <c:idx val="108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38-F2A4-406A-A7DA-6B5418467181}"/>
              </c:ext>
            </c:extLst>
          </c:dPt>
          <c:dPt>
            <c:idx val="1081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39-F2A4-406A-A7DA-6B5418467181}"/>
              </c:ext>
            </c:extLst>
          </c:dPt>
          <c:dPt>
            <c:idx val="108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3A-F2A4-406A-A7DA-6B5418467181}"/>
              </c:ext>
            </c:extLst>
          </c:dPt>
          <c:dPt>
            <c:idx val="1083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3B-F2A4-406A-A7DA-6B5418467181}"/>
              </c:ext>
            </c:extLst>
          </c:dPt>
          <c:dPt>
            <c:idx val="1084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3C-F2A4-406A-A7DA-6B5418467181}"/>
              </c:ext>
            </c:extLst>
          </c:dPt>
          <c:dPt>
            <c:idx val="108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3D-F2A4-406A-A7DA-6B5418467181}"/>
              </c:ext>
            </c:extLst>
          </c:dPt>
          <c:dPt>
            <c:idx val="108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3E-F2A4-406A-A7DA-6B5418467181}"/>
              </c:ext>
            </c:extLst>
          </c:dPt>
          <c:dPt>
            <c:idx val="108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3F-F2A4-406A-A7DA-6B5418467181}"/>
              </c:ext>
            </c:extLst>
          </c:dPt>
          <c:dPt>
            <c:idx val="1088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40-F2A4-406A-A7DA-6B5418467181}"/>
              </c:ext>
            </c:extLst>
          </c:dPt>
          <c:dPt>
            <c:idx val="1089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41-F2A4-406A-A7DA-6B5418467181}"/>
              </c:ext>
            </c:extLst>
          </c:dPt>
          <c:dPt>
            <c:idx val="109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42-F2A4-406A-A7DA-6B5418467181}"/>
              </c:ext>
            </c:extLst>
          </c:dPt>
          <c:dPt>
            <c:idx val="109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43-F2A4-406A-A7DA-6B5418467181}"/>
              </c:ext>
            </c:extLst>
          </c:dPt>
          <c:dPt>
            <c:idx val="109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44-F2A4-406A-A7DA-6B5418467181}"/>
              </c:ext>
            </c:extLst>
          </c:dPt>
          <c:dPt>
            <c:idx val="109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45-F2A4-406A-A7DA-6B5418467181}"/>
              </c:ext>
            </c:extLst>
          </c:dPt>
          <c:dPt>
            <c:idx val="1094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46-F2A4-406A-A7DA-6B5418467181}"/>
              </c:ext>
            </c:extLst>
          </c:dPt>
          <c:dPt>
            <c:idx val="109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47-F2A4-406A-A7DA-6B5418467181}"/>
              </c:ext>
            </c:extLst>
          </c:dPt>
          <c:dPt>
            <c:idx val="109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48-F2A4-406A-A7DA-6B5418467181}"/>
              </c:ext>
            </c:extLst>
          </c:dPt>
          <c:dPt>
            <c:idx val="1097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49-F2A4-406A-A7DA-6B5418467181}"/>
              </c:ext>
            </c:extLst>
          </c:dPt>
          <c:dPt>
            <c:idx val="109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4A-F2A4-406A-A7DA-6B5418467181}"/>
              </c:ext>
            </c:extLst>
          </c:dPt>
          <c:dPt>
            <c:idx val="109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4B-F2A4-406A-A7DA-6B5418467181}"/>
              </c:ext>
            </c:extLst>
          </c:dPt>
          <c:dPt>
            <c:idx val="110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4C-F2A4-406A-A7DA-6B5418467181}"/>
              </c:ext>
            </c:extLst>
          </c:dPt>
          <c:dPt>
            <c:idx val="110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4D-F2A4-406A-A7DA-6B5418467181}"/>
              </c:ext>
            </c:extLst>
          </c:dPt>
          <c:dPt>
            <c:idx val="110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4E-F2A4-406A-A7DA-6B5418467181}"/>
              </c:ext>
            </c:extLst>
          </c:dPt>
          <c:dPt>
            <c:idx val="110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4F-F2A4-406A-A7DA-6B5418467181}"/>
              </c:ext>
            </c:extLst>
          </c:dPt>
          <c:dPt>
            <c:idx val="1104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50-F2A4-406A-A7DA-6B5418467181}"/>
              </c:ext>
            </c:extLst>
          </c:dPt>
          <c:dPt>
            <c:idx val="1105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51-F2A4-406A-A7DA-6B5418467181}"/>
              </c:ext>
            </c:extLst>
          </c:dPt>
          <c:dPt>
            <c:idx val="110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52-F2A4-406A-A7DA-6B5418467181}"/>
              </c:ext>
            </c:extLst>
          </c:dPt>
          <c:dPt>
            <c:idx val="110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53-F2A4-406A-A7DA-6B5418467181}"/>
              </c:ext>
            </c:extLst>
          </c:dPt>
          <c:dPt>
            <c:idx val="110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54-F2A4-406A-A7DA-6B5418467181}"/>
              </c:ext>
            </c:extLst>
          </c:dPt>
          <c:dPt>
            <c:idx val="110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55-F2A4-406A-A7DA-6B5418467181}"/>
              </c:ext>
            </c:extLst>
          </c:dPt>
          <c:dPt>
            <c:idx val="111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56-F2A4-406A-A7DA-6B5418467181}"/>
              </c:ext>
            </c:extLst>
          </c:dPt>
          <c:dPt>
            <c:idx val="111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57-F2A4-406A-A7DA-6B5418467181}"/>
              </c:ext>
            </c:extLst>
          </c:dPt>
          <c:dPt>
            <c:idx val="111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58-F2A4-406A-A7DA-6B5418467181}"/>
              </c:ext>
            </c:extLst>
          </c:dPt>
          <c:dPt>
            <c:idx val="111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59-F2A4-406A-A7DA-6B5418467181}"/>
              </c:ext>
            </c:extLst>
          </c:dPt>
          <c:dPt>
            <c:idx val="111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5A-F2A4-406A-A7DA-6B5418467181}"/>
              </c:ext>
            </c:extLst>
          </c:dPt>
          <c:dPt>
            <c:idx val="111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5B-F2A4-406A-A7DA-6B5418467181}"/>
              </c:ext>
            </c:extLst>
          </c:dPt>
          <c:dPt>
            <c:idx val="111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5C-F2A4-406A-A7DA-6B5418467181}"/>
              </c:ext>
            </c:extLst>
          </c:dPt>
          <c:dPt>
            <c:idx val="111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5D-F2A4-406A-A7DA-6B5418467181}"/>
              </c:ext>
            </c:extLst>
          </c:dPt>
          <c:dPt>
            <c:idx val="111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5E-F2A4-406A-A7DA-6B5418467181}"/>
              </c:ext>
            </c:extLst>
          </c:dPt>
          <c:dPt>
            <c:idx val="111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5F-F2A4-406A-A7DA-6B5418467181}"/>
              </c:ext>
            </c:extLst>
          </c:dPt>
          <c:dPt>
            <c:idx val="112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60-F2A4-406A-A7DA-6B5418467181}"/>
              </c:ext>
            </c:extLst>
          </c:dPt>
          <c:dPt>
            <c:idx val="112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61-F2A4-406A-A7DA-6B5418467181}"/>
              </c:ext>
            </c:extLst>
          </c:dPt>
          <c:dPt>
            <c:idx val="112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62-F2A4-406A-A7DA-6B5418467181}"/>
              </c:ext>
            </c:extLst>
          </c:dPt>
          <c:dPt>
            <c:idx val="1123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63-F2A4-406A-A7DA-6B5418467181}"/>
              </c:ext>
            </c:extLst>
          </c:dPt>
          <c:dPt>
            <c:idx val="112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64-F2A4-406A-A7DA-6B5418467181}"/>
              </c:ext>
            </c:extLst>
          </c:dPt>
          <c:dPt>
            <c:idx val="1125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65-F2A4-406A-A7DA-6B5418467181}"/>
              </c:ext>
            </c:extLst>
          </c:dPt>
          <c:dPt>
            <c:idx val="1126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66-F2A4-406A-A7DA-6B5418467181}"/>
              </c:ext>
            </c:extLst>
          </c:dPt>
          <c:dPt>
            <c:idx val="112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67-F2A4-406A-A7DA-6B5418467181}"/>
              </c:ext>
            </c:extLst>
          </c:dPt>
          <c:dPt>
            <c:idx val="112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68-F2A4-406A-A7DA-6B5418467181}"/>
              </c:ext>
            </c:extLst>
          </c:dPt>
          <c:dPt>
            <c:idx val="112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69-F2A4-406A-A7DA-6B5418467181}"/>
              </c:ext>
            </c:extLst>
          </c:dPt>
          <c:dPt>
            <c:idx val="113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6A-F2A4-406A-A7DA-6B5418467181}"/>
              </c:ext>
            </c:extLst>
          </c:dPt>
          <c:dPt>
            <c:idx val="113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6B-F2A4-406A-A7DA-6B5418467181}"/>
              </c:ext>
            </c:extLst>
          </c:dPt>
          <c:dPt>
            <c:idx val="113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6C-F2A4-406A-A7DA-6B5418467181}"/>
              </c:ext>
            </c:extLst>
          </c:dPt>
          <c:dPt>
            <c:idx val="113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6D-F2A4-406A-A7DA-6B5418467181}"/>
              </c:ext>
            </c:extLst>
          </c:dPt>
          <c:dPt>
            <c:idx val="1134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6E-F2A4-406A-A7DA-6B5418467181}"/>
              </c:ext>
            </c:extLst>
          </c:dPt>
          <c:dPt>
            <c:idx val="1135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6F-F2A4-406A-A7DA-6B5418467181}"/>
              </c:ext>
            </c:extLst>
          </c:dPt>
          <c:dPt>
            <c:idx val="113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70-F2A4-406A-A7DA-6B5418467181}"/>
              </c:ext>
            </c:extLst>
          </c:dPt>
          <c:dPt>
            <c:idx val="113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71-F2A4-406A-A7DA-6B5418467181}"/>
              </c:ext>
            </c:extLst>
          </c:dPt>
          <c:dPt>
            <c:idx val="113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72-F2A4-406A-A7DA-6B5418467181}"/>
              </c:ext>
            </c:extLst>
          </c:dPt>
          <c:dPt>
            <c:idx val="113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73-F2A4-406A-A7DA-6B5418467181}"/>
              </c:ext>
            </c:extLst>
          </c:dPt>
          <c:dPt>
            <c:idx val="114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74-F2A4-406A-A7DA-6B5418467181}"/>
              </c:ext>
            </c:extLst>
          </c:dPt>
          <c:dPt>
            <c:idx val="114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75-F2A4-406A-A7DA-6B5418467181}"/>
              </c:ext>
            </c:extLst>
          </c:dPt>
          <c:dPt>
            <c:idx val="1142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76-F2A4-406A-A7DA-6B5418467181}"/>
              </c:ext>
            </c:extLst>
          </c:dPt>
          <c:dPt>
            <c:idx val="1143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77-F2A4-406A-A7DA-6B5418467181}"/>
              </c:ext>
            </c:extLst>
          </c:dPt>
          <c:dPt>
            <c:idx val="1144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78-F2A4-406A-A7DA-6B5418467181}"/>
              </c:ext>
            </c:extLst>
          </c:dPt>
          <c:dPt>
            <c:idx val="114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79-F2A4-406A-A7DA-6B5418467181}"/>
              </c:ext>
            </c:extLst>
          </c:dPt>
          <c:dPt>
            <c:idx val="114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7A-F2A4-406A-A7DA-6B5418467181}"/>
              </c:ext>
            </c:extLst>
          </c:dPt>
          <c:dPt>
            <c:idx val="1147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7B-F2A4-406A-A7DA-6B5418467181}"/>
              </c:ext>
            </c:extLst>
          </c:dPt>
          <c:dPt>
            <c:idx val="1148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7C-F2A4-406A-A7DA-6B5418467181}"/>
              </c:ext>
            </c:extLst>
          </c:dPt>
          <c:dPt>
            <c:idx val="114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7D-F2A4-406A-A7DA-6B5418467181}"/>
              </c:ext>
            </c:extLst>
          </c:dPt>
          <c:dPt>
            <c:idx val="115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7E-F2A4-406A-A7DA-6B5418467181}"/>
              </c:ext>
            </c:extLst>
          </c:dPt>
          <c:dPt>
            <c:idx val="115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7F-F2A4-406A-A7DA-6B5418467181}"/>
              </c:ext>
            </c:extLst>
          </c:dPt>
          <c:dPt>
            <c:idx val="1152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80-F2A4-406A-A7DA-6B5418467181}"/>
              </c:ext>
            </c:extLst>
          </c:dPt>
          <c:dPt>
            <c:idx val="115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81-F2A4-406A-A7DA-6B5418467181}"/>
              </c:ext>
            </c:extLst>
          </c:dPt>
          <c:dPt>
            <c:idx val="115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82-F2A4-406A-A7DA-6B5418467181}"/>
              </c:ext>
            </c:extLst>
          </c:dPt>
          <c:dPt>
            <c:idx val="115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83-F2A4-406A-A7DA-6B5418467181}"/>
              </c:ext>
            </c:extLst>
          </c:dPt>
          <c:dPt>
            <c:idx val="1156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84-F2A4-406A-A7DA-6B5418467181}"/>
              </c:ext>
            </c:extLst>
          </c:dPt>
          <c:dPt>
            <c:idx val="1157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85-F2A4-406A-A7DA-6B5418467181}"/>
              </c:ext>
            </c:extLst>
          </c:dPt>
          <c:dPt>
            <c:idx val="115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86-F2A4-406A-A7DA-6B5418467181}"/>
              </c:ext>
            </c:extLst>
          </c:dPt>
          <c:dPt>
            <c:idx val="1159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87-F2A4-406A-A7DA-6B5418467181}"/>
              </c:ext>
            </c:extLst>
          </c:dPt>
          <c:dPt>
            <c:idx val="116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88-F2A4-406A-A7DA-6B5418467181}"/>
              </c:ext>
            </c:extLst>
          </c:dPt>
          <c:dPt>
            <c:idx val="1161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89-F2A4-406A-A7DA-6B5418467181}"/>
              </c:ext>
            </c:extLst>
          </c:dPt>
          <c:dPt>
            <c:idx val="1162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8A-F2A4-406A-A7DA-6B5418467181}"/>
              </c:ext>
            </c:extLst>
          </c:dPt>
          <c:dPt>
            <c:idx val="1163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8B-F2A4-406A-A7DA-6B5418467181}"/>
              </c:ext>
            </c:extLst>
          </c:dPt>
          <c:dPt>
            <c:idx val="1164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8C-F2A4-406A-A7DA-6B5418467181}"/>
              </c:ext>
            </c:extLst>
          </c:dPt>
          <c:dPt>
            <c:idx val="116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8D-F2A4-406A-A7DA-6B5418467181}"/>
              </c:ext>
            </c:extLst>
          </c:dPt>
          <c:dPt>
            <c:idx val="116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8E-F2A4-406A-A7DA-6B5418467181}"/>
              </c:ext>
            </c:extLst>
          </c:dPt>
          <c:dPt>
            <c:idx val="116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8F-F2A4-406A-A7DA-6B5418467181}"/>
              </c:ext>
            </c:extLst>
          </c:dPt>
          <c:dPt>
            <c:idx val="1168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90-F2A4-406A-A7DA-6B5418467181}"/>
              </c:ext>
            </c:extLst>
          </c:dPt>
          <c:dPt>
            <c:idx val="116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91-F2A4-406A-A7DA-6B5418467181}"/>
              </c:ext>
            </c:extLst>
          </c:dPt>
          <c:dPt>
            <c:idx val="117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92-F2A4-406A-A7DA-6B5418467181}"/>
              </c:ext>
            </c:extLst>
          </c:dPt>
          <c:dPt>
            <c:idx val="117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93-F2A4-406A-A7DA-6B5418467181}"/>
              </c:ext>
            </c:extLst>
          </c:dPt>
          <c:dPt>
            <c:idx val="117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94-F2A4-406A-A7DA-6B5418467181}"/>
              </c:ext>
            </c:extLst>
          </c:dPt>
          <c:dPt>
            <c:idx val="117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95-F2A4-406A-A7DA-6B5418467181}"/>
              </c:ext>
            </c:extLst>
          </c:dPt>
          <c:dPt>
            <c:idx val="117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96-F2A4-406A-A7DA-6B5418467181}"/>
              </c:ext>
            </c:extLst>
          </c:dPt>
          <c:dPt>
            <c:idx val="117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97-F2A4-406A-A7DA-6B5418467181}"/>
              </c:ext>
            </c:extLst>
          </c:dPt>
          <c:dPt>
            <c:idx val="1176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98-F2A4-406A-A7DA-6B5418467181}"/>
              </c:ext>
            </c:extLst>
          </c:dPt>
          <c:dPt>
            <c:idx val="1177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99-F2A4-406A-A7DA-6B5418467181}"/>
              </c:ext>
            </c:extLst>
          </c:dPt>
          <c:dPt>
            <c:idx val="117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9A-F2A4-406A-A7DA-6B5418467181}"/>
              </c:ext>
            </c:extLst>
          </c:dPt>
          <c:dPt>
            <c:idx val="117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9B-F2A4-406A-A7DA-6B5418467181}"/>
              </c:ext>
            </c:extLst>
          </c:dPt>
          <c:dPt>
            <c:idx val="1180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9C-F2A4-406A-A7DA-6B5418467181}"/>
              </c:ext>
            </c:extLst>
          </c:dPt>
          <c:dPt>
            <c:idx val="118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9D-F2A4-406A-A7DA-6B5418467181}"/>
              </c:ext>
            </c:extLst>
          </c:dPt>
          <c:dPt>
            <c:idx val="118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9E-F2A4-406A-A7DA-6B5418467181}"/>
              </c:ext>
            </c:extLst>
          </c:dPt>
          <c:dPt>
            <c:idx val="1183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9F-F2A4-406A-A7DA-6B5418467181}"/>
              </c:ext>
            </c:extLst>
          </c:dPt>
          <c:dPt>
            <c:idx val="1184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A0-F2A4-406A-A7DA-6B5418467181}"/>
              </c:ext>
            </c:extLst>
          </c:dPt>
          <c:dPt>
            <c:idx val="118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A1-F2A4-406A-A7DA-6B5418467181}"/>
              </c:ext>
            </c:extLst>
          </c:dPt>
          <c:dPt>
            <c:idx val="1186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A2-F2A4-406A-A7DA-6B5418467181}"/>
              </c:ext>
            </c:extLst>
          </c:dPt>
          <c:dPt>
            <c:idx val="1187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A3-F2A4-406A-A7DA-6B5418467181}"/>
              </c:ext>
            </c:extLst>
          </c:dPt>
          <c:dPt>
            <c:idx val="1188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A4-F2A4-406A-A7DA-6B5418467181}"/>
              </c:ext>
            </c:extLst>
          </c:dPt>
          <c:dPt>
            <c:idx val="118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A5-F2A4-406A-A7DA-6B5418467181}"/>
              </c:ext>
            </c:extLst>
          </c:dPt>
          <c:dPt>
            <c:idx val="1190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A6-F2A4-406A-A7DA-6B5418467181}"/>
              </c:ext>
            </c:extLst>
          </c:dPt>
          <c:dPt>
            <c:idx val="119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A7-F2A4-406A-A7DA-6B5418467181}"/>
              </c:ext>
            </c:extLst>
          </c:dPt>
          <c:dPt>
            <c:idx val="119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A8-F2A4-406A-A7DA-6B5418467181}"/>
              </c:ext>
            </c:extLst>
          </c:dPt>
          <c:dPt>
            <c:idx val="119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A9-F2A4-406A-A7DA-6B5418467181}"/>
              </c:ext>
            </c:extLst>
          </c:dPt>
          <c:dPt>
            <c:idx val="119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AA-F2A4-406A-A7DA-6B5418467181}"/>
              </c:ext>
            </c:extLst>
          </c:dPt>
          <c:dPt>
            <c:idx val="1195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AB-F2A4-406A-A7DA-6B5418467181}"/>
              </c:ext>
            </c:extLst>
          </c:dPt>
          <c:dPt>
            <c:idx val="119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AC-F2A4-406A-A7DA-6B5418467181}"/>
              </c:ext>
            </c:extLst>
          </c:dPt>
          <c:dPt>
            <c:idx val="119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AD-F2A4-406A-A7DA-6B5418467181}"/>
              </c:ext>
            </c:extLst>
          </c:dPt>
          <c:dPt>
            <c:idx val="119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AE-F2A4-406A-A7DA-6B5418467181}"/>
              </c:ext>
            </c:extLst>
          </c:dPt>
          <c:dPt>
            <c:idx val="119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AF-F2A4-406A-A7DA-6B5418467181}"/>
              </c:ext>
            </c:extLst>
          </c:dPt>
          <c:dPt>
            <c:idx val="120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B0-F2A4-406A-A7DA-6B5418467181}"/>
              </c:ext>
            </c:extLst>
          </c:dPt>
          <c:dPt>
            <c:idx val="120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B1-F2A4-406A-A7DA-6B5418467181}"/>
              </c:ext>
            </c:extLst>
          </c:dPt>
          <c:dPt>
            <c:idx val="1202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B2-F2A4-406A-A7DA-6B5418467181}"/>
              </c:ext>
            </c:extLst>
          </c:dPt>
          <c:dPt>
            <c:idx val="1203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B3-F2A4-406A-A7DA-6B5418467181}"/>
              </c:ext>
            </c:extLst>
          </c:dPt>
          <c:dPt>
            <c:idx val="120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B4-F2A4-406A-A7DA-6B5418467181}"/>
              </c:ext>
            </c:extLst>
          </c:dPt>
          <c:dPt>
            <c:idx val="120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B5-F2A4-406A-A7DA-6B5418467181}"/>
              </c:ext>
            </c:extLst>
          </c:dPt>
          <c:dPt>
            <c:idx val="1206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B6-F2A4-406A-A7DA-6B5418467181}"/>
              </c:ext>
            </c:extLst>
          </c:dPt>
          <c:dPt>
            <c:idx val="120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B7-F2A4-406A-A7DA-6B5418467181}"/>
              </c:ext>
            </c:extLst>
          </c:dPt>
          <c:dPt>
            <c:idx val="1208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B8-F2A4-406A-A7DA-6B5418467181}"/>
              </c:ext>
            </c:extLst>
          </c:dPt>
          <c:dPt>
            <c:idx val="120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B9-F2A4-406A-A7DA-6B5418467181}"/>
              </c:ext>
            </c:extLst>
          </c:dPt>
          <c:dPt>
            <c:idx val="121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BA-F2A4-406A-A7DA-6B5418467181}"/>
              </c:ext>
            </c:extLst>
          </c:dPt>
          <c:dPt>
            <c:idx val="121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BB-F2A4-406A-A7DA-6B5418467181}"/>
              </c:ext>
            </c:extLst>
          </c:dPt>
          <c:dPt>
            <c:idx val="1212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BC-F2A4-406A-A7DA-6B5418467181}"/>
              </c:ext>
            </c:extLst>
          </c:dPt>
          <c:dPt>
            <c:idx val="121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BD-F2A4-406A-A7DA-6B5418467181}"/>
              </c:ext>
            </c:extLst>
          </c:dPt>
          <c:dPt>
            <c:idx val="121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BE-F2A4-406A-A7DA-6B5418467181}"/>
              </c:ext>
            </c:extLst>
          </c:dPt>
          <c:dPt>
            <c:idx val="121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BF-F2A4-406A-A7DA-6B5418467181}"/>
              </c:ext>
            </c:extLst>
          </c:dPt>
          <c:dPt>
            <c:idx val="121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C0-F2A4-406A-A7DA-6B5418467181}"/>
              </c:ext>
            </c:extLst>
          </c:dPt>
          <c:dPt>
            <c:idx val="121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C1-F2A4-406A-A7DA-6B5418467181}"/>
              </c:ext>
            </c:extLst>
          </c:dPt>
          <c:dPt>
            <c:idx val="121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C2-F2A4-406A-A7DA-6B5418467181}"/>
              </c:ext>
            </c:extLst>
          </c:dPt>
          <c:dPt>
            <c:idx val="121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C3-F2A4-406A-A7DA-6B5418467181}"/>
              </c:ext>
            </c:extLst>
          </c:dPt>
          <c:dPt>
            <c:idx val="122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C4-F2A4-406A-A7DA-6B5418467181}"/>
              </c:ext>
            </c:extLst>
          </c:dPt>
          <c:dPt>
            <c:idx val="122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C5-F2A4-406A-A7DA-6B5418467181}"/>
              </c:ext>
            </c:extLst>
          </c:dPt>
          <c:dPt>
            <c:idx val="1222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C6-F2A4-406A-A7DA-6B5418467181}"/>
              </c:ext>
            </c:extLst>
          </c:dPt>
          <c:dPt>
            <c:idx val="122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C7-F2A4-406A-A7DA-6B5418467181}"/>
              </c:ext>
            </c:extLst>
          </c:dPt>
          <c:dPt>
            <c:idx val="122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C8-F2A4-406A-A7DA-6B5418467181}"/>
              </c:ext>
            </c:extLst>
          </c:dPt>
          <c:dPt>
            <c:idx val="122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C9-F2A4-406A-A7DA-6B5418467181}"/>
              </c:ext>
            </c:extLst>
          </c:dPt>
          <c:dPt>
            <c:idx val="122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CA-F2A4-406A-A7DA-6B5418467181}"/>
              </c:ext>
            </c:extLst>
          </c:dPt>
          <c:dPt>
            <c:idx val="122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CB-F2A4-406A-A7DA-6B5418467181}"/>
              </c:ext>
            </c:extLst>
          </c:dPt>
          <c:dPt>
            <c:idx val="122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CC-F2A4-406A-A7DA-6B5418467181}"/>
              </c:ext>
            </c:extLst>
          </c:dPt>
          <c:dPt>
            <c:idx val="122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CD-F2A4-406A-A7DA-6B5418467181}"/>
              </c:ext>
            </c:extLst>
          </c:dPt>
          <c:dPt>
            <c:idx val="123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CE-F2A4-406A-A7DA-6B5418467181}"/>
              </c:ext>
            </c:extLst>
          </c:dPt>
          <c:dPt>
            <c:idx val="123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CF-F2A4-406A-A7DA-6B5418467181}"/>
              </c:ext>
            </c:extLst>
          </c:dPt>
          <c:dPt>
            <c:idx val="123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D0-F2A4-406A-A7DA-6B5418467181}"/>
              </c:ext>
            </c:extLst>
          </c:dPt>
          <c:dPt>
            <c:idx val="123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D1-F2A4-406A-A7DA-6B5418467181}"/>
              </c:ext>
            </c:extLst>
          </c:dPt>
          <c:dPt>
            <c:idx val="123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D2-F2A4-406A-A7DA-6B5418467181}"/>
              </c:ext>
            </c:extLst>
          </c:dPt>
          <c:dPt>
            <c:idx val="1235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D3-F2A4-406A-A7DA-6B5418467181}"/>
              </c:ext>
            </c:extLst>
          </c:dPt>
          <c:dPt>
            <c:idx val="123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D4-F2A4-406A-A7DA-6B5418467181}"/>
              </c:ext>
            </c:extLst>
          </c:dPt>
          <c:dPt>
            <c:idx val="1237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D5-F2A4-406A-A7DA-6B5418467181}"/>
              </c:ext>
            </c:extLst>
          </c:dPt>
          <c:dPt>
            <c:idx val="1238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D6-F2A4-406A-A7DA-6B5418467181}"/>
              </c:ext>
            </c:extLst>
          </c:dPt>
          <c:dPt>
            <c:idx val="123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D7-F2A4-406A-A7DA-6B5418467181}"/>
              </c:ext>
            </c:extLst>
          </c:dPt>
          <c:dPt>
            <c:idx val="124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D8-F2A4-406A-A7DA-6B5418467181}"/>
              </c:ext>
            </c:extLst>
          </c:dPt>
          <c:dPt>
            <c:idx val="124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D9-F2A4-406A-A7DA-6B5418467181}"/>
              </c:ext>
            </c:extLst>
          </c:dPt>
          <c:dPt>
            <c:idx val="124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DA-F2A4-406A-A7DA-6B5418467181}"/>
              </c:ext>
            </c:extLst>
          </c:dPt>
          <c:dPt>
            <c:idx val="1243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DB-F2A4-406A-A7DA-6B5418467181}"/>
              </c:ext>
            </c:extLst>
          </c:dPt>
          <c:dPt>
            <c:idx val="124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DC-F2A4-406A-A7DA-6B5418467181}"/>
              </c:ext>
            </c:extLst>
          </c:dPt>
          <c:dPt>
            <c:idx val="124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DD-F2A4-406A-A7DA-6B5418467181}"/>
              </c:ext>
            </c:extLst>
          </c:dPt>
          <c:dPt>
            <c:idx val="124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DE-F2A4-406A-A7DA-6B5418467181}"/>
              </c:ext>
            </c:extLst>
          </c:dPt>
          <c:dPt>
            <c:idx val="124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DF-F2A4-406A-A7DA-6B5418467181}"/>
              </c:ext>
            </c:extLst>
          </c:dPt>
          <c:dPt>
            <c:idx val="124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E0-F2A4-406A-A7DA-6B5418467181}"/>
              </c:ext>
            </c:extLst>
          </c:dPt>
          <c:dPt>
            <c:idx val="124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E1-F2A4-406A-A7DA-6B5418467181}"/>
              </c:ext>
            </c:extLst>
          </c:dPt>
          <c:dPt>
            <c:idx val="1250"/>
            <c:marker>
              <c:symbol val="circle"/>
              <c:size val="2"/>
              <c:spPr>
                <a:solidFill>
                  <a:srgbClr val="00206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E2-F2A4-406A-A7DA-6B5418467181}"/>
              </c:ext>
            </c:extLst>
          </c:dPt>
          <c:dPt>
            <c:idx val="125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E3-F2A4-406A-A7DA-6B5418467181}"/>
              </c:ext>
            </c:extLst>
          </c:dPt>
          <c:dPt>
            <c:idx val="125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E4-F2A4-406A-A7DA-6B5418467181}"/>
              </c:ext>
            </c:extLst>
          </c:dPt>
          <c:dPt>
            <c:idx val="125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E5-F2A4-406A-A7DA-6B5418467181}"/>
              </c:ext>
            </c:extLst>
          </c:dPt>
          <c:dPt>
            <c:idx val="125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E6-F2A4-406A-A7DA-6B5418467181}"/>
              </c:ext>
            </c:extLst>
          </c:dPt>
          <c:dPt>
            <c:idx val="125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E7-F2A4-406A-A7DA-6B5418467181}"/>
              </c:ext>
            </c:extLst>
          </c:dPt>
          <c:dPt>
            <c:idx val="125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0206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E8-F2A4-406A-A7DA-6B5418467181}"/>
              </c:ext>
            </c:extLst>
          </c:dPt>
          <c:xVal>
            <c:numRef>
              <c:f>'TSLA, MSFT'!$I$5:$I$1261</c:f>
              <c:numCache>
                <c:formatCode>General</c:formatCode>
                <c:ptCount val="1257"/>
                <c:pt idx="0">
                  <c:v>-3.1977580241866081E-2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-3.773592705603164E-2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-1.1111661802586499E-2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-2.2244455675552227E-3</c:v>
                </c:pt>
                <c:pt idx="17">
                  <c:v>0</c:v>
                </c:pt>
                <c:pt idx="18">
                  <c:v>0</c:v>
                </c:pt>
                <c:pt idx="19">
                  <c:v>-5.6837873203891276E-3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-1.2935222818649228E-2</c:v>
                </c:pt>
                <c:pt idx="24">
                  <c:v>-3.108791467967335E-2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-1.1742465606302516E-2</c:v>
                </c:pt>
                <c:pt idx="29">
                  <c:v>0</c:v>
                </c:pt>
                <c:pt idx="30">
                  <c:v>0</c:v>
                </c:pt>
                <c:pt idx="31">
                  <c:v>-7.3021907240041596E-3</c:v>
                </c:pt>
                <c:pt idx="32">
                  <c:v>-1.012821868928252E-2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-3.2511663464173106E-2</c:v>
                </c:pt>
                <c:pt idx="41">
                  <c:v>-3.1396010848464592E-2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-3.5246505614046089E-2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-8.5937213696359371E-2</c:v>
                </c:pt>
                <c:pt idx="64">
                  <c:v>0</c:v>
                </c:pt>
                <c:pt idx="65">
                  <c:v>0</c:v>
                </c:pt>
                <c:pt idx="66">
                  <c:v>-3.2630412726592059E-3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-2.0055767727081664E-2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-1.9801788970686792E-2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-3.2964767627272337E-2</c:v>
                </c:pt>
                <c:pt idx="86">
                  <c:v>-9.0263472067974096E-3</c:v>
                </c:pt>
                <c:pt idx="87">
                  <c:v>-1.174981702653702E-2</c:v>
                </c:pt>
                <c:pt idx="88">
                  <c:v>0</c:v>
                </c:pt>
                <c:pt idx="89">
                  <c:v>-5.364285129677835E-2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-7.8791623789874934E-2</c:v>
                </c:pt>
                <c:pt idx="94">
                  <c:v>-2.7235766247162993E-2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-1.0175950380200589E-2</c:v>
                </c:pt>
                <c:pt idx="100">
                  <c:v>0</c:v>
                </c:pt>
                <c:pt idx="101">
                  <c:v>0</c:v>
                </c:pt>
                <c:pt idx="102">
                  <c:v>-1.6391175267572038E-2</c:v>
                </c:pt>
                <c:pt idx="103">
                  <c:v>-3.4002150071396314E-2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-3.6780532006762942E-2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-1.7501529261972945E-2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-7.6923456231557255E-3</c:v>
                </c:pt>
                <c:pt idx="127">
                  <c:v>-1.1911067800950114E-2</c:v>
                </c:pt>
                <c:pt idx="128">
                  <c:v>-1.2163555063582166E-3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-4.4279546178688988E-3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-0.14634122199142882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-2.6867770731087599E-3</c:v>
                </c:pt>
                <c:pt idx="145">
                  <c:v>0</c:v>
                </c:pt>
                <c:pt idx="146">
                  <c:v>0</c:v>
                </c:pt>
                <c:pt idx="147">
                  <c:v>-2.6024941747091888E-2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-1.3902359932055408E-2</c:v>
                </c:pt>
                <c:pt idx="152">
                  <c:v>-2.5862396264618514E-2</c:v>
                </c:pt>
                <c:pt idx="153">
                  <c:v>0</c:v>
                </c:pt>
                <c:pt idx="154">
                  <c:v>-6.7686778017784513E-2</c:v>
                </c:pt>
                <c:pt idx="155">
                  <c:v>-1.828840681950215E-2</c:v>
                </c:pt>
                <c:pt idx="156">
                  <c:v>0</c:v>
                </c:pt>
                <c:pt idx="157">
                  <c:v>0</c:v>
                </c:pt>
                <c:pt idx="158">
                  <c:v>-4.2855220803716156E-3</c:v>
                </c:pt>
                <c:pt idx="159">
                  <c:v>0</c:v>
                </c:pt>
                <c:pt idx="160">
                  <c:v>0</c:v>
                </c:pt>
                <c:pt idx="161">
                  <c:v>-4.9600779597625391E-2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-2.6629991623238242E-3</c:v>
                </c:pt>
                <c:pt idx="168">
                  <c:v>0</c:v>
                </c:pt>
                <c:pt idx="169">
                  <c:v>0</c:v>
                </c:pt>
                <c:pt idx="170">
                  <c:v>-9.3211188252903809E-3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-2.7287573511322327E-3</c:v>
                </c:pt>
                <c:pt idx="176">
                  <c:v>-9.7950011492885913E-3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-2.4548809070727821E-2</c:v>
                </c:pt>
                <c:pt idx="181">
                  <c:v>0</c:v>
                </c:pt>
                <c:pt idx="182">
                  <c:v>-7.7637842638135487E-2</c:v>
                </c:pt>
                <c:pt idx="183">
                  <c:v>0</c:v>
                </c:pt>
                <c:pt idx="184">
                  <c:v>0</c:v>
                </c:pt>
                <c:pt idx="185">
                  <c:v>-1.7744129034386051E-3</c:v>
                </c:pt>
                <c:pt idx="186">
                  <c:v>0</c:v>
                </c:pt>
                <c:pt idx="187">
                  <c:v>0</c:v>
                </c:pt>
                <c:pt idx="188">
                  <c:v>-6.3958230082065822E-3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-1.9348500154809174E-2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-3.5690943399328989E-2</c:v>
                </c:pt>
                <c:pt idx="208">
                  <c:v>0</c:v>
                </c:pt>
                <c:pt idx="209">
                  <c:v>-2.857936502160351E-4</c:v>
                </c:pt>
                <c:pt idx="210">
                  <c:v>0</c:v>
                </c:pt>
                <c:pt idx="211">
                  <c:v>0</c:v>
                </c:pt>
                <c:pt idx="212">
                  <c:v>-7.8775466779132137E-4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-2.0513842265753132E-2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-4.0833049793707679E-3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-6.6009392109350378E-3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-3.7113125204232544E-2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-6.6493694640692063E-3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-1.2981484184876988E-2</c:v>
                </c:pt>
                <c:pt idx="267">
                  <c:v>-1.2112336977448162E-2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-0.18845036550196945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-1.9826346158741241E-2</c:v>
                </c:pt>
                <c:pt idx="285">
                  <c:v>0</c:v>
                </c:pt>
                <c:pt idx="286">
                  <c:v>-7.7523692408684827E-2</c:v>
                </c:pt>
                <c:pt idx="287">
                  <c:v>-4.1482357764359414E-2</c:v>
                </c:pt>
                <c:pt idx="288">
                  <c:v>0</c:v>
                </c:pt>
                <c:pt idx="289">
                  <c:v>-0.13713312214608708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-3.386936728893989E-2</c:v>
                </c:pt>
                <c:pt idx="295">
                  <c:v>-2.9497524271708545E-2</c:v>
                </c:pt>
                <c:pt idx="296">
                  <c:v>-0.14586455891063535</c:v>
                </c:pt>
                <c:pt idx="297">
                  <c:v>0</c:v>
                </c:pt>
                <c:pt idx="298">
                  <c:v>-1.7350102296018004E-2</c:v>
                </c:pt>
                <c:pt idx="299">
                  <c:v>-0.12349327048570673</c:v>
                </c:pt>
                <c:pt idx="300">
                  <c:v>0</c:v>
                </c:pt>
                <c:pt idx="301">
                  <c:v>-0.20552231901488752</c:v>
                </c:pt>
                <c:pt idx="302">
                  <c:v>0</c:v>
                </c:pt>
                <c:pt idx="303">
                  <c:v>-0.17476303968009224</c:v>
                </c:pt>
                <c:pt idx="304">
                  <c:v>0</c:v>
                </c:pt>
                <c:pt idx="305">
                  <c:v>-2.5721201473459206E-4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-2.6475829286201277E-2</c:v>
                </c:pt>
                <c:pt idx="311">
                  <c:v>0</c:v>
                </c:pt>
                <c:pt idx="312">
                  <c:v>0</c:v>
                </c:pt>
                <c:pt idx="313">
                  <c:v>-8.4460869338185862E-2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-1.0038471200023748E-2</c:v>
                </c:pt>
                <c:pt idx="326">
                  <c:v>-8.3281376168073115E-2</c:v>
                </c:pt>
                <c:pt idx="327">
                  <c:v>0</c:v>
                </c:pt>
                <c:pt idx="328">
                  <c:v>-3.6839789247776852E-2</c:v>
                </c:pt>
                <c:pt idx="329">
                  <c:v>0</c:v>
                </c:pt>
                <c:pt idx="330">
                  <c:v>0</c:v>
                </c:pt>
                <c:pt idx="331">
                  <c:v>-3.7801014547966229E-2</c:v>
                </c:pt>
                <c:pt idx="332">
                  <c:v>0</c:v>
                </c:pt>
                <c:pt idx="333">
                  <c:v>0</c:v>
                </c:pt>
                <c:pt idx="334">
                  <c:v>-0.10873701255058651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-2.3199615657500151E-3</c:v>
                </c:pt>
                <c:pt idx="342">
                  <c:v>-2.3058189463213204E-2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-6.9313257168276705E-3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-1.7736744304172061E-2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-2.126740169729175E-2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-5.2277044604754602E-2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-3.0525097848384769E-3</c:v>
                </c:pt>
                <c:pt idx="369">
                  <c:v>0</c:v>
                </c:pt>
                <c:pt idx="370">
                  <c:v>0</c:v>
                </c:pt>
                <c:pt idx="371">
                  <c:v>-4.1715408946456527E-2</c:v>
                </c:pt>
                <c:pt idx="372">
                  <c:v>0</c:v>
                </c:pt>
                <c:pt idx="373">
                  <c:v>-2.6973696820744263E-2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-3.1294175314041377E-2</c:v>
                </c:pt>
                <c:pt idx="384">
                  <c:v>0</c:v>
                </c:pt>
                <c:pt idx="385">
                  <c:v>0</c:v>
                </c:pt>
                <c:pt idx="386">
                  <c:v>-2.9785719282704209E-2</c:v>
                </c:pt>
                <c:pt idx="387">
                  <c:v>0</c:v>
                </c:pt>
                <c:pt idx="388">
                  <c:v>0</c:v>
                </c:pt>
                <c:pt idx="389">
                  <c:v>-4.6493332658921249E-2</c:v>
                </c:pt>
                <c:pt idx="390">
                  <c:v>0</c:v>
                </c:pt>
                <c:pt idx="391">
                  <c:v>-5.1057692265706861E-2</c:v>
                </c:pt>
                <c:pt idx="392">
                  <c:v>-6.5598702150761412E-2</c:v>
                </c:pt>
                <c:pt idx="393">
                  <c:v>0</c:v>
                </c:pt>
                <c:pt idx="394">
                  <c:v>-4.1854939255884759E-2</c:v>
                </c:pt>
                <c:pt idx="395">
                  <c:v>0</c:v>
                </c:pt>
                <c:pt idx="396">
                  <c:v>-7.7814562863518649E-3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-1.3323869284662733E-3</c:v>
                </c:pt>
                <c:pt idx="401">
                  <c:v>0</c:v>
                </c:pt>
                <c:pt idx="402">
                  <c:v>-2.5063422739045851E-2</c:v>
                </c:pt>
                <c:pt idx="403">
                  <c:v>-2.3781465566193632E-2</c:v>
                </c:pt>
                <c:pt idx="404">
                  <c:v>-3.163935417005697E-2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-4.5463826160416342E-3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-9.4572792551018331E-2</c:v>
                </c:pt>
                <c:pt idx="422">
                  <c:v>0</c:v>
                </c:pt>
                <c:pt idx="423">
                  <c:v>-0.23651788851955161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-1.7947395436727267E-2</c:v>
                </c:pt>
                <c:pt idx="430">
                  <c:v>-4.2378539163551186E-2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-0.10915761397400528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-5.0697527997904902E-3</c:v>
                </c:pt>
                <c:pt idx="439">
                  <c:v>0</c:v>
                </c:pt>
                <c:pt idx="440">
                  <c:v>0</c:v>
                </c:pt>
                <c:pt idx="441">
                  <c:v>-7.665503549234999E-2</c:v>
                </c:pt>
                <c:pt idx="442">
                  <c:v>0</c:v>
                </c:pt>
                <c:pt idx="443">
                  <c:v>-2.7870184788755924E-2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-2.7292999780840394E-2</c:v>
                </c:pt>
                <c:pt idx="451">
                  <c:v>-2.0731091848048021E-2</c:v>
                </c:pt>
                <c:pt idx="452">
                  <c:v>-2.0310887385292034E-2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-8.3244819456109603E-4</c:v>
                </c:pt>
                <c:pt idx="458">
                  <c:v>0</c:v>
                </c:pt>
                <c:pt idx="459">
                  <c:v>-4.4933540100092921E-2</c:v>
                </c:pt>
                <c:pt idx="460">
                  <c:v>0</c:v>
                </c:pt>
                <c:pt idx="461">
                  <c:v>-5.7071065505645911E-2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-2.0418712190974794E-2</c:v>
                </c:pt>
                <c:pt idx="468">
                  <c:v>-2.6215380357830321E-2</c:v>
                </c:pt>
                <c:pt idx="469">
                  <c:v>0</c:v>
                </c:pt>
                <c:pt idx="470">
                  <c:v>-1.2957333885556211E-2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-1.9537881094514459E-2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-3.1493182384230364E-2</c:v>
                </c:pt>
                <c:pt idx="482">
                  <c:v>0</c:v>
                </c:pt>
                <c:pt idx="483">
                  <c:v>-2.7637418091343621E-2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-7.2419135839460788E-2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-1.0337277460488993E-2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-8.1442314273146355E-2</c:v>
                </c:pt>
                <c:pt idx="510">
                  <c:v>0</c:v>
                </c:pt>
                <c:pt idx="511">
                  <c:v>0</c:v>
                </c:pt>
                <c:pt idx="512">
                  <c:v>-1.1074623733876363E-2</c:v>
                </c:pt>
                <c:pt idx="513">
                  <c:v>-2.2548161595104043E-2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-5.1455132632691337E-2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-5.5142924354600591E-3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-5.3982109246304658E-2</c:v>
                </c:pt>
                <c:pt idx="531">
                  <c:v>0</c:v>
                </c:pt>
                <c:pt idx="532">
                  <c:v>0</c:v>
                </c:pt>
                <c:pt idx="533">
                  <c:v>-2.4685867557468277E-2</c:v>
                </c:pt>
                <c:pt idx="534">
                  <c:v>0</c:v>
                </c:pt>
                <c:pt idx="535">
                  <c:v>-1.3585560760873036E-2</c:v>
                </c:pt>
                <c:pt idx="536">
                  <c:v>-7.7517998790907336E-3</c:v>
                </c:pt>
                <c:pt idx="537">
                  <c:v>-8.937612420301555E-2</c:v>
                </c:pt>
                <c:pt idx="538">
                  <c:v>-2.2161183554705113E-2</c:v>
                </c:pt>
                <c:pt idx="539">
                  <c:v>0</c:v>
                </c:pt>
                <c:pt idx="540">
                  <c:v>-8.4024014860516028E-2</c:v>
                </c:pt>
                <c:pt idx="541">
                  <c:v>0</c:v>
                </c:pt>
                <c:pt idx="542">
                  <c:v>0</c:v>
                </c:pt>
                <c:pt idx="543">
                  <c:v>-4.5549439025476188E-2</c:v>
                </c:pt>
                <c:pt idx="544">
                  <c:v>-4.9635468363077258E-2</c:v>
                </c:pt>
                <c:pt idx="545">
                  <c:v>-4.9844010664410153E-2</c:v>
                </c:pt>
                <c:pt idx="546">
                  <c:v>0</c:v>
                </c:pt>
                <c:pt idx="547">
                  <c:v>-6.0227478511182188E-2</c:v>
                </c:pt>
                <c:pt idx="548">
                  <c:v>0</c:v>
                </c:pt>
                <c:pt idx="549">
                  <c:v>-8.2288306140931907E-3</c:v>
                </c:pt>
                <c:pt idx="550">
                  <c:v>0</c:v>
                </c:pt>
                <c:pt idx="551">
                  <c:v>-8.4259002296280718E-3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-7.184056107116292E-2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-4.9358943143581011E-2</c:v>
                </c:pt>
                <c:pt idx="560">
                  <c:v>0</c:v>
                </c:pt>
                <c:pt idx="561">
                  <c:v>0</c:v>
                </c:pt>
                <c:pt idx="562">
                  <c:v>-1.206516099057235E-2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-4.0271798954327774E-2</c:v>
                </c:pt>
                <c:pt idx="574">
                  <c:v>0</c:v>
                </c:pt>
                <c:pt idx="575">
                  <c:v>0</c:v>
                </c:pt>
                <c:pt idx="576">
                  <c:v>-3.4587908001787758E-2</c:v>
                </c:pt>
                <c:pt idx="577">
                  <c:v>0</c:v>
                </c:pt>
                <c:pt idx="578">
                  <c:v>0</c:v>
                </c:pt>
                <c:pt idx="579">
                  <c:v>-3.3381718800156279E-2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-1.4780791730748625E-2</c:v>
                </c:pt>
                <c:pt idx="584">
                  <c:v>-2.5376837998343924E-2</c:v>
                </c:pt>
                <c:pt idx="585">
                  <c:v>0</c:v>
                </c:pt>
                <c:pt idx="586">
                  <c:v>-3.5203054168732942E-2</c:v>
                </c:pt>
                <c:pt idx="587">
                  <c:v>-1.663636272513596E-2</c:v>
                </c:pt>
                <c:pt idx="588">
                  <c:v>-3.9567769332405035E-3</c:v>
                </c:pt>
                <c:pt idx="589">
                  <c:v>0</c:v>
                </c:pt>
                <c:pt idx="590">
                  <c:v>0</c:v>
                </c:pt>
                <c:pt idx="591">
                  <c:v>-6.6613986300286504E-2</c:v>
                </c:pt>
                <c:pt idx="592">
                  <c:v>-1.900167598762607E-2</c:v>
                </c:pt>
                <c:pt idx="593">
                  <c:v>-4.5257034043384721E-2</c:v>
                </c:pt>
                <c:pt idx="594">
                  <c:v>0</c:v>
                </c:pt>
                <c:pt idx="595">
                  <c:v>0</c:v>
                </c:pt>
                <c:pt idx="596">
                  <c:v>-2.2134148528850428E-2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-1.0105810248886205E-2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-2.1134983464967242E-3</c:v>
                </c:pt>
                <c:pt idx="607">
                  <c:v>-3.0563289853052195E-2</c:v>
                </c:pt>
                <c:pt idx="608">
                  <c:v>-5.482030890282108E-2</c:v>
                </c:pt>
                <c:pt idx="609">
                  <c:v>0</c:v>
                </c:pt>
                <c:pt idx="610">
                  <c:v>0</c:v>
                </c:pt>
                <c:pt idx="611">
                  <c:v>-2.5481646534715953E-3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-3.0124294177019562E-2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-1.1763227622564688E-2</c:v>
                </c:pt>
                <c:pt idx="625">
                  <c:v>0</c:v>
                </c:pt>
                <c:pt idx="626">
                  <c:v>0</c:v>
                </c:pt>
                <c:pt idx="627">
                  <c:v>-1.5582909026792746E-3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-4.2638724309473968E-3</c:v>
                </c:pt>
                <c:pt idx="638">
                  <c:v>-9.8547188404800121E-3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-1.9718079061804381E-2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-2.1971133495923199E-2</c:v>
                </c:pt>
                <c:pt idx="654">
                  <c:v>0</c:v>
                </c:pt>
                <c:pt idx="655">
                  <c:v>-5.2958916293418213E-3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-3.0271234825795596E-2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-1.4217570754576423E-2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-2.2179773401605762E-3</c:v>
                </c:pt>
                <c:pt idx="672">
                  <c:v>-2.3184751637186267E-3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-2.4935355273160823E-2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-3.9369762590911239E-2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-1.759219495683545E-2</c:v>
                </c:pt>
                <c:pt idx="690">
                  <c:v>0</c:v>
                </c:pt>
                <c:pt idx="691">
                  <c:v>-7.4897885974035665E-3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-1.0284537441349809E-2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-6.3784693477901451E-3</c:v>
                </c:pt>
                <c:pt idx="718">
                  <c:v>0</c:v>
                </c:pt>
                <c:pt idx="719">
                  <c:v>-0.1277231874979583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-1.9572545327436693E-2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-4.2232295361898479E-2</c:v>
                </c:pt>
                <c:pt idx="730">
                  <c:v>0</c:v>
                </c:pt>
                <c:pt idx="731">
                  <c:v>-3.1013581829011913E-2</c:v>
                </c:pt>
                <c:pt idx="732">
                  <c:v>0</c:v>
                </c:pt>
                <c:pt idx="733">
                  <c:v>0</c:v>
                </c:pt>
                <c:pt idx="734">
                  <c:v>-4.4440653515680141E-2</c:v>
                </c:pt>
                <c:pt idx="735">
                  <c:v>-9.543130893613536E-3</c:v>
                </c:pt>
                <c:pt idx="736">
                  <c:v>-6.6352174997651073E-2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-6.2893416669737467E-2</c:v>
                </c:pt>
                <c:pt idx="741">
                  <c:v>0</c:v>
                </c:pt>
                <c:pt idx="742">
                  <c:v>-5.1053775730777982E-2</c:v>
                </c:pt>
                <c:pt idx="743">
                  <c:v>-8.208175458272569E-3</c:v>
                </c:pt>
                <c:pt idx="744">
                  <c:v>0</c:v>
                </c:pt>
                <c:pt idx="745">
                  <c:v>-5.1585055811325255E-2</c:v>
                </c:pt>
                <c:pt idx="746">
                  <c:v>0</c:v>
                </c:pt>
                <c:pt idx="747">
                  <c:v>-3.5616059957249167E-2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-5.0128165164235756E-3</c:v>
                </c:pt>
                <c:pt idx="753">
                  <c:v>0</c:v>
                </c:pt>
                <c:pt idx="754">
                  <c:v>-1.469978218414341E-2</c:v>
                </c:pt>
                <c:pt idx="755">
                  <c:v>-1.2749774828002153E-2</c:v>
                </c:pt>
                <c:pt idx="756">
                  <c:v>0</c:v>
                </c:pt>
                <c:pt idx="757">
                  <c:v>-4.2732878364633339E-2</c:v>
                </c:pt>
                <c:pt idx="758">
                  <c:v>-5.4953894747038372E-2</c:v>
                </c:pt>
                <c:pt idx="759">
                  <c:v>-2.1758379442114988E-2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-6.9876552623832328E-2</c:v>
                </c:pt>
                <c:pt idx="765">
                  <c:v>0</c:v>
                </c:pt>
                <c:pt idx="766">
                  <c:v>-1.8364848330492321E-2</c:v>
                </c:pt>
                <c:pt idx="767">
                  <c:v>0</c:v>
                </c:pt>
                <c:pt idx="768">
                  <c:v>0</c:v>
                </c:pt>
                <c:pt idx="769">
                  <c:v>-5.3998072225441111E-2</c:v>
                </c:pt>
                <c:pt idx="770">
                  <c:v>0</c:v>
                </c:pt>
                <c:pt idx="771">
                  <c:v>-1.2551568203950942E-2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-5.8566441824699058E-3</c:v>
                </c:pt>
                <c:pt idx="777">
                  <c:v>0</c:v>
                </c:pt>
                <c:pt idx="778">
                  <c:v>-1.6162408088019251E-2</c:v>
                </c:pt>
                <c:pt idx="779">
                  <c:v>0</c:v>
                </c:pt>
                <c:pt idx="780">
                  <c:v>-1.7458707651037134E-2</c:v>
                </c:pt>
                <c:pt idx="781">
                  <c:v>0</c:v>
                </c:pt>
                <c:pt idx="782">
                  <c:v>0</c:v>
                </c:pt>
                <c:pt idx="783">
                  <c:v>-2.989521004429951E-2</c:v>
                </c:pt>
                <c:pt idx="784">
                  <c:v>-5.0505218268276815E-2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-5.2286099553971427E-2</c:v>
                </c:pt>
                <c:pt idx="789">
                  <c:v>-2.2350967401608645E-2</c:v>
                </c:pt>
                <c:pt idx="790">
                  <c:v>-4.2246177465584886E-2</c:v>
                </c:pt>
                <c:pt idx="791">
                  <c:v>-7.254830130820579E-2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-6.9864903023014067E-3</c:v>
                </c:pt>
                <c:pt idx="796">
                  <c:v>0</c:v>
                </c:pt>
                <c:pt idx="797">
                  <c:v>-4.7240574479650133E-2</c:v>
                </c:pt>
                <c:pt idx="798">
                  <c:v>-1.192228240922586E-3</c:v>
                </c:pt>
                <c:pt idx="799">
                  <c:v>-4.1043691640520727E-2</c:v>
                </c:pt>
                <c:pt idx="800">
                  <c:v>0</c:v>
                </c:pt>
                <c:pt idx="801">
                  <c:v>0</c:v>
                </c:pt>
                <c:pt idx="802">
                  <c:v>-2.4358019022615463E-2</c:v>
                </c:pt>
                <c:pt idx="803">
                  <c:v>-5.2593702203998123E-2</c:v>
                </c:pt>
                <c:pt idx="804">
                  <c:v>-3.7117202829391904E-2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-3.2401824310068052E-3</c:v>
                </c:pt>
                <c:pt idx="814">
                  <c:v>0</c:v>
                </c:pt>
                <c:pt idx="815">
                  <c:v>0</c:v>
                </c:pt>
                <c:pt idx="816">
                  <c:v>-5.0876747981665965E-3</c:v>
                </c:pt>
                <c:pt idx="817">
                  <c:v>-1.5095174527747321E-2</c:v>
                </c:pt>
                <c:pt idx="818">
                  <c:v>0</c:v>
                </c:pt>
                <c:pt idx="819">
                  <c:v>0</c:v>
                </c:pt>
                <c:pt idx="820">
                  <c:v>-4.8464638664567086E-2</c:v>
                </c:pt>
                <c:pt idx="821">
                  <c:v>-4.2589068400668673E-2</c:v>
                </c:pt>
                <c:pt idx="822">
                  <c:v>0</c:v>
                </c:pt>
                <c:pt idx="823">
                  <c:v>-3.0510183603017216E-2</c:v>
                </c:pt>
                <c:pt idx="824">
                  <c:v>-4.953493171194169E-2</c:v>
                </c:pt>
                <c:pt idx="825">
                  <c:v>0</c:v>
                </c:pt>
                <c:pt idx="826">
                  <c:v>0</c:v>
                </c:pt>
                <c:pt idx="827">
                  <c:v>-3.7237093219586792E-2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-3.7044291031079805E-3</c:v>
                </c:pt>
                <c:pt idx="833">
                  <c:v>0</c:v>
                </c:pt>
                <c:pt idx="834">
                  <c:v>-0.1299278567944846</c:v>
                </c:pt>
                <c:pt idx="835">
                  <c:v>0</c:v>
                </c:pt>
                <c:pt idx="836">
                  <c:v>0</c:v>
                </c:pt>
                <c:pt idx="837">
                  <c:v>-7.7219579480934768E-3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-8.695990963873873E-2</c:v>
                </c:pt>
                <c:pt idx="842">
                  <c:v>-8.7755737837843795E-3</c:v>
                </c:pt>
                <c:pt idx="843">
                  <c:v>-9.5112637361232516E-2</c:v>
                </c:pt>
                <c:pt idx="844">
                  <c:v>0</c:v>
                </c:pt>
                <c:pt idx="845">
                  <c:v>-8.615264975640069E-2</c:v>
                </c:pt>
                <c:pt idx="846">
                  <c:v>-8.2079802381727959E-3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-7.0437266767981954E-2</c:v>
                </c:pt>
                <c:pt idx="851">
                  <c:v>-5.4961495245945909E-4</c:v>
                </c:pt>
                <c:pt idx="852">
                  <c:v>-6.6316162946122068E-2</c:v>
                </c:pt>
                <c:pt idx="853">
                  <c:v>0</c:v>
                </c:pt>
                <c:pt idx="854">
                  <c:v>-7.1769560780173852E-2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-1.80519454367876E-3</c:v>
                </c:pt>
                <c:pt idx="859">
                  <c:v>0</c:v>
                </c:pt>
                <c:pt idx="860">
                  <c:v>0</c:v>
                </c:pt>
                <c:pt idx="861">
                  <c:v>-9.6724139044398208E-2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-8.9706731359140389E-3</c:v>
                </c:pt>
                <c:pt idx="866">
                  <c:v>-3.1687703983663461E-2</c:v>
                </c:pt>
                <c:pt idx="867">
                  <c:v>-7.3669726890083373E-2</c:v>
                </c:pt>
                <c:pt idx="868">
                  <c:v>0</c:v>
                </c:pt>
                <c:pt idx="869">
                  <c:v>0</c:v>
                </c:pt>
                <c:pt idx="870">
                  <c:v>-8.9276886305334049E-2</c:v>
                </c:pt>
                <c:pt idx="871">
                  <c:v>0</c:v>
                </c:pt>
                <c:pt idx="872">
                  <c:v>0</c:v>
                </c:pt>
                <c:pt idx="873">
                  <c:v>-4.0158588783632768E-3</c:v>
                </c:pt>
                <c:pt idx="874">
                  <c:v>0</c:v>
                </c:pt>
                <c:pt idx="875">
                  <c:v>0</c:v>
                </c:pt>
                <c:pt idx="876">
                  <c:v>-3.2067872925190801E-3</c:v>
                </c:pt>
                <c:pt idx="877">
                  <c:v>-5.133914542660397E-2</c:v>
                </c:pt>
                <c:pt idx="878">
                  <c:v>0</c:v>
                </c:pt>
                <c:pt idx="879">
                  <c:v>-1.7735573695039496E-2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-6.7722313475425192E-2</c:v>
                </c:pt>
                <c:pt idx="886">
                  <c:v>-5.4484287347031056E-3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-1.4093787679085734E-2</c:v>
                </c:pt>
                <c:pt idx="896">
                  <c:v>-3.6315219669228092E-2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-6.8603312345098658E-2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-2.6599955080428977E-2</c:v>
                </c:pt>
                <c:pt idx="909">
                  <c:v>0</c:v>
                </c:pt>
                <c:pt idx="910">
                  <c:v>0</c:v>
                </c:pt>
                <c:pt idx="911">
                  <c:v>-8.952024745529228E-3</c:v>
                </c:pt>
                <c:pt idx="912">
                  <c:v>-8.4075770686937463E-3</c:v>
                </c:pt>
                <c:pt idx="913">
                  <c:v>-3.7131065257927035E-3</c:v>
                </c:pt>
                <c:pt idx="914">
                  <c:v>-2.0694515928085497E-2</c:v>
                </c:pt>
                <c:pt idx="915">
                  <c:v>-2.3027121859633015E-2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-2.7323019061641623E-2</c:v>
                </c:pt>
                <c:pt idx="920">
                  <c:v>-1.1415491065233905E-2</c:v>
                </c:pt>
                <c:pt idx="921">
                  <c:v>-2.5315988843354696E-2</c:v>
                </c:pt>
                <c:pt idx="922">
                  <c:v>-7.5546689980996902E-3</c:v>
                </c:pt>
                <c:pt idx="923">
                  <c:v>0</c:v>
                </c:pt>
                <c:pt idx="924">
                  <c:v>-2.5395570034944456E-2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-4.1209443766832089E-2</c:v>
                </c:pt>
                <c:pt idx="931">
                  <c:v>0</c:v>
                </c:pt>
                <c:pt idx="932">
                  <c:v>0</c:v>
                </c:pt>
                <c:pt idx="933">
                  <c:v>-1.3177204873185448E-3</c:v>
                </c:pt>
                <c:pt idx="934">
                  <c:v>0</c:v>
                </c:pt>
                <c:pt idx="935">
                  <c:v>-1.1006669615360369E-3</c:v>
                </c:pt>
                <c:pt idx="936">
                  <c:v>-2.6021591963880809E-2</c:v>
                </c:pt>
                <c:pt idx="937">
                  <c:v>0</c:v>
                </c:pt>
                <c:pt idx="938">
                  <c:v>-4.7036650818315498E-2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-7.0530311047784941E-2</c:v>
                </c:pt>
                <c:pt idx="943">
                  <c:v>-1.1097444710353638E-2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-1.1191468473506277E-2</c:v>
                </c:pt>
                <c:pt idx="948">
                  <c:v>-6.5331109103811735E-2</c:v>
                </c:pt>
                <c:pt idx="949">
                  <c:v>-4.9324035951600728E-4</c:v>
                </c:pt>
                <c:pt idx="950">
                  <c:v>-2.9401867126913707E-2</c:v>
                </c:pt>
                <c:pt idx="951">
                  <c:v>0</c:v>
                </c:pt>
                <c:pt idx="952">
                  <c:v>0</c:v>
                </c:pt>
                <c:pt idx="953">
                  <c:v>-7.8454107209566887E-2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-6.8786982866646473E-2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-4.2977350124516868E-3</c:v>
                </c:pt>
                <c:pt idx="965">
                  <c:v>0</c:v>
                </c:pt>
                <c:pt idx="966">
                  <c:v>-5.801089225924199E-2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-7.4365391985668869E-2</c:v>
                </c:pt>
                <c:pt idx="972">
                  <c:v>0</c:v>
                </c:pt>
                <c:pt idx="973">
                  <c:v>0</c:v>
                </c:pt>
                <c:pt idx="974">
                  <c:v>-2.5949993433178626E-2</c:v>
                </c:pt>
                <c:pt idx="975">
                  <c:v>0</c:v>
                </c:pt>
                <c:pt idx="976">
                  <c:v>-3.9340049973454631E-2</c:v>
                </c:pt>
                <c:pt idx="977">
                  <c:v>-2.0266034679153763E-2</c:v>
                </c:pt>
                <c:pt idx="978">
                  <c:v>-1.640281161518909E-2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-1.8575976595388382E-3</c:v>
                </c:pt>
                <c:pt idx="983">
                  <c:v>0</c:v>
                </c:pt>
                <c:pt idx="984">
                  <c:v>-1.1491513399112878E-2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-6.5805210689489385E-2</c:v>
                </c:pt>
                <c:pt idx="989">
                  <c:v>-1.4519756955152622E-2</c:v>
                </c:pt>
                <c:pt idx="990">
                  <c:v>-3.2671271852603101E-2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-4.8336802116177406E-2</c:v>
                </c:pt>
                <c:pt idx="998">
                  <c:v>-2.3992081538347669E-3</c:v>
                </c:pt>
                <c:pt idx="999">
                  <c:v>0</c:v>
                </c:pt>
                <c:pt idx="1000">
                  <c:v>0</c:v>
                </c:pt>
                <c:pt idx="1001">
                  <c:v>-9.3023120707112522E-2</c:v>
                </c:pt>
                <c:pt idx="1002">
                  <c:v>0</c:v>
                </c:pt>
                <c:pt idx="1003">
                  <c:v>-0.1211382662996848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-0.13058999411512248</c:v>
                </c:pt>
                <c:pt idx="1008">
                  <c:v>0</c:v>
                </c:pt>
                <c:pt idx="1009">
                  <c:v>-2.9469076593570679E-2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-2.0825326779675614E-2</c:v>
                </c:pt>
                <c:pt idx="1018">
                  <c:v>-1.2580756039180813E-2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-6.5265727989955669E-2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-5.1618335010971517E-2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-5.8631242327927567E-2</c:v>
                </c:pt>
                <c:pt idx="1039">
                  <c:v>0</c:v>
                </c:pt>
                <c:pt idx="1040">
                  <c:v>-5.3947230761862926E-2</c:v>
                </c:pt>
                <c:pt idx="1041">
                  <c:v>0</c:v>
                </c:pt>
                <c:pt idx="1042">
                  <c:v>0</c:v>
                </c:pt>
                <c:pt idx="1043">
                  <c:v>-2.6019775187884498E-2</c:v>
                </c:pt>
                <c:pt idx="1044">
                  <c:v>0</c:v>
                </c:pt>
                <c:pt idx="1045">
                  <c:v>-9.2902296103110141E-3</c:v>
                </c:pt>
                <c:pt idx="1046">
                  <c:v>-1.4395092485712555E-2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-3.1980031423323417E-2</c:v>
                </c:pt>
                <c:pt idx="1051">
                  <c:v>-3.0891568893152494E-2</c:v>
                </c:pt>
                <c:pt idx="1052">
                  <c:v>-5.1177638843406537E-2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-3.3085146985350256E-2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-1.3753476636900448E-2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-6.3119187966273554E-2</c:v>
                </c:pt>
                <c:pt idx="1070">
                  <c:v>-1.1307733581419595E-2</c:v>
                </c:pt>
                <c:pt idx="1071">
                  <c:v>-3.7348947689138656E-2</c:v>
                </c:pt>
                <c:pt idx="1072">
                  <c:v>0</c:v>
                </c:pt>
                <c:pt idx="1073">
                  <c:v>-2.9764505585899753E-3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-4.8530373736560611E-3</c:v>
                </c:pt>
                <c:pt idx="1078">
                  <c:v>0</c:v>
                </c:pt>
                <c:pt idx="1079">
                  <c:v>-1.4703348586359806E-2</c:v>
                </c:pt>
                <c:pt idx="1080">
                  <c:v>0</c:v>
                </c:pt>
                <c:pt idx="1081">
                  <c:v>-0.10254036640636145</c:v>
                </c:pt>
                <c:pt idx="1082">
                  <c:v>0</c:v>
                </c:pt>
                <c:pt idx="1083">
                  <c:v>-1.5444551793945088E-2</c:v>
                </c:pt>
                <c:pt idx="1084">
                  <c:v>-1.1633105598404886E-2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-1.5208461404183913E-2</c:v>
                </c:pt>
                <c:pt idx="1089">
                  <c:v>-9.4369856616878939E-3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-1.5486900135687392E-2</c:v>
                </c:pt>
                <c:pt idx="1095">
                  <c:v>0</c:v>
                </c:pt>
                <c:pt idx="1096">
                  <c:v>0</c:v>
                </c:pt>
                <c:pt idx="1097">
                  <c:v>-2.411459569685356E-2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-1.654955029920421E-2</c:v>
                </c:pt>
                <c:pt idx="1105">
                  <c:v>-1.5569848343306422E-2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-5.6166625264270575E-2</c:v>
                </c:pt>
                <c:pt idx="1124">
                  <c:v>0</c:v>
                </c:pt>
                <c:pt idx="1125">
                  <c:v>-3.0738511610223299E-2</c:v>
                </c:pt>
                <c:pt idx="1126">
                  <c:v>-6.2514082267050644E-2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-7.6593146911415992E-3</c:v>
                </c:pt>
                <c:pt idx="1135">
                  <c:v>-1.771977911187872E-2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-7.1159587945364648E-3</c:v>
                </c:pt>
                <c:pt idx="1143">
                  <c:v>-0.10244266447454954</c:v>
                </c:pt>
                <c:pt idx="1144">
                  <c:v>-1.1015200083885681E-2</c:v>
                </c:pt>
                <c:pt idx="1145">
                  <c:v>0</c:v>
                </c:pt>
                <c:pt idx="1146">
                  <c:v>0</c:v>
                </c:pt>
                <c:pt idx="1147">
                  <c:v>-3.5118627986873816E-3</c:v>
                </c:pt>
                <c:pt idx="1148">
                  <c:v>-3.3229988141376218E-2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-2.702134933829662E-2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-6.9839654158622101E-3</c:v>
                </c:pt>
                <c:pt idx="1157">
                  <c:v>-3.0537634938297167E-2</c:v>
                </c:pt>
                <c:pt idx="1158">
                  <c:v>0</c:v>
                </c:pt>
                <c:pt idx="1159">
                  <c:v>-1.1024936176449245E-2</c:v>
                </c:pt>
                <c:pt idx="1160">
                  <c:v>0</c:v>
                </c:pt>
                <c:pt idx="1161">
                  <c:v>-2.8771607097822414E-2</c:v>
                </c:pt>
                <c:pt idx="1162">
                  <c:v>-3.2103248836749365E-2</c:v>
                </c:pt>
                <c:pt idx="1163">
                  <c:v>-2.8687749870443355E-2</c:v>
                </c:pt>
                <c:pt idx="1164">
                  <c:v>-1.7161268391452392E-2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-2.921607709918982E-2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-1.7978069654444238E-2</c:v>
                </c:pt>
                <c:pt idx="1177">
                  <c:v>-1.7083216543591706E-3</c:v>
                </c:pt>
                <c:pt idx="1178">
                  <c:v>0</c:v>
                </c:pt>
                <c:pt idx="1179">
                  <c:v>0</c:v>
                </c:pt>
                <c:pt idx="1180">
                  <c:v>-2.2549197832856749E-2</c:v>
                </c:pt>
                <c:pt idx="1181">
                  <c:v>0</c:v>
                </c:pt>
                <c:pt idx="1182">
                  <c:v>0</c:v>
                </c:pt>
                <c:pt idx="1183">
                  <c:v>-5.9953086506827459E-3</c:v>
                </c:pt>
                <c:pt idx="1184">
                  <c:v>-3.3764638528360071E-2</c:v>
                </c:pt>
                <c:pt idx="1185">
                  <c:v>0</c:v>
                </c:pt>
                <c:pt idx="1186">
                  <c:v>-1.4780378426315648E-2</c:v>
                </c:pt>
                <c:pt idx="1187">
                  <c:v>-2.6588994614941828E-2</c:v>
                </c:pt>
                <c:pt idx="1188">
                  <c:v>-4.3236555509320901E-2</c:v>
                </c:pt>
                <c:pt idx="1189">
                  <c:v>0</c:v>
                </c:pt>
                <c:pt idx="1190">
                  <c:v>-1.1687983027615024E-2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-2.0356862798576531E-2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-1.5789984743318764E-2</c:v>
                </c:pt>
                <c:pt idx="1203">
                  <c:v>-3.0395093250713542E-2</c:v>
                </c:pt>
                <c:pt idx="1204">
                  <c:v>0</c:v>
                </c:pt>
                <c:pt idx="1205">
                  <c:v>0</c:v>
                </c:pt>
                <c:pt idx="1206">
                  <c:v>-4.8931486099783567E-2</c:v>
                </c:pt>
                <c:pt idx="1207">
                  <c:v>0</c:v>
                </c:pt>
                <c:pt idx="1208">
                  <c:v>-3.7588298603016511E-2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-3.1855020728985398E-2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-5.6160490115329441E-2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-1.0512267282499248E-2</c:v>
                </c:pt>
                <c:pt idx="1236">
                  <c:v>0</c:v>
                </c:pt>
                <c:pt idx="1237">
                  <c:v>-5.2201993199142696E-3</c:v>
                </c:pt>
                <c:pt idx="1238">
                  <c:v>-1.3701443122430351E-2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-1.6957232459201076E-2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-3.9976780095908576E-2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</c:numCache>
            </c:numRef>
          </c:xVal>
          <c:yVal>
            <c:numRef>
              <c:f>'TSLA, MSFT'!$J$5:$J$1261</c:f>
              <c:numCache>
                <c:formatCode>General</c:formatCode>
                <c:ptCount val="1257"/>
                <c:pt idx="0">
                  <c:v>-3.7481719750057908E-2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-7.3224637652109072E-3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-1.902677014860887E-2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-1.9694393907566655E-2</c:v>
                </c:pt>
                <c:pt idx="17">
                  <c:v>0</c:v>
                </c:pt>
                <c:pt idx="18">
                  <c:v>0</c:v>
                </c:pt>
                <c:pt idx="19">
                  <c:v>-1.8500598822714133E-2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-1.1160725461684768E-2</c:v>
                </c:pt>
                <c:pt idx="24">
                  <c:v>-7.1935946744734833E-3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-7.4871318425029072E-4</c:v>
                </c:pt>
                <c:pt idx="29">
                  <c:v>0</c:v>
                </c:pt>
                <c:pt idx="30">
                  <c:v>0</c:v>
                </c:pt>
                <c:pt idx="31">
                  <c:v>-4.6212857239096619E-4</c:v>
                </c:pt>
                <c:pt idx="32">
                  <c:v>-9.4743417226121202E-3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-2.4022432478523867E-3</c:v>
                </c:pt>
                <c:pt idx="41">
                  <c:v>-5.000903438898298E-3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-2.6722203674096185E-2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-5.0975750713859857E-3</c:v>
                </c:pt>
                <c:pt idx="64">
                  <c:v>0</c:v>
                </c:pt>
                <c:pt idx="65">
                  <c:v>0</c:v>
                </c:pt>
                <c:pt idx="66">
                  <c:v>-5.43456878714674E-3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-3.4338224996258238E-3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-2.1046892650689937E-2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-2.073634438530304E-2</c:v>
                </c:pt>
                <c:pt idx="86">
                  <c:v>-7.9671752422225481E-5</c:v>
                </c:pt>
                <c:pt idx="87">
                  <c:v>-7.9678100516333109E-5</c:v>
                </c:pt>
                <c:pt idx="88">
                  <c:v>0</c:v>
                </c:pt>
                <c:pt idx="89">
                  <c:v>-3.018434198666543E-2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-6.6926319847659911E-3</c:v>
                </c:pt>
                <c:pt idx="94">
                  <c:v>-1.4550573281886902E-2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-6.3391444278119232E-4</c:v>
                </c:pt>
                <c:pt idx="100">
                  <c:v>0</c:v>
                </c:pt>
                <c:pt idx="101">
                  <c:v>0</c:v>
                </c:pt>
                <c:pt idx="102">
                  <c:v>-1.6439165765977936E-2</c:v>
                </c:pt>
                <c:pt idx="103">
                  <c:v>-3.1540065070202565E-2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-4.6284084294520474E-3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-3.2081214410720385E-2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-2.9141795357815626E-3</c:v>
                </c:pt>
                <c:pt idx="127">
                  <c:v>-7.2987376424560172E-4</c:v>
                </c:pt>
                <c:pt idx="128">
                  <c:v>-3.6573810061543842E-3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-1.3189552753890003E-2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-3.7734550488581885E-3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-2.9501091046161936E-2</c:v>
                </c:pt>
                <c:pt idx="145">
                  <c:v>0</c:v>
                </c:pt>
                <c:pt idx="146">
                  <c:v>0</c:v>
                </c:pt>
                <c:pt idx="147">
                  <c:v>-3.4859164772397824E-2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-8.532228189092949E-3</c:v>
                </c:pt>
                <c:pt idx="152">
                  <c:v>-1.4040450028331281E-2</c:v>
                </c:pt>
                <c:pt idx="153">
                  <c:v>0</c:v>
                </c:pt>
                <c:pt idx="154">
                  <c:v>-3.3901551675681339E-2</c:v>
                </c:pt>
                <c:pt idx="155">
                  <c:v>-2.2416507929831518E-3</c:v>
                </c:pt>
                <c:pt idx="156">
                  <c:v>0</c:v>
                </c:pt>
                <c:pt idx="157">
                  <c:v>0</c:v>
                </c:pt>
                <c:pt idx="158">
                  <c:v>-8.3433574281220491E-3</c:v>
                </c:pt>
                <c:pt idx="159">
                  <c:v>0</c:v>
                </c:pt>
                <c:pt idx="160">
                  <c:v>0</c:v>
                </c:pt>
                <c:pt idx="161">
                  <c:v>-3.2381042012097232E-2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-1.3289717318511172E-2</c:v>
                </c:pt>
                <c:pt idx="168">
                  <c:v>0</c:v>
                </c:pt>
                <c:pt idx="169">
                  <c:v>0</c:v>
                </c:pt>
                <c:pt idx="170">
                  <c:v>-6.8064027767204584E-3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-1.4553924851026068E-3</c:v>
                </c:pt>
                <c:pt idx="176">
                  <c:v>-7.2355513914528274E-3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-1.1621819874645417E-2</c:v>
                </c:pt>
                <c:pt idx="181">
                  <c:v>0</c:v>
                </c:pt>
                <c:pt idx="182">
                  <c:v>-1.2729811709759706E-2</c:v>
                </c:pt>
                <c:pt idx="183">
                  <c:v>0</c:v>
                </c:pt>
                <c:pt idx="184">
                  <c:v>0</c:v>
                </c:pt>
                <c:pt idx="185">
                  <c:v>-1.3056051581850135E-2</c:v>
                </c:pt>
                <c:pt idx="186">
                  <c:v>0</c:v>
                </c:pt>
                <c:pt idx="187">
                  <c:v>0</c:v>
                </c:pt>
                <c:pt idx="188">
                  <c:v>-1.7812924985681797E-2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-1.6456524395776512E-2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-9.4767624440183426E-3</c:v>
                </c:pt>
                <c:pt idx="208">
                  <c:v>0</c:v>
                </c:pt>
                <c:pt idx="209">
                  <c:v>-8.6117623685243432E-3</c:v>
                </c:pt>
                <c:pt idx="210">
                  <c:v>0</c:v>
                </c:pt>
                <c:pt idx="211">
                  <c:v>0</c:v>
                </c:pt>
                <c:pt idx="212">
                  <c:v>-6.2281583965429594E-4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-5.1331734992627314E-3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-6.1903391620338382E-3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-5.4155248078951767E-3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-8.6558746095816118E-3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-4.637797015255787E-3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-1.0127889802005716E-2</c:v>
                </c:pt>
                <c:pt idx="267">
                  <c:v>-1.6864630424749807E-2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-1.2221544768834737E-3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-1.5389058071660194E-2</c:v>
                </c:pt>
                <c:pt idx="285">
                  <c:v>0</c:v>
                </c:pt>
                <c:pt idx="286">
                  <c:v>-4.4072601174591088E-2</c:v>
                </c:pt>
                <c:pt idx="287">
                  <c:v>-1.6639515370342323E-2</c:v>
                </c:pt>
                <c:pt idx="288">
                  <c:v>0</c:v>
                </c:pt>
                <c:pt idx="289">
                  <c:v>-7.3064312292073968E-2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-2.5415535812366694E-2</c:v>
                </c:pt>
                <c:pt idx="295">
                  <c:v>-2.8674487763549045E-2</c:v>
                </c:pt>
                <c:pt idx="296">
                  <c:v>-7.0178376615533458E-2</c:v>
                </c:pt>
                <c:pt idx="297">
                  <c:v>0</c:v>
                </c:pt>
                <c:pt idx="298">
                  <c:v>-4.6360232939018739E-2</c:v>
                </c:pt>
                <c:pt idx="299">
                  <c:v>-9.964161947169678E-2</c:v>
                </c:pt>
                <c:pt idx="300">
                  <c:v>0</c:v>
                </c:pt>
                <c:pt idx="301">
                  <c:v>-0.15945338778956455</c:v>
                </c:pt>
                <c:pt idx="302">
                  <c:v>0</c:v>
                </c:pt>
                <c:pt idx="303">
                  <c:v>-4.3007638447498421E-2</c:v>
                </c:pt>
                <c:pt idx="304">
                  <c:v>0</c:v>
                </c:pt>
                <c:pt idx="305">
                  <c:v>-3.8282186571017035E-2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-4.1927595542992753E-2</c:v>
                </c:pt>
                <c:pt idx="311">
                  <c:v>0</c:v>
                </c:pt>
                <c:pt idx="312">
                  <c:v>0</c:v>
                </c:pt>
                <c:pt idx="313">
                  <c:v>-3.6153960175814778E-2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-2.0019896138106709E-2</c:v>
                </c:pt>
                <c:pt idx="326">
                  <c:v>-4.2236795862368691E-2</c:v>
                </c:pt>
                <c:pt idx="327">
                  <c:v>0</c:v>
                </c:pt>
                <c:pt idx="328">
                  <c:v>-1.2176181047882415E-2</c:v>
                </c:pt>
                <c:pt idx="329">
                  <c:v>0</c:v>
                </c:pt>
                <c:pt idx="330">
                  <c:v>0</c:v>
                </c:pt>
                <c:pt idx="331">
                  <c:v>-2.466244929923821E-2</c:v>
                </c:pt>
                <c:pt idx="332">
                  <c:v>0</c:v>
                </c:pt>
                <c:pt idx="333">
                  <c:v>0</c:v>
                </c:pt>
                <c:pt idx="334">
                  <c:v>-2.6232495218609143E-2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-2.2912309013850708E-2</c:v>
                </c:pt>
                <c:pt idx="342">
                  <c:v>-1.5237969440773162E-2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-6.9463566878066067E-3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-2.2576480501451672E-3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-1.3250981334266434E-2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-5.5193981952866296E-2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-5.9774873359773164E-3</c:v>
                </c:pt>
                <c:pt idx="369">
                  <c:v>0</c:v>
                </c:pt>
                <c:pt idx="370">
                  <c:v>0</c:v>
                </c:pt>
                <c:pt idx="371">
                  <c:v>-2.0363430349121969E-2</c:v>
                </c:pt>
                <c:pt idx="372">
                  <c:v>0</c:v>
                </c:pt>
                <c:pt idx="373">
                  <c:v>-2.0219006272960499E-2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-3.1375868402963358E-2</c:v>
                </c:pt>
                <c:pt idx="384">
                  <c:v>0</c:v>
                </c:pt>
                <c:pt idx="385">
                  <c:v>0</c:v>
                </c:pt>
                <c:pt idx="386">
                  <c:v>-2.000260883701175E-2</c:v>
                </c:pt>
                <c:pt idx="387">
                  <c:v>0</c:v>
                </c:pt>
                <c:pt idx="388">
                  <c:v>0</c:v>
                </c:pt>
                <c:pt idx="389">
                  <c:v>-1.3560336253179386E-2</c:v>
                </c:pt>
                <c:pt idx="390">
                  <c:v>0</c:v>
                </c:pt>
                <c:pt idx="391">
                  <c:v>-4.4468935628024821E-2</c:v>
                </c:pt>
                <c:pt idx="392">
                  <c:v>-6.1410652583930381E-3</c:v>
                </c:pt>
                <c:pt idx="393">
                  <c:v>0</c:v>
                </c:pt>
                <c:pt idx="394">
                  <c:v>-9.0177268642242549E-3</c:v>
                </c:pt>
                <c:pt idx="395">
                  <c:v>0</c:v>
                </c:pt>
                <c:pt idx="396">
                  <c:v>-7.843906667496139E-4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-1.6423061664708018E-3</c:v>
                </c:pt>
                <c:pt idx="401">
                  <c:v>0</c:v>
                </c:pt>
                <c:pt idx="402">
                  <c:v>-1.8049600382824754E-2</c:v>
                </c:pt>
                <c:pt idx="403">
                  <c:v>-2.0108585241116906E-2</c:v>
                </c:pt>
                <c:pt idx="404">
                  <c:v>-2.3663130683960681E-2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-8.4997781367844218E-3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-6.3948724600273413E-2</c:v>
                </c:pt>
                <c:pt idx="422">
                  <c:v>0</c:v>
                </c:pt>
                <c:pt idx="423">
                  <c:v>-5.5613859457717678E-2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-1.8027214142084035E-2</c:v>
                </c:pt>
                <c:pt idx="430">
                  <c:v>-1.0491320858535423E-2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-3.3482699324981879E-2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-1.0463258405518473E-2</c:v>
                </c:pt>
                <c:pt idx="439">
                  <c:v>0</c:v>
                </c:pt>
                <c:pt idx="440">
                  <c:v>0</c:v>
                </c:pt>
                <c:pt idx="441">
                  <c:v>-2.9955661550243845E-2</c:v>
                </c:pt>
                <c:pt idx="442">
                  <c:v>0</c:v>
                </c:pt>
                <c:pt idx="443">
                  <c:v>-2.1476239191072818E-2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-5.4481202587850219E-3</c:v>
                </c:pt>
                <c:pt idx="451">
                  <c:v>0</c:v>
                </c:pt>
                <c:pt idx="452">
                  <c:v>-2.5077372023716262E-2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-2.8854245431317455E-2</c:v>
                </c:pt>
                <c:pt idx="458">
                  <c:v>0</c:v>
                </c:pt>
                <c:pt idx="459">
                  <c:v>-5.0836805764079472E-2</c:v>
                </c:pt>
                <c:pt idx="460">
                  <c:v>0</c:v>
                </c:pt>
                <c:pt idx="461">
                  <c:v>-1.1051464428108559E-2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-2.4112814676706555E-2</c:v>
                </c:pt>
                <c:pt idx="468">
                  <c:v>-3.437692955871538E-2</c:v>
                </c:pt>
                <c:pt idx="469">
                  <c:v>0</c:v>
                </c:pt>
                <c:pt idx="470">
                  <c:v>-5.1390191572922407E-3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-9.6024956764647687E-3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-5.4041594369566162E-3</c:v>
                </c:pt>
                <c:pt idx="482">
                  <c:v>0</c:v>
                </c:pt>
                <c:pt idx="483">
                  <c:v>-3.8926783479580019E-3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-1.9682269741514696E-2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-3.2685079552299937E-4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-9.7459077092977853E-3</c:v>
                </c:pt>
                <c:pt idx="510">
                  <c:v>0</c:v>
                </c:pt>
                <c:pt idx="511">
                  <c:v>0</c:v>
                </c:pt>
                <c:pt idx="512">
                  <c:v>-1.5465186187123848E-2</c:v>
                </c:pt>
                <c:pt idx="513">
                  <c:v>-1.7384363153771869E-3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-2.9605678994199372E-2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-4.0823957235558176E-3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-3.9047296781563713E-3</c:v>
                </c:pt>
                <c:pt idx="531">
                  <c:v>0</c:v>
                </c:pt>
                <c:pt idx="532">
                  <c:v>0</c:v>
                </c:pt>
                <c:pt idx="533">
                  <c:v>-5.2794327540269526E-3</c:v>
                </c:pt>
                <c:pt idx="534">
                  <c:v>0</c:v>
                </c:pt>
                <c:pt idx="535">
                  <c:v>-1.6803626978980956E-3</c:v>
                </c:pt>
                <c:pt idx="536">
                  <c:v>-1.1634754564295583E-2</c:v>
                </c:pt>
                <c:pt idx="537">
                  <c:v>-2.7174213514061924E-2</c:v>
                </c:pt>
                <c:pt idx="538">
                  <c:v>-5.3016499398840034E-3</c:v>
                </c:pt>
                <c:pt idx="539">
                  <c:v>0</c:v>
                </c:pt>
                <c:pt idx="540">
                  <c:v>-2.3990450295978374E-2</c:v>
                </c:pt>
                <c:pt idx="541">
                  <c:v>0</c:v>
                </c:pt>
                <c:pt idx="542">
                  <c:v>0</c:v>
                </c:pt>
                <c:pt idx="543">
                  <c:v>-1.304153910263451E-2</c:v>
                </c:pt>
                <c:pt idx="544">
                  <c:v>-2.7351465541531846E-2</c:v>
                </c:pt>
                <c:pt idx="545">
                  <c:v>-3.654057643895496E-3</c:v>
                </c:pt>
                <c:pt idx="546">
                  <c:v>0</c:v>
                </c:pt>
                <c:pt idx="547">
                  <c:v>-1.8345140723140273E-2</c:v>
                </c:pt>
                <c:pt idx="548">
                  <c:v>0</c:v>
                </c:pt>
                <c:pt idx="549">
                  <c:v>-5.834422384896603E-3</c:v>
                </c:pt>
                <c:pt idx="550">
                  <c:v>0</c:v>
                </c:pt>
                <c:pt idx="551">
                  <c:v>-5.8365924444513141E-3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-2.7024049168725462E-2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-8.9633612113428109E-3</c:v>
                </c:pt>
                <c:pt idx="560">
                  <c:v>0</c:v>
                </c:pt>
                <c:pt idx="561">
                  <c:v>0</c:v>
                </c:pt>
                <c:pt idx="562">
                  <c:v>-5.2573681680816919E-3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-1.1282410373317397E-2</c:v>
                </c:pt>
                <c:pt idx="574">
                  <c:v>0</c:v>
                </c:pt>
                <c:pt idx="575">
                  <c:v>0</c:v>
                </c:pt>
                <c:pt idx="576">
                  <c:v>-7.7000457448768191E-3</c:v>
                </c:pt>
                <c:pt idx="577">
                  <c:v>0</c:v>
                </c:pt>
                <c:pt idx="578">
                  <c:v>0</c:v>
                </c:pt>
                <c:pt idx="579">
                  <c:v>-1.3172570960882771E-2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-2.8693428798763861E-2</c:v>
                </c:pt>
                <c:pt idx="584">
                  <c:v>-8.085712697882318E-3</c:v>
                </c:pt>
                <c:pt idx="585">
                  <c:v>0</c:v>
                </c:pt>
                <c:pt idx="586">
                  <c:v>-1.2697406673799784E-3</c:v>
                </c:pt>
                <c:pt idx="587">
                  <c:v>-1.6291764322049221E-2</c:v>
                </c:pt>
                <c:pt idx="588">
                  <c:v>-5.3413310333767731E-3</c:v>
                </c:pt>
                <c:pt idx="589">
                  <c:v>0</c:v>
                </c:pt>
                <c:pt idx="590">
                  <c:v>0</c:v>
                </c:pt>
                <c:pt idx="591">
                  <c:v>-2.1136004163126231E-2</c:v>
                </c:pt>
                <c:pt idx="592">
                  <c:v>-3.8507576818855222E-3</c:v>
                </c:pt>
                <c:pt idx="593">
                  <c:v>-2.9802506548193289E-2</c:v>
                </c:pt>
                <c:pt idx="594">
                  <c:v>0</c:v>
                </c:pt>
                <c:pt idx="595">
                  <c:v>0</c:v>
                </c:pt>
                <c:pt idx="596">
                  <c:v>-1.2040767366601623E-2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-5.3290068143913806E-3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-9.173638004136524E-3</c:v>
                </c:pt>
                <c:pt idx="607">
                  <c:v>-4.0428543101701521E-4</c:v>
                </c:pt>
                <c:pt idx="608">
                  <c:v>-6.4501957877612448E-3</c:v>
                </c:pt>
                <c:pt idx="609">
                  <c:v>0</c:v>
                </c:pt>
                <c:pt idx="610">
                  <c:v>0</c:v>
                </c:pt>
                <c:pt idx="611">
                  <c:v>-4.8975175896327919E-3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-5.9045034058865563E-3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-6.281640335425844E-3</c:v>
                </c:pt>
                <c:pt idx="625">
                  <c:v>0</c:v>
                </c:pt>
                <c:pt idx="626">
                  <c:v>0</c:v>
                </c:pt>
                <c:pt idx="627">
                  <c:v>-1.8439983097193683E-3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-5.2525229891099076E-3</c:v>
                </c:pt>
                <c:pt idx="638">
                  <c:v>-9.9683158241899834E-4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-8.721541063258887E-3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-2.0726104602853974E-4</c:v>
                </c:pt>
                <c:pt idx="654">
                  <c:v>0</c:v>
                </c:pt>
                <c:pt idx="655">
                  <c:v>-6.5765673645636017E-3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-5.1728947367668966E-3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-9.7155979666918267E-3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-1.6564244459867376E-4</c:v>
                </c:pt>
                <c:pt idx="672">
                  <c:v>-2.2554654823390028E-3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-5.1942912254339555E-3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-1.8749392167419429E-2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-3.6875164103184997E-2</c:v>
                </c:pt>
                <c:pt idx="690">
                  <c:v>0</c:v>
                </c:pt>
                <c:pt idx="691">
                  <c:v>-7.3508954133912757E-3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-1.1301116444406192E-3</c:v>
                </c:pt>
                <c:pt idx="718">
                  <c:v>0</c:v>
                </c:pt>
                <c:pt idx="719">
                  <c:v>-3.090916955428619E-3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-1.9322528641529486E-3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-6.346791094281371E-3</c:v>
                </c:pt>
                <c:pt idx="730">
                  <c:v>0</c:v>
                </c:pt>
                <c:pt idx="731">
                  <c:v>-2.4657100806374201E-2</c:v>
                </c:pt>
                <c:pt idx="732">
                  <c:v>0</c:v>
                </c:pt>
                <c:pt idx="733">
                  <c:v>0</c:v>
                </c:pt>
                <c:pt idx="734">
                  <c:v>-1.5438875726232445E-3</c:v>
                </c:pt>
                <c:pt idx="735">
                  <c:v>-1.7890448545774067E-3</c:v>
                </c:pt>
                <c:pt idx="736">
                  <c:v>-1.9862721972629005E-2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-5.598230376585394E-3</c:v>
                </c:pt>
                <c:pt idx="741">
                  <c:v>0</c:v>
                </c:pt>
                <c:pt idx="742">
                  <c:v>-9.209086404096985E-3</c:v>
                </c:pt>
                <c:pt idx="743">
                  <c:v>-3.3129695933753846E-2</c:v>
                </c:pt>
                <c:pt idx="744">
                  <c:v>0</c:v>
                </c:pt>
                <c:pt idx="745">
                  <c:v>-2.9567766871596565E-2</c:v>
                </c:pt>
                <c:pt idx="746">
                  <c:v>0</c:v>
                </c:pt>
                <c:pt idx="747">
                  <c:v>-1.2086335007961085E-2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-3.510315144744655E-3</c:v>
                </c:pt>
                <c:pt idx="753">
                  <c:v>0</c:v>
                </c:pt>
                <c:pt idx="754">
                  <c:v>-7.720912604571052E-3</c:v>
                </c:pt>
                <c:pt idx="755">
                  <c:v>-8.8805272509477409E-3</c:v>
                </c:pt>
                <c:pt idx="756">
                  <c:v>0</c:v>
                </c:pt>
                <c:pt idx="757">
                  <c:v>-1.7295839131054723E-2</c:v>
                </c:pt>
                <c:pt idx="758">
                  <c:v>-3.9144122669793759E-2</c:v>
                </c:pt>
                <c:pt idx="759">
                  <c:v>-7.9332755111609608E-3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-4.324425532679859E-2</c:v>
                </c:pt>
                <c:pt idx="765">
                  <c:v>0</c:v>
                </c:pt>
                <c:pt idx="766">
                  <c:v>-2.4640228404742202E-2</c:v>
                </c:pt>
                <c:pt idx="767">
                  <c:v>0</c:v>
                </c:pt>
                <c:pt idx="768">
                  <c:v>0</c:v>
                </c:pt>
                <c:pt idx="769">
                  <c:v>-1.8640835594090695E-2</c:v>
                </c:pt>
                <c:pt idx="770">
                  <c:v>0</c:v>
                </c:pt>
                <c:pt idx="771">
                  <c:v>-2.6948250422141204E-2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-7.1643253480171551E-3</c:v>
                </c:pt>
                <c:pt idx="777">
                  <c:v>0</c:v>
                </c:pt>
                <c:pt idx="778">
                  <c:v>-3.9731275421057241E-2</c:v>
                </c:pt>
                <c:pt idx="779">
                  <c:v>0</c:v>
                </c:pt>
                <c:pt idx="780">
                  <c:v>-1.6444866301339536E-2</c:v>
                </c:pt>
                <c:pt idx="781">
                  <c:v>0</c:v>
                </c:pt>
                <c:pt idx="782">
                  <c:v>0</c:v>
                </c:pt>
                <c:pt idx="783">
                  <c:v>-2.8783420911998467E-2</c:v>
                </c:pt>
                <c:pt idx="784">
                  <c:v>-2.4573564183826051E-2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-2.9719416140935571E-2</c:v>
                </c:pt>
                <c:pt idx="789">
                  <c:v>-9.6776063769667322E-3</c:v>
                </c:pt>
                <c:pt idx="790">
                  <c:v>-7.2961003844617268E-4</c:v>
                </c:pt>
                <c:pt idx="791">
                  <c:v>-2.6234360740426337E-2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-1.2935135047396892E-2</c:v>
                </c:pt>
                <c:pt idx="796">
                  <c:v>0</c:v>
                </c:pt>
                <c:pt idx="797">
                  <c:v>-1.4326459994419029E-2</c:v>
                </c:pt>
                <c:pt idx="798">
                  <c:v>-2.0691099729828272E-2</c:v>
                </c:pt>
                <c:pt idx="799">
                  <c:v>-3.8508898658493974E-2</c:v>
                </c:pt>
                <c:pt idx="800">
                  <c:v>0</c:v>
                </c:pt>
                <c:pt idx="801">
                  <c:v>0</c:v>
                </c:pt>
                <c:pt idx="802">
                  <c:v>-1.0137870101331851E-2</c:v>
                </c:pt>
                <c:pt idx="803">
                  <c:v>-1.9517643922365498E-2</c:v>
                </c:pt>
                <c:pt idx="804">
                  <c:v>-1.3045772701263322E-2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-1.382079261755923E-3</c:v>
                </c:pt>
                <c:pt idx="814">
                  <c:v>0</c:v>
                </c:pt>
                <c:pt idx="815">
                  <c:v>0</c:v>
                </c:pt>
                <c:pt idx="816">
                  <c:v>-4.9263531861962464E-3</c:v>
                </c:pt>
                <c:pt idx="817">
                  <c:v>-1.7841256305483329E-2</c:v>
                </c:pt>
                <c:pt idx="818">
                  <c:v>0</c:v>
                </c:pt>
                <c:pt idx="819">
                  <c:v>0</c:v>
                </c:pt>
                <c:pt idx="820">
                  <c:v>-1.3070410565829757E-2</c:v>
                </c:pt>
                <c:pt idx="821">
                  <c:v>-3.729256807362593E-2</c:v>
                </c:pt>
                <c:pt idx="822">
                  <c:v>0</c:v>
                </c:pt>
                <c:pt idx="823">
                  <c:v>-1.4707622137587195E-2</c:v>
                </c:pt>
                <c:pt idx="824">
                  <c:v>-4.023007850454962E-2</c:v>
                </c:pt>
                <c:pt idx="825">
                  <c:v>0</c:v>
                </c:pt>
                <c:pt idx="826">
                  <c:v>0</c:v>
                </c:pt>
                <c:pt idx="827">
                  <c:v>-2.7457888531987582E-2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-2.4440694607481002E-2</c:v>
                </c:pt>
                <c:pt idx="833">
                  <c:v>0</c:v>
                </c:pt>
                <c:pt idx="834">
                  <c:v>-3.8121289243146617E-2</c:v>
                </c:pt>
                <c:pt idx="835">
                  <c:v>0</c:v>
                </c:pt>
                <c:pt idx="836">
                  <c:v>0</c:v>
                </c:pt>
                <c:pt idx="837">
                  <c:v>-4.2711243645094404E-2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-4.4531708583804119E-2</c:v>
                </c:pt>
                <c:pt idx="842">
                  <c:v>-9.4914493156740519E-3</c:v>
                </c:pt>
                <c:pt idx="843">
                  <c:v>-3.7645134151335587E-2</c:v>
                </c:pt>
                <c:pt idx="844">
                  <c:v>0</c:v>
                </c:pt>
                <c:pt idx="845">
                  <c:v>-3.3773608993828134E-2</c:v>
                </c:pt>
                <c:pt idx="846">
                  <c:v>-2.0159628261570754E-2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-4.8925095691889069E-2</c:v>
                </c:pt>
                <c:pt idx="851">
                  <c:v>-3.70648269446872E-3</c:v>
                </c:pt>
                <c:pt idx="852">
                  <c:v>-2.2938511145660259E-3</c:v>
                </c:pt>
                <c:pt idx="853">
                  <c:v>0</c:v>
                </c:pt>
                <c:pt idx="854">
                  <c:v>-3.9594877492664347E-3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-5.0265189944106543E-3</c:v>
                </c:pt>
                <c:pt idx="859">
                  <c:v>0</c:v>
                </c:pt>
                <c:pt idx="860">
                  <c:v>0</c:v>
                </c:pt>
                <c:pt idx="861">
                  <c:v>-1.6746627140358794E-2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-2.1002266734194364E-2</c:v>
                </c:pt>
                <c:pt idx="866">
                  <c:v>-4.5587096744649072E-2</c:v>
                </c:pt>
                <c:pt idx="867">
                  <c:v>-4.3338432666003839E-2</c:v>
                </c:pt>
                <c:pt idx="868">
                  <c:v>0</c:v>
                </c:pt>
                <c:pt idx="869">
                  <c:v>0</c:v>
                </c:pt>
                <c:pt idx="870">
                  <c:v>-2.7340498688504637E-2</c:v>
                </c:pt>
                <c:pt idx="871">
                  <c:v>0</c:v>
                </c:pt>
                <c:pt idx="872">
                  <c:v>0</c:v>
                </c:pt>
                <c:pt idx="873">
                  <c:v>-2.4069299603185837E-3</c:v>
                </c:pt>
                <c:pt idx="874">
                  <c:v>0</c:v>
                </c:pt>
                <c:pt idx="875">
                  <c:v>0</c:v>
                </c:pt>
                <c:pt idx="876">
                  <c:v>-1.0552305055210758E-2</c:v>
                </c:pt>
                <c:pt idx="877">
                  <c:v>-3.2263956609853053E-2</c:v>
                </c:pt>
                <c:pt idx="878">
                  <c:v>0</c:v>
                </c:pt>
                <c:pt idx="879">
                  <c:v>-1.3266743926107254E-2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-1.1838460601183144E-2</c:v>
                </c:pt>
                <c:pt idx="886">
                  <c:v>-4.1844848055338411E-2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-5.8938131665450463E-3</c:v>
                </c:pt>
                <c:pt idx="896">
                  <c:v>-2.7139292179077037E-2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-2.6122579102179923E-3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-7.4282683893107391E-3</c:v>
                </c:pt>
                <c:pt idx="909">
                  <c:v>0</c:v>
                </c:pt>
                <c:pt idx="910">
                  <c:v>0</c:v>
                </c:pt>
                <c:pt idx="911">
                  <c:v>-2.5930616051429507E-3</c:v>
                </c:pt>
                <c:pt idx="912">
                  <c:v>-4.7600384382539178E-3</c:v>
                </c:pt>
                <c:pt idx="913">
                  <c:v>-3.9553612247874006E-3</c:v>
                </c:pt>
                <c:pt idx="914">
                  <c:v>-1.3950809269815763E-2</c:v>
                </c:pt>
                <c:pt idx="915">
                  <c:v>-2.9794720335371786E-2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-3.935125780439977E-2</c:v>
                </c:pt>
                <c:pt idx="920">
                  <c:v>-1.0725370945340151E-2</c:v>
                </c:pt>
                <c:pt idx="921">
                  <c:v>-8.5574168554222486E-3</c:v>
                </c:pt>
                <c:pt idx="922">
                  <c:v>-5.7204030599273571E-3</c:v>
                </c:pt>
                <c:pt idx="923">
                  <c:v>0</c:v>
                </c:pt>
                <c:pt idx="924">
                  <c:v>-1.6807118316381174E-2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-5.6547532862243129E-2</c:v>
                </c:pt>
                <c:pt idx="931">
                  <c:v>0</c:v>
                </c:pt>
                <c:pt idx="932">
                  <c:v>0</c:v>
                </c:pt>
                <c:pt idx="933">
                  <c:v>-2.6116068055146244E-3</c:v>
                </c:pt>
                <c:pt idx="934">
                  <c:v>0</c:v>
                </c:pt>
                <c:pt idx="935">
                  <c:v>-8.5016016091634724E-3</c:v>
                </c:pt>
                <c:pt idx="936">
                  <c:v>-1.4541178527194089E-2</c:v>
                </c:pt>
                <c:pt idx="937">
                  <c:v>0</c:v>
                </c:pt>
                <c:pt idx="938">
                  <c:v>-1.2779459783285468E-2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-1.4919724273191366E-2</c:v>
                </c:pt>
                <c:pt idx="943">
                  <c:v>-1.9558446584400601E-2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-9.7180143415412246E-3</c:v>
                </c:pt>
                <c:pt idx="948">
                  <c:v>-5.2191541798809998E-2</c:v>
                </c:pt>
                <c:pt idx="949">
                  <c:v>-2.1533119636372545E-2</c:v>
                </c:pt>
                <c:pt idx="950">
                  <c:v>-1.6892144942705314E-2</c:v>
                </c:pt>
                <c:pt idx="951">
                  <c:v>0</c:v>
                </c:pt>
                <c:pt idx="952">
                  <c:v>0</c:v>
                </c:pt>
                <c:pt idx="953">
                  <c:v>-2.4547472850429176E-2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-1.3964414177107469E-3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-1.5983246236428595E-2</c:v>
                </c:pt>
                <c:pt idx="965">
                  <c:v>0</c:v>
                </c:pt>
                <c:pt idx="966">
                  <c:v>-3.6008976625062902E-2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-1.9233907150123738E-2</c:v>
                </c:pt>
                <c:pt idx="972">
                  <c:v>0</c:v>
                </c:pt>
                <c:pt idx="973">
                  <c:v>0</c:v>
                </c:pt>
                <c:pt idx="974">
                  <c:v>-2.2757090620851357E-2</c:v>
                </c:pt>
                <c:pt idx="975">
                  <c:v>0</c:v>
                </c:pt>
                <c:pt idx="976">
                  <c:v>-9.9235071199171463E-4</c:v>
                </c:pt>
                <c:pt idx="977">
                  <c:v>-2.068637395928395E-4</c:v>
                </c:pt>
                <c:pt idx="978">
                  <c:v>-1.9051569233196626E-3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-3.6358495158850853E-4</c:v>
                </c:pt>
                <c:pt idx="983">
                  <c:v>0</c:v>
                </c:pt>
                <c:pt idx="984">
                  <c:v>-5.9325196292942303E-3</c:v>
                </c:pt>
                <c:pt idx="985">
                  <c:v>0</c:v>
                </c:pt>
                <c:pt idx="986">
                  <c:v>-1.7652947722180106E-3</c:v>
                </c:pt>
                <c:pt idx="987">
                  <c:v>0</c:v>
                </c:pt>
                <c:pt idx="988">
                  <c:v>-1.9081375422585214E-2</c:v>
                </c:pt>
                <c:pt idx="989">
                  <c:v>-2.0512711480584263E-2</c:v>
                </c:pt>
                <c:pt idx="990">
                  <c:v>-3.0644163799684937E-3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-1.750095305426758E-2</c:v>
                </c:pt>
                <c:pt idx="998">
                  <c:v>-1.7479935522921708E-2</c:v>
                </c:pt>
                <c:pt idx="999">
                  <c:v>0</c:v>
                </c:pt>
                <c:pt idx="1000">
                  <c:v>0</c:v>
                </c:pt>
                <c:pt idx="1001">
                  <c:v>-2.5860294843337277E-2</c:v>
                </c:pt>
                <c:pt idx="1002">
                  <c:v>0</c:v>
                </c:pt>
                <c:pt idx="1003">
                  <c:v>-7.441855698971332E-3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-1.0012516481021545E-3</c:v>
                </c:pt>
                <c:pt idx="1008">
                  <c:v>0</c:v>
                </c:pt>
                <c:pt idx="1009">
                  <c:v>-3.0085785245549661E-2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-1.906979831489301E-2</c:v>
                </c:pt>
                <c:pt idx="1018">
                  <c:v>-1.6590794024583615E-2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-2.2206384413060668E-2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-1.9744842380725234E-3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-2.6983404658538428E-2</c:v>
                </c:pt>
                <c:pt idx="1039">
                  <c:v>0</c:v>
                </c:pt>
                <c:pt idx="1040">
                  <c:v>-2.110782652432253E-2</c:v>
                </c:pt>
                <c:pt idx="1041">
                  <c:v>0</c:v>
                </c:pt>
                <c:pt idx="1042">
                  <c:v>0</c:v>
                </c:pt>
                <c:pt idx="1043">
                  <c:v>-2.202513684800542E-2</c:v>
                </c:pt>
                <c:pt idx="1044">
                  <c:v>0</c:v>
                </c:pt>
                <c:pt idx="1045">
                  <c:v>-2.962490656984769E-3</c:v>
                </c:pt>
                <c:pt idx="1046">
                  <c:v>-1.2709727464316483E-2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-1.0645476447952783E-2</c:v>
                </c:pt>
                <c:pt idx="1051">
                  <c:v>-1.7721772876754141E-3</c:v>
                </c:pt>
                <c:pt idx="1052">
                  <c:v>-5.4543433905079337E-3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-5.4571893632506729E-3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-4.1696186295786652E-3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-3.7183161010089973E-3</c:v>
                </c:pt>
                <c:pt idx="1070">
                  <c:v>-1.7409167711666745E-4</c:v>
                </c:pt>
                <c:pt idx="1071">
                  <c:v>-9.938491658678961E-3</c:v>
                </c:pt>
                <c:pt idx="1072">
                  <c:v>0</c:v>
                </c:pt>
                <c:pt idx="1073">
                  <c:v>-7.6077407843043966E-3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-1.2847845048633726E-2</c:v>
                </c:pt>
                <c:pt idx="1078">
                  <c:v>0</c:v>
                </c:pt>
                <c:pt idx="1079">
                  <c:v>-1.4900292099613503E-3</c:v>
                </c:pt>
                <c:pt idx="1080">
                  <c:v>0</c:v>
                </c:pt>
                <c:pt idx="1081">
                  <c:v>-8.1454084439675951E-3</c:v>
                </c:pt>
                <c:pt idx="1082">
                  <c:v>0</c:v>
                </c:pt>
                <c:pt idx="1083">
                  <c:v>-1.4061162371853063E-2</c:v>
                </c:pt>
                <c:pt idx="1084">
                  <c:v>-2.2793930017301241E-2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-5.5481360293549208E-3</c:v>
                </c:pt>
                <c:pt idx="1089">
                  <c:v>-4.9102248232736731E-4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-5.3602012527076328E-3</c:v>
                </c:pt>
                <c:pt idx="1095">
                  <c:v>0</c:v>
                </c:pt>
                <c:pt idx="1096">
                  <c:v>0</c:v>
                </c:pt>
                <c:pt idx="1097">
                  <c:v>-3.6828884426830188E-3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-1.8604018434948643E-2</c:v>
                </c:pt>
                <c:pt idx="1105">
                  <c:v>-4.4825304348555259E-3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-1.3371054317902279E-2</c:v>
                </c:pt>
                <c:pt idx="1124">
                  <c:v>0</c:v>
                </c:pt>
                <c:pt idx="1125">
                  <c:v>-1.3902080936897546E-2</c:v>
                </c:pt>
                <c:pt idx="1126">
                  <c:v>-1.9349025932372751E-2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-1.1938416490557715E-2</c:v>
                </c:pt>
                <c:pt idx="1135">
                  <c:v>-1.6112746767562188E-2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-1.2343244162416406E-2</c:v>
                </c:pt>
                <c:pt idx="1143">
                  <c:v>-2.3393046217722702E-2</c:v>
                </c:pt>
                <c:pt idx="1144">
                  <c:v>-8.9772408759293768E-3</c:v>
                </c:pt>
                <c:pt idx="1145">
                  <c:v>0</c:v>
                </c:pt>
                <c:pt idx="1146">
                  <c:v>0</c:v>
                </c:pt>
                <c:pt idx="1147">
                  <c:v>-3.8364051302311838E-2</c:v>
                </c:pt>
                <c:pt idx="1148">
                  <c:v>-2.1093094549690539E-2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-2.6634498019297233E-2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-1.2375188411435041E-2</c:v>
                </c:pt>
                <c:pt idx="1157">
                  <c:v>-1.1785167561145957E-2</c:v>
                </c:pt>
                <c:pt idx="1158">
                  <c:v>0</c:v>
                </c:pt>
                <c:pt idx="1159">
                  <c:v>-5.9633061768485816E-3</c:v>
                </c:pt>
                <c:pt idx="1160">
                  <c:v>0</c:v>
                </c:pt>
                <c:pt idx="1161">
                  <c:v>-6.750296571941706E-3</c:v>
                </c:pt>
                <c:pt idx="1162">
                  <c:v>-4.5464531961448033E-3</c:v>
                </c:pt>
                <c:pt idx="1163">
                  <c:v>-1.1047061880542842E-2</c:v>
                </c:pt>
                <c:pt idx="1164">
                  <c:v>-1.2631048793138922E-3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-2.1732929498287014E-2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-2.0107144808386777E-3</c:v>
                </c:pt>
                <c:pt idx="1177">
                  <c:v>-8.9621746837330058E-3</c:v>
                </c:pt>
                <c:pt idx="1178">
                  <c:v>0</c:v>
                </c:pt>
                <c:pt idx="1179">
                  <c:v>0</c:v>
                </c:pt>
                <c:pt idx="1180">
                  <c:v>-1.8426407177125473E-2</c:v>
                </c:pt>
                <c:pt idx="1181">
                  <c:v>0</c:v>
                </c:pt>
                <c:pt idx="1182">
                  <c:v>0</c:v>
                </c:pt>
                <c:pt idx="1183">
                  <c:v>-2.5355660820039459E-2</c:v>
                </c:pt>
                <c:pt idx="1184">
                  <c:v>-3.5189940451825193E-3</c:v>
                </c:pt>
                <c:pt idx="1185">
                  <c:v>0</c:v>
                </c:pt>
                <c:pt idx="1186">
                  <c:v>-2.4268999299615433E-2</c:v>
                </c:pt>
                <c:pt idx="1187">
                  <c:v>-3.8731892867858212E-3</c:v>
                </c:pt>
                <c:pt idx="1188">
                  <c:v>-7.9178470021348795E-3</c:v>
                </c:pt>
                <c:pt idx="1189">
                  <c:v>0</c:v>
                </c:pt>
                <c:pt idx="1190">
                  <c:v>-1.7151989534958001E-2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-2.6481813250095444E-2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-3.7975873723588897E-3</c:v>
                </c:pt>
                <c:pt idx="1203">
                  <c:v>-1.0411543609239989E-2</c:v>
                </c:pt>
                <c:pt idx="1204">
                  <c:v>0</c:v>
                </c:pt>
                <c:pt idx="1205">
                  <c:v>0</c:v>
                </c:pt>
                <c:pt idx="1206">
                  <c:v>-5.8897432289940124E-3</c:v>
                </c:pt>
                <c:pt idx="1207">
                  <c:v>0</c:v>
                </c:pt>
                <c:pt idx="1208">
                  <c:v>-1.4134188703983969E-2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-3.8236080500700806E-2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-6.9347830722107946E-3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-1.0111044054274123E-2</c:v>
                </c:pt>
                <c:pt idx="1236">
                  <c:v>0</c:v>
                </c:pt>
                <c:pt idx="1237">
                  <c:v>-1.1680204993732051E-2</c:v>
                </c:pt>
                <c:pt idx="1238">
                  <c:v>-1.4442528991322671E-2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-7.8602204749634186E-3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-7.0979488191205455E-3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35-42A5-AAAA-A8B28234B61A}"/>
            </c:ext>
          </c:extLst>
        </c:ser>
        <c:ser>
          <c:idx val="1"/>
          <c:order val="1"/>
          <c:tx>
            <c:v>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dPt>
            <c:idx val="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E9-F2A4-406A-A7DA-6B5418467181}"/>
              </c:ext>
            </c:extLst>
          </c:dPt>
          <c:dPt>
            <c:idx val="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EA-F2A4-406A-A7DA-6B5418467181}"/>
              </c:ext>
            </c:extLst>
          </c:dPt>
          <c:dPt>
            <c:idx val="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EB-F2A4-406A-A7DA-6B5418467181}"/>
              </c:ext>
            </c:extLst>
          </c:dPt>
          <c:dPt>
            <c:idx val="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EC-F2A4-406A-A7DA-6B5418467181}"/>
              </c:ext>
            </c:extLst>
          </c:dPt>
          <c:dPt>
            <c:idx val="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ED-F2A4-406A-A7DA-6B5418467181}"/>
              </c:ext>
            </c:extLst>
          </c:dPt>
          <c:dPt>
            <c:idx val="5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EE-F2A4-406A-A7DA-6B5418467181}"/>
              </c:ext>
            </c:extLst>
          </c:dPt>
          <c:dPt>
            <c:idx val="6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EF-F2A4-406A-A7DA-6B5418467181}"/>
              </c:ext>
            </c:extLst>
          </c:dPt>
          <c:dPt>
            <c:idx val="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F0-F2A4-406A-A7DA-6B5418467181}"/>
              </c:ext>
            </c:extLst>
          </c:dPt>
          <c:dPt>
            <c:idx val="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F1-F2A4-406A-A7DA-6B5418467181}"/>
              </c:ext>
            </c:extLst>
          </c:dPt>
          <c:dPt>
            <c:idx val="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F2-F2A4-406A-A7DA-6B5418467181}"/>
              </c:ext>
            </c:extLst>
          </c:dPt>
          <c:dPt>
            <c:idx val="1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F3-F2A4-406A-A7DA-6B5418467181}"/>
              </c:ext>
            </c:extLst>
          </c:dPt>
          <c:dPt>
            <c:idx val="1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F4-F2A4-406A-A7DA-6B5418467181}"/>
              </c:ext>
            </c:extLst>
          </c:dPt>
          <c:dPt>
            <c:idx val="1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F5-F2A4-406A-A7DA-6B5418467181}"/>
              </c:ext>
            </c:extLst>
          </c:dPt>
          <c:dPt>
            <c:idx val="1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F6-F2A4-406A-A7DA-6B5418467181}"/>
              </c:ext>
            </c:extLst>
          </c:dPt>
          <c:dPt>
            <c:idx val="14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F7-F2A4-406A-A7DA-6B5418467181}"/>
              </c:ext>
            </c:extLst>
          </c:dPt>
          <c:dPt>
            <c:idx val="1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F8-F2A4-406A-A7DA-6B5418467181}"/>
              </c:ext>
            </c:extLst>
          </c:dPt>
          <c:dPt>
            <c:idx val="1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F9-F2A4-406A-A7DA-6B5418467181}"/>
              </c:ext>
            </c:extLst>
          </c:dPt>
          <c:dPt>
            <c:idx val="17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FA-F2A4-406A-A7DA-6B5418467181}"/>
              </c:ext>
            </c:extLst>
          </c:dPt>
          <c:dPt>
            <c:idx val="1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FB-F2A4-406A-A7DA-6B5418467181}"/>
              </c:ext>
            </c:extLst>
          </c:dPt>
          <c:dPt>
            <c:idx val="1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FC-F2A4-406A-A7DA-6B5418467181}"/>
              </c:ext>
            </c:extLst>
          </c:dPt>
          <c:dPt>
            <c:idx val="20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FD-F2A4-406A-A7DA-6B5418467181}"/>
              </c:ext>
            </c:extLst>
          </c:dPt>
          <c:dPt>
            <c:idx val="2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FE-F2A4-406A-A7DA-6B5418467181}"/>
              </c:ext>
            </c:extLst>
          </c:dPt>
          <c:dPt>
            <c:idx val="2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FF-F2A4-406A-A7DA-6B5418467181}"/>
              </c:ext>
            </c:extLst>
          </c:dPt>
          <c:dPt>
            <c:idx val="2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00-F2A4-406A-A7DA-6B5418467181}"/>
              </c:ext>
            </c:extLst>
          </c:dPt>
          <c:dPt>
            <c:idx val="2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01-F2A4-406A-A7DA-6B5418467181}"/>
              </c:ext>
            </c:extLst>
          </c:dPt>
          <c:dPt>
            <c:idx val="2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02-F2A4-406A-A7DA-6B5418467181}"/>
              </c:ext>
            </c:extLst>
          </c:dPt>
          <c:dPt>
            <c:idx val="26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03-F2A4-406A-A7DA-6B5418467181}"/>
              </c:ext>
            </c:extLst>
          </c:dPt>
          <c:dPt>
            <c:idx val="2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04-F2A4-406A-A7DA-6B5418467181}"/>
              </c:ext>
            </c:extLst>
          </c:dPt>
          <c:dPt>
            <c:idx val="2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05-F2A4-406A-A7DA-6B5418467181}"/>
              </c:ext>
            </c:extLst>
          </c:dPt>
          <c:dPt>
            <c:idx val="2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06-F2A4-406A-A7DA-6B5418467181}"/>
              </c:ext>
            </c:extLst>
          </c:dPt>
          <c:dPt>
            <c:idx val="3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07-F2A4-406A-A7DA-6B5418467181}"/>
              </c:ext>
            </c:extLst>
          </c:dPt>
          <c:dPt>
            <c:idx val="3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08-F2A4-406A-A7DA-6B5418467181}"/>
              </c:ext>
            </c:extLst>
          </c:dPt>
          <c:dPt>
            <c:idx val="3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09-F2A4-406A-A7DA-6B5418467181}"/>
              </c:ext>
            </c:extLst>
          </c:dPt>
          <c:dPt>
            <c:idx val="3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0A-F2A4-406A-A7DA-6B5418467181}"/>
              </c:ext>
            </c:extLst>
          </c:dPt>
          <c:dPt>
            <c:idx val="3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0B-F2A4-406A-A7DA-6B5418467181}"/>
              </c:ext>
            </c:extLst>
          </c:dPt>
          <c:dPt>
            <c:idx val="3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0C-F2A4-406A-A7DA-6B5418467181}"/>
              </c:ext>
            </c:extLst>
          </c:dPt>
          <c:dPt>
            <c:idx val="3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0D-F2A4-406A-A7DA-6B5418467181}"/>
              </c:ext>
            </c:extLst>
          </c:dPt>
          <c:dPt>
            <c:idx val="37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0E-F2A4-406A-A7DA-6B5418467181}"/>
              </c:ext>
            </c:extLst>
          </c:dPt>
          <c:dPt>
            <c:idx val="38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0F-F2A4-406A-A7DA-6B5418467181}"/>
              </c:ext>
            </c:extLst>
          </c:dPt>
          <c:dPt>
            <c:idx val="3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10-F2A4-406A-A7DA-6B5418467181}"/>
              </c:ext>
            </c:extLst>
          </c:dPt>
          <c:dPt>
            <c:idx val="4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11-F2A4-406A-A7DA-6B5418467181}"/>
              </c:ext>
            </c:extLst>
          </c:dPt>
          <c:dPt>
            <c:idx val="4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12-F2A4-406A-A7DA-6B5418467181}"/>
              </c:ext>
            </c:extLst>
          </c:dPt>
          <c:dPt>
            <c:idx val="4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13-F2A4-406A-A7DA-6B5418467181}"/>
              </c:ext>
            </c:extLst>
          </c:dPt>
          <c:dPt>
            <c:idx val="43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14-F2A4-406A-A7DA-6B5418467181}"/>
              </c:ext>
            </c:extLst>
          </c:dPt>
          <c:dPt>
            <c:idx val="4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15-F2A4-406A-A7DA-6B5418467181}"/>
              </c:ext>
            </c:extLst>
          </c:dPt>
          <c:dPt>
            <c:idx val="4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16-F2A4-406A-A7DA-6B5418467181}"/>
              </c:ext>
            </c:extLst>
          </c:dPt>
          <c:dPt>
            <c:idx val="4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17-F2A4-406A-A7DA-6B5418467181}"/>
              </c:ext>
            </c:extLst>
          </c:dPt>
          <c:dPt>
            <c:idx val="4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18-F2A4-406A-A7DA-6B5418467181}"/>
              </c:ext>
            </c:extLst>
          </c:dPt>
          <c:dPt>
            <c:idx val="4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19-F2A4-406A-A7DA-6B5418467181}"/>
              </c:ext>
            </c:extLst>
          </c:dPt>
          <c:dPt>
            <c:idx val="4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1A-F2A4-406A-A7DA-6B5418467181}"/>
              </c:ext>
            </c:extLst>
          </c:dPt>
          <c:dPt>
            <c:idx val="5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1B-F2A4-406A-A7DA-6B5418467181}"/>
              </c:ext>
            </c:extLst>
          </c:dPt>
          <c:dPt>
            <c:idx val="5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1C-F2A4-406A-A7DA-6B5418467181}"/>
              </c:ext>
            </c:extLst>
          </c:dPt>
          <c:dPt>
            <c:idx val="52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1D-F2A4-406A-A7DA-6B5418467181}"/>
              </c:ext>
            </c:extLst>
          </c:dPt>
          <c:dPt>
            <c:idx val="5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1E-F2A4-406A-A7DA-6B5418467181}"/>
              </c:ext>
            </c:extLst>
          </c:dPt>
          <c:dPt>
            <c:idx val="5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1F-F2A4-406A-A7DA-6B5418467181}"/>
              </c:ext>
            </c:extLst>
          </c:dPt>
          <c:dPt>
            <c:idx val="5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20-F2A4-406A-A7DA-6B5418467181}"/>
              </c:ext>
            </c:extLst>
          </c:dPt>
          <c:dPt>
            <c:idx val="5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21-F2A4-406A-A7DA-6B5418467181}"/>
              </c:ext>
            </c:extLst>
          </c:dPt>
          <c:dPt>
            <c:idx val="57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22-F2A4-406A-A7DA-6B5418467181}"/>
              </c:ext>
            </c:extLst>
          </c:dPt>
          <c:dPt>
            <c:idx val="5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23-F2A4-406A-A7DA-6B5418467181}"/>
              </c:ext>
            </c:extLst>
          </c:dPt>
          <c:dPt>
            <c:idx val="5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24-F2A4-406A-A7DA-6B5418467181}"/>
              </c:ext>
            </c:extLst>
          </c:dPt>
          <c:dPt>
            <c:idx val="6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25-F2A4-406A-A7DA-6B5418467181}"/>
              </c:ext>
            </c:extLst>
          </c:dPt>
          <c:dPt>
            <c:idx val="6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26-F2A4-406A-A7DA-6B5418467181}"/>
              </c:ext>
            </c:extLst>
          </c:dPt>
          <c:dPt>
            <c:idx val="6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27-F2A4-406A-A7DA-6B5418467181}"/>
              </c:ext>
            </c:extLst>
          </c:dPt>
          <c:dPt>
            <c:idx val="6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28-F2A4-406A-A7DA-6B5418467181}"/>
              </c:ext>
            </c:extLst>
          </c:dPt>
          <c:dPt>
            <c:idx val="6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29-F2A4-406A-A7DA-6B5418467181}"/>
              </c:ext>
            </c:extLst>
          </c:dPt>
          <c:dPt>
            <c:idx val="6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2A-F2A4-406A-A7DA-6B5418467181}"/>
              </c:ext>
            </c:extLst>
          </c:dPt>
          <c:dPt>
            <c:idx val="6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2B-F2A4-406A-A7DA-6B5418467181}"/>
              </c:ext>
            </c:extLst>
          </c:dPt>
          <c:dPt>
            <c:idx val="6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2C-F2A4-406A-A7DA-6B5418467181}"/>
              </c:ext>
            </c:extLst>
          </c:dPt>
          <c:dPt>
            <c:idx val="6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2D-F2A4-406A-A7DA-6B5418467181}"/>
              </c:ext>
            </c:extLst>
          </c:dPt>
          <c:dPt>
            <c:idx val="6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2E-F2A4-406A-A7DA-6B5418467181}"/>
              </c:ext>
            </c:extLst>
          </c:dPt>
          <c:dPt>
            <c:idx val="7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2F-F2A4-406A-A7DA-6B5418467181}"/>
              </c:ext>
            </c:extLst>
          </c:dPt>
          <c:dPt>
            <c:idx val="71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30-F2A4-406A-A7DA-6B5418467181}"/>
              </c:ext>
            </c:extLst>
          </c:dPt>
          <c:dPt>
            <c:idx val="7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31-F2A4-406A-A7DA-6B5418467181}"/>
              </c:ext>
            </c:extLst>
          </c:dPt>
          <c:dPt>
            <c:idx val="7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32-F2A4-406A-A7DA-6B5418467181}"/>
              </c:ext>
            </c:extLst>
          </c:dPt>
          <c:dPt>
            <c:idx val="7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33-F2A4-406A-A7DA-6B5418467181}"/>
              </c:ext>
            </c:extLst>
          </c:dPt>
          <c:dPt>
            <c:idx val="7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34-F2A4-406A-A7DA-6B5418467181}"/>
              </c:ext>
            </c:extLst>
          </c:dPt>
          <c:dPt>
            <c:idx val="7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35-F2A4-406A-A7DA-6B5418467181}"/>
              </c:ext>
            </c:extLst>
          </c:dPt>
          <c:dPt>
            <c:idx val="7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36-F2A4-406A-A7DA-6B5418467181}"/>
              </c:ext>
            </c:extLst>
          </c:dPt>
          <c:dPt>
            <c:idx val="7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37-F2A4-406A-A7DA-6B5418467181}"/>
              </c:ext>
            </c:extLst>
          </c:dPt>
          <c:dPt>
            <c:idx val="79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38-F2A4-406A-A7DA-6B5418467181}"/>
              </c:ext>
            </c:extLst>
          </c:dPt>
          <c:dPt>
            <c:idx val="8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39-F2A4-406A-A7DA-6B5418467181}"/>
              </c:ext>
            </c:extLst>
          </c:dPt>
          <c:dPt>
            <c:idx val="8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3A-F2A4-406A-A7DA-6B5418467181}"/>
              </c:ext>
            </c:extLst>
          </c:dPt>
          <c:dPt>
            <c:idx val="82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3B-F2A4-406A-A7DA-6B5418467181}"/>
              </c:ext>
            </c:extLst>
          </c:dPt>
          <c:dPt>
            <c:idx val="8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3C-F2A4-406A-A7DA-6B5418467181}"/>
              </c:ext>
            </c:extLst>
          </c:dPt>
          <c:dPt>
            <c:idx val="84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3D-F2A4-406A-A7DA-6B5418467181}"/>
              </c:ext>
            </c:extLst>
          </c:dPt>
          <c:dPt>
            <c:idx val="8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3E-F2A4-406A-A7DA-6B5418467181}"/>
              </c:ext>
            </c:extLst>
          </c:dPt>
          <c:dPt>
            <c:idx val="8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3F-F2A4-406A-A7DA-6B5418467181}"/>
              </c:ext>
            </c:extLst>
          </c:dPt>
          <c:dPt>
            <c:idx val="8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40-F2A4-406A-A7DA-6B5418467181}"/>
              </c:ext>
            </c:extLst>
          </c:dPt>
          <c:dPt>
            <c:idx val="8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41-F2A4-406A-A7DA-6B5418467181}"/>
              </c:ext>
            </c:extLst>
          </c:dPt>
          <c:dPt>
            <c:idx val="8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42-F2A4-406A-A7DA-6B5418467181}"/>
              </c:ext>
            </c:extLst>
          </c:dPt>
          <c:dPt>
            <c:idx val="9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43-F2A4-406A-A7DA-6B5418467181}"/>
              </c:ext>
            </c:extLst>
          </c:dPt>
          <c:dPt>
            <c:idx val="9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44-F2A4-406A-A7DA-6B5418467181}"/>
              </c:ext>
            </c:extLst>
          </c:dPt>
          <c:dPt>
            <c:idx val="9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45-F2A4-406A-A7DA-6B5418467181}"/>
              </c:ext>
            </c:extLst>
          </c:dPt>
          <c:dPt>
            <c:idx val="9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46-F2A4-406A-A7DA-6B5418467181}"/>
              </c:ext>
            </c:extLst>
          </c:dPt>
          <c:dPt>
            <c:idx val="9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47-F2A4-406A-A7DA-6B5418467181}"/>
              </c:ext>
            </c:extLst>
          </c:dPt>
          <c:dPt>
            <c:idx val="9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48-F2A4-406A-A7DA-6B5418467181}"/>
              </c:ext>
            </c:extLst>
          </c:dPt>
          <c:dPt>
            <c:idx val="9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49-F2A4-406A-A7DA-6B5418467181}"/>
              </c:ext>
            </c:extLst>
          </c:dPt>
          <c:dPt>
            <c:idx val="97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4A-F2A4-406A-A7DA-6B5418467181}"/>
              </c:ext>
            </c:extLst>
          </c:dPt>
          <c:dPt>
            <c:idx val="9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4B-F2A4-406A-A7DA-6B5418467181}"/>
              </c:ext>
            </c:extLst>
          </c:dPt>
          <c:dPt>
            <c:idx val="9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4C-F2A4-406A-A7DA-6B5418467181}"/>
              </c:ext>
            </c:extLst>
          </c:dPt>
          <c:dPt>
            <c:idx val="100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4D-F2A4-406A-A7DA-6B5418467181}"/>
              </c:ext>
            </c:extLst>
          </c:dPt>
          <c:dPt>
            <c:idx val="10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4E-F2A4-406A-A7DA-6B5418467181}"/>
              </c:ext>
            </c:extLst>
          </c:dPt>
          <c:dPt>
            <c:idx val="10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4F-F2A4-406A-A7DA-6B5418467181}"/>
              </c:ext>
            </c:extLst>
          </c:dPt>
          <c:dPt>
            <c:idx val="10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50-F2A4-406A-A7DA-6B5418467181}"/>
              </c:ext>
            </c:extLst>
          </c:dPt>
          <c:dPt>
            <c:idx val="10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51-F2A4-406A-A7DA-6B5418467181}"/>
              </c:ext>
            </c:extLst>
          </c:dPt>
          <c:dPt>
            <c:idx val="10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52-F2A4-406A-A7DA-6B5418467181}"/>
              </c:ext>
            </c:extLst>
          </c:dPt>
          <c:dPt>
            <c:idx val="10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53-F2A4-406A-A7DA-6B5418467181}"/>
              </c:ext>
            </c:extLst>
          </c:dPt>
          <c:dPt>
            <c:idx val="10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54-F2A4-406A-A7DA-6B5418467181}"/>
              </c:ext>
            </c:extLst>
          </c:dPt>
          <c:dPt>
            <c:idx val="10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55-F2A4-406A-A7DA-6B5418467181}"/>
              </c:ext>
            </c:extLst>
          </c:dPt>
          <c:dPt>
            <c:idx val="109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56-F2A4-406A-A7DA-6B5418467181}"/>
              </c:ext>
            </c:extLst>
          </c:dPt>
          <c:dPt>
            <c:idx val="11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57-F2A4-406A-A7DA-6B5418467181}"/>
              </c:ext>
            </c:extLst>
          </c:dPt>
          <c:dPt>
            <c:idx val="11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58-F2A4-406A-A7DA-6B5418467181}"/>
              </c:ext>
            </c:extLst>
          </c:dPt>
          <c:dPt>
            <c:idx val="11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59-F2A4-406A-A7DA-6B5418467181}"/>
              </c:ext>
            </c:extLst>
          </c:dPt>
          <c:dPt>
            <c:idx val="11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5A-F2A4-406A-A7DA-6B5418467181}"/>
              </c:ext>
            </c:extLst>
          </c:dPt>
          <c:dPt>
            <c:idx val="11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5B-F2A4-406A-A7DA-6B5418467181}"/>
              </c:ext>
            </c:extLst>
          </c:dPt>
          <c:dPt>
            <c:idx val="11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5C-F2A4-406A-A7DA-6B5418467181}"/>
              </c:ext>
            </c:extLst>
          </c:dPt>
          <c:dPt>
            <c:idx val="11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5D-F2A4-406A-A7DA-6B5418467181}"/>
              </c:ext>
            </c:extLst>
          </c:dPt>
          <c:dPt>
            <c:idx val="11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5E-F2A4-406A-A7DA-6B5418467181}"/>
              </c:ext>
            </c:extLst>
          </c:dPt>
          <c:dPt>
            <c:idx val="11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5F-F2A4-406A-A7DA-6B5418467181}"/>
              </c:ext>
            </c:extLst>
          </c:dPt>
          <c:dPt>
            <c:idx val="11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60-F2A4-406A-A7DA-6B5418467181}"/>
              </c:ext>
            </c:extLst>
          </c:dPt>
          <c:dPt>
            <c:idx val="12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61-F2A4-406A-A7DA-6B5418467181}"/>
              </c:ext>
            </c:extLst>
          </c:dPt>
          <c:dPt>
            <c:idx val="12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62-F2A4-406A-A7DA-6B5418467181}"/>
              </c:ext>
            </c:extLst>
          </c:dPt>
          <c:dPt>
            <c:idx val="122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63-F2A4-406A-A7DA-6B5418467181}"/>
              </c:ext>
            </c:extLst>
          </c:dPt>
          <c:dPt>
            <c:idx val="12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64-F2A4-406A-A7DA-6B5418467181}"/>
              </c:ext>
            </c:extLst>
          </c:dPt>
          <c:dPt>
            <c:idx val="12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65-F2A4-406A-A7DA-6B5418467181}"/>
              </c:ext>
            </c:extLst>
          </c:dPt>
          <c:dPt>
            <c:idx val="12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66-F2A4-406A-A7DA-6B5418467181}"/>
              </c:ext>
            </c:extLst>
          </c:dPt>
          <c:dPt>
            <c:idx val="12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67-F2A4-406A-A7DA-6B5418467181}"/>
              </c:ext>
            </c:extLst>
          </c:dPt>
          <c:dPt>
            <c:idx val="12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68-F2A4-406A-A7DA-6B5418467181}"/>
              </c:ext>
            </c:extLst>
          </c:dPt>
          <c:dPt>
            <c:idx val="12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69-F2A4-406A-A7DA-6B5418467181}"/>
              </c:ext>
            </c:extLst>
          </c:dPt>
          <c:dPt>
            <c:idx val="12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6A-F2A4-406A-A7DA-6B5418467181}"/>
              </c:ext>
            </c:extLst>
          </c:dPt>
          <c:dPt>
            <c:idx val="13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6B-F2A4-406A-A7DA-6B5418467181}"/>
              </c:ext>
            </c:extLst>
          </c:dPt>
          <c:dPt>
            <c:idx val="13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6C-F2A4-406A-A7DA-6B5418467181}"/>
              </c:ext>
            </c:extLst>
          </c:dPt>
          <c:dPt>
            <c:idx val="13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6D-F2A4-406A-A7DA-6B5418467181}"/>
              </c:ext>
            </c:extLst>
          </c:dPt>
          <c:dPt>
            <c:idx val="13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6E-F2A4-406A-A7DA-6B5418467181}"/>
              </c:ext>
            </c:extLst>
          </c:dPt>
          <c:dPt>
            <c:idx val="134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6F-F2A4-406A-A7DA-6B5418467181}"/>
              </c:ext>
            </c:extLst>
          </c:dPt>
          <c:dPt>
            <c:idx val="13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70-F2A4-406A-A7DA-6B5418467181}"/>
              </c:ext>
            </c:extLst>
          </c:dPt>
          <c:dPt>
            <c:idx val="13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71-F2A4-406A-A7DA-6B5418467181}"/>
              </c:ext>
            </c:extLst>
          </c:dPt>
          <c:dPt>
            <c:idx val="13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72-F2A4-406A-A7DA-6B5418467181}"/>
              </c:ext>
            </c:extLst>
          </c:dPt>
          <c:dPt>
            <c:idx val="13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73-F2A4-406A-A7DA-6B5418467181}"/>
              </c:ext>
            </c:extLst>
          </c:dPt>
          <c:dPt>
            <c:idx val="13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74-F2A4-406A-A7DA-6B5418467181}"/>
              </c:ext>
            </c:extLst>
          </c:dPt>
          <c:dPt>
            <c:idx val="14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75-F2A4-406A-A7DA-6B5418467181}"/>
              </c:ext>
            </c:extLst>
          </c:dPt>
          <c:dPt>
            <c:idx val="14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76-F2A4-406A-A7DA-6B5418467181}"/>
              </c:ext>
            </c:extLst>
          </c:dPt>
          <c:dPt>
            <c:idx val="142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77-F2A4-406A-A7DA-6B5418467181}"/>
              </c:ext>
            </c:extLst>
          </c:dPt>
          <c:dPt>
            <c:idx val="143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78-F2A4-406A-A7DA-6B5418467181}"/>
              </c:ext>
            </c:extLst>
          </c:dPt>
          <c:dPt>
            <c:idx val="14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79-F2A4-406A-A7DA-6B5418467181}"/>
              </c:ext>
            </c:extLst>
          </c:dPt>
          <c:dPt>
            <c:idx val="14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7A-F2A4-406A-A7DA-6B5418467181}"/>
              </c:ext>
            </c:extLst>
          </c:dPt>
          <c:dPt>
            <c:idx val="146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7B-F2A4-406A-A7DA-6B5418467181}"/>
              </c:ext>
            </c:extLst>
          </c:dPt>
          <c:dPt>
            <c:idx val="14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7C-F2A4-406A-A7DA-6B5418467181}"/>
              </c:ext>
            </c:extLst>
          </c:dPt>
          <c:dPt>
            <c:idx val="14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7D-F2A4-406A-A7DA-6B5418467181}"/>
              </c:ext>
            </c:extLst>
          </c:dPt>
          <c:dPt>
            <c:idx val="14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7E-F2A4-406A-A7DA-6B5418467181}"/>
              </c:ext>
            </c:extLst>
          </c:dPt>
          <c:dPt>
            <c:idx val="15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7F-F2A4-406A-A7DA-6B5418467181}"/>
              </c:ext>
            </c:extLst>
          </c:dPt>
          <c:dPt>
            <c:idx val="15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80-F2A4-406A-A7DA-6B5418467181}"/>
              </c:ext>
            </c:extLst>
          </c:dPt>
          <c:dPt>
            <c:idx val="15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81-F2A4-406A-A7DA-6B5418467181}"/>
              </c:ext>
            </c:extLst>
          </c:dPt>
          <c:dPt>
            <c:idx val="15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82-F2A4-406A-A7DA-6B5418467181}"/>
              </c:ext>
            </c:extLst>
          </c:dPt>
          <c:dPt>
            <c:idx val="15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83-F2A4-406A-A7DA-6B5418467181}"/>
              </c:ext>
            </c:extLst>
          </c:dPt>
          <c:dPt>
            <c:idx val="15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84-F2A4-406A-A7DA-6B5418467181}"/>
              </c:ext>
            </c:extLst>
          </c:dPt>
          <c:dPt>
            <c:idx val="15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85-F2A4-406A-A7DA-6B5418467181}"/>
              </c:ext>
            </c:extLst>
          </c:dPt>
          <c:dPt>
            <c:idx val="15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86-F2A4-406A-A7DA-6B5418467181}"/>
              </c:ext>
            </c:extLst>
          </c:dPt>
          <c:dPt>
            <c:idx val="15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87-F2A4-406A-A7DA-6B5418467181}"/>
              </c:ext>
            </c:extLst>
          </c:dPt>
          <c:dPt>
            <c:idx val="15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88-F2A4-406A-A7DA-6B5418467181}"/>
              </c:ext>
            </c:extLst>
          </c:dPt>
          <c:dPt>
            <c:idx val="160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89-F2A4-406A-A7DA-6B5418467181}"/>
              </c:ext>
            </c:extLst>
          </c:dPt>
          <c:dPt>
            <c:idx val="16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8A-F2A4-406A-A7DA-6B5418467181}"/>
              </c:ext>
            </c:extLst>
          </c:dPt>
          <c:dPt>
            <c:idx val="16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8B-F2A4-406A-A7DA-6B5418467181}"/>
              </c:ext>
            </c:extLst>
          </c:dPt>
          <c:dPt>
            <c:idx val="16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8C-F2A4-406A-A7DA-6B5418467181}"/>
              </c:ext>
            </c:extLst>
          </c:dPt>
          <c:dPt>
            <c:idx val="164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8D-F2A4-406A-A7DA-6B5418467181}"/>
              </c:ext>
            </c:extLst>
          </c:dPt>
          <c:dPt>
            <c:idx val="16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8E-F2A4-406A-A7DA-6B5418467181}"/>
              </c:ext>
            </c:extLst>
          </c:dPt>
          <c:dPt>
            <c:idx val="166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8F-F2A4-406A-A7DA-6B5418467181}"/>
              </c:ext>
            </c:extLst>
          </c:dPt>
          <c:dPt>
            <c:idx val="16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90-F2A4-406A-A7DA-6B5418467181}"/>
              </c:ext>
            </c:extLst>
          </c:dPt>
          <c:dPt>
            <c:idx val="16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91-F2A4-406A-A7DA-6B5418467181}"/>
              </c:ext>
            </c:extLst>
          </c:dPt>
          <c:dPt>
            <c:idx val="16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92-F2A4-406A-A7DA-6B5418467181}"/>
              </c:ext>
            </c:extLst>
          </c:dPt>
          <c:dPt>
            <c:idx val="17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93-F2A4-406A-A7DA-6B5418467181}"/>
              </c:ext>
            </c:extLst>
          </c:dPt>
          <c:dPt>
            <c:idx val="171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94-F2A4-406A-A7DA-6B5418467181}"/>
              </c:ext>
            </c:extLst>
          </c:dPt>
          <c:dPt>
            <c:idx val="172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95-F2A4-406A-A7DA-6B5418467181}"/>
              </c:ext>
            </c:extLst>
          </c:dPt>
          <c:dPt>
            <c:idx val="17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96-F2A4-406A-A7DA-6B5418467181}"/>
              </c:ext>
            </c:extLst>
          </c:dPt>
          <c:dPt>
            <c:idx val="17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97-F2A4-406A-A7DA-6B5418467181}"/>
              </c:ext>
            </c:extLst>
          </c:dPt>
          <c:dPt>
            <c:idx val="17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98-F2A4-406A-A7DA-6B5418467181}"/>
              </c:ext>
            </c:extLst>
          </c:dPt>
          <c:dPt>
            <c:idx val="17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99-F2A4-406A-A7DA-6B5418467181}"/>
              </c:ext>
            </c:extLst>
          </c:dPt>
          <c:dPt>
            <c:idx val="17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9A-F2A4-406A-A7DA-6B5418467181}"/>
              </c:ext>
            </c:extLst>
          </c:dPt>
          <c:dPt>
            <c:idx val="17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9B-F2A4-406A-A7DA-6B5418467181}"/>
              </c:ext>
            </c:extLst>
          </c:dPt>
          <c:dPt>
            <c:idx val="17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9C-F2A4-406A-A7DA-6B5418467181}"/>
              </c:ext>
            </c:extLst>
          </c:dPt>
          <c:dPt>
            <c:idx val="18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9D-F2A4-406A-A7DA-6B5418467181}"/>
              </c:ext>
            </c:extLst>
          </c:dPt>
          <c:dPt>
            <c:idx val="181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9E-F2A4-406A-A7DA-6B5418467181}"/>
              </c:ext>
            </c:extLst>
          </c:dPt>
          <c:dPt>
            <c:idx val="18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9F-F2A4-406A-A7DA-6B5418467181}"/>
              </c:ext>
            </c:extLst>
          </c:dPt>
          <c:dPt>
            <c:idx val="18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A0-F2A4-406A-A7DA-6B5418467181}"/>
              </c:ext>
            </c:extLst>
          </c:dPt>
          <c:dPt>
            <c:idx val="18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A1-F2A4-406A-A7DA-6B5418467181}"/>
              </c:ext>
            </c:extLst>
          </c:dPt>
          <c:dPt>
            <c:idx val="18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A2-F2A4-406A-A7DA-6B5418467181}"/>
              </c:ext>
            </c:extLst>
          </c:dPt>
          <c:dPt>
            <c:idx val="18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A3-F2A4-406A-A7DA-6B5418467181}"/>
              </c:ext>
            </c:extLst>
          </c:dPt>
          <c:dPt>
            <c:idx val="187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A4-F2A4-406A-A7DA-6B5418467181}"/>
              </c:ext>
            </c:extLst>
          </c:dPt>
          <c:dPt>
            <c:idx val="18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A5-F2A4-406A-A7DA-6B5418467181}"/>
              </c:ext>
            </c:extLst>
          </c:dPt>
          <c:dPt>
            <c:idx val="18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A6-F2A4-406A-A7DA-6B5418467181}"/>
              </c:ext>
            </c:extLst>
          </c:dPt>
          <c:dPt>
            <c:idx val="19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A7-F2A4-406A-A7DA-6B5418467181}"/>
              </c:ext>
            </c:extLst>
          </c:dPt>
          <c:dPt>
            <c:idx val="191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A8-F2A4-406A-A7DA-6B5418467181}"/>
              </c:ext>
            </c:extLst>
          </c:dPt>
          <c:dPt>
            <c:idx val="192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A9-F2A4-406A-A7DA-6B5418467181}"/>
              </c:ext>
            </c:extLst>
          </c:dPt>
          <c:dPt>
            <c:idx val="19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AA-F2A4-406A-A7DA-6B5418467181}"/>
              </c:ext>
            </c:extLst>
          </c:dPt>
          <c:dPt>
            <c:idx val="19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AB-F2A4-406A-A7DA-6B5418467181}"/>
              </c:ext>
            </c:extLst>
          </c:dPt>
          <c:dPt>
            <c:idx val="19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AC-F2A4-406A-A7DA-6B5418467181}"/>
              </c:ext>
            </c:extLst>
          </c:dPt>
          <c:dPt>
            <c:idx val="196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AD-F2A4-406A-A7DA-6B5418467181}"/>
              </c:ext>
            </c:extLst>
          </c:dPt>
          <c:dPt>
            <c:idx val="19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AE-F2A4-406A-A7DA-6B5418467181}"/>
              </c:ext>
            </c:extLst>
          </c:dPt>
          <c:dPt>
            <c:idx val="198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AF-F2A4-406A-A7DA-6B5418467181}"/>
              </c:ext>
            </c:extLst>
          </c:dPt>
          <c:dPt>
            <c:idx val="199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B0-F2A4-406A-A7DA-6B5418467181}"/>
              </c:ext>
            </c:extLst>
          </c:dPt>
          <c:dPt>
            <c:idx val="20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B1-F2A4-406A-A7DA-6B5418467181}"/>
              </c:ext>
            </c:extLst>
          </c:dPt>
          <c:dPt>
            <c:idx val="20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B2-F2A4-406A-A7DA-6B5418467181}"/>
              </c:ext>
            </c:extLst>
          </c:dPt>
          <c:dPt>
            <c:idx val="202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B3-F2A4-406A-A7DA-6B5418467181}"/>
              </c:ext>
            </c:extLst>
          </c:dPt>
          <c:dPt>
            <c:idx val="20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B4-F2A4-406A-A7DA-6B5418467181}"/>
              </c:ext>
            </c:extLst>
          </c:dPt>
          <c:dPt>
            <c:idx val="20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B5-F2A4-406A-A7DA-6B5418467181}"/>
              </c:ext>
            </c:extLst>
          </c:dPt>
          <c:dPt>
            <c:idx val="20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B6-F2A4-406A-A7DA-6B5418467181}"/>
              </c:ext>
            </c:extLst>
          </c:dPt>
          <c:dPt>
            <c:idx val="20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B7-F2A4-406A-A7DA-6B5418467181}"/>
              </c:ext>
            </c:extLst>
          </c:dPt>
          <c:dPt>
            <c:idx val="20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B8-F2A4-406A-A7DA-6B5418467181}"/>
              </c:ext>
            </c:extLst>
          </c:dPt>
          <c:dPt>
            <c:idx val="20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B9-F2A4-406A-A7DA-6B5418467181}"/>
              </c:ext>
            </c:extLst>
          </c:dPt>
          <c:dPt>
            <c:idx val="20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BA-F2A4-406A-A7DA-6B5418467181}"/>
              </c:ext>
            </c:extLst>
          </c:dPt>
          <c:dPt>
            <c:idx val="21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BB-F2A4-406A-A7DA-6B5418467181}"/>
              </c:ext>
            </c:extLst>
          </c:dPt>
          <c:dPt>
            <c:idx val="21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BC-F2A4-406A-A7DA-6B5418467181}"/>
              </c:ext>
            </c:extLst>
          </c:dPt>
          <c:dPt>
            <c:idx val="21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BD-F2A4-406A-A7DA-6B5418467181}"/>
              </c:ext>
            </c:extLst>
          </c:dPt>
          <c:dPt>
            <c:idx val="213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BE-F2A4-406A-A7DA-6B5418467181}"/>
              </c:ext>
            </c:extLst>
          </c:dPt>
          <c:dPt>
            <c:idx val="21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BF-F2A4-406A-A7DA-6B5418467181}"/>
              </c:ext>
            </c:extLst>
          </c:dPt>
          <c:dPt>
            <c:idx val="21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C0-F2A4-406A-A7DA-6B5418467181}"/>
              </c:ext>
            </c:extLst>
          </c:dPt>
          <c:dPt>
            <c:idx val="21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C1-F2A4-406A-A7DA-6B5418467181}"/>
              </c:ext>
            </c:extLst>
          </c:dPt>
          <c:dPt>
            <c:idx val="21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C2-F2A4-406A-A7DA-6B5418467181}"/>
              </c:ext>
            </c:extLst>
          </c:dPt>
          <c:dPt>
            <c:idx val="21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C3-F2A4-406A-A7DA-6B5418467181}"/>
              </c:ext>
            </c:extLst>
          </c:dPt>
          <c:dPt>
            <c:idx val="21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C4-F2A4-406A-A7DA-6B5418467181}"/>
              </c:ext>
            </c:extLst>
          </c:dPt>
          <c:dPt>
            <c:idx val="22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C5-F2A4-406A-A7DA-6B5418467181}"/>
              </c:ext>
            </c:extLst>
          </c:dPt>
          <c:dPt>
            <c:idx val="22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C6-F2A4-406A-A7DA-6B5418467181}"/>
              </c:ext>
            </c:extLst>
          </c:dPt>
          <c:dPt>
            <c:idx val="22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C7-F2A4-406A-A7DA-6B5418467181}"/>
              </c:ext>
            </c:extLst>
          </c:dPt>
          <c:dPt>
            <c:idx val="22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C8-F2A4-406A-A7DA-6B5418467181}"/>
              </c:ext>
            </c:extLst>
          </c:dPt>
          <c:dPt>
            <c:idx val="224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C9-F2A4-406A-A7DA-6B5418467181}"/>
              </c:ext>
            </c:extLst>
          </c:dPt>
          <c:dPt>
            <c:idx val="22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CA-F2A4-406A-A7DA-6B5418467181}"/>
              </c:ext>
            </c:extLst>
          </c:dPt>
          <c:dPt>
            <c:idx val="22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CB-F2A4-406A-A7DA-6B5418467181}"/>
              </c:ext>
            </c:extLst>
          </c:dPt>
          <c:dPt>
            <c:idx val="22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CC-F2A4-406A-A7DA-6B5418467181}"/>
              </c:ext>
            </c:extLst>
          </c:dPt>
          <c:dPt>
            <c:idx val="22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CD-F2A4-406A-A7DA-6B5418467181}"/>
              </c:ext>
            </c:extLst>
          </c:dPt>
          <c:dPt>
            <c:idx val="22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CE-F2A4-406A-A7DA-6B5418467181}"/>
              </c:ext>
            </c:extLst>
          </c:dPt>
          <c:dPt>
            <c:idx val="230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CF-F2A4-406A-A7DA-6B5418467181}"/>
              </c:ext>
            </c:extLst>
          </c:dPt>
          <c:dPt>
            <c:idx val="231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D0-F2A4-406A-A7DA-6B5418467181}"/>
              </c:ext>
            </c:extLst>
          </c:dPt>
          <c:dPt>
            <c:idx val="23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D1-F2A4-406A-A7DA-6B5418467181}"/>
              </c:ext>
            </c:extLst>
          </c:dPt>
          <c:dPt>
            <c:idx val="23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D2-F2A4-406A-A7DA-6B5418467181}"/>
              </c:ext>
            </c:extLst>
          </c:dPt>
          <c:dPt>
            <c:idx val="23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D3-F2A4-406A-A7DA-6B5418467181}"/>
              </c:ext>
            </c:extLst>
          </c:dPt>
          <c:dPt>
            <c:idx val="235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D4-F2A4-406A-A7DA-6B5418467181}"/>
              </c:ext>
            </c:extLst>
          </c:dPt>
          <c:dPt>
            <c:idx val="236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D5-F2A4-406A-A7DA-6B5418467181}"/>
              </c:ext>
            </c:extLst>
          </c:dPt>
          <c:dPt>
            <c:idx val="23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D6-F2A4-406A-A7DA-6B5418467181}"/>
              </c:ext>
            </c:extLst>
          </c:dPt>
          <c:dPt>
            <c:idx val="23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D7-F2A4-406A-A7DA-6B5418467181}"/>
              </c:ext>
            </c:extLst>
          </c:dPt>
          <c:dPt>
            <c:idx val="23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D8-F2A4-406A-A7DA-6B5418467181}"/>
              </c:ext>
            </c:extLst>
          </c:dPt>
          <c:dPt>
            <c:idx val="24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D9-F2A4-406A-A7DA-6B5418467181}"/>
              </c:ext>
            </c:extLst>
          </c:dPt>
          <c:dPt>
            <c:idx val="24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DA-F2A4-406A-A7DA-6B5418467181}"/>
              </c:ext>
            </c:extLst>
          </c:dPt>
          <c:dPt>
            <c:idx val="242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DB-F2A4-406A-A7DA-6B5418467181}"/>
              </c:ext>
            </c:extLst>
          </c:dPt>
          <c:dPt>
            <c:idx val="24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DC-F2A4-406A-A7DA-6B5418467181}"/>
              </c:ext>
            </c:extLst>
          </c:dPt>
          <c:dPt>
            <c:idx val="24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DD-F2A4-406A-A7DA-6B5418467181}"/>
              </c:ext>
            </c:extLst>
          </c:dPt>
          <c:dPt>
            <c:idx val="24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DE-F2A4-406A-A7DA-6B5418467181}"/>
              </c:ext>
            </c:extLst>
          </c:dPt>
          <c:dPt>
            <c:idx val="246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DF-F2A4-406A-A7DA-6B5418467181}"/>
              </c:ext>
            </c:extLst>
          </c:dPt>
          <c:dPt>
            <c:idx val="24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E0-F2A4-406A-A7DA-6B5418467181}"/>
              </c:ext>
            </c:extLst>
          </c:dPt>
          <c:dPt>
            <c:idx val="24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E1-F2A4-406A-A7DA-6B5418467181}"/>
              </c:ext>
            </c:extLst>
          </c:dPt>
          <c:dPt>
            <c:idx val="24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E2-F2A4-406A-A7DA-6B5418467181}"/>
              </c:ext>
            </c:extLst>
          </c:dPt>
          <c:dPt>
            <c:idx val="25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E3-F2A4-406A-A7DA-6B5418467181}"/>
              </c:ext>
            </c:extLst>
          </c:dPt>
          <c:dPt>
            <c:idx val="25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E4-F2A4-406A-A7DA-6B5418467181}"/>
              </c:ext>
            </c:extLst>
          </c:dPt>
          <c:dPt>
            <c:idx val="252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E5-F2A4-406A-A7DA-6B5418467181}"/>
              </c:ext>
            </c:extLst>
          </c:dPt>
          <c:dPt>
            <c:idx val="25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E6-F2A4-406A-A7DA-6B5418467181}"/>
              </c:ext>
            </c:extLst>
          </c:dPt>
          <c:dPt>
            <c:idx val="254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E7-F2A4-406A-A7DA-6B5418467181}"/>
              </c:ext>
            </c:extLst>
          </c:dPt>
          <c:dPt>
            <c:idx val="25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E8-F2A4-406A-A7DA-6B5418467181}"/>
              </c:ext>
            </c:extLst>
          </c:dPt>
          <c:dPt>
            <c:idx val="25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E9-F2A4-406A-A7DA-6B5418467181}"/>
              </c:ext>
            </c:extLst>
          </c:dPt>
          <c:dPt>
            <c:idx val="25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EA-F2A4-406A-A7DA-6B5418467181}"/>
              </c:ext>
            </c:extLst>
          </c:dPt>
          <c:dPt>
            <c:idx val="25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EB-F2A4-406A-A7DA-6B5418467181}"/>
              </c:ext>
            </c:extLst>
          </c:dPt>
          <c:dPt>
            <c:idx val="259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EC-F2A4-406A-A7DA-6B5418467181}"/>
              </c:ext>
            </c:extLst>
          </c:dPt>
          <c:dPt>
            <c:idx val="26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ED-F2A4-406A-A7DA-6B5418467181}"/>
              </c:ext>
            </c:extLst>
          </c:dPt>
          <c:dPt>
            <c:idx val="26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EE-F2A4-406A-A7DA-6B5418467181}"/>
              </c:ext>
            </c:extLst>
          </c:dPt>
          <c:dPt>
            <c:idx val="26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EF-F2A4-406A-A7DA-6B5418467181}"/>
              </c:ext>
            </c:extLst>
          </c:dPt>
          <c:dPt>
            <c:idx val="263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F0-F2A4-406A-A7DA-6B5418467181}"/>
              </c:ext>
            </c:extLst>
          </c:dPt>
          <c:dPt>
            <c:idx val="264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F1-F2A4-406A-A7DA-6B5418467181}"/>
              </c:ext>
            </c:extLst>
          </c:dPt>
          <c:dPt>
            <c:idx val="26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F2-F2A4-406A-A7DA-6B5418467181}"/>
              </c:ext>
            </c:extLst>
          </c:dPt>
          <c:dPt>
            <c:idx val="26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F3-F2A4-406A-A7DA-6B5418467181}"/>
              </c:ext>
            </c:extLst>
          </c:dPt>
          <c:dPt>
            <c:idx val="26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F4-F2A4-406A-A7DA-6B5418467181}"/>
              </c:ext>
            </c:extLst>
          </c:dPt>
          <c:dPt>
            <c:idx val="26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F5-F2A4-406A-A7DA-6B5418467181}"/>
              </c:ext>
            </c:extLst>
          </c:dPt>
          <c:dPt>
            <c:idx val="26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F6-F2A4-406A-A7DA-6B5418467181}"/>
              </c:ext>
            </c:extLst>
          </c:dPt>
          <c:dPt>
            <c:idx val="27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F7-F2A4-406A-A7DA-6B5418467181}"/>
              </c:ext>
            </c:extLst>
          </c:dPt>
          <c:dPt>
            <c:idx val="271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F8-F2A4-406A-A7DA-6B5418467181}"/>
              </c:ext>
            </c:extLst>
          </c:dPt>
          <c:dPt>
            <c:idx val="27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F9-F2A4-406A-A7DA-6B5418467181}"/>
              </c:ext>
            </c:extLst>
          </c:dPt>
          <c:dPt>
            <c:idx val="27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FA-F2A4-406A-A7DA-6B5418467181}"/>
              </c:ext>
            </c:extLst>
          </c:dPt>
          <c:dPt>
            <c:idx val="27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FB-F2A4-406A-A7DA-6B5418467181}"/>
              </c:ext>
            </c:extLst>
          </c:dPt>
          <c:dPt>
            <c:idx val="27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FC-F2A4-406A-A7DA-6B5418467181}"/>
              </c:ext>
            </c:extLst>
          </c:dPt>
          <c:dPt>
            <c:idx val="27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FD-F2A4-406A-A7DA-6B5418467181}"/>
              </c:ext>
            </c:extLst>
          </c:dPt>
          <c:dPt>
            <c:idx val="27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FE-F2A4-406A-A7DA-6B5418467181}"/>
              </c:ext>
            </c:extLst>
          </c:dPt>
          <c:dPt>
            <c:idx val="278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FF-F2A4-406A-A7DA-6B5418467181}"/>
              </c:ext>
            </c:extLst>
          </c:dPt>
          <c:dPt>
            <c:idx val="27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00-F2A4-406A-A7DA-6B5418467181}"/>
              </c:ext>
            </c:extLst>
          </c:dPt>
          <c:dPt>
            <c:idx val="280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01-F2A4-406A-A7DA-6B5418467181}"/>
              </c:ext>
            </c:extLst>
          </c:dPt>
          <c:dPt>
            <c:idx val="28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02-F2A4-406A-A7DA-6B5418467181}"/>
              </c:ext>
            </c:extLst>
          </c:dPt>
          <c:dPt>
            <c:idx val="28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03-F2A4-406A-A7DA-6B5418467181}"/>
              </c:ext>
            </c:extLst>
          </c:dPt>
          <c:dPt>
            <c:idx val="28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04-F2A4-406A-A7DA-6B5418467181}"/>
              </c:ext>
            </c:extLst>
          </c:dPt>
          <c:dPt>
            <c:idx val="28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05-F2A4-406A-A7DA-6B5418467181}"/>
              </c:ext>
            </c:extLst>
          </c:dPt>
          <c:dPt>
            <c:idx val="285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06-F2A4-406A-A7DA-6B5418467181}"/>
              </c:ext>
            </c:extLst>
          </c:dPt>
          <c:dPt>
            <c:idx val="28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07-F2A4-406A-A7DA-6B5418467181}"/>
              </c:ext>
            </c:extLst>
          </c:dPt>
          <c:dPt>
            <c:idx val="28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08-F2A4-406A-A7DA-6B5418467181}"/>
              </c:ext>
            </c:extLst>
          </c:dPt>
          <c:dPt>
            <c:idx val="28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09-F2A4-406A-A7DA-6B5418467181}"/>
              </c:ext>
            </c:extLst>
          </c:dPt>
          <c:dPt>
            <c:idx val="28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0A-F2A4-406A-A7DA-6B5418467181}"/>
              </c:ext>
            </c:extLst>
          </c:dPt>
          <c:dPt>
            <c:idx val="29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0B-F2A4-406A-A7DA-6B5418467181}"/>
              </c:ext>
            </c:extLst>
          </c:dPt>
          <c:dPt>
            <c:idx val="29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0C-F2A4-406A-A7DA-6B5418467181}"/>
              </c:ext>
            </c:extLst>
          </c:dPt>
          <c:dPt>
            <c:idx val="292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0D-F2A4-406A-A7DA-6B5418467181}"/>
              </c:ext>
            </c:extLst>
          </c:dPt>
          <c:dPt>
            <c:idx val="29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0E-F2A4-406A-A7DA-6B5418467181}"/>
              </c:ext>
            </c:extLst>
          </c:dPt>
          <c:dPt>
            <c:idx val="29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0F-F2A4-406A-A7DA-6B5418467181}"/>
              </c:ext>
            </c:extLst>
          </c:dPt>
          <c:dPt>
            <c:idx val="29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10-F2A4-406A-A7DA-6B5418467181}"/>
              </c:ext>
            </c:extLst>
          </c:dPt>
          <c:dPt>
            <c:idx val="29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11-F2A4-406A-A7DA-6B5418467181}"/>
              </c:ext>
            </c:extLst>
          </c:dPt>
          <c:dPt>
            <c:idx val="29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12-F2A4-406A-A7DA-6B5418467181}"/>
              </c:ext>
            </c:extLst>
          </c:dPt>
          <c:dPt>
            <c:idx val="29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13-F2A4-406A-A7DA-6B5418467181}"/>
              </c:ext>
            </c:extLst>
          </c:dPt>
          <c:dPt>
            <c:idx val="29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14-F2A4-406A-A7DA-6B5418467181}"/>
              </c:ext>
            </c:extLst>
          </c:dPt>
          <c:dPt>
            <c:idx val="30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15-F2A4-406A-A7DA-6B5418467181}"/>
              </c:ext>
            </c:extLst>
          </c:dPt>
          <c:dPt>
            <c:idx val="30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16-F2A4-406A-A7DA-6B5418467181}"/>
              </c:ext>
            </c:extLst>
          </c:dPt>
          <c:dPt>
            <c:idx val="30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17-F2A4-406A-A7DA-6B5418467181}"/>
              </c:ext>
            </c:extLst>
          </c:dPt>
          <c:dPt>
            <c:idx val="30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18-F2A4-406A-A7DA-6B5418467181}"/>
              </c:ext>
            </c:extLst>
          </c:dPt>
          <c:dPt>
            <c:idx val="30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19-F2A4-406A-A7DA-6B5418467181}"/>
              </c:ext>
            </c:extLst>
          </c:dPt>
          <c:dPt>
            <c:idx val="30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1A-F2A4-406A-A7DA-6B5418467181}"/>
              </c:ext>
            </c:extLst>
          </c:dPt>
          <c:dPt>
            <c:idx val="306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1B-F2A4-406A-A7DA-6B5418467181}"/>
              </c:ext>
            </c:extLst>
          </c:dPt>
          <c:dPt>
            <c:idx val="30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1C-F2A4-406A-A7DA-6B5418467181}"/>
              </c:ext>
            </c:extLst>
          </c:dPt>
          <c:dPt>
            <c:idx val="308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1D-F2A4-406A-A7DA-6B5418467181}"/>
              </c:ext>
            </c:extLst>
          </c:dPt>
          <c:dPt>
            <c:idx val="30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1E-F2A4-406A-A7DA-6B5418467181}"/>
              </c:ext>
            </c:extLst>
          </c:dPt>
          <c:dPt>
            <c:idx val="31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1F-F2A4-406A-A7DA-6B5418467181}"/>
              </c:ext>
            </c:extLst>
          </c:dPt>
          <c:dPt>
            <c:idx val="31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20-F2A4-406A-A7DA-6B5418467181}"/>
              </c:ext>
            </c:extLst>
          </c:dPt>
          <c:dPt>
            <c:idx val="312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21-F2A4-406A-A7DA-6B5418467181}"/>
              </c:ext>
            </c:extLst>
          </c:dPt>
          <c:dPt>
            <c:idx val="31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22-F2A4-406A-A7DA-6B5418467181}"/>
              </c:ext>
            </c:extLst>
          </c:dPt>
          <c:dPt>
            <c:idx val="31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23-F2A4-406A-A7DA-6B5418467181}"/>
              </c:ext>
            </c:extLst>
          </c:dPt>
          <c:dPt>
            <c:idx val="315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24-F2A4-406A-A7DA-6B5418467181}"/>
              </c:ext>
            </c:extLst>
          </c:dPt>
          <c:dPt>
            <c:idx val="31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25-F2A4-406A-A7DA-6B5418467181}"/>
              </c:ext>
            </c:extLst>
          </c:dPt>
          <c:dPt>
            <c:idx val="317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26-F2A4-406A-A7DA-6B5418467181}"/>
              </c:ext>
            </c:extLst>
          </c:dPt>
          <c:dPt>
            <c:idx val="31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27-F2A4-406A-A7DA-6B5418467181}"/>
              </c:ext>
            </c:extLst>
          </c:dPt>
          <c:dPt>
            <c:idx val="31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28-F2A4-406A-A7DA-6B5418467181}"/>
              </c:ext>
            </c:extLst>
          </c:dPt>
          <c:dPt>
            <c:idx val="32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29-F2A4-406A-A7DA-6B5418467181}"/>
              </c:ext>
            </c:extLst>
          </c:dPt>
          <c:dPt>
            <c:idx val="32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2A-F2A4-406A-A7DA-6B5418467181}"/>
              </c:ext>
            </c:extLst>
          </c:dPt>
          <c:dPt>
            <c:idx val="322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2B-F2A4-406A-A7DA-6B5418467181}"/>
              </c:ext>
            </c:extLst>
          </c:dPt>
          <c:dPt>
            <c:idx val="32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2C-F2A4-406A-A7DA-6B5418467181}"/>
              </c:ext>
            </c:extLst>
          </c:dPt>
          <c:dPt>
            <c:idx val="32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2D-F2A4-406A-A7DA-6B5418467181}"/>
              </c:ext>
            </c:extLst>
          </c:dPt>
          <c:dPt>
            <c:idx val="32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2E-F2A4-406A-A7DA-6B5418467181}"/>
              </c:ext>
            </c:extLst>
          </c:dPt>
          <c:dPt>
            <c:idx val="32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2F-F2A4-406A-A7DA-6B5418467181}"/>
              </c:ext>
            </c:extLst>
          </c:dPt>
          <c:dPt>
            <c:idx val="32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30-F2A4-406A-A7DA-6B5418467181}"/>
              </c:ext>
            </c:extLst>
          </c:dPt>
          <c:dPt>
            <c:idx val="32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31-F2A4-406A-A7DA-6B5418467181}"/>
              </c:ext>
            </c:extLst>
          </c:dPt>
          <c:dPt>
            <c:idx val="32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32-F2A4-406A-A7DA-6B5418467181}"/>
              </c:ext>
            </c:extLst>
          </c:dPt>
          <c:dPt>
            <c:idx val="330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33-F2A4-406A-A7DA-6B5418467181}"/>
              </c:ext>
            </c:extLst>
          </c:dPt>
          <c:dPt>
            <c:idx val="33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34-F2A4-406A-A7DA-6B5418467181}"/>
              </c:ext>
            </c:extLst>
          </c:dPt>
          <c:dPt>
            <c:idx val="33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35-F2A4-406A-A7DA-6B5418467181}"/>
              </c:ext>
            </c:extLst>
          </c:dPt>
          <c:dPt>
            <c:idx val="33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36-F2A4-406A-A7DA-6B5418467181}"/>
              </c:ext>
            </c:extLst>
          </c:dPt>
          <c:dPt>
            <c:idx val="33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37-F2A4-406A-A7DA-6B5418467181}"/>
              </c:ext>
            </c:extLst>
          </c:dPt>
          <c:dPt>
            <c:idx val="33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38-F2A4-406A-A7DA-6B5418467181}"/>
              </c:ext>
            </c:extLst>
          </c:dPt>
          <c:dPt>
            <c:idx val="33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39-F2A4-406A-A7DA-6B5418467181}"/>
              </c:ext>
            </c:extLst>
          </c:dPt>
          <c:dPt>
            <c:idx val="33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3A-F2A4-406A-A7DA-6B5418467181}"/>
              </c:ext>
            </c:extLst>
          </c:dPt>
          <c:dPt>
            <c:idx val="33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3B-F2A4-406A-A7DA-6B5418467181}"/>
              </c:ext>
            </c:extLst>
          </c:dPt>
          <c:dPt>
            <c:idx val="33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3C-F2A4-406A-A7DA-6B5418467181}"/>
              </c:ext>
            </c:extLst>
          </c:dPt>
          <c:dPt>
            <c:idx val="34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3D-F2A4-406A-A7DA-6B5418467181}"/>
              </c:ext>
            </c:extLst>
          </c:dPt>
          <c:dPt>
            <c:idx val="34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3E-F2A4-406A-A7DA-6B5418467181}"/>
              </c:ext>
            </c:extLst>
          </c:dPt>
          <c:dPt>
            <c:idx val="34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3F-F2A4-406A-A7DA-6B5418467181}"/>
              </c:ext>
            </c:extLst>
          </c:dPt>
          <c:dPt>
            <c:idx val="34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40-F2A4-406A-A7DA-6B5418467181}"/>
              </c:ext>
            </c:extLst>
          </c:dPt>
          <c:dPt>
            <c:idx val="34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41-F2A4-406A-A7DA-6B5418467181}"/>
              </c:ext>
            </c:extLst>
          </c:dPt>
          <c:dPt>
            <c:idx val="34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42-F2A4-406A-A7DA-6B5418467181}"/>
              </c:ext>
            </c:extLst>
          </c:dPt>
          <c:dPt>
            <c:idx val="34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43-F2A4-406A-A7DA-6B5418467181}"/>
              </c:ext>
            </c:extLst>
          </c:dPt>
          <c:dPt>
            <c:idx val="34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44-F2A4-406A-A7DA-6B5418467181}"/>
              </c:ext>
            </c:extLst>
          </c:dPt>
          <c:dPt>
            <c:idx val="348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45-F2A4-406A-A7DA-6B5418467181}"/>
              </c:ext>
            </c:extLst>
          </c:dPt>
          <c:dPt>
            <c:idx val="34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46-F2A4-406A-A7DA-6B5418467181}"/>
              </c:ext>
            </c:extLst>
          </c:dPt>
          <c:dPt>
            <c:idx val="350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47-F2A4-406A-A7DA-6B5418467181}"/>
              </c:ext>
            </c:extLst>
          </c:dPt>
          <c:dPt>
            <c:idx val="35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48-F2A4-406A-A7DA-6B5418467181}"/>
              </c:ext>
            </c:extLst>
          </c:dPt>
          <c:dPt>
            <c:idx val="35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49-F2A4-406A-A7DA-6B5418467181}"/>
              </c:ext>
            </c:extLst>
          </c:dPt>
          <c:dPt>
            <c:idx val="35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4A-F2A4-406A-A7DA-6B5418467181}"/>
              </c:ext>
            </c:extLst>
          </c:dPt>
          <c:dPt>
            <c:idx val="354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4B-F2A4-406A-A7DA-6B5418467181}"/>
              </c:ext>
            </c:extLst>
          </c:dPt>
          <c:dPt>
            <c:idx val="35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4C-F2A4-406A-A7DA-6B5418467181}"/>
              </c:ext>
            </c:extLst>
          </c:dPt>
          <c:dPt>
            <c:idx val="35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4D-F2A4-406A-A7DA-6B5418467181}"/>
              </c:ext>
            </c:extLst>
          </c:dPt>
          <c:dPt>
            <c:idx val="35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4E-F2A4-406A-A7DA-6B5418467181}"/>
              </c:ext>
            </c:extLst>
          </c:dPt>
          <c:dPt>
            <c:idx val="35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4F-F2A4-406A-A7DA-6B5418467181}"/>
              </c:ext>
            </c:extLst>
          </c:dPt>
          <c:dPt>
            <c:idx val="35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50-F2A4-406A-A7DA-6B5418467181}"/>
              </c:ext>
            </c:extLst>
          </c:dPt>
          <c:dPt>
            <c:idx val="36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51-F2A4-406A-A7DA-6B5418467181}"/>
              </c:ext>
            </c:extLst>
          </c:dPt>
          <c:dPt>
            <c:idx val="36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52-F2A4-406A-A7DA-6B5418467181}"/>
              </c:ext>
            </c:extLst>
          </c:dPt>
          <c:dPt>
            <c:idx val="36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53-F2A4-406A-A7DA-6B5418467181}"/>
              </c:ext>
            </c:extLst>
          </c:dPt>
          <c:dPt>
            <c:idx val="36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54-F2A4-406A-A7DA-6B5418467181}"/>
              </c:ext>
            </c:extLst>
          </c:dPt>
          <c:dPt>
            <c:idx val="36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55-F2A4-406A-A7DA-6B5418467181}"/>
              </c:ext>
            </c:extLst>
          </c:dPt>
          <c:dPt>
            <c:idx val="36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56-F2A4-406A-A7DA-6B5418467181}"/>
              </c:ext>
            </c:extLst>
          </c:dPt>
          <c:dPt>
            <c:idx val="36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57-F2A4-406A-A7DA-6B5418467181}"/>
              </c:ext>
            </c:extLst>
          </c:dPt>
          <c:dPt>
            <c:idx val="36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58-F2A4-406A-A7DA-6B5418467181}"/>
              </c:ext>
            </c:extLst>
          </c:dPt>
          <c:dPt>
            <c:idx val="36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59-F2A4-406A-A7DA-6B5418467181}"/>
              </c:ext>
            </c:extLst>
          </c:dPt>
          <c:dPt>
            <c:idx val="36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5A-F2A4-406A-A7DA-6B5418467181}"/>
              </c:ext>
            </c:extLst>
          </c:dPt>
          <c:dPt>
            <c:idx val="37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5B-F2A4-406A-A7DA-6B5418467181}"/>
              </c:ext>
            </c:extLst>
          </c:dPt>
          <c:dPt>
            <c:idx val="37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5C-F2A4-406A-A7DA-6B5418467181}"/>
              </c:ext>
            </c:extLst>
          </c:dPt>
          <c:dPt>
            <c:idx val="37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5D-F2A4-406A-A7DA-6B5418467181}"/>
              </c:ext>
            </c:extLst>
          </c:dPt>
          <c:dPt>
            <c:idx val="37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5E-F2A4-406A-A7DA-6B5418467181}"/>
              </c:ext>
            </c:extLst>
          </c:dPt>
          <c:dPt>
            <c:idx val="37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5F-F2A4-406A-A7DA-6B5418467181}"/>
              </c:ext>
            </c:extLst>
          </c:dPt>
          <c:dPt>
            <c:idx val="37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60-F2A4-406A-A7DA-6B5418467181}"/>
              </c:ext>
            </c:extLst>
          </c:dPt>
          <c:dPt>
            <c:idx val="37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61-F2A4-406A-A7DA-6B5418467181}"/>
              </c:ext>
            </c:extLst>
          </c:dPt>
          <c:dPt>
            <c:idx val="37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62-F2A4-406A-A7DA-6B5418467181}"/>
              </c:ext>
            </c:extLst>
          </c:dPt>
          <c:dPt>
            <c:idx val="37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63-F2A4-406A-A7DA-6B5418467181}"/>
              </c:ext>
            </c:extLst>
          </c:dPt>
          <c:dPt>
            <c:idx val="379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64-F2A4-406A-A7DA-6B5418467181}"/>
              </c:ext>
            </c:extLst>
          </c:dPt>
          <c:dPt>
            <c:idx val="38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65-F2A4-406A-A7DA-6B5418467181}"/>
              </c:ext>
            </c:extLst>
          </c:dPt>
          <c:dPt>
            <c:idx val="38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66-F2A4-406A-A7DA-6B5418467181}"/>
              </c:ext>
            </c:extLst>
          </c:dPt>
          <c:dPt>
            <c:idx val="382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67-F2A4-406A-A7DA-6B5418467181}"/>
              </c:ext>
            </c:extLst>
          </c:dPt>
          <c:dPt>
            <c:idx val="38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68-F2A4-406A-A7DA-6B5418467181}"/>
              </c:ext>
            </c:extLst>
          </c:dPt>
          <c:dPt>
            <c:idx val="38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69-F2A4-406A-A7DA-6B5418467181}"/>
              </c:ext>
            </c:extLst>
          </c:dPt>
          <c:dPt>
            <c:idx val="385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6A-F2A4-406A-A7DA-6B5418467181}"/>
              </c:ext>
            </c:extLst>
          </c:dPt>
          <c:dPt>
            <c:idx val="38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6B-F2A4-406A-A7DA-6B5418467181}"/>
              </c:ext>
            </c:extLst>
          </c:dPt>
          <c:dPt>
            <c:idx val="387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6C-F2A4-406A-A7DA-6B5418467181}"/>
              </c:ext>
            </c:extLst>
          </c:dPt>
          <c:dPt>
            <c:idx val="38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6D-F2A4-406A-A7DA-6B5418467181}"/>
              </c:ext>
            </c:extLst>
          </c:dPt>
          <c:dPt>
            <c:idx val="38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6E-F2A4-406A-A7DA-6B5418467181}"/>
              </c:ext>
            </c:extLst>
          </c:dPt>
          <c:dPt>
            <c:idx val="39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6F-F2A4-406A-A7DA-6B5418467181}"/>
              </c:ext>
            </c:extLst>
          </c:dPt>
          <c:dPt>
            <c:idx val="39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70-F2A4-406A-A7DA-6B5418467181}"/>
              </c:ext>
            </c:extLst>
          </c:dPt>
          <c:dPt>
            <c:idx val="39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71-F2A4-406A-A7DA-6B5418467181}"/>
              </c:ext>
            </c:extLst>
          </c:dPt>
          <c:dPt>
            <c:idx val="39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72-F2A4-406A-A7DA-6B5418467181}"/>
              </c:ext>
            </c:extLst>
          </c:dPt>
          <c:dPt>
            <c:idx val="39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73-F2A4-406A-A7DA-6B5418467181}"/>
              </c:ext>
            </c:extLst>
          </c:dPt>
          <c:dPt>
            <c:idx val="39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74-F2A4-406A-A7DA-6B5418467181}"/>
              </c:ext>
            </c:extLst>
          </c:dPt>
          <c:dPt>
            <c:idx val="39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75-F2A4-406A-A7DA-6B5418467181}"/>
              </c:ext>
            </c:extLst>
          </c:dPt>
          <c:dPt>
            <c:idx val="39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76-F2A4-406A-A7DA-6B5418467181}"/>
              </c:ext>
            </c:extLst>
          </c:dPt>
          <c:dPt>
            <c:idx val="39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77-F2A4-406A-A7DA-6B5418467181}"/>
              </c:ext>
            </c:extLst>
          </c:dPt>
          <c:dPt>
            <c:idx val="399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78-F2A4-406A-A7DA-6B5418467181}"/>
              </c:ext>
            </c:extLst>
          </c:dPt>
          <c:dPt>
            <c:idx val="40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79-F2A4-406A-A7DA-6B5418467181}"/>
              </c:ext>
            </c:extLst>
          </c:dPt>
          <c:dPt>
            <c:idx val="40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7A-F2A4-406A-A7DA-6B5418467181}"/>
              </c:ext>
            </c:extLst>
          </c:dPt>
          <c:dPt>
            <c:idx val="40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7B-F2A4-406A-A7DA-6B5418467181}"/>
              </c:ext>
            </c:extLst>
          </c:dPt>
          <c:dPt>
            <c:idx val="40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7C-F2A4-406A-A7DA-6B5418467181}"/>
              </c:ext>
            </c:extLst>
          </c:dPt>
          <c:dPt>
            <c:idx val="40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7D-F2A4-406A-A7DA-6B5418467181}"/>
              </c:ext>
            </c:extLst>
          </c:dPt>
          <c:dPt>
            <c:idx val="40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7E-F2A4-406A-A7DA-6B5418467181}"/>
              </c:ext>
            </c:extLst>
          </c:dPt>
          <c:dPt>
            <c:idx val="406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7F-F2A4-406A-A7DA-6B5418467181}"/>
              </c:ext>
            </c:extLst>
          </c:dPt>
          <c:dPt>
            <c:idx val="40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80-F2A4-406A-A7DA-6B5418467181}"/>
              </c:ext>
            </c:extLst>
          </c:dPt>
          <c:dPt>
            <c:idx val="40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81-F2A4-406A-A7DA-6B5418467181}"/>
              </c:ext>
            </c:extLst>
          </c:dPt>
          <c:dPt>
            <c:idx val="40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82-F2A4-406A-A7DA-6B5418467181}"/>
              </c:ext>
            </c:extLst>
          </c:dPt>
          <c:dPt>
            <c:idx val="41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83-F2A4-406A-A7DA-6B5418467181}"/>
              </c:ext>
            </c:extLst>
          </c:dPt>
          <c:dPt>
            <c:idx val="41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84-F2A4-406A-A7DA-6B5418467181}"/>
              </c:ext>
            </c:extLst>
          </c:dPt>
          <c:dPt>
            <c:idx val="412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85-F2A4-406A-A7DA-6B5418467181}"/>
              </c:ext>
            </c:extLst>
          </c:dPt>
          <c:dPt>
            <c:idx val="41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86-F2A4-406A-A7DA-6B5418467181}"/>
              </c:ext>
            </c:extLst>
          </c:dPt>
          <c:dPt>
            <c:idx val="41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87-F2A4-406A-A7DA-6B5418467181}"/>
              </c:ext>
            </c:extLst>
          </c:dPt>
          <c:dPt>
            <c:idx val="41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88-F2A4-406A-A7DA-6B5418467181}"/>
              </c:ext>
            </c:extLst>
          </c:dPt>
          <c:dPt>
            <c:idx val="41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89-F2A4-406A-A7DA-6B5418467181}"/>
              </c:ext>
            </c:extLst>
          </c:dPt>
          <c:dPt>
            <c:idx val="41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8A-F2A4-406A-A7DA-6B5418467181}"/>
              </c:ext>
            </c:extLst>
          </c:dPt>
          <c:dPt>
            <c:idx val="418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8B-F2A4-406A-A7DA-6B5418467181}"/>
              </c:ext>
            </c:extLst>
          </c:dPt>
          <c:dPt>
            <c:idx val="41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8C-F2A4-406A-A7DA-6B5418467181}"/>
              </c:ext>
            </c:extLst>
          </c:dPt>
          <c:dPt>
            <c:idx val="42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8D-F2A4-406A-A7DA-6B5418467181}"/>
              </c:ext>
            </c:extLst>
          </c:dPt>
          <c:dPt>
            <c:idx val="42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8E-F2A4-406A-A7DA-6B5418467181}"/>
              </c:ext>
            </c:extLst>
          </c:dPt>
          <c:dPt>
            <c:idx val="422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8F-F2A4-406A-A7DA-6B5418467181}"/>
              </c:ext>
            </c:extLst>
          </c:dPt>
          <c:dPt>
            <c:idx val="42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90-F2A4-406A-A7DA-6B5418467181}"/>
              </c:ext>
            </c:extLst>
          </c:dPt>
          <c:dPt>
            <c:idx val="42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91-F2A4-406A-A7DA-6B5418467181}"/>
              </c:ext>
            </c:extLst>
          </c:dPt>
          <c:dPt>
            <c:idx val="425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92-F2A4-406A-A7DA-6B5418467181}"/>
              </c:ext>
            </c:extLst>
          </c:dPt>
          <c:dPt>
            <c:idx val="426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93-F2A4-406A-A7DA-6B5418467181}"/>
              </c:ext>
            </c:extLst>
          </c:dPt>
          <c:dPt>
            <c:idx val="42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94-F2A4-406A-A7DA-6B5418467181}"/>
              </c:ext>
            </c:extLst>
          </c:dPt>
          <c:dPt>
            <c:idx val="42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95-F2A4-406A-A7DA-6B5418467181}"/>
              </c:ext>
            </c:extLst>
          </c:dPt>
          <c:dPt>
            <c:idx val="42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96-F2A4-406A-A7DA-6B5418467181}"/>
              </c:ext>
            </c:extLst>
          </c:dPt>
          <c:dPt>
            <c:idx val="43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97-F2A4-406A-A7DA-6B5418467181}"/>
              </c:ext>
            </c:extLst>
          </c:dPt>
          <c:dPt>
            <c:idx val="431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98-F2A4-406A-A7DA-6B5418467181}"/>
              </c:ext>
            </c:extLst>
          </c:dPt>
          <c:dPt>
            <c:idx val="43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99-F2A4-406A-A7DA-6B5418467181}"/>
              </c:ext>
            </c:extLst>
          </c:dPt>
          <c:dPt>
            <c:idx val="43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9A-F2A4-406A-A7DA-6B5418467181}"/>
              </c:ext>
            </c:extLst>
          </c:dPt>
          <c:dPt>
            <c:idx val="43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9B-F2A4-406A-A7DA-6B5418467181}"/>
              </c:ext>
            </c:extLst>
          </c:dPt>
          <c:dPt>
            <c:idx val="43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9C-F2A4-406A-A7DA-6B5418467181}"/>
              </c:ext>
            </c:extLst>
          </c:dPt>
          <c:dPt>
            <c:idx val="43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9D-F2A4-406A-A7DA-6B5418467181}"/>
              </c:ext>
            </c:extLst>
          </c:dPt>
          <c:dPt>
            <c:idx val="43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9E-F2A4-406A-A7DA-6B5418467181}"/>
              </c:ext>
            </c:extLst>
          </c:dPt>
          <c:dPt>
            <c:idx val="43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9F-F2A4-406A-A7DA-6B5418467181}"/>
              </c:ext>
            </c:extLst>
          </c:dPt>
          <c:dPt>
            <c:idx val="43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A0-F2A4-406A-A7DA-6B5418467181}"/>
              </c:ext>
            </c:extLst>
          </c:dPt>
          <c:dPt>
            <c:idx val="44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A1-F2A4-406A-A7DA-6B5418467181}"/>
              </c:ext>
            </c:extLst>
          </c:dPt>
          <c:dPt>
            <c:idx val="44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A2-F2A4-406A-A7DA-6B5418467181}"/>
              </c:ext>
            </c:extLst>
          </c:dPt>
          <c:dPt>
            <c:idx val="44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A3-F2A4-406A-A7DA-6B5418467181}"/>
              </c:ext>
            </c:extLst>
          </c:dPt>
          <c:dPt>
            <c:idx val="44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A4-F2A4-406A-A7DA-6B5418467181}"/>
              </c:ext>
            </c:extLst>
          </c:dPt>
          <c:dPt>
            <c:idx val="44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A5-F2A4-406A-A7DA-6B5418467181}"/>
              </c:ext>
            </c:extLst>
          </c:dPt>
          <c:dPt>
            <c:idx val="44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A6-F2A4-406A-A7DA-6B5418467181}"/>
              </c:ext>
            </c:extLst>
          </c:dPt>
          <c:dPt>
            <c:idx val="44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A7-F2A4-406A-A7DA-6B5418467181}"/>
              </c:ext>
            </c:extLst>
          </c:dPt>
          <c:dPt>
            <c:idx val="44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A8-F2A4-406A-A7DA-6B5418467181}"/>
              </c:ext>
            </c:extLst>
          </c:dPt>
          <c:dPt>
            <c:idx val="44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A9-F2A4-406A-A7DA-6B5418467181}"/>
              </c:ext>
            </c:extLst>
          </c:dPt>
          <c:dPt>
            <c:idx val="449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AA-F2A4-406A-A7DA-6B5418467181}"/>
              </c:ext>
            </c:extLst>
          </c:dPt>
          <c:dPt>
            <c:idx val="45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AB-F2A4-406A-A7DA-6B5418467181}"/>
              </c:ext>
            </c:extLst>
          </c:dPt>
          <c:dPt>
            <c:idx val="45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AC-F2A4-406A-A7DA-6B5418467181}"/>
              </c:ext>
            </c:extLst>
          </c:dPt>
          <c:dPt>
            <c:idx val="45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AD-F2A4-406A-A7DA-6B5418467181}"/>
              </c:ext>
            </c:extLst>
          </c:dPt>
          <c:dPt>
            <c:idx val="45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AE-F2A4-406A-A7DA-6B5418467181}"/>
              </c:ext>
            </c:extLst>
          </c:dPt>
          <c:dPt>
            <c:idx val="45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AF-F2A4-406A-A7DA-6B5418467181}"/>
              </c:ext>
            </c:extLst>
          </c:dPt>
          <c:dPt>
            <c:idx val="45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B0-F2A4-406A-A7DA-6B5418467181}"/>
              </c:ext>
            </c:extLst>
          </c:dPt>
          <c:dPt>
            <c:idx val="45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B1-F2A4-406A-A7DA-6B5418467181}"/>
              </c:ext>
            </c:extLst>
          </c:dPt>
          <c:dPt>
            <c:idx val="45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B2-F2A4-406A-A7DA-6B5418467181}"/>
              </c:ext>
            </c:extLst>
          </c:dPt>
          <c:dPt>
            <c:idx val="45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B3-F2A4-406A-A7DA-6B5418467181}"/>
              </c:ext>
            </c:extLst>
          </c:dPt>
          <c:dPt>
            <c:idx val="45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B4-F2A4-406A-A7DA-6B5418467181}"/>
              </c:ext>
            </c:extLst>
          </c:dPt>
          <c:dPt>
            <c:idx val="46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B5-F2A4-406A-A7DA-6B5418467181}"/>
              </c:ext>
            </c:extLst>
          </c:dPt>
          <c:dPt>
            <c:idx val="46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B6-F2A4-406A-A7DA-6B5418467181}"/>
              </c:ext>
            </c:extLst>
          </c:dPt>
          <c:dPt>
            <c:idx val="462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B7-F2A4-406A-A7DA-6B5418467181}"/>
              </c:ext>
            </c:extLst>
          </c:dPt>
          <c:dPt>
            <c:idx val="46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B8-F2A4-406A-A7DA-6B5418467181}"/>
              </c:ext>
            </c:extLst>
          </c:dPt>
          <c:dPt>
            <c:idx val="46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B9-F2A4-406A-A7DA-6B5418467181}"/>
              </c:ext>
            </c:extLst>
          </c:dPt>
          <c:dPt>
            <c:idx val="46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BA-F2A4-406A-A7DA-6B5418467181}"/>
              </c:ext>
            </c:extLst>
          </c:dPt>
          <c:dPt>
            <c:idx val="46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BB-F2A4-406A-A7DA-6B5418467181}"/>
              </c:ext>
            </c:extLst>
          </c:dPt>
          <c:dPt>
            <c:idx val="46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BC-F2A4-406A-A7DA-6B5418467181}"/>
              </c:ext>
            </c:extLst>
          </c:dPt>
          <c:dPt>
            <c:idx val="46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BD-F2A4-406A-A7DA-6B5418467181}"/>
              </c:ext>
            </c:extLst>
          </c:dPt>
          <c:dPt>
            <c:idx val="46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BE-F2A4-406A-A7DA-6B5418467181}"/>
              </c:ext>
            </c:extLst>
          </c:dPt>
          <c:dPt>
            <c:idx val="47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BF-F2A4-406A-A7DA-6B5418467181}"/>
              </c:ext>
            </c:extLst>
          </c:dPt>
          <c:dPt>
            <c:idx val="47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C0-F2A4-406A-A7DA-6B5418467181}"/>
              </c:ext>
            </c:extLst>
          </c:dPt>
          <c:dPt>
            <c:idx val="47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C1-F2A4-406A-A7DA-6B5418467181}"/>
              </c:ext>
            </c:extLst>
          </c:dPt>
          <c:dPt>
            <c:idx val="473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C2-F2A4-406A-A7DA-6B5418467181}"/>
              </c:ext>
            </c:extLst>
          </c:dPt>
          <c:dPt>
            <c:idx val="474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C3-F2A4-406A-A7DA-6B5418467181}"/>
              </c:ext>
            </c:extLst>
          </c:dPt>
          <c:dPt>
            <c:idx val="47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C4-F2A4-406A-A7DA-6B5418467181}"/>
              </c:ext>
            </c:extLst>
          </c:dPt>
          <c:dPt>
            <c:idx val="47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C5-F2A4-406A-A7DA-6B5418467181}"/>
              </c:ext>
            </c:extLst>
          </c:dPt>
          <c:dPt>
            <c:idx val="477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C6-F2A4-406A-A7DA-6B5418467181}"/>
              </c:ext>
            </c:extLst>
          </c:dPt>
          <c:dPt>
            <c:idx val="47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C7-F2A4-406A-A7DA-6B5418467181}"/>
              </c:ext>
            </c:extLst>
          </c:dPt>
          <c:dPt>
            <c:idx val="47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C8-F2A4-406A-A7DA-6B5418467181}"/>
              </c:ext>
            </c:extLst>
          </c:dPt>
          <c:dPt>
            <c:idx val="48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C9-F2A4-406A-A7DA-6B5418467181}"/>
              </c:ext>
            </c:extLst>
          </c:dPt>
          <c:dPt>
            <c:idx val="48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CA-F2A4-406A-A7DA-6B5418467181}"/>
              </c:ext>
            </c:extLst>
          </c:dPt>
          <c:dPt>
            <c:idx val="48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CB-F2A4-406A-A7DA-6B5418467181}"/>
              </c:ext>
            </c:extLst>
          </c:dPt>
          <c:dPt>
            <c:idx val="48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CC-F2A4-406A-A7DA-6B5418467181}"/>
              </c:ext>
            </c:extLst>
          </c:dPt>
          <c:dPt>
            <c:idx val="484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CD-F2A4-406A-A7DA-6B5418467181}"/>
              </c:ext>
            </c:extLst>
          </c:dPt>
          <c:dPt>
            <c:idx val="48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CE-F2A4-406A-A7DA-6B5418467181}"/>
              </c:ext>
            </c:extLst>
          </c:dPt>
          <c:dPt>
            <c:idx val="486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CF-F2A4-406A-A7DA-6B5418467181}"/>
              </c:ext>
            </c:extLst>
          </c:dPt>
          <c:dPt>
            <c:idx val="48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D0-F2A4-406A-A7DA-6B5418467181}"/>
              </c:ext>
            </c:extLst>
          </c:dPt>
          <c:dPt>
            <c:idx val="48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D1-F2A4-406A-A7DA-6B5418467181}"/>
              </c:ext>
            </c:extLst>
          </c:dPt>
          <c:dPt>
            <c:idx val="489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D2-F2A4-406A-A7DA-6B5418467181}"/>
              </c:ext>
            </c:extLst>
          </c:dPt>
          <c:dPt>
            <c:idx val="49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D3-F2A4-406A-A7DA-6B5418467181}"/>
              </c:ext>
            </c:extLst>
          </c:dPt>
          <c:dPt>
            <c:idx val="49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D4-F2A4-406A-A7DA-6B5418467181}"/>
              </c:ext>
            </c:extLst>
          </c:dPt>
          <c:dPt>
            <c:idx val="49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D5-F2A4-406A-A7DA-6B5418467181}"/>
              </c:ext>
            </c:extLst>
          </c:dPt>
          <c:dPt>
            <c:idx val="49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D6-F2A4-406A-A7DA-6B5418467181}"/>
              </c:ext>
            </c:extLst>
          </c:dPt>
          <c:dPt>
            <c:idx val="49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D7-F2A4-406A-A7DA-6B5418467181}"/>
              </c:ext>
            </c:extLst>
          </c:dPt>
          <c:dPt>
            <c:idx val="495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D8-F2A4-406A-A7DA-6B5418467181}"/>
              </c:ext>
            </c:extLst>
          </c:dPt>
          <c:dPt>
            <c:idx val="49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D9-F2A4-406A-A7DA-6B5418467181}"/>
              </c:ext>
            </c:extLst>
          </c:dPt>
          <c:dPt>
            <c:idx val="49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DA-F2A4-406A-A7DA-6B5418467181}"/>
              </c:ext>
            </c:extLst>
          </c:dPt>
          <c:dPt>
            <c:idx val="498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DB-F2A4-406A-A7DA-6B5418467181}"/>
              </c:ext>
            </c:extLst>
          </c:dPt>
          <c:dPt>
            <c:idx val="49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DC-F2A4-406A-A7DA-6B5418467181}"/>
              </c:ext>
            </c:extLst>
          </c:dPt>
          <c:dPt>
            <c:idx val="50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DD-F2A4-406A-A7DA-6B5418467181}"/>
              </c:ext>
            </c:extLst>
          </c:dPt>
          <c:dPt>
            <c:idx val="501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DE-F2A4-406A-A7DA-6B5418467181}"/>
              </c:ext>
            </c:extLst>
          </c:dPt>
          <c:dPt>
            <c:idx val="502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DF-F2A4-406A-A7DA-6B5418467181}"/>
              </c:ext>
            </c:extLst>
          </c:dPt>
          <c:dPt>
            <c:idx val="50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E0-F2A4-406A-A7DA-6B5418467181}"/>
              </c:ext>
            </c:extLst>
          </c:dPt>
          <c:dPt>
            <c:idx val="504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E1-F2A4-406A-A7DA-6B5418467181}"/>
              </c:ext>
            </c:extLst>
          </c:dPt>
          <c:dPt>
            <c:idx val="50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E2-F2A4-406A-A7DA-6B5418467181}"/>
              </c:ext>
            </c:extLst>
          </c:dPt>
          <c:dPt>
            <c:idx val="506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E3-F2A4-406A-A7DA-6B5418467181}"/>
              </c:ext>
            </c:extLst>
          </c:dPt>
          <c:dPt>
            <c:idx val="50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E4-F2A4-406A-A7DA-6B5418467181}"/>
              </c:ext>
            </c:extLst>
          </c:dPt>
          <c:dPt>
            <c:idx val="50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E5-F2A4-406A-A7DA-6B5418467181}"/>
              </c:ext>
            </c:extLst>
          </c:dPt>
          <c:dPt>
            <c:idx val="50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E6-F2A4-406A-A7DA-6B5418467181}"/>
              </c:ext>
            </c:extLst>
          </c:dPt>
          <c:dPt>
            <c:idx val="510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E7-F2A4-406A-A7DA-6B5418467181}"/>
              </c:ext>
            </c:extLst>
          </c:dPt>
          <c:dPt>
            <c:idx val="51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E8-F2A4-406A-A7DA-6B5418467181}"/>
              </c:ext>
            </c:extLst>
          </c:dPt>
          <c:dPt>
            <c:idx val="51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E9-F2A4-406A-A7DA-6B5418467181}"/>
              </c:ext>
            </c:extLst>
          </c:dPt>
          <c:dPt>
            <c:idx val="51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EA-F2A4-406A-A7DA-6B5418467181}"/>
              </c:ext>
            </c:extLst>
          </c:dPt>
          <c:dPt>
            <c:idx val="51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EB-F2A4-406A-A7DA-6B5418467181}"/>
              </c:ext>
            </c:extLst>
          </c:dPt>
          <c:dPt>
            <c:idx val="51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EC-F2A4-406A-A7DA-6B5418467181}"/>
              </c:ext>
            </c:extLst>
          </c:dPt>
          <c:dPt>
            <c:idx val="51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ED-F2A4-406A-A7DA-6B5418467181}"/>
              </c:ext>
            </c:extLst>
          </c:dPt>
          <c:dPt>
            <c:idx val="51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EE-F2A4-406A-A7DA-6B5418467181}"/>
              </c:ext>
            </c:extLst>
          </c:dPt>
          <c:dPt>
            <c:idx val="51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EF-F2A4-406A-A7DA-6B5418467181}"/>
              </c:ext>
            </c:extLst>
          </c:dPt>
          <c:dPt>
            <c:idx val="51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F0-F2A4-406A-A7DA-6B5418467181}"/>
              </c:ext>
            </c:extLst>
          </c:dPt>
          <c:dPt>
            <c:idx val="52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F1-F2A4-406A-A7DA-6B5418467181}"/>
              </c:ext>
            </c:extLst>
          </c:dPt>
          <c:dPt>
            <c:idx val="52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F2-F2A4-406A-A7DA-6B5418467181}"/>
              </c:ext>
            </c:extLst>
          </c:dPt>
          <c:dPt>
            <c:idx val="52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F3-F2A4-406A-A7DA-6B5418467181}"/>
              </c:ext>
            </c:extLst>
          </c:dPt>
          <c:dPt>
            <c:idx val="52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F4-F2A4-406A-A7DA-6B5418467181}"/>
              </c:ext>
            </c:extLst>
          </c:dPt>
          <c:dPt>
            <c:idx val="524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F5-F2A4-406A-A7DA-6B5418467181}"/>
              </c:ext>
            </c:extLst>
          </c:dPt>
          <c:dPt>
            <c:idx val="52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F6-F2A4-406A-A7DA-6B5418467181}"/>
              </c:ext>
            </c:extLst>
          </c:dPt>
          <c:dPt>
            <c:idx val="52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F7-F2A4-406A-A7DA-6B5418467181}"/>
              </c:ext>
            </c:extLst>
          </c:dPt>
          <c:dPt>
            <c:idx val="52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F8-F2A4-406A-A7DA-6B5418467181}"/>
              </c:ext>
            </c:extLst>
          </c:dPt>
          <c:dPt>
            <c:idx val="52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F9-F2A4-406A-A7DA-6B5418467181}"/>
              </c:ext>
            </c:extLst>
          </c:dPt>
          <c:dPt>
            <c:idx val="52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FA-F2A4-406A-A7DA-6B5418467181}"/>
              </c:ext>
            </c:extLst>
          </c:dPt>
          <c:dPt>
            <c:idx val="53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FB-F2A4-406A-A7DA-6B5418467181}"/>
              </c:ext>
            </c:extLst>
          </c:dPt>
          <c:dPt>
            <c:idx val="53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FC-F2A4-406A-A7DA-6B5418467181}"/>
              </c:ext>
            </c:extLst>
          </c:dPt>
          <c:dPt>
            <c:idx val="53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FD-F2A4-406A-A7DA-6B5418467181}"/>
              </c:ext>
            </c:extLst>
          </c:dPt>
          <c:dPt>
            <c:idx val="53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FE-F2A4-406A-A7DA-6B5418467181}"/>
              </c:ext>
            </c:extLst>
          </c:dPt>
          <c:dPt>
            <c:idx val="53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FF-F2A4-406A-A7DA-6B5418467181}"/>
              </c:ext>
            </c:extLst>
          </c:dPt>
          <c:dPt>
            <c:idx val="53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00-F2A4-406A-A7DA-6B5418467181}"/>
              </c:ext>
            </c:extLst>
          </c:dPt>
          <c:dPt>
            <c:idx val="53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01-F2A4-406A-A7DA-6B5418467181}"/>
              </c:ext>
            </c:extLst>
          </c:dPt>
          <c:dPt>
            <c:idx val="53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02-F2A4-406A-A7DA-6B5418467181}"/>
              </c:ext>
            </c:extLst>
          </c:dPt>
          <c:dPt>
            <c:idx val="53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03-F2A4-406A-A7DA-6B5418467181}"/>
              </c:ext>
            </c:extLst>
          </c:dPt>
          <c:dPt>
            <c:idx val="53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04-F2A4-406A-A7DA-6B5418467181}"/>
              </c:ext>
            </c:extLst>
          </c:dPt>
          <c:dPt>
            <c:idx val="54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05-F2A4-406A-A7DA-6B5418467181}"/>
              </c:ext>
            </c:extLst>
          </c:dPt>
          <c:dPt>
            <c:idx val="54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06-F2A4-406A-A7DA-6B5418467181}"/>
              </c:ext>
            </c:extLst>
          </c:dPt>
          <c:dPt>
            <c:idx val="54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07-F2A4-406A-A7DA-6B5418467181}"/>
              </c:ext>
            </c:extLst>
          </c:dPt>
          <c:dPt>
            <c:idx val="54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08-F2A4-406A-A7DA-6B5418467181}"/>
              </c:ext>
            </c:extLst>
          </c:dPt>
          <c:dPt>
            <c:idx val="54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09-F2A4-406A-A7DA-6B5418467181}"/>
              </c:ext>
            </c:extLst>
          </c:dPt>
          <c:dPt>
            <c:idx val="54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0A-F2A4-406A-A7DA-6B5418467181}"/>
              </c:ext>
            </c:extLst>
          </c:dPt>
          <c:dPt>
            <c:idx val="54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0B-F2A4-406A-A7DA-6B5418467181}"/>
              </c:ext>
            </c:extLst>
          </c:dPt>
          <c:dPt>
            <c:idx val="54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0C-F2A4-406A-A7DA-6B5418467181}"/>
              </c:ext>
            </c:extLst>
          </c:dPt>
          <c:dPt>
            <c:idx val="54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0D-F2A4-406A-A7DA-6B5418467181}"/>
              </c:ext>
            </c:extLst>
          </c:dPt>
          <c:dPt>
            <c:idx val="54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0E-F2A4-406A-A7DA-6B5418467181}"/>
              </c:ext>
            </c:extLst>
          </c:dPt>
          <c:dPt>
            <c:idx val="55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0F-F2A4-406A-A7DA-6B5418467181}"/>
              </c:ext>
            </c:extLst>
          </c:dPt>
          <c:dPt>
            <c:idx val="55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10-F2A4-406A-A7DA-6B5418467181}"/>
              </c:ext>
            </c:extLst>
          </c:dPt>
          <c:dPt>
            <c:idx val="552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11-F2A4-406A-A7DA-6B5418467181}"/>
              </c:ext>
            </c:extLst>
          </c:dPt>
          <c:dPt>
            <c:idx val="55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12-F2A4-406A-A7DA-6B5418467181}"/>
              </c:ext>
            </c:extLst>
          </c:dPt>
          <c:dPt>
            <c:idx val="554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13-F2A4-406A-A7DA-6B5418467181}"/>
              </c:ext>
            </c:extLst>
          </c:dPt>
          <c:dPt>
            <c:idx val="55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14-F2A4-406A-A7DA-6B5418467181}"/>
              </c:ext>
            </c:extLst>
          </c:dPt>
          <c:dPt>
            <c:idx val="556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15-F2A4-406A-A7DA-6B5418467181}"/>
              </c:ext>
            </c:extLst>
          </c:dPt>
          <c:dPt>
            <c:idx val="55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16-F2A4-406A-A7DA-6B5418467181}"/>
              </c:ext>
            </c:extLst>
          </c:dPt>
          <c:dPt>
            <c:idx val="55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17-F2A4-406A-A7DA-6B5418467181}"/>
              </c:ext>
            </c:extLst>
          </c:dPt>
          <c:dPt>
            <c:idx val="55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18-F2A4-406A-A7DA-6B5418467181}"/>
              </c:ext>
            </c:extLst>
          </c:dPt>
          <c:dPt>
            <c:idx val="560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19-F2A4-406A-A7DA-6B5418467181}"/>
              </c:ext>
            </c:extLst>
          </c:dPt>
          <c:dPt>
            <c:idx val="56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1A-F2A4-406A-A7DA-6B5418467181}"/>
              </c:ext>
            </c:extLst>
          </c:dPt>
          <c:dPt>
            <c:idx val="56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1B-F2A4-406A-A7DA-6B5418467181}"/>
              </c:ext>
            </c:extLst>
          </c:dPt>
          <c:dPt>
            <c:idx val="563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1C-F2A4-406A-A7DA-6B5418467181}"/>
              </c:ext>
            </c:extLst>
          </c:dPt>
          <c:dPt>
            <c:idx val="56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1D-F2A4-406A-A7DA-6B5418467181}"/>
              </c:ext>
            </c:extLst>
          </c:dPt>
          <c:dPt>
            <c:idx val="56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1E-F2A4-406A-A7DA-6B5418467181}"/>
              </c:ext>
            </c:extLst>
          </c:dPt>
          <c:dPt>
            <c:idx val="56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1F-F2A4-406A-A7DA-6B5418467181}"/>
              </c:ext>
            </c:extLst>
          </c:dPt>
          <c:dPt>
            <c:idx val="567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20-F2A4-406A-A7DA-6B5418467181}"/>
              </c:ext>
            </c:extLst>
          </c:dPt>
          <c:dPt>
            <c:idx val="56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21-F2A4-406A-A7DA-6B5418467181}"/>
              </c:ext>
            </c:extLst>
          </c:dPt>
          <c:dPt>
            <c:idx val="56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22-F2A4-406A-A7DA-6B5418467181}"/>
              </c:ext>
            </c:extLst>
          </c:dPt>
          <c:dPt>
            <c:idx val="57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23-F2A4-406A-A7DA-6B5418467181}"/>
              </c:ext>
            </c:extLst>
          </c:dPt>
          <c:dPt>
            <c:idx val="57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24-F2A4-406A-A7DA-6B5418467181}"/>
              </c:ext>
            </c:extLst>
          </c:dPt>
          <c:dPt>
            <c:idx val="57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25-F2A4-406A-A7DA-6B5418467181}"/>
              </c:ext>
            </c:extLst>
          </c:dPt>
          <c:dPt>
            <c:idx val="57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26-F2A4-406A-A7DA-6B5418467181}"/>
              </c:ext>
            </c:extLst>
          </c:dPt>
          <c:dPt>
            <c:idx val="57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27-F2A4-406A-A7DA-6B5418467181}"/>
              </c:ext>
            </c:extLst>
          </c:dPt>
          <c:dPt>
            <c:idx val="57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28-F2A4-406A-A7DA-6B5418467181}"/>
              </c:ext>
            </c:extLst>
          </c:dPt>
          <c:dPt>
            <c:idx val="57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29-F2A4-406A-A7DA-6B5418467181}"/>
              </c:ext>
            </c:extLst>
          </c:dPt>
          <c:dPt>
            <c:idx val="577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2A-F2A4-406A-A7DA-6B5418467181}"/>
              </c:ext>
            </c:extLst>
          </c:dPt>
          <c:dPt>
            <c:idx val="57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2B-F2A4-406A-A7DA-6B5418467181}"/>
              </c:ext>
            </c:extLst>
          </c:dPt>
          <c:dPt>
            <c:idx val="57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2C-F2A4-406A-A7DA-6B5418467181}"/>
              </c:ext>
            </c:extLst>
          </c:dPt>
          <c:dPt>
            <c:idx val="58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2D-F2A4-406A-A7DA-6B5418467181}"/>
              </c:ext>
            </c:extLst>
          </c:dPt>
          <c:dPt>
            <c:idx val="58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2E-F2A4-406A-A7DA-6B5418467181}"/>
              </c:ext>
            </c:extLst>
          </c:dPt>
          <c:dPt>
            <c:idx val="58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2F-F2A4-406A-A7DA-6B5418467181}"/>
              </c:ext>
            </c:extLst>
          </c:dPt>
          <c:dPt>
            <c:idx val="58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30-F2A4-406A-A7DA-6B5418467181}"/>
              </c:ext>
            </c:extLst>
          </c:dPt>
          <c:dPt>
            <c:idx val="58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31-F2A4-406A-A7DA-6B5418467181}"/>
              </c:ext>
            </c:extLst>
          </c:dPt>
          <c:dPt>
            <c:idx val="585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32-F2A4-406A-A7DA-6B5418467181}"/>
              </c:ext>
            </c:extLst>
          </c:dPt>
          <c:dPt>
            <c:idx val="58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33-F2A4-406A-A7DA-6B5418467181}"/>
              </c:ext>
            </c:extLst>
          </c:dPt>
          <c:dPt>
            <c:idx val="58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34-F2A4-406A-A7DA-6B5418467181}"/>
              </c:ext>
            </c:extLst>
          </c:dPt>
          <c:dPt>
            <c:idx val="58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35-F2A4-406A-A7DA-6B5418467181}"/>
              </c:ext>
            </c:extLst>
          </c:dPt>
          <c:dPt>
            <c:idx val="58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36-F2A4-406A-A7DA-6B5418467181}"/>
              </c:ext>
            </c:extLst>
          </c:dPt>
          <c:dPt>
            <c:idx val="59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37-F2A4-406A-A7DA-6B5418467181}"/>
              </c:ext>
            </c:extLst>
          </c:dPt>
          <c:dPt>
            <c:idx val="59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38-F2A4-406A-A7DA-6B5418467181}"/>
              </c:ext>
            </c:extLst>
          </c:dPt>
          <c:dPt>
            <c:idx val="59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39-F2A4-406A-A7DA-6B5418467181}"/>
              </c:ext>
            </c:extLst>
          </c:dPt>
          <c:dPt>
            <c:idx val="59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3A-F2A4-406A-A7DA-6B5418467181}"/>
              </c:ext>
            </c:extLst>
          </c:dPt>
          <c:dPt>
            <c:idx val="59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3B-F2A4-406A-A7DA-6B5418467181}"/>
              </c:ext>
            </c:extLst>
          </c:dPt>
          <c:dPt>
            <c:idx val="59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3C-F2A4-406A-A7DA-6B5418467181}"/>
              </c:ext>
            </c:extLst>
          </c:dPt>
          <c:dPt>
            <c:idx val="59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3D-F2A4-406A-A7DA-6B5418467181}"/>
              </c:ext>
            </c:extLst>
          </c:dPt>
          <c:dPt>
            <c:idx val="597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3E-F2A4-406A-A7DA-6B5418467181}"/>
              </c:ext>
            </c:extLst>
          </c:dPt>
          <c:dPt>
            <c:idx val="59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3F-F2A4-406A-A7DA-6B5418467181}"/>
              </c:ext>
            </c:extLst>
          </c:dPt>
          <c:dPt>
            <c:idx val="59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40-F2A4-406A-A7DA-6B5418467181}"/>
              </c:ext>
            </c:extLst>
          </c:dPt>
          <c:dPt>
            <c:idx val="60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41-F2A4-406A-A7DA-6B5418467181}"/>
              </c:ext>
            </c:extLst>
          </c:dPt>
          <c:dPt>
            <c:idx val="60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42-F2A4-406A-A7DA-6B5418467181}"/>
              </c:ext>
            </c:extLst>
          </c:dPt>
          <c:dPt>
            <c:idx val="60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43-F2A4-406A-A7DA-6B5418467181}"/>
              </c:ext>
            </c:extLst>
          </c:dPt>
          <c:dPt>
            <c:idx val="603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44-F2A4-406A-A7DA-6B5418467181}"/>
              </c:ext>
            </c:extLst>
          </c:dPt>
          <c:dPt>
            <c:idx val="604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45-F2A4-406A-A7DA-6B5418467181}"/>
              </c:ext>
            </c:extLst>
          </c:dPt>
          <c:dPt>
            <c:idx val="60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46-F2A4-406A-A7DA-6B5418467181}"/>
              </c:ext>
            </c:extLst>
          </c:dPt>
          <c:dPt>
            <c:idx val="60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47-F2A4-406A-A7DA-6B5418467181}"/>
              </c:ext>
            </c:extLst>
          </c:dPt>
          <c:dPt>
            <c:idx val="60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48-F2A4-406A-A7DA-6B5418467181}"/>
              </c:ext>
            </c:extLst>
          </c:dPt>
          <c:dPt>
            <c:idx val="60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49-F2A4-406A-A7DA-6B5418467181}"/>
              </c:ext>
            </c:extLst>
          </c:dPt>
          <c:dPt>
            <c:idx val="60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4A-F2A4-406A-A7DA-6B5418467181}"/>
              </c:ext>
            </c:extLst>
          </c:dPt>
          <c:dPt>
            <c:idx val="61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4B-F2A4-406A-A7DA-6B5418467181}"/>
              </c:ext>
            </c:extLst>
          </c:dPt>
          <c:dPt>
            <c:idx val="61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4C-F2A4-406A-A7DA-6B5418467181}"/>
              </c:ext>
            </c:extLst>
          </c:dPt>
          <c:dPt>
            <c:idx val="61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4D-F2A4-406A-A7DA-6B5418467181}"/>
              </c:ext>
            </c:extLst>
          </c:dPt>
          <c:dPt>
            <c:idx val="61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4E-F2A4-406A-A7DA-6B5418467181}"/>
              </c:ext>
            </c:extLst>
          </c:dPt>
          <c:dPt>
            <c:idx val="61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4F-F2A4-406A-A7DA-6B5418467181}"/>
              </c:ext>
            </c:extLst>
          </c:dPt>
          <c:dPt>
            <c:idx val="61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50-F2A4-406A-A7DA-6B5418467181}"/>
              </c:ext>
            </c:extLst>
          </c:dPt>
          <c:dPt>
            <c:idx val="61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51-F2A4-406A-A7DA-6B5418467181}"/>
              </c:ext>
            </c:extLst>
          </c:dPt>
          <c:dPt>
            <c:idx val="617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52-F2A4-406A-A7DA-6B5418467181}"/>
              </c:ext>
            </c:extLst>
          </c:dPt>
          <c:dPt>
            <c:idx val="61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53-F2A4-406A-A7DA-6B5418467181}"/>
              </c:ext>
            </c:extLst>
          </c:dPt>
          <c:dPt>
            <c:idx val="619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54-F2A4-406A-A7DA-6B5418467181}"/>
              </c:ext>
            </c:extLst>
          </c:dPt>
          <c:dPt>
            <c:idx val="62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55-F2A4-406A-A7DA-6B5418467181}"/>
              </c:ext>
            </c:extLst>
          </c:dPt>
          <c:dPt>
            <c:idx val="62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56-F2A4-406A-A7DA-6B5418467181}"/>
              </c:ext>
            </c:extLst>
          </c:dPt>
          <c:dPt>
            <c:idx val="622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57-F2A4-406A-A7DA-6B5418467181}"/>
              </c:ext>
            </c:extLst>
          </c:dPt>
          <c:dPt>
            <c:idx val="62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58-F2A4-406A-A7DA-6B5418467181}"/>
              </c:ext>
            </c:extLst>
          </c:dPt>
          <c:dPt>
            <c:idx val="62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59-F2A4-406A-A7DA-6B5418467181}"/>
              </c:ext>
            </c:extLst>
          </c:dPt>
          <c:dPt>
            <c:idx val="62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5A-F2A4-406A-A7DA-6B5418467181}"/>
              </c:ext>
            </c:extLst>
          </c:dPt>
          <c:dPt>
            <c:idx val="62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5B-F2A4-406A-A7DA-6B5418467181}"/>
              </c:ext>
            </c:extLst>
          </c:dPt>
          <c:dPt>
            <c:idx val="62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5C-F2A4-406A-A7DA-6B5418467181}"/>
              </c:ext>
            </c:extLst>
          </c:dPt>
          <c:dPt>
            <c:idx val="62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5D-F2A4-406A-A7DA-6B5418467181}"/>
              </c:ext>
            </c:extLst>
          </c:dPt>
          <c:dPt>
            <c:idx val="62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5E-F2A4-406A-A7DA-6B5418467181}"/>
              </c:ext>
            </c:extLst>
          </c:dPt>
          <c:dPt>
            <c:idx val="63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5F-F2A4-406A-A7DA-6B5418467181}"/>
              </c:ext>
            </c:extLst>
          </c:dPt>
          <c:dPt>
            <c:idx val="63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60-F2A4-406A-A7DA-6B5418467181}"/>
              </c:ext>
            </c:extLst>
          </c:dPt>
          <c:dPt>
            <c:idx val="632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61-F2A4-406A-A7DA-6B5418467181}"/>
              </c:ext>
            </c:extLst>
          </c:dPt>
          <c:dPt>
            <c:idx val="63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62-F2A4-406A-A7DA-6B5418467181}"/>
              </c:ext>
            </c:extLst>
          </c:dPt>
          <c:dPt>
            <c:idx val="634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63-F2A4-406A-A7DA-6B5418467181}"/>
              </c:ext>
            </c:extLst>
          </c:dPt>
          <c:dPt>
            <c:idx val="63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64-F2A4-406A-A7DA-6B5418467181}"/>
              </c:ext>
            </c:extLst>
          </c:dPt>
          <c:dPt>
            <c:idx val="63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65-F2A4-406A-A7DA-6B5418467181}"/>
              </c:ext>
            </c:extLst>
          </c:dPt>
          <c:dPt>
            <c:idx val="63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66-F2A4-406A-A7DA-6B5418467181}"/>
              </c:ext>
            </c:extLst>
          </c:dPt>
          <c:dPt>
            <c:idx val="63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67-F2A4-406A-A7DA-6B5418467181}"/>
              </c:ext>
            </c:extLst>
          </c:dPt>
          <c:dPt>
            <c:idx val="639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68-F2A4-406A-A7DA-6B5418467181}"/>
              </c:ext>
            </c:extLst>
          </c:dPt>
          <c:dPt>
            <c:idx val="64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69-F2A4-406A-A7DA-6B5418467181}"/>
              </c:ext>
            </c:extLst>
          </c:dPt>
          <c:dPt>
            <c:idx val="64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6A-F2A4-406A-A7DA-6B5418467181}"/>
              </c:ext>
            </c:extLst>
          </c:dPt>
          <c:dPt>
            <c:idx val="64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6B-F2A4-406A-A7DA-6B5418467181}"/>
              </c:ext>
            </c:extLst>
          </c:dPt>
          <c:dPt>
            <c:idx val="64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6C-F2A4-406A-A7DA-6B5418467181}"/>
              </c:ext>
            </c:extLst>
          </c:dPt>
          <c:dPt>
            <c:idx val="644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6D-F2A4-406A-A7DA-6B5418467181}"/>
              </c:ext>
            </c:extLst>
          </c:dPt>
          <c:dPt>
            <c:idx val="64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6E-F2A4-406A-A7DA-6B5418467181}"/>
              </c:ext>
            </c:extLst>
          </c:dPt>
          <c:dPt>
            <c:idx val="646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6F-F2A4-406A-A7DA-6B5418467181}"/>
              </c:ext>
            </c:extLst>
          </c:dPt>
          <c:dPt>
            <c:idx val="64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70-F2A4-406A-A7DA-6B5418467181}"/>
              </c:ext>
            </c:extLst>
          </c:dPt>
          <c:dPt>
            <c:idx val="648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71-F2A4-406A-A7DA-6B5418467181}"/>
              </c:ext>
            </c:extLst>
          </c:dPt>
          <c:dPt>
            <c:idx val="649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72-F2A4-406A-A7DA-6B5418467181}"/>
              </c:ext>
            </c:extLst>
          </c:dPt>
          <c:dPt>
            <c:idx val="65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73-F2A4-406A-A7DA-6B5418467181}"/>
              </c:ext>
            </c:extLst>
          </c:dPt>
          <c:dPt>
            <c:idx val="651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74-F2A4-406A-A7DA-6B5418467181}"/>
              </c:ext>
            </c:extLst>
          </c:dPt>
          <c:dPt>
            <c:idx val="65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75-F2A4-406A-A7DA-6B5418467181}"/>
              </c:ext>
            </c:extLst>
          </c:dPt>
          <c:dPt>
            <c:idx val="65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76-F2A4-406A-A7DA-6B5418467181}"/>
              </c:ext>
            </c:extLst>
          </c:dPt>
          <c:dPt>
            <c:idx val="654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77-F2A4-406A-A7DA-6B5418467181}"/>
              </c:ext>
            </c:extLst>
          </c:dPt>
          <c:dPt>
            <c:idx val="65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78-F2A4-406A-A7DA-6B5418467181}"/>
              </c:ext>
            </c:extLst>
          </c:dPt>
          <c:dPt>
            <c:idx val="65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79-F2A4-406A-A7DA-6B5418467181}"/>
              </c:ext>
            </c:extLst>
          </c:dPt>
          <c:dPt>
            <c:idx val="65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7A-F2A4-406A-A7DA-6B5418467181}"/>
              </c:ext>
            </c:extLst>
          </c:dPt>
          <c:dPt>
            <c:idx val="65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7B-F2A4-406A-A7DA-6B5418467181}"/>
              </c:ext>
            </c:extLst>
          </c:dPt>
          <c:dPt>
            <c:idx val="65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7C-F2A4-406A-A7DA-6B5418467181}"/>
              </c:ext>
            </c:extLst>
          </c:dPt>
          <c:dPt>
            <c:idx val="66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7D-F2A4-406A-A7DA-6B5418467181}"/>
              </c:ext>
            </c:extLst>
          </c:dPt>
          <c:dPt>
            <c:idx val="661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7E-F2A4-406A-A7DA-6B5418467181}"/>
              </c:ext>
            </c:extLst>
          </c:dPt>
          <c:dPt>
            <c:idx val="66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7F-F2A4-406A-A7DA-6B5418467181}"/>
              </c:ext>
            </c:extLst>
          </c:dPt>
          <c:dPt>
            <c:idx val="66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80-F2A4-406A-A7DA-6B5418467181}"/>
              </c:ext>
            </c:extLst>
          </c:dPt>
          <c:dPt>
            <c:idx val="66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81-F2A4-406A-A7DA-6B5418467181}"/>
              </c:ext>
            </c:extLst>
          </c:dPt>
          <c:dPt>
            <c:idx val="665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82-F2A4-406A-A7DA-6B5418467181}"/>
              </c:ext>
            </c:extLst>
          </c:dPt>
          <c:dPt>
            <c:idx val="666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83-F2A4-406A-A7DA-6B5418467181}"/>
              </c:ext>
            </c:extLst>
          </c:dPt>
          <c:dPt>
            <c:idx val="66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84-F2A4-406A-A7DA-6B5418467181}"/>
              </c:ext>
            </c:extLst>
          </c:dPt>
          <c:dPt>
            <c:idx val="66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85-F2A4-406A-A7DA-6B5418467181}"/>
              </c:ext>
            </c:extLst>
          </c:dPt>
          <c:dPt>
            <c:idx val="66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86-F2A4-406A-A7DA-6B5418467181}"/>
              </c:ext>
            </c:extLst>
          </c:dPt>
          <c:dPt>
            <c:idx val="670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87-F2A4-406A-A7DA-6B5418467181}"/>
              </c:ext>
            </c:extLst>
          </c:dPt>
          <c:dPt>
            <c:idx val="67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88-F2A4-406A-A7DA-6B5418467181}"/>
              </c:ext>
            </c:extLst>
          </c:dPt>
          <c:dPt>
            <c:idx val="67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89-F2A4-406A-A7DA-6B5418467181}"/>
              </c:ext>
            </c:extLst>
          </c:dPt>
          <c:dPt>
            <c:idx val="673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8A-F2A4-406A-A7DA-6B5418467181}"/>
              </c:ext>
            </c:extLst>
          </c:dPt>
          <c:dPt>
            <c:idx val="674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8B-F2A4-406A-A7DA-6B5418467181}"/>
              </c:ext>
            </c:extLst>
          </c:dPt>
          <c:dPt>
            <c:idx val="67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8C-F2A4-406A-A7DA-6B5418467181}"/>
              </c:ext>
            </c:extLst>
          </c:dPt>
          <c:dPt>
            <c:idx val="676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8D-F2A4-406A-A7DA-6B5418467181}"/>
              </c:ext>
            </c:extLst>
          </c:dPt>
          <c:dPt>
            <c:idx val="67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8E-F2A4-406A-A7DA-6B5418467181}"/>
              </c:ext>
            </c:extLst>
          </c:dPt>
          <c:dPt>
            <c:idx val="67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8F-F2A4-406A-A7DA-6B5418467181}"/>
              </c:ext>
            </c:extLst>
          </c:dPt>
          <c:dPt>
            <c:idx val="67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90-F2A4-406A-A7DA-6B5418467181}"/>
              </c:ext>
            </c:extLst>
          </c:dPt>
          <c:dPt>
            <c:idx val="68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91-F2A4-406A-A7DA-6B5418467181}"/>
              </c:ext>
            </c:extLst>
          </c:dPt>
          <c:dPt>
            <c:idx val="68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92-F2A4-406A-A7DA-6B5418467181}"/>
              </c:ext>
            </c:extLst>
          </c:dPt>
          <c:dPt>
            <c:idx val="682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93-F2A4-406A-A7DA-6B5418467181}"/>
              </c:ext>
            </c:extLst>
          </c:dPt>
          <c:dPt>
            <c:idx val="68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94-F2A4-406A-A7DA-6B5418467181}"/>
              </c:ext>
            </c:extLst>
          </c:dPt>
          <c:dPt>
            <c:idx val="68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95-F2A4-406A-A7DA-6B5418467181}"/>
              </c:ext>
            </c:extLst>
          </c:dPt>
          <c:dPt>
            <c:idx val="68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96-F2A4-406A-A7DA-6B5418467181}"/>
              </c:ext>
            </c:extLst>
          </c:dPt>
          <c:dPt>
            <c:idx val="68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97-F2A4-406A-A7DA-6B5418467181}"/>
              </c:ext>
            </c:extLst>
          </c:dPt>
          <c:dPt>
            <c:idx val="687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98-F2A4-406A-A7DA-6B5418467181}"/>
              </c:ext>
            </c:extLst>
          </c:dPt>
          <c:dPt>
            <c:idx val="688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99-F2A4-406A-A7DA-6B5418467181}"/>
              </c:ext>
            </c:extLst>
          </c:dPt>
          <c:dPt>
            <c:idx val="68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9A-F2A4-406A-A7DA-6B5418467181}"/>
              </c:ext>
            </c:extLst>
          </c:dPt>
          <c:dPt>
            <c:idx val="69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9B-F2A4-406A-A7DA-6B5418467181}"/>
              </c:ext>
            </c:extLst>
          </c:dPt>
          <c:dPt>
            <c:idx val="69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9C-F2A4-406A-A7DA-6B5418467181}"/>
              </c:ext>
            </c:extLst>
          </c:dPt>
          <c:dPt>
            <c:idx val="69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9D-F2A4-406A-A7DA-6B5418467181}"/>
              </c:ext>
            </c:extLst>
          </c:dPt>
          <c:dPt>
            <c:idx val="693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9E-F2A4-406A-A7DA-6B5418467181}"/>
              </c:ext>
            </c:extLst>
          </c:dPt>
          <c:dPt>
            <c:idx val="69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9F-F2A4-406A-A7DA-6B5418467181}"/>
              </c:ext>
            </c:extLst>
          </c:dPt>
          <c:dPt>
            <c:idx val="69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A0-F2A4-406A-A7DA-6B5418467181}"/>
              </c:ext>
            </c:extLst>
          </c:dPt>
          <c:dPt>
            <c:idx val="69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A1-F2A4-406A-A7DA-6B5418467181}"/>
              </c:ext>
            </c:extLst>
          </c:dPt>
          <c:dPt>
            <c:idx val="69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A2-F2A4-406A-A7DA-6B5418467181}"/>
              </c:ext>
            </c:extLst>
          </c:dPt>
          <c:dPt>
            <c:idx val="698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A3-F2A4-406A-A7DA-6B5418467181}"/>
              </c:ext>
            </c:extLst>
          </c:dPt>
          <c:dPt>
            <c:idx val="699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A4-F2A4-406A-A7DA-6B5418467181}"/>
              </c:ext>
            </c:extLst>
          </c:dPt>
          <c:dPt>
            <c:idx val="70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A5-F2A4-406A-A7DA-6B5418467181}"/>
              </c:ext>
            </c:extLst>
          </c:dPt>
          <c:dPt>
            <c:idx val="70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A6-F2A4-406A-A7DA-6B5418467181}"/>
              </c:ext>
            </c:extLst>
          </c:dPt>
          <c:dPt>
            <c:idx val="70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A7-F2A4-406A-A7DA-6B5418467181}"/>
              </c:ext>
            </c:extLst>
          </c:dPt>
          <c:dPt>
            <c:idx val="70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A8-F2A4-406A-A7DA-6B5418467181}"/>
              </c:ext>
            </c:extLst>
          </c:dPt>
          <c:dPt>
            <c:idx val="70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A9-F2A4-406A-A7DA-6B5418467181}"/>
              </c:ext>
            </c:extLst>
          </c:dPt>
          <c:dPt>
            <c:idx val="705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AA-F2A4-406A-A7DA-6B5418467181}"/>
              </c:ext>
            </c:extLst>
          </c:dPt>
          <c:dPt>
            <c:idx val="70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AB-F2A4-406A-A7DA-6B5418467181}"/>
              </c:ext>
            </c:extLst>
          </c:dPt>
          <c:dPt>
            <c:idx val="707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AC-F2A4-406A-A7DA-6B5418467181}"/>
              </c:ext>
            </c:extLst>
          </c:dPt>
          <c:dPt>
            <c:idx val="708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AD-F2A4-406A-A7DA-6B5418467181}"/>
              </c:ext>
            </c:extLst>
          </c:dPt>
          <c:dPt>
            <c:idx val="70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AE-F2A4-406A-A7DA-6B5418467181}"/>
              </c:ext>
            </c:extLst>
          </c:dPt>
          <c:dPt>
            <c:idx val="71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AF-F2A4-406A-A7DA-6B5418467181}"/>
              </c:ext>
            </c:extLst>
          </c:dPt>
          <c:dPt>
            <c:idx val="71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B0-F2A4-406A-A7DA-6B5418467181}"/>
              </c:ext>
            </c:extLst>
          </c:dPt>
          <c:dPt>
            <c:idx val="71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B1-F2A4-406A-A7DA-6B5418467181}"/>
              </c:ext>
            </c:extLst>
          </c:dPt>
          <c:dPt>
            <c:idx val="713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B2-F2A4-406A-A7DA-6B5418467181}"/>
              </c:ext>
            </c:extLst>
          </c:dPt>
          <c:dPt>
            <c:idx val="71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B3-F2A4-406A-A7DA-6B5418467181}"/>
              </c:ext>
            </c:extLst>
          </c:dPt>
          <c:dPt>
            <c:idx val="71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B4-F2A4-406A-A7DA-6B5418467181}"/>
              </c:ext>
            </c:extLst>
          </c:dPt>
          <c:dPt>
            <c:idx val="71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B5-F2A4-406A-A7DA-6B5418467181}"/>
              </c:ext>
            </c:extLst>
          </c:dPt>
          <c:dPt>
            <c:idx val="71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B6-F2A4-406A-A7DA-6B5418467181}"/>
              </c:ext>
            </c:extLst>
          </c:dPt>
          <c:dPt>
            <c:idx val="71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B7-F2A4-406A-A7DA-6B5418467181}"/>
              </c:ext>
            </c:extLst>
          </c:dPt>
          <c:dPt>
            <c:idx val="71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B8-F2A4-406A-A7DA-6B5418467181}"/>
              </c:ext>
            </c:extLst>
          </c:dPt>
          <c:dPt>
            <c:idx val="720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B9-F2A4-406A-A7DA-6B5418467181}"/>
              </c:ext>
            </c:extLst>
          </c:dPt>
          <c:dPt>
            <c:idx val="72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BA-F2A4-406A-A7DA-6B5418467181}"/>
              </c:ext>
            </c:extLst>
          </c:dPt>
          <c:dPt>
            <c:idx val="72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BB-F2A4-406A-A7DA-6B5418467181}"/>
              </c:ext>
            </c:extLst>
          </c:dPt>
          <c:dPt>
            <c:idx val="72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BC-F2A4-406A-A7DA-6B5418467181}"/>
              </c:ext>
            </c:extLst>
          </c:dPt>
          <c:dPt>
            <c:idx val="72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BD-F2A4-406A-A7DA-6B5418467181}"/>
              </c:ext>
            </c:extLst>
          </c:dPt>
          <c:dPt>
            <c:idx val="725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BE-F2A4-406A-A7DA-6B5418467181}"/>
              </c:ext>
            </c:extLst>
          </c:dPt>
          <c:dPt>
            <c:idx val="72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BF-F2A4-406A-A7DA-6B5418467181}"/>
              </c:ext>
            </c:extLst>
          </c:dPt>
          <c:dPt>
            <c:idx val="72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C0-F2A4-406A-A7DA-6B5418467181}"/>
              </c:ext>
            </c:extLst>
          </c:dPt>
          <c:dPt>
            <c:idx val="728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C1-F2A4-406A-A7DA-6B5418467181}"/>
              </c:ext>
            </c:extLst>
          </c:dPt>
          <c:dPt>
            <c:idx val="72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C2-F2A4-406A-A7DA-6B5418467181}"/>
              </c:ext>
            </c:extLst>
          </c:dPt>
          <c:dPt>
            <c:idx val="73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C3-F2A4-406A-A7DA-6B5418467181}"/>
              </c:ext>
            </c:extLst>
          </c:dPt>
          <c:dPt>
            <c:idx val="73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C4-F2A4-406A-A7DA-6B5418467181}"/>
              </c:ext>
            </c:extLst>
          </c:dPt>
          <c:dPt>
            <c:idx val="73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C5-F2A4-406A-A7DA-6B5418467181}"/>
              </c:ext>
            </c:extLst>
          </c:dPt>
          <c:dPt>
            <c:idx val="733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C6-F2A4-406A-A7DA-6B5418467181}"/>
              </c:ext>
            </c:extLst>
          </c:dPt>
          <c:dPt>
            <c:idx val="73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C7-F2A4-406A-A7DA-6B5418467181}"/>
              </c:ext>
            </c:extLst>
          </c:dPt>
          <c:dPt>
            <c:idx val="73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C8-F2A4-406A-A7DA-6B5418467181}"/>
              </c:ext>
            </c:extLst>
          </c:dPt>
          <c:dPt>
            <c:idx val="73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C9-F2A4-406A-A7DA-6B5418467181}"/>
              </c:ext>
            </c:extLst>
          </c:dPt>
          <c:dPt>
            <c:idx val="73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CA-F2A4-406A-A7DA-6B5418467181}"/>
              </c:ext>
            </c:extLst>
          </c:dPt>
          <c:dPt>
            <c:idx val="73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CB-F2A4-406A-A7DA-6B5418467181}"/>
              </c:ext>
            </c:extLst>
          </c:dPt>
          <c:dPt>
            <c:idx val="73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CC-F2A4-406A-A7DA-6B5418467181}"/>
              </c:ext>
            </c:extLst>
          </c:dPt>
          <c:dPt>
            <c:idx val="74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CD-F2A4-406A-A7DA-6B5418467181}"/>
              </c:ext>
            </c:extLst>
          </c:dPt>
          <c:dPt>
            <c:idx val="74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CE-F2A4-406A-A7DA-6B5418467181}"/>
              </c:ext>
            </c:extLst>
          </c:dPt>
          <c:dPt>
            <c:idx val="74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CF-F2A4-406A-A7DA-6B5418467181}"/>
              </c:ext>
            </c:extLst>
          </c:dPt>
          <c:dPt>
            <c:idx val="74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D0-F2A4-406A-A7DA-6B5418467181}"/>
              </c:ext>
            </c:extLst>
          </c:dPt>
          <c:dPt>
            <c:idx val="74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D1-F2A4-406A-A7DA-6B5418467181}"/>
              </c:ext>
            </c:extLst>
          </c:dPt>
          <c:dPt>
            <c:idx val="74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D2-F2A4-406A-A7DA-6B5418467181}"/>
              </c:ext>
            </c:extLst>
          </c:dPt>
          <c:dPt>
            <c:idx val="746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D3-F2A4-406A-A7DA-6B5418467181}"/>
              </c:ext>
            </c:extLst>
          </c:dPt>
          <c:dPt>
            <c:idx val="74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D4-F2A4-406A-A7DA-6B5418467181}"/>
              </c:ext>
            </c:extLst>
          </c:dPt>
          <c:dPt>
            <c:idx val="74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D5-F2A4-406A-A7DA-6B5418467181}"/>
              </c:ext>
            </c:extLst>
          </c:dPt>
          <c:dPt>
            <c:idx val="74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D6-F2A4-406A-A7DA-6B5418467181}"/>
              </c:ext>
            </c:extLst>
          </c:dPt>
          <c:dPt>
            <c:idx val="75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D7-F2A4-406A-A7DA-6B5418467181}"/>
              </c:ext>
            </c:extLst>
          </c:dPt>
          <c:dPt>
            <c:idx val="75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D8-F2A4-406A-A7DA-6B5418467181}"/>
              </c:ext>
            </c:extLst>
          </c:dPt>
          <c:dPt>
            <c:idx val="75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D9-F2A4-406A-A7DA-6B5418467181}"/>
              </c:ext>
            </c:extLst>
          </c:dPt>
          <c:dPt>
            <c:idx val="75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DA-F2A4-406A-A7DA-6B5418467181}"/>
              </c:ext>
            </c:extLst>
          </c:dPt>
          <c:dPt>
            <c:idx val="75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DB-F2A4-406A-A7DA-6B5418467181}"/>
              </c:ext>
            </c:extLst>
          </c:dPt>
          <c:dPt>
            <c:idx val="75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DC-F2A4-406A-A7DA-6B5418467181}"/>
              </c:ext>
            </c:extLst>
          </c:dPt>
          <c:dPt>
            <c:idx val="756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DD-F2A4-406A-A7DA-6B5418467181}"/>
              </c:ext>
            </c:extLst>
          </c:dPt>
          <c:dPt>
            <c:idx val="75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DE-F2A4-406A-A7DA-6B5418467181}"/>
              </c:ext>
            </c:extLst>
          </c:dPt>
          <c:dPt>
            <c:idx val="75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DF-F2A4-406A-A7DA-6B5418467181}"/>
              </c:ext>
            </c:extLst>
          </c:dPt>
          <c:dPt>
            <c:idx val="75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E0-F2A4-406A-A7DA-6B5418467181}"/>
              </c:ext>
            </c:extLst>
          </c:dPt>
          <c:dPt>
            <c:idx val="76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E1-F2A4-406A-A7DA-6B5418467181}"/>
              </c:ext>
            </c:extLst>
          </c:dPt>
          <c:dPt>
            <c:idx val="76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E2-F2A4-406A-A7DA-6B5418467181}"/>
              </c:ext>
            </c:extLst>
          </c:dPt>
          <c:dPt>
            <c:idx val="76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E3-F2A4-406A-A7DA-6B5418467181}"/>
              </c:ext>
            </c:extLst>
          </c:dPt>
          <c:dPt>
            <c:idx val="76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E4-F2A4-406A-A7DA-6B5418467181}"/>
              </c:ext>
            </c:extLst>
          </c:dPt>
          <c:dPt>
            <c:idx val="76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E5-F2A4-406A-A7DA-6B5418467181}"/>
              </c:ext>
            </c:extLst>
          </c:dPt>
          <c:dPt>
            <c:idx val="76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E6-F2A4-406A-A7DA-6B5418467181}"/>
              </c:ext>
            </c:extLst>
          </c:dPt>
          <c:dPt>
            <c:idx val="76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E7-F2A4-406A-A7DA-6B5418467181}"/>
              </c:ext>
            </c:extLst>
          </c:dPt>
          <c:dPt>
            <c:idx val="76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E8-F2A4-406A-A7DA-6B5418467181}"/>
              </c:ext>
            </c:extLst>
          </c:dPt>
          <c:dPt>
            <c:idx val="768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E9-F2A4-406A-A7DA-6B5418467181}"/>
              </c:ext>
            </c:extLst>
          </c:dPt>
          <c:dPt>
            <c:idx val="76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EA-F2A4-406A-A7DA-6B5418467181}"/>
              </c:ext>
            </c:extLst>
          </c:dPt>
          <c:dPt>
            <c:idx val="77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EB-F2A4-406A-A7DA-6B5418467181}"/>
              </c:ext>
            </c:extLst>
          </c:dPt>
          <c:dPt>
            <c:idx val="77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EC-F2A4-406A-A7DA-6B5418467181}"/>
              </c:ext>
            </c:extLst>
          </c:dPt>
          <c:dPt>
            <c:idx val="77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ED-F2A4-406A-A7DA-6B5418467181}"/>
              </c:ext>
            </c:extLst>
          </c:dPt>
          <c:dPt>
            <c:idx val="77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EE-F2A4-406A-A7DA-6B5418467181}"/>
              </c:ext>
            </c:extLst>
          </c:dPt>
          <c:dPt>
            <c:idx val="77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EF-F2A4-406A-A7DA-6B5418467181}"/>
              </c:ext>
            </c:extLst>
          </c:dPt>
          <c:dPt>
            <c:idx val="77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F0-F2A4-406A-A7DA-6B5418467181}"/>
              </c:ext>
            </c:extLst>
          </c:dPt>
          <c:dPt>
            <c:idx val="77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F1-F2A4-406A-A7DA-6B5418467181}"/>
              </c:ext>
            </c:extLst>
          </c:dPt>
          <c:dPt>
            <c:idx val="77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F2-F2A4-406A-A7DA-6B5418467181}"/>
              </c:ext>
            </c:extLst>
          </c:dPt>
          <c:dPt>
            <c:idx val="77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F3-F2A4-406A-A7DA-6B5418467181}"/>
              </c:ext>
            </c:extLst>
          </c:dPt>
          <c:dPt>
            <c:idx val="77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F4-F2A4-406A-A7DA-6B5418467181}"/>
              </c:ext>
            </c:extLst>
          </c:dPt>
          <c:dPt>
            <c:idx val="78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F5-F2A4-406A-A7DA-6B5418467181}"/>
              </c:ext>
            </c:extLst>
          </c:dPt>
          <c:dPt>
            <c:idx val="78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F6-F2A4-406A-A7DA-6B5418467181}"/>
              </c:ext>
            </c:extLst>
          </c:dPt>
          <c:dPt>
            <c:idx val="78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F7-F2A4-406A-A7DA-6B5418467181}"/>
              </c:ext>
            </c:extLst>
          </c:dPt>
          <c:dPt>
            <c:idx val="78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F8-F2A4-406A-A7DA-6B5418467181}"/>
              </c:ext>
            </c:extLst>
          </c:dPt>
          <c:dPt>
            <c:idx val="78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F9-F2A4-406A-A7DA-6B5418467181}"/>
              </c:ext>
            </c:extLst>
          </c:dPt>
          <c:dPt>
            <c:idx val="785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FA-F2A4-406A-A7DA-6B5418467181}"/>
              </c:ext>
            </c:extLst>
          </c:dPt>
          <c:dPt>
            <c:idx val="78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FB-F2A4-406A-A7DA-6B5418467181}"/>
              </c:ext>
            </c:extLst>
          </c:dPt>
          <c:dPt>
            <c:idx val="787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FC-F2A4-406A-A7DA-6B5418467181}"/>
              </c:ext>
            </c:extLst>
          </c:dPt>
          <c:dPt>
            <c:idx val="78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FD-F2A4-406A-A7DA-6B5418467181}"/>
              </c:ext>
            </c:extLst>
          </c:dPt>
          <c:dPt>
            <c:idx val="78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FE-F2A4-406A-A7DA-6B5418467181}"/>
              </c:ext>
            </c:extLst>
          </c:dPt>
          <c:dPt>
            <c:idx val="79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7FF-F2A4-406A-A7DA-6B5418467181}"/>
              </c:ext>
            </c:extLst>
          </c:dPt>
          <c:dPt>
            <c:idx val="79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00-F2A4-406A-A7DA-6B5418467181}"/>
              </c:ext>
            </c:extLst>
          </c:dPt>
          <c:dPt>
            <c:idx val="79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01-F2A4-406A-A7DA-6B5418467181}"/>
              </c:ext>
            </c:extLst>
          </c:dPt>
          <c:dPt>
            <c:idx val="79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02-F2A4-406A-A7DA-6B5418467181}"/>
              </c:ext>
            </c:extLst>
          </c:dPt>
          <c:dPt>
            <c:idx val="79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03-F2A4-406A-A7DA-6B5418467181}"/>
              </c:ext>
            </c:extLst>
          </c:dPt>
          <c:dPt>
            <c:idx val="79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04-F2A4-406A-A7DA-6B5418467181}"/>
              </c:ext>
            </c:extLst>
          </c:dPt>
          <c:dPt>
            <c:idx val="79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05-F2A4-406A-A7DA-6B5418467181}"/>
              </c:ext>
            </c:extLst>
          </c:dPt>
          <c:dPt>
            <c:idx val="79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06-F2A4-406A-A7DA-6B5418467181}"/>
              </c:ext>
            </c:extLst>
          </c:dPt>
          <c:dPt>
            <c:idx val="79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07-F2A4-406A-A7DA-6B5418467181}"/>
              </c:ext>
            </c:extLst>
          </c:dPt>
          <c:dPt>
            <c:idx val="79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08-F2A4-406A-A7DA-6B5418467181}"/>
              </c:ext>
            </c:extLst>
          </c:dPt>
          <c:dPt>
            <c:idx val="800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09-F2A4-406A-A7DA-6B5418467181}"/>
              </c:ext>
            </c:extLst>
          </c:dPt>
          <c:dPt>
            <c:idx val="80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0A-F2A4-406A-A7DA-6B5418467181}"/>
              </c:ext>
            </c:extLst>
          </c:dPt>
          <c:dPt>
            <c:idx val="80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0B-F2A4-406A-A7DA-6B5418467181}"/>
              </c:ext>
            </c:extLst>
          </c:dPt>
          <c:dPt>
            <c:idx val="80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0C-F2A4-406A-A7DA-6B5418467181}"/>
              </c:ext>
            </c:extLst>
          </c:dPt>
          <c:dPt>
            <c:idx val="80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0D-F2A4-406A-A7DA-6B5418467181}"/>
              </c:ext>
            </c:extLst>
          </c:dPt>
          <c:dPt>
            <c:idx val="80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0E-F2A4-406A-A7DA-6B5418467181}"/>
              </c:ext>
            </c:extLst>
          </c:dPt>
          <c:dPt>
            <c:idx val="80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0F-F2A4-406A-A7DA-6B5418467181}"/>
              </c:ext>
            </c:extLst>
          </c:dPt>
          <c:dPt>
            <c:idx val="80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10-F2A4-406A-A7DA-6B5418467181}"/>
              </c:ext>
            </c:extLst>
          </c:dPt>
          <c:dPt>
            <c:idx val="80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11-F2A4-406A-A7DA-6B5418467181}"/>
              </c:ext>
            </c:extLst>
          </c:dPt>
          <c:dPt>
            <c:idx val="809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12-F2A4-406A-A7DA-6B5418467181}"/>
              </c:ext>
            </c:extLst>
          </c:dPt>
          <c:dPt>
            <c:idx val="81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13-F2A4-406A-A7DA-6B5418467181}"/>
              </c:ext>
            </c:extLst>
          </c:dPt>
          <c:dPt>
            <c:idx val="811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14-F2A4-406A-A7DA-6B5418467181}"/>
              </c:ext>
            </c:extLst>
          </c:dPt>
          <c:dPt>
            <c:idx val="81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15-F2A4-406A-A7DA-6B5418467181}"/>
              </c:ext>
            </c:extLst>
          </c:dPt>
          <c:dPt>
            <c:idx val="81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16-F2A4-406A-A7DA-6B5418467181}"/>
              </c:ext>
            </c:extLst>
          </c:dPt>
          <c:dPt>
            <c:idx val="81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17-F2A4-406A-A7DA-6B5418467181}"/>
              </c:ext>
            </c:extLst>
          </c:dPt>
          <c:dPt>
            <c:idx val="81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18-F2A4-406A-A7DA-6B5418467181}"/>
              </c:ext>
            </c:extLst>
          </c:dPt>
          <c:dPt>
            <c:idx val="81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19-F2A4-406A-A7DA-6B5418467181}"/>
              </c:ext>
            </c:extLst>
          </c:dPt>
          <c:dPt>
            <c:idx val="81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1A-F2A4-406A-A7DA-6B5418467181}"/>
              </c:ext>
            </c:extLst>
          </c:dPt>
          <c:dPt>
            <c:idx val="81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1B-F2A4-406A-A7DA-6B5418467181}"/>
              </c:ext>
            </c:extLst>
          </c:dPt>
          <c:dPt>
            <c:idx val="81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1C-F2A4-406A-A7DA-6B5418467181}"/>
              </c:ext>
            </c:extLst>
          </c:dPt>
          <c:dPt>
            <c:idx val="82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1D-F2A4-406A-A7DA-6B5418467181}"/>
              </c:ext>
            </c:extLst>
          </c:dPt>
          <c:dPt>
            <c:idx val="82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1E-F2A4-406A-A7DA-6B5418467181}"/>
              </c:ext>
            </c:extLst>
          </c:dPt>
          <c:dPt>
            <c:idx val="82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1F-F2A4-406A-A7DA-6B5418467181}"/>
              </c:ext>
            </c:extLst>
          </c:dPt>
          <c:dPt>
            <c:idx val="82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20-F2A4-406A-A7DA-6B5418467181}"/>
              </c:ext>
            </c:extLst>
          </c:dPt>
          <c:dPt>
            <c:idx val="82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21-F2A4-406A-A7DA-6B5418467181}"/>
              </c:ext>
            </c:extLst>
          </c:dPt>
          <c:dPt>
            <c:idx val="825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22-F2A4-406A-A7DA-6B5418467181}"/>
              </c:ext>
            </c:extLst>
          </c:dPt>
          <c:dPt>
            <c:idx val="82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23-F2A4-406A-A7DA-6B5418467181}"/>
              </c:ext>
            </c:extLst>
          </c:dPt>
          <c:dPt>
            <c:idx val="82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24-F2A4-406A-A7DA-6B5418467181}"/>
              </c:ext>
            </c:extLst>
          </c:dPt>
          <c:dPt>
            <c:idx val="82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25-F2A4-406A-A7DA-6B5418467181}"/>
              </c:ext>
            </c:extLst>
          </c:dPt>
          <c:dPt>
            <c:idx val="82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26-F2A4-406A-A7DA-6B5418467181}"/>
              </c:ext>
            </c:extLst>
          </c:dPt>
          <c:dPt>
            <c:idx val="83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27-F2A4-406A-A7DA-6B5418467181}"/>
              </c:ext>
            </c:extLst>
          </c:dPt>
          <c:dPt>
            <c:idx val="831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28-F2A4-406A-A7DA-6B5418467181}"/>
              </c:ext>
            </c:extLst>
          </c:dPt>
          <c:dPt>
            <c:idx val="83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29-F2A4-406A-A7DA-6B5418467181}"/>
              </c:ext>
            </c:extLst>
          </c:dPt>
          <c:dPt>
            <c:idx val="83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2A-F2A4-406A-A7DA-6B5418467181}"/>
              </c:ext>
            </c:extLst>
          </c:dPt>
          <c:dPt>
            <c:idx val="83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2B-F2A4-406A-A7DA-6B5418467181}"/>
              </c:ext>
            </c:extLst>
          </c:dPt>
          <c:dPt>
            <c:idx val="83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2C-F2A4-406A-A7DA-6B5418467181}"/>
              </c:ext>
            </c:extLst>
          </c:dPt>
          <c:dPt>
            <c:idx val="83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2D-F2A4-406A-A7DA-6B5418467181}"/>
              </c:ext>
            </c:extLst>
          </c:dPt>
          <c:dPt>
            <c:idx val="83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2E-F2A4-406A-A7DA-6B5418467181}"/>
              </c:ext>
            </c:extLst>
          </c:dPt>
          <c:dPt>
            <c:idx val="83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2F-F2A4-406A-A7DA-6B5418467181}"/>
              </c:ext>
            </c:extLst>
          </c:dPt>
          <c:dPt>
            <c:idx val="839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30-F2A4-406A-A7DA-6B5418467181}"/>
              </c:ext>
            </c:extLst>
          </c:dPt>
          <c:dPt>
            <c:idx val="84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31-F2A4-406A-A7DA-6B5418467181}"/>
              </c:ext>
            </c:extLst>
          </c:dPt>
          <c:dPt>
            <c:idx val="84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32-F2A4-406A-A7DA-6B5418467181}"/>
              </c:ext>
            </c:extLst>
          </c:dPt>
          <c:dPt>
            <c:idx val="84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33-F2A4-406A-A7DA-6B5418467181}"/>
              </c:ext>
            </c:extLst>
          </c:dPt>
          <c:dPt>
            <c:idx val="84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34-F2A4-406A-A7DA-6B5418467181}"/>
              </c:ext>
            </c:extLst>
          </c:dPt>
          <c:dPt>
            <c:idx val="84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35-F2A4-406A-A7DA-6B5418467181}"/>
              </c:ext>
            </c:extLst>
          </c:dPt>
          <c:dPt>
            <c:idx val="84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36-F2A4-406A-A7DA-6B5418467181}"/>
              </c:ext>
            </c:extLst>
          </c:dPt>
          <c:dPt>
            <c:idx val="84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37-F2A4-406A-A7DA-6B5418467181}"/>
              </c:ext>
            </c:extLst>
          </c:dPt>
          <c:dPt>
            <c:idx val="84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38-F2A4-406A-A7DA-6B5418467181}"/>
              </c:ext>
            </c:extLst>
          </c:dPt>
          <c:dPt>
            <c:idx val="84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39-F2A4-406A-A7DA-6B5418467181}"/>
              </c:ext>
            </c:extLst>
          </c:dPt>
          <c:dPt>
            <c:idx val="84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3A-F2A4-406A-A7DA-6B5418467181}"/>
              </c:ext>
            </c:extLst>
          </c:dPt>
          <c:dPt>
            <c:idx val="85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3B-F2A4-406A-A7DA-6B5418467181}"/>
              </c:ext>
            </c:extLst>
          </c:dPt>
          <c:dPt>
            <c:idx val="85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3C-F2A4-406A-A7DA-6B5418467181}"/>
              </c:ext>
            </c:extLst>
          </c:dPt>
          <c:dPt>
            <c:idx val="85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3D-F2A4-406A-A7DA-6B5418467181}"/>
              </c:ext>
            </c:extLst>
          </c:dPt>
          <c:dPt>
            <c:idx val="85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3E-F2A4-406A-A7DA-6B5418467181}"/>
              </c:ext>
            </c:extLst>
          </c:dPt>
          <c:dPt>
            <c:idx val="85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3F-F2A4-406A-A7DA-6B5418467181}"/>
              </c:ext>
            </c:extLst>
          </c:dPt>
          <c:dPt>
            <c:idx val="85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40-F2A4-406A-A7DA-6B5418467181}"/>
              </c:ext>
            </c:extLst>
          </c:dPt>
          <c:dPt>
            <c:idx val="85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41-F2A4-406A-A7DA-6B5418467181}"/>
              </c:ext>
            </c:extLst>
          </c:dPt>
          <c:dPt>
            <c:idx val="85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42-F2A4-406A-A7DA-6B5418467181}"/>
              </c:ext>
            </c:extLst>
          </c:dPt>
          <c:dPt>
            <c:idx val="85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43-F2A4-406A-A7DA-6B5418467181}"/>
              </c:ext>
            </c:extLst>
          </c:dPt>
          <c:dPt>
            <c:idx val="85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44-F2A4-406A-A7DA-6B5418467181}"/>
              </c:ext>
            </c:extLst>
          </c:dPt>
          <c:dPt>
            <c:idx val="86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45-F2A4-406A-A7DA-6B5418467181}"/>
              </c:ext>
            </c:extLst>
          </c:dPt>
          <c:dPt>
            <c:idx val="86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46-F2A4-406A-A7DA-6B5418467181}"/>
              </c:ext>
            </c:extLst>
          </c:dPt>
          <c:dPt>
            <c:idx val="862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47-F2A4-406A-A7DA-6B5418467181}"/>
              </c:ext>
            </c:extLst>
          </c:dPt>
          <c:dPt>
            <c:idx val="86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48-F2A4-406A-A7DA-6B5418467181}"/>
              </c:ext>
            </c:extLst>
          </c:dPt>
          <c:dPt>
            <c:idx val="864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49-F2A4-406A-A7DA-6B5418467181}"/>
              </c:ext>
            </c:extLst>
          </c:dPt>
          <c:dPt>
            <c:idx val="86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4A-F2A4-406A-A7DA-6B5418467181}"/>
              </c:ext>
            </c:extLst>
          </c:dPt>
          <c:dPt>
            <c:idx val="86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4B-F2A4-406A-A7DA-6B5418467181}"/>
              </c:ext>
            </c:extLst>
          </c:dPt>
          <c:dPt>
            <c:idx val="86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4C-F2A4-406A-A7DA-6B5418467181}"/>
              </c:ext>
            </c:extLst>
          </c:dPt>
          <c:dPt>
            <c:idx val="86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4D-F2A4-406A-A7DA-6B5418467181}"/>
              </c:ext>
            </c:extLst>
          </c:dPt>
          <c:dPt>
            <c:idx val="86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4E-F2A4-406A-A7DA-6B5418467181}"/>
              </c:ext>
            </c:extLst>
          </c:dPt>
          <c:dPt>
            <c:idx val="87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4F-F2A4-406A-A7DA-6B5418467181}"/>
              </c:ext>
            </c:extLst>
          </c:dPt>
          <c:dPt>
            <c:idx val="87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50-F2A4-406A-A7DA-6B5418467181}"/>
              </c:ext>
            </c:extLst>
          </c:dPt>
          <c:dPt>
            <c:idx val="87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51-F2A4-406A-A7DA-6B5418467181}"/>
              </c:ext>
            </c:extLst>
          </c:dPt>
          <c:dPt>
            <c:idx val="87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52-F2A4-406A-A7DA-6B5418467181}"/>
              </c:ext>
            </c:extLst>
          </c:dPt>
          <c:dPt>
            <c:idx val="87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53-F2A4-406A-A7DA-6B5418467181}"/>
              </c:ext>
            </c:extLst>
          </c:dPt>
          <c:dPt>
            <c:idx val="87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54-F2A4-406A-A7DA-6B5418467181}"/>
              </c:ext>
            </c:extLst>
          </c:dPt>
          <c:dPt>
            <c:idx val="87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55-F2A4-406A-A7DA-6B5418467181}"/>
              </c:ext>
            </c:extLst>
          </c:dPt>
          <c:dPt>
            <c:idx val="87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56-F2A4-406A-A7DA-6B5418467181}"/>
              </c:ext>
            </c:extLst>
          </c:dPt>
          <c:dPt>
            <c:idx val="87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57-F2A4-406A-A7DA-6B5418467181}"/>
              </c:ext>
            </c:extLst>
          </c:dPt>
          <c:dPt>
            <c:idx val="87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58-F2A4-406A-A7DA-6B5418467181}"/>
              </c:ext>
            </c:extLst>
          </c:dPt>
          <c:dPt>
            <c:idx val="88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59-F2A4-406A-A7DA-6B5418467181}"/>
              </c:ext>
            </c:extLst>
          </c:dPt>
          <c:dPt>
            <c:idx val="88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5A-F2A4-406A-A7DA-6B5418467181}"/>
              </c:ext>
            </c:extLst>
          </c:dPt>
          <c:dPt>
            <c:idx val="88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5B-F2A4-406A-A7DA-6B5418467181}"/>
              </c:ext>
            </c:extLst>
          </c:dPt>
          <c:dPt>
            <c:idx val="88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5C-F2A4-406A-A7DA-6B5418467181}"/>
              </c:ext>
            </c:extLst>
          </c:dPt>
          <c:dPt>
            <c:idx val="884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5D-F2A4-406A-A7DA-6B5418467181}"/>
              </c:ext>
            </c:extLst>
          </c:dPt>
          <c:dPt>
            <c:idx val="88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5E-F2A4-406A-A7DA-6B5418467181}"/>
              </c:ext>
            </c:extLst>
          </c:dPt>
          <c:dPt>
            <c:idx val="88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5F-F2A4-406A-A7DA-6B5418467181}"/>
              </c:ext>
            </c:extLst>
          </c:dPt>
          <c:dPt>
            <c:idx val="887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60-F2A4-406A-A7DA-6B5418467181}"/>
              </c:ext>
            </c:extLst>
          </c:dPt>
          <c:dPt>
            <c:idx val="88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61-F2A4-406A-A7DA-6B5418467181}"/>
              </c:ext>
            </c:extLst>
          </c:dPt>
          <c:dPt>
            <c:idx val="88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62-F2A4-406A-A7DA-6B5418467181}"/>
              </c:ext>
            </c:extLst>
          </c:dPt>
          <c:dPt>
            <c:idx val="890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63-F2A4-406A-A7DA-6B5418467181}"/>
              </c:ext>
            </c:extLst>
          </c:dPt>
          <c:dPt>
            <c:idx val="89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64-F2A4-406A-A7DA-6B5418467181}"/>
              </c:ext>
            </c:extLst>
          </c:dPt>
          <c:dPt>
            <c:idx val="89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65-F2A4-406A-A7DA-6B5418467181}"/>
              </c:ext>
            </c:extLst>
          </c:dPt>
          <c:dPt>
            <c:idx val="89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66-F2A4-406A-A7DA-6B5418467181}"/>
              </c:ext>
            </c:extLst>
          </c:dPt>
          <c:dPt>
            <c:idx val="894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67-F2A4-406A-A7DA-6B5418467181}"/>
              </c:ext>
            </c:extLst>
          </c:dPt>
          <c:dPt>
            <c:idx val="89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68-F2A4-406A-A7DA-6B5418467181}"/>
              </c:ext>
            </c:extLst>
          </c:dPt>
          <c:dPt>
            <c:idx val="89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69-F2A4-406A-A7DA-6B5418467181}"/>
              </c:ext>
            </c:extLst>
          </c:dPt>
          <c:dPt>
            <c:idx val="89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6A-F2A4-406A-A7DA-6B5418467181}"/>
              </c:ext>
            </c:extLst>
          </c:dPt>
          <c:dPt>
            <c:idx val="89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6B-F2A4-406A-A7DA-6B5418467181}"/>
              </c:ext>
            </c:extLst>
          </c:dPt>
          <c:dPt>
            <c:idx val="89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6C-F2A4-406A-A7DA-6B5418467181}"/>
              </c:ext>
            </c:extLst>
          </c:dPt>
          <c:dPt>
            <c:idx val="900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6D-F2A4-406A-A7DA-6B5418467181}"/>
              </c:ext>
            </c:extLst>
          </c:dPt>
          <c:dPt>
            <c:idx val="901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6E-F2A4-406A-A7DA-6B5418467181}"/>
              </c:ext>
            </c:extLst>
          </c:dPt>
          <c:dPt>
            <c:idx val="90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6F-F2A4-406A-A7DA-6B5418467181}"/>
              </c:ext>
            </c:extLst>
          </c:dPt>
          <c:dPt>
            <c:idx val="90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70-F2A4-406A-A7DA-6B5418467181}"/>
              </c:ext>
            </c:extLst>
          </c:dPt>
          <c:dPt>
            <c:idx val="90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71-F2A4-406A-A7DA-6B5418467181}"/>
              </c:ext>
            </c:extLst>
          </c:dPt>
          <c:dPt>
            <c:idx val="905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72-F2A4-406A-A7DA-6B5418467181}"/>
              </c:ext>
            </c:extLst>
          </c:dPt>
          <c:dPt>
            <c:idx val="90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73-F2A4-406A-A7DA-6B5418467181}"/>
              </c:ext>
            </c:extLst>
          </c:dPt>
          <c:dPt>
            <c:idx val="90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74-F2A4-406A-A7DA-6B5418467181}"/>
              </c:ext>
            </c:extLst>
          </c:dPt>
          <c:dPt>
            <c:idx val="90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75-F2A4-406A-A7DA-6B5418467181}"/>
              </c:ext>
            </c:extLst>
          </c:dPt>
          <c:dPt>
            <c:idx val="90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76-F2A4-406A-A7DA-6B5418467181}"/>
              </c:ext>
            </c:extLst>
          </c:dPt>
          <c:dPt>
            <c:idx val="91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77-F2A4-406A-A7DA-6B5418467181}"/>
              </c:ext>
            </c:extLst>
          </c:dPt>
          <c:dPt>
            <c:idx val="91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78-F2A4-406A-A7DA-6B5418467181}"/>
              </c:ext>
            </c:extLst>
          </c:dPt>
          <c:dPt>
            <c:idx val="91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79-F2A4-406A-A7DA-6B5418467181}"/>
              </c:ext>
            </c:extLst>
          </c:dPt>
          <c:dPt>
            <c:idx val="91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7A-F2A4-406A-A7DA-6B5418467181}"/>
              </c:ext>
            </c:extLst>
          </c:dPt>
          <c:dPt>
            <c:idx val="91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7B-F2A4-406A-A7DA-6B5418467181}"/>
              </c:ext>
            </c:extLst>
          </c:dPt>
          <c:dPt>
            <c:idx val="91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7C-F2A4-406A-A7DA-6B5418467181}"/>
              </c:ext>
            </c:extLst>
          </c:dPt>
          <c:dPt>
            <c:idx val="916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7D-F2A4-406A-A7DA-6B5418467181}"/>
              </c:ext>
            </c:extLst>
          </c:dPt>
          <c:dPt>
            <c:idx val="917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7E-F2A4-406A-A7DA-6B5418467181}"/>
              </c:ext>
            </c:extLst>
          </c:dPt>
          <c:dPt>
            <c:idx val="91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7F-F2A4-406A-A7DA-6B5418467181}"/>
              </c:ext>
            </c:extLst>
          </c:dPt>
          <c:dPt>
            <c:idx val="91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80-F2A4-406A-A7DA-6B5418467181}"/>
              </c:ext>
            </c:extLst>
          </c:dPt>
          <c:dPt>
            <c:idx val="92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81-F2A4-406A-A7DA-6B5418467181}"/>
              </c:ext>
            </c:extLst>
          </c:dPt>
          <c:dPt>
            <c:idx val="92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82-F2A4-406A-A7DA-6B5418467181}"/>
              </c:ext>
            </c:extLst>
          </c:dPt>
          <c:dPt>
            <c:idx val="92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83-F2A4-406A-A7DA-6B5418467181}"/>
              </c:ext>
            </c:extLst>
          </c:dPt>
          <c:dPt>
            <c:idx val="923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84-F2A4-406A-A7DA-6B5418467181}"/>
              </c:ext>
            </c:extLst>
          </c:dPt>
          <c:dPt>
            <c:idx val="92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85-F2A4-406A-A7DA-6B5418467181}"/>
              </c:ext>
            </c:extLst>
          </c:dPt>
          <c:dPt>
            <c:idx val="925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86-F2A4-406A-A7DA-6B5418467181}"/>
              </c:ext>
            </c:extLst>
          </c:dPt>
          <c:dPt>
            <c:idx val="92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87-F2A4-406A-A7DA-6B5418467181}"/>
              </c:ext>
            </c:extLst>
          </c:dPt>
          <c:dPt>
            <c:idx val="92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88-F2A4-406A-A7DA-6B5418467181}"/>
              </c:ext>
            </c:extLst>
          </c:dPt>
          <c:dPt>
            <c:idx val="92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89-F2A4-406A-A7DA-6B5418467181}"/>
              </c:ext>
            </c:extLst>
          </c:dPt>
          <c:dPt>
            <c:idx val="92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8A-F2A4-406A-A7DA-6B5418467181}"/>
              </c:ext>
            </c:extLst>
          </c:dPt>
          <c:dPt>
            <c:idx val="93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8B-F2A4-406A-A7DA-6B5418467181}"/>
              </c:ext>
            </c:extLst>
          </c:dPt>
          <c:dPt>
            <c:idx val="93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8C-F2A4-406A-A7DA-6B5418467181}"/>
              </c:ext>
            </c:extLst>
          </c:dPt>
          <c:dPt>
            <c:idx val="932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8D-F2A4-406A-A7DA-6B5418467181}"/>
              </c:ext>
            </c:extLst>
          </c:dPt>
          <c:dPt>
            <c:idx val="93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8E-F2A4-406A-A7DA-6B5418467181}"/>
              </c:ext>
            </c:extLst>
          </c:dPt>
          <c:dPt>
            <c:idx val="934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8F-F2A4-406A-A7DA-6B5418467181}"/>
              </c:ext>
            </c:extLst>
          </c:dPt>
          <c:dPt>
            <c:idx val="93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90-F2A4-406A-A7DA-6B5418467181}"/>
              </c:ext>
            </c:extLst>
          </c:dPt>
          <c:dPt>
            <c:idx val="93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91-F2A4-406A-A7DA-6B5418467181}"/>
              </c:ext>
            </c:extLst>
          </c:dPt>
          <c:dPt>
            <c:idx val="93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92-F2A4-406A-A7DA-6B5418467181}"/>
              </c:ext>
            </c:extLst>
          </c:dPt>
          <c:dPt>
            <c:idx val="93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93-F2A4-406A-A7DA-6B5418467181}"/>
              </c:ext>
            </c:extLst>
          </c:dPt>
          <c:dPt>
            <c:idx val="939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94-F2A4-406A-A7DA-6B5418467181}"/>
              </c:ext>
            </c:extLst>
          </c:dPt>
          <c:dPt>
            <c:idx val="940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95-F2A4-406A-A7DA-6B5418467181}"/>
              </c:ext>
            </c:extLst>
          </c:dPt>
          <c:dPt>
            <c:idx val="94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96-F2A4-406A-A7DA-6B5418467181}"/>
              </c:ext>
            </c:extLst>
          </c:dPt>
          <c:dPt>
            <c:idx val="94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97-F2A4-406A-A7DA-6B5418467181}"/>
              </c:ext>
            </c:extLst>
          </c:dPt>
          <c:dPt>
            <c:idx val="94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98-F2A4-406A-A7DA-6B5418467181}"/>
              </c:ext>
            </c:extLst>
          </c:dPt>
          <c:dPt>
            <c:idx val="94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99-F2A4-406A-A7DA-6B5418467181}"/>
              </c:ext>
            </c:extLst>
          </c:dPt>
          <c:dPt>
            <c:idx val="94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9A-F2A4-406A-A7DA-6B5418467181}"/>
              </c:ext>
            </c:extLst>
          </c:dPt>
          <c:dPt>
            <c:idx val="94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9B-F2A4-406A-A7DA-6B5418467181}"/>
              </c:ext>
            </c:extLst>
          </c:dPt>
          <c:dPt>
            <c:idx val="94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9C-F2A4-406A-A7DA-6B5418467181}"/>
              </c:ext>
            </c:extLst>
          </c:dPt>
          <c:dPt>
            <c:idx val="94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9D-F2A4-406A-A7DA-6B5418467181}"/>
              </c:ext>
            </c:extLst>
          </c:dPt>
          <c:dPt>
            <c:idx val="94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9E-F2A4-406A-A7DA-6B5418467181}"/>
              </c:ext>
            </c:extLst>
          </c:dPt>
          <c:dPt>
            <c:idx val="95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9F-F2A4-406A-A7DA-6B5418467181}"/>
              </c:ext>
            </c:extLst>
          </c:dPt>
          <c:dPt>
            <c:idx val="95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A0-F2A4-406A-A7DA-6B5418467181}"/>
              </c:ext>
            </c:extLst>
          </c:dPt>
          <c:dPt>
            <c:idx val="95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A1-F2A4-406A-A7DA-6B5418467181}"/>
              </c:ext>
            </c:extLst>
          </c:dPt>
          <c:dPt>
            <c:idx val="95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A2-F2A4-406A-A7DA-6B5418467181}"/>
              </c:ext>
            </c:extLst>
          </c:dPt>
          <c:dPt>
            <c:idx val="95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A3-F2A4-406A-A7DA-6B5418467181}"/>
              </c:ext>
            </c:extLst>
          </c:dPt>
          <c:dPt>
            <c:idx val="95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A4-F2A4-406A-A7DA-6B5418467181}"/>
              </c:ext>
            </c:extLst>
          </c:dPt>
          <c:dPt>
            <c:idx val="956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A5-F2A4-406A-A7DA-6B5418467181}"/>
              </c:ext>
            </c:extLst>
          </c:dPt>
          <c:dPt>
            <c:idx val="95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A6-F2A4-406A-A7DA-6B5418467181}"/>
              </c:ext>
            </c:extLst>
          </c:dPt>
          <c:dPt>
            <c:idx val="95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A7-F2A4-406A-A7DA-6B5418467181}"/>
              </c:ext>
            </c:extLst>
          </c:dPt>
          <c:dPt>
            <c:idx val="95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A8-F2A4-406A-A7DA-6B5418467181}"/>
              </c:ext>
            </c:extLst>
          </c:dPt>
          <c:dPt>
            <c:idx val="96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A9-F2A4-406A-A7DA-6B5418467181}"/>
              </c:ext>
            </c:extLst>
          </c:dPt>
          <c:dPt>
            <c:idx val="961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AA-F2A4-406A-A7DA-6B5418467181}"/>
              </c:ext>
            </c:extLst>
          </c:dPt>
          <c:dPt>
            <c:idx val="962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AB-F2A4-406A-A7DA-6B5418467181}"/>
              </c:ext>
            </c:extLst>
          </c:dPt>
          <c:dPt>
            <c:idx val="96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AC-F2A4-406A-A7DA-6B5418467181}"/>
              </c:ext>
            </c:extLst>
          </c:dPt>
          <c:dPt>
            <c:idx val="96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AD-F2A4-406A-A7DA-6B5418467181}"/>
              </c:ext>
            </c:extLst>
          </c:dPt>
          <c:dPt>
            <c:idx val="965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AE-F2A4-406A-A7DA-6B5418467181}"/>
              </c:ext>
            </c:extLst>
          </c:dPt>
          <c:dPt>
            <c:idx val="96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AF-F2A4-406A-A7DA-6B5418467181}"/>
              </c:ext>
            </c:extLst>
          </c:dPt>
          <c:dPt>
            <c:idx val="967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B0-F2A4-406A-A7DA-6B5418467181}"/>
              </c:ext>
            </c:extLst>
          </c:dPt>
          <c:dPt>
            <c:idx val="96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B1-F2A4-406A-A7DA-6B5418467181}"/>
              </c:ext>
            </c:extLst>
          </c:dPt>
          <c:dPt>
            <c:idx val="96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B2-F2A4-406A-A7DA-6B5418467181}"/>
              </c:ext>
            </c:extLst>
          </c:dPt>
          <c:dPt>
            <c:idx val="97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B3-F2A4-406A-A7DA-6B5418467181}"/>
              </c:ext>
            </c:extLst>
          </c:dPt>
          <c:dPt>
            <c:idx val="97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B4-F2A4-406A-A7DA-6B5418467181}"/>
              </c:ext>
            </c:extLst>
          </c:dPt>
          <c:dPt>
            <c:idx val="97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B5-F2A4-406A-A7DA-6B5418467181}"/>
              </c:ext>
            </c:extLst>
          </c:dPt>
          <c:dPt>
            <c:idx val="97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B6-F2A4-406A-A7DA-6B5418467181}"/>
              </c:ext>
            </c:extLst>
          </c:dPt>
          <c:dPt>
            <c:idx val="97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B7-F2A4-406A-A7DA-6B5418467181}"/>
              </c:ext>
            </c:extLst>
          </c:dPt>
          <c:dPt>
            <c:idx val="97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B8-F2A4-406A-A7DA-6B5418467181}"/>
              </c:ext>
            </c:extLst>
          </c:dPt>
          <c:dPt>
            <c:idx val="97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B9-F2A4-406A-A7DA-6B5418467181}"/>
              </c:ext>
            </c:extLst>
          </c:dPt>
          <c:dPt>
            <c:idx val="97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BA-F2A4-406A-A7DA-6B5418467181}"/>
              </c:ext>
            </c:extLst>
          </c:dPt>
          <c:dPt>
            <c:idx val="97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BB-F2A4-406A-A7DA-6B5418467181}"/>
              </c:ext>
            </c:extLst>
          </c:dPt>
          <c:dPt>
            <c:idx val="97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BC-F2A4-406A-A7DA-6B5418467181}"/>
              </c:ext>
            </c:extLst>
          </c:dPt>
          <c:dPt>
            <c:idx val="98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BD-F2A4-406A-A7DA-6B5418467181}"/>
              </c:ext>
            </c:extLst>
          </c:dPt>
          <c:dPt>
            <c:idx val="98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BE-F2A4-406A-A7DA-6B5418467181}"/>
              </c:ext>
            </c:extLst>
          </c:dPt>
          <c:dPt>
            <c:idx val="98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BF-F2A4-406A-A7DA-6B5418467181}"/>
              </c:ext>
            </c:extLst>
          </c:dPt>
          <c:dPt>
            <c:idx val="983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C0-F2A4-406A-A7DA-6B5418467181}"/>
              </c:ext>
            </c:extLst>
          </c:dPt>
          <c:dPt>
            <c:idx val="98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C1-F2A4-406A-A7DA-6B5418467181}"/>
              </c:ext>
            </c:extLst>
          </c:dPt>
          <c:dPt>
            <c:idx val="98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C2-F2A4-406A-A7DA-6B5418467181}"/>
              </c:ext>
            </c:extLst>
          </c:dPt>
          <c:dPt>
            <c:idx val="986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C3-F2A4-406A-A7DA-6B5418467181}"/>
              </c:ext>
            </c:extLst>
          </c:dPt>
          <c:dPt>
            <c:idx val="98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C4-F2A4-406A-A7DA-6B5418467181}"/>
              </c:ext>
            </c:extLst>
          </c:dPt>
          <c:dPt>
            <c:idx val="98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C5-F2A4-406A-A7DA-6B5418467181}"/>
              </c:ext>
            </c:extLst>
          </c:dPt>
          <c:dPt>
            <c:idx val="98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C6-F2A4-406A-A7DA-6B5418467181}"/>
              </c:ext>
            </c:extLst>
          </c:dPt>
          <c:dPt>
            <c:idx val="99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C7-F2A4-406A-A7DA-6B5418467181}"/>
              </c:ext>
            </c:extLst>
          </c:dPt>
          <c:dPt>
            <c:idx val="99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C8-F2A4-406A-A7DA-6B5418467181}"/>
              </c:ext>
            </c:extLst>
          </c:dPt>
          <c:dPt>
            <c:idx val="992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C9-F2A4-406A-A7DA-6B5418467181}"/>
              </c:ext>
            </c:extLst>
          </c:dPt>
          <c:dPt>
            <c:idx val="99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CA-F2A4-406A-A7DA-6B5418467181}"/>
              </c:ext>
            </c:extLst>
          </c:dPt>
          <c:dPt>
            <c:idx val="99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CB-F2A4-406A-A7DA-6B5418467181}"/>
              </c:ext>
            </c:extLst>
          </c:dPt>
          <c:dPt>
            <c:idx val="99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CC-F2A4-406A-A7DA-6B5418467181}"/>
              </c:ext>
            </c:extLst>
          </c:dPt>
          <c:dPt>
            <c:idx val="996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CD-F2A4-406A-A7DA-6B5418467181}"/>
              </c:ext>
            </c:extLst>
          </c:dPt>
          <c:dPt>
            <c:idx val="99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CE-F2A4-406A-A7DA-6B5418467181}"/>
              </c:ext>
            </c:extLst>
          </c:dPt>
          <c:dPt>
            <c:idx val="99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CF-F2A4-406A-A7DA-6B5418467181}"/>
              </c:ext>
            </c:extLst>
          </c:dPt>
          <c:dPt>
            <c:idx val="99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D0-F2A4-406A-A7DA-6B5418467181}"/>
              </c:ext>
            </c:extLst>
          </c:dPt>
          <c:dPt>
            <c:idx val="100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D1-F2A4-406A-A7DA-6B5418467181}"/>
              </c:ext>
            </c:extLst>
          </c:dPt>
          <c:dPt>
            <c:idx val="100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D2-F2A4-406A-A7DA-6B5418467181}"/>
              </c:ext>
            </c:extLst>
          </c:dPt>
          <c:dPt>
            <c:idx val="100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D3-F2A4-406A-A7DA-6B5418467181}"/>
              </c:ext>
            </c:extLst>
          </c:dPt>
          <c:dPt>
            <c:idx val="100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D4-F2A4-406A-A7DA-6B5418467181}"/>
              </c:ext>
            </c:extLst>
          </c:dPt>
          <c:dPt>
            <c:idx val="1004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D5-F2A4-406A-A7DA-6B5418467181}"/>
              </c:ext>
            </c:extLst>
          </c:dPt>
          <c:dPt>
            <c:idx val="100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D6-F2A4-406A-A7DA-6B5418467181}"/>
              </c:ext>
            </c:extLst>
          </c:dPt>
          <c:dPt>
            <c:idx val="1006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D7-F2A4-406A-A7DA-6B5418467181}"/>
              </c:ext>
            </c:extLst>
          </c:dPt>
          <c:dPt>
            <c:idx val="100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D8-F2A4-406A-A7DA-6B5418467181}"/>
              </c:ext>
            </c:extLst>
          </c:dPt>
          <c:dPt>
            <c:idx val="1008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D9-F2A4-406A-A7DA-6B5418467181}"/>
              </c:ext>
            </c:extLst>
          </c:dPt>
          <c:dPt>
            <c:idx val="100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DA-F2A4-406A-A7DA-6B5418467181}"/>
              </c:ext>
            </c:extLst>
          </c:dPt>
          <c:dPt>
            <c:idx val="101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DB-F2A4-406A-A7DA-6B5418467181}"/>
              </c:ext>
            </c:extLst>
          </c:dPt>
          <c:dPt>
            <c:idx val="101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DC-F2A4-406A-A7DA-6B5418467181}"/>
              </c:ext>
            </c:extLst>
          </c:dPt>
          <c:dPt>
            <c:idx val="101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DD-F2A4-406A-A7DA-6B5418467181}"/>
              </c:ext>
            </c:extLst>
          </c:dPt>
          <c:dPt>
            <c:idx val="101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DE-F2A4-406A-A7DA-6B5418467181}"/>
              </c:ext>
            </c:extLst>
          </c:dPt>
          <c:dPt>
            <c:idx val="101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DF-F2A4-406A-A7DA-6B5418467181}"/>
              </c:ext>
            </c:extLst>
          </c:dPt>
          <c:dPt>
            <c:idx val="101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E0-F2A4-406A-A7DA-6B5418467181}"/>
              </c:ext>
            </c:extLst>
          </c:dPt>
          <c:dPt>
            <c:idx val="101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E1-F2A4-406A-A7DA-6B5418467181}"/>
              </c:ext>
            </c:extLst>
          </c:dPt>
          <c:dPt>
            <c:idx val="101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E2-F2A4-406A-A7DA-6B5418467181}"/>
              </c:ext>
            </c:extLst>
          </c:dPt>
          <c:dPt>
            <c:idx val="101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E3-F2A4-406A-A7DA-6B5418467181}"/>
              </c:ext>
            </c:extLst>
          </c:dPt>
          <c:dPt>
            <c:idx val="101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E4-F2A4-406A-A7DA-6B5418467181}"/>
              </c:ext>
            </c:extLst>
          </c:dPt>
          <c:dPt>
            <c:idx val="102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E5-F2A4-406A-A7DA-6B5418467181}"/>
              </c:ext>
            </c:extLst>
          </c:dPt>
          <c:dPt>
            <c:idx val="1021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E6-F2A4-406A-A7DA-6B5418467181}"/>
              </c:ext>
            </c:extLst>
          </c:dPt>
          <c:dPt>
            <c:idx val="1022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E7-F2A4-406A-A7DA-6B5418467181}"/>
              </c:ext>
            </c:extLst>
          </c:dPt>
          <c:dPt>
            <c:idx val="102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E8-F2A4-406A-A7DA-6B5418467181}"/>
              </c:ext>
            </c:extLst>
          </c:dPt>
          <c:dPt>
            <c:idx val="102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E9-F2A4-406A-A7DA-6B5418467181}"/>
              </c:ext>
            </c:extLst>
          </c:dPt>
          <c:dPt>
            <c:idx val="102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EA-F2A4-406A-A7DA-6B5418467181}"/>
              </c:ext>
            </c:extLst>
          </c:dPt>
          <c:dPt>
            <c:idx val="102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EB-F2A4-406A-A7DA-6B5418467181}"/>
              </c:ext>
            </c:extLst>
          </c:dPt>
          <c:dPt>
            <c:idx val="102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EC-F2A4-406A-A7DA-6B5418467181}"/>
              </c:ext>
            </c:extLst>
          </c:dPt>
          <c:dPt>
            <c:idx val="102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ED-F2A4-406A-A7DA-6B5418467181}"/>
              </c:ext>
            </c:extLst>
          </c:dPt>
          <c:dPt>
            <c:idx val="1029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EE-F2A4-406A-A7DA-6B5418467181}"/>
              </c:ext>
            </c:extLst>
          </c:dPt>
          <c:dPt>
            <c:idx val="1030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EF-F2A4-406A-A7DA-6B5418467181}"/>
              </c:ext>
            </c:extLst>
          </c:dPt>
          <c:dPt>
            <c:idx val="103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F0-F2A4-406A-A7DA-6B5418467181}"/>
              </c:ext>
            </c:extLst>
          </c:dPt>
          <c:dPt>
            <c:idx val="1032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F1-F2A4-406A-A7DA-6B5418467181}"/>
              </c:ext>
            </c:extLst>
          </c:dPt>
          <c:dPt>
            <c:idx val="1033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F2-F2A4-406A-A7DA-6B5418467181}"/>
              </c:ext>
            </c:extLst>
          </c:dPt>
          <c:dPt>
            <c:idx val="103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F3-F2A4-406A-A7DA-6B5418467181}"/>
              </c:ext>
            </c:extLst>
          </c:dPt>
          <c:dPt>
            <c:idx val="103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F4-F2A4-406A-A7DA-6B5418467181}"/>
              </c:ext>
            </c:extLst>
          </c:dPt>
          <c:dPt>
            <c:idx val="103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F5-F2A4-406A-A7DA-6B5418467181}"/>
              </c:ext>
            </c:extLst>
          </c:dPt>
          <c:dPt>
            <c:idx val="1037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F6-F2A4-406A-A7DA-6B5418467181}"/>
              </c:ext>
            </c:extLst>
          </c:dPt>
          <c:dPt>
            <c:idx val="103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F7-F2A4-406A-A7DA-6B5418467181}"/>
              </c:ext>
            </c:extLst>
          </c:dPt>
          <c:dPt>
            <c:idx val="1039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F8-F2A4-406A-A7DA-6B5418467181}"/>
              </c:ext>
            </c:extLst>
          </c:dPt>
          <c:dPt>
            <c:idx val="104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F9-F2A4-406A-A7DA-6B5418467181}"/>
              </c:ext>
            </c:extLst>
          </c:dPt>
          <c:dPt>
            <c:idx val="1041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FA-F2A4-406A-A7DA-6B5418467181}"/>
              </c:ext>
            </c:extLst>
          </c:dPt>
          <c:dPt>
            <c:idx val="104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FB-F2A4-406A-A7DA-6B5418467181}"/>
              </c:ext>
            </c:extLst>
          </c:dPt>
          <c:dPt>
            <c:idx val="104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FC-F2A4-406A-A7DA-6B5418467181}"/>
              </c:ext>
            </c:extLst>
          </c:dPt>
          <c:dPt>
            <c:idx val="104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FD-F2A4-406A-A7DA-6B5418467181}"/>
              </c:ext>
            </c:extLst>
          </c:dPt>
          <c:dPt>
            <c:idx val="104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FE-F2A4-406A-A7DA-6B5418467181}"/>
              </c:ext>
            </c:extLst>
          </c:dPt>
          <c:dPt>
            <c:idx val="104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8FF-F2A4-406A-A7DA-6B5418467181}"/>
              </c:ext>
            </c:extLst>
          </c:dPt>
          <c:dPt>
            <c:idx val="104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00-F2A4-406A-A7DA-6B5418467181}"/>
              </c:ext>
            </c:extLst>
          </c:dPt>
          <c:dPt>
            <c:idx val="104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01-F2A4-406A-A7DA-6B5418467181}"/>
              </c:ext>
            </c:extLst>
          </c:dPt>
          <c:dPt>
            <c:idx val="104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02-F2A4-406A-A7DA-6B5418467181}"/>
              </c:ext>
            </c:extLst>
          </c:dPt>
          <c:dPt>
            <c:idx val="105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03-F2A4-406A-A7DA-6B5418467181}"/>
              </c:ext>
            </c:extLst>
          </c:dPt>
          <c:dPt>
            <c:idx val="105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04-F2A4-406A-A7DA-6B5418467181}"/>
              </c:ext>
            </c:extLst>
          </c:dPt>
          <c:dPt>
            <c:idx val="105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05-F2A4-406A-A7DA-6B5418467181}"/>
              </c:ext>
            </c:extLst>
          </c:dPt>
          <c:dPt>
            <c:idx val="1053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06-F2A4-406A-A7DA-6B5418467181}"/>
              </c:ext>
            </c:extLst>
          </c:dPt>
          <c:dPt>
            <c:idx val="105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07-F2A4-406A-A7DA-6B5418467181}"/>
              </c:ext>
            </c:extLst>
          </c:dPt>
          <c:dPt>
            <c:idx val="105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08-F2A4-406A-A7DA-6B5418467181}"/>
              </c:ext>
            </c:extLst>
          </c:dPt>
          <c:dPt>
            <c:idx val="105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09-F2A4-406A-A7DA-6B5418467181}"/>
              </c:ext>
            </c:extLst>
          </c:dPt>
          <c:dPt>
            <c:idx val="105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0A-F2A4-406A-A7DA-6B5418467181}"/>
              </c:ext>
            </c:extLst>
          </c:dPt>
          <c:dPt>
            <c:idx val="105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0B-F2A4-406A-A7DA-6B5418467181}"/>
              </c:ext>
            </c:extLst>
          </c:dPt>
          <c:dPt>
            <c:idx val="1059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0C-F2A4-406A-A7DA-6B5418467181}"/>
              </c:ext>
            </c:extLst>
          </c:dPt>
          <c:dPt>
            <c:idx val="106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0D-F2A4-406A-A7DA-6B5418467181}"/>
              </c:ext>
            </c:extLst>
          </c:dPt>
          <c:dPt>
            <c:idx val="106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0E-F2A4-406A-A7DA-6B5418467181}"/>
              </c:ext>
            </c:extLst>
          </c:dPt>
          <c:dPt>
            <c:idx val="106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0F-F2A4-406A-A7DA-6B5418467181}"/>
              </c:ext>
            </c:extLst>
          </c:dPt>
          <c:dPt>
            <c:idx val="106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10-F2A4-406A-A7DA-6B5418467181}"/>
              </c:ext>
            </c:extLst>
          </c:dPt>
          <c:dPt>
            <c:idx val="1064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11-F2A4-406A-A7DA-6B5418467181}"/>
              </c:ext>
            </c:extLst>
          </c:dPt>
          <c:dPt>
            <c:idx val="106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12-F2A4-406A-A7DA-6B5418467181}"/>
              </c:ext>
            </c:extLst>
          </c:dPt>
          <c:dPt>
            <c:idx val="106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13-F2A4-406A-A7DA-6B5418467181}"/>
              </c:ext>
            </c:extLst>
          </c:dPt>
          <c:dPt>
            <c:idx val="106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14-F2A4-406A-A7DA-6B5418467181}"/>
              </c:ext>
            </c:extLst>
          </c:dPt>
          <c:dPt>
            <c:idx val="106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15-F2A4-406A-A7DA-6B5418467181}"/>
              </c:ext>
            </c:extLst>
          </c:dPt>
          <c:dPt>
            <c:idx val="106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16-F2A4-406A-A7DA-6B5418467181}"/>
              </c:ext>
            </c:extLst>
          </c:dPt>
          <c:dPt>
            <c:idx val="107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17-F2A4-406A-A7DA-6B5418467181}"/>
              </c:ext>
            </c:extLst>
          </c:dPt>
          <c:dPt>
            <c:idx val="107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18-F2A4-406A-A7DA-6B5418467181}"/>
              </c:ext>
            </c:extLst>
          </c:dPt>
          <c:dPt>
            <c:idx val="107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19-F2A4-406A-A7DA-6B5418467181}"/>
              </c:ext>
            </c:extLst>
          </c:dPt>
          <c:dPt>
            <c:idx val="107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1A-F2A4-406A-A7DA-6B5418467181}"/>
              </c:ext>
            </c:extLst>
          </c:dPt>
          <c:dPt>
            <c:idx val="1074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1B-F2A4-406A-A7DA-6B5418467181}"/>
              </c:ext>
            </c:extLst>
          </c:dPt>
          <c:dPt>
            <c:idx val="107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1C-F2A4-406A-A7DA-6B5418467181}"/>
              </c:ext>
            </c:extLst>
          </c:dPt>
          <c:dPt>
            <c:idx val="107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1D-F2A4-406A-A7DA-6B5418467181}"/>
              </c:ext>
            </c:extLst>
          </c:dPt>
          <c:dPt>
            <c:idx val="107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1E-F2A4-406A-A7DA-6B5418467181}"/>
              </c:ext>
            </c:extLst>
          </c:dPt>
          <c:dPt>
            <c:idx val="107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1F-F2A4-406A-A7DA-6B5418467181}"/>
              </c:ext>
            </c:extLst>
          </c:dPt>
          <c:dPt>
            <c:idx val="107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20-F2A4-406A-A7DA-6B5418467181}"/>
              </c:ext>
            </c:extLst>
          </c:dPt>
          <c:dPt>
            <c:idx val="108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21-F2A4-406A-A7DA-6B5418467181}"/>
              </c:ext>
            </c:extLst>
          </c:dPt>
          <c:dPt>
            <c:idx val="108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22-F2A4-406A-A7DA-6B5418467181}"/>
              </c:ext>
            </c:extLst>
          </c:dPt>
          <c:dPt>
            <c:idx val="1082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23-F2A4-406A-A7DA-6B5418467181}"/>
              </c:ext>
            </c:extLst>
          </c:dPt>
          <c:dPt>
            <c:idx val="108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24-F2A4-406A-A7DA-6B5418467181}"/>
              </c:ext>
            </c:extLst>
          </c:dPt>
          <c:dPt>
            <c:idx val="108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25-F2A4-406A-A7DA-6B5418467181}"/>
              </c:ext>
            </c:extLst>
          </c:dPt>
          <c:dPt>
            <c:idx val="108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26-F2A4-406A-A7DA-6B5418467181}"/>
              </c:ext>
            </c:extLst>
          </c:dPt>
          <c:dPt>
            <c:idx val="108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27-F2A4-406A-A7DA-6B5418467181}"/>
              </c:ext>
            </c:extLst>
          </c:dPt>
          <c:dPt>
            <c:idx val="108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28-F2A4-406A-A7DA-6B5418467181}"/>
              </c:ext>
            </c:extLst>
          </c:dPt>
          <c:dPt>
            <c:idx val="108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29-F2A4-406A-A7DA-6B5418467181}"/>
              </c:ext>
            </c:extLst>
          </c:dPt>
          <c:dPt>
            <c:idx val="108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2A-F2A4-406A-A7DA-6B5418467181}"/>
              </c:ext>
            </c:extLst>
          </c:dPt>
          <c:dPt>
            <c:idx val="1090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2B-F2A4-406A-A7DA-6B5418467181}"/>
              </c:ext>
            </c:extLst>
          </c:dPt>
          <c:dPt>
            <c:idx val="109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2C-F2A4-406A-A7DA-6B5418467181}"/>
              </c:ext>
            </c:extLst>
          </c:dPt>
          <c:dPt>
            <c:idx val="109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2D-F2A4-406A-A7DA-6B5418467181}"/>
              </c:ext>
            </c:extLst>
          </c:dPt>
          <c:dPt>
            <c:idx val="1093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2E-F2A4-406A-A7DA-6B5418467181}"/>
              </c:ext>
            </c:extLst>
          </c:dPt>
          <c:dPt>
            <c:idx val="109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2F-F2A4-406A-A7DA-6B5418467181}"/>
              </c:ext>
            </c:extLst>
          </c:dPt>
          <c:dPt>
            <c:idx val="109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30-F2A4-406A-A7DA-6B5418467181}"/>
              </c:ext>
            </c:extLst>
          </c:dPt>
          <c:dPt>
            <c:idx val="1096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31-F2A4-406A-A7DA-6B5418467181}"/>
              </c:ext>
            </c:extLst>
          </c:dPt>
          <c:dPt>
            <c:idx val="109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32-F2A4-406A-A7DA-6B5418467181}"/>
              </c:ext>
            </c:extLst>
          </c:dPt>
          <c:dPt>
            <c:idx val="109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33-F2A4-406A-A7DA-6B5418467181}"/>
              </c:ext>
            </c:extLst>
          </c:dPt>
          <c:dPt>
            <c:idx val="109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34-F2A4-406A-A7DA-6B5418467181}"/>
              </c:ext>
            </c:extLst>
          </c:dPt>
          <c:dPt>
            <c:idx val="110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35-F2A4-406A-A7DA-6B5418467181}"/>
              </c:ext>
            </c:extLst>
          </c:dPt>
          <c:dPt>
            <c:idx val="110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36-F2A4-406A-A7DA-6B5418467181}"/>
              </c:ext>
            </c:extLst>
          </c:dPt>
          <c:dPt>
            <c:idx val="1102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37-F2A4-406A-A7DA-6B5418467181}"/>
              </c:ext>
            </c:extLst>
          </c:dPt>
          <c:dPt>
            <c:idx val="110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38-F2A4-406A-A7DA-6B5418467181}"/>
              </c:ext>
            </c:extLst>
          </c:dPt>
          <c:dPt>
            <c:idx val="110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39-F2A4-406A-A7DA-6B5418467181}"/>
              </c:ext>
            </c:extLst>
          </c:dPt>
          <c:dPt>
            <c:idx val="110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3A-F2A4-406A-A7DA-6B5418467181}"/>
              </c:ext>
            </c:extLst>
          </c:dPt>
          <c:dPt>
            <c:idx val="110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3B-F2A4-406A-A7DA-6B5418467181}"/>
              </c:ext>
            </c:extLst>
          </c:dPt>
          <c:dPt>
            <c:idx val="110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3C-F2A4-406A-A7DA-6B5418467181}"/>
              </c:ext>
            </c:extLst>
          </c:dPt>
          <c:dPt>
            <c:idx val="1108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3D-F2A4-406A-A7DA-6B5418467181}"/>
              </c:ext>
            </c:extLst>
          </c:dPt>
          <c:dPt>
            <c:idx val="1109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3E-F2A4-406A-A7DA-6B5418467181}"/>
              </c:ext>
            </c:extLst>
          </c:dPt>
          <c:dPt>
            <c:idx val="111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3F-F2A4-406A-A7DA-6B5418467181}"/>
              </c:ext>
            </c:extLst>
          </c:dPt>
          <c:dPt>
            <c:idx val="111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40-F2A4-406A-A7DA-6B5418467181}"/>
              </c:ext>
            </c:extLst>
          </c:dPt>
          <c:dPt>
            <c:idx val="111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41-F2A4-406A-A7DA-6B5418467181}"/>
              </c:ext>
            </c:extLst>
          </c:dPt>
          <c:dPt>
            <c:idx val="1113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42-F2A4-406A-A7DA-6B5418467181}"/>
              </c:ext>
            </c:extLst>
          </c:dPt>
          <c:dPt>
            <c:idx val="1114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43-F2A4-406A-A7DA-6B5418467181}"/>
              </c:ext>
            </c:extLst>
          </c:dPt>
          <c:dPt>
            <c:idx val="111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44-F2A4-406A-A7DA-6B5418467181}"/>
              </c:ext>
            </c:extLst>
          </c:dPt>
          <c:dPt>
            <c:idx val="111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45-F2A4-406A-A7DA-6B5418467181}"/>
              </c:ext>
            </c:extLst>
          </c:dPt>
          <c:dPt>
            <c:idx val="111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46-F2A4-406A-A7DA-6B5418467181}"/>
              </c:ext>
            </c:extLst>
          </c:dPt>
          <c:dPt>
            <c:idx val="111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47-F2A4-406A-A7DA-6B5418467181}"/>
              </c:ext>
            </c:extLst>
          </c:dPt>
          <c:dPt>
            <c:idx val="111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48-F2A4-406A-A7DA-6B5418467181}"/>
              </c:ext>
            </c:extLst>
          </c:dPt>
          <c:dPt>
            <c:idx val="112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49-F2A4-406A-A7DA-6B5418467181}"/>
              </c:ext>
            </c:extLst>
          </c:dPt>
          <c:dPt>
            <c:idx val="1121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4A-F2A4-406A-A7DA-6B5418467181}"/>
              </c:ext>
            </c:extLst>
          </c:dPt>
          <c:dPt>
            <c:idx val="1122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4B-F2A4-406A-A7DA-6B5418467181}"/>
              </c:ext>
            </c:extLst>
          </c:dPt>
          <c:dPt>
            <c:idx val="112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4C-F2A4-406A-A7DA-6B5418467181}"/>
              </c:ext>
            </c:extLst>
          </c:dPt>
          <c:dPt>
            <c:idx val="112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4D-F2A4-406A-A7DA-6B5418467181}"/>
              </c:ext>
            </c:extLst>
          </c:dPt>
          <c:dPt>
            <c:idx val="112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4E-F2A4-406A-A7DA-6B5418467181}"/>
              </c:ext>
            </c:extLst>
          </c:dPt>
          <c:dPt>
            <c:idx val="112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4F-F2A4-406A-A7DA-6B5418467181}"/>
              </c:ext>
            </c:extLst>
          </c:dPt>
          <c:dPt>
            <c:idx val="112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50-F2A4-406A-A7DA-6B5418467181}"/>
              </c:ext>
            </c:extLst>
          </c:dPt>
          <c:dPt>
            <c:idx val="112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51-F2A4-406A-A7DA-6B5418467181}"/>
              </c:ext>
            </c:extLst>
          </c:dPt>
          <c:dPt>
            <c:idx val="1129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52-F2A4-406A-A7DA-6B5418467181}"/>
              </c:ext>
            </c:extLst>
          </c:dPt>
          <c:dPt>
            <c:idx val="113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53-F2A4-406A-A7DA-6B5418467181}"/>
              </c:ext>
            </c:extLst>
          </c:dPt>
          <c:dPt>
            <c:idx val="1131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54-F2A4-406A-A7DA-6B5418467181}"/>
              </c:ext>
            </c:extLst>
          </c:dPt>
          <c:dPt>
            <c:idx val="113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55-F2A4-406A-A7DA-6B5418467181}"/>
              </c:ext>
            </c:extLst>
          </c:dPt>
          <c:dPt>
            <c:idx val="113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56-F2A4-406A-A7DA-6B5418467181}"/>
              </c:ext>
            </c:extLst>
          </c:dPt>
          <c:dPt>
            <c:idx val="113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57-F2A4-406A-A7DA-6B5418467181}"/>
              </c:ext>
            </c:extLst>
          </c:dPt>
          <c:dPt>
            <c:idx val="113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58-F2A4-406A-A7DA-6B5418467181}"/>
              </c:ext>
            </c:extLst>
          </c:dPt>
          <c:dPt>
            <c:idx val="113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59-F2A4-406A-A7DA-6B5418467181}"/>
              </c:ext>
            </c:extLst>
          </c:dPt>
          <c:dPt>
            <c:idx val="113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5A-F2A4-406A-A7DA-6B5418467181}"/>
              </c:ext>
            </c:extLst>
          </c:dPt>
          <c:dPt>
            <c:idx val="113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5B-F2A4-406A-A7DA-6B5418467181}"/>
              </c:ext>
            </c:extLst>
          </c:dPt>
          <c:dPt>
            <c:idx val="113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5C-F2A4-406A-A7DA-6B5418467181}"/>
              </c:ext>
            </c:extLst>
          </c:dPt>
          <c:dPt>
            <c:idx val="114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5D-F2A4-406A-A7DA-6B5418467181}"/>
              </c:ext>
            </c:extLst>
          </c:dPt>
          <c:dPt>
            <c:idx val="114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5E-F2A4-406A-A7DA-6B5418467181}"/>
              </c:ext>
            </c:extLst>
          </c:dPt>
          <c:dPt>
            <c:idx val="114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5F-F2A4-406A-A7DA-6B5418467181}"/>
              </c:ext>
            </c:extLst>
          </c:dPt>
          <c:dPt>
            <c:idx val="114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60-F2A4-406A-A7DA-6B5418467181}"/>
              </c:ext>
            </c:extLst>
          </c:dPt>
          <c:dPt>
            <c:idx val="114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61-F2A4-406A-A7DA-6B5418467181}"/>
              </c:ext>
            </c:extLst>
          </c:dPt>
          <c:dPt>
            <c:idx val="114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62-F2A4-406A-A7DA-6B5418467181}"/>
              </c:ext>
            </c:extLst>
          </c:dPt>
          <c:dPt>
            <c:idx val="114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63-F2A4-406A-A7DA-6B5418467181}"/>
              </c:ext>
            </c:extLst>
          </c:dPt>
          <c:dPt>
            <c:idx val="114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64-F2A4-406A-A7DA-6B5418467181}"/>
              </c:ext>
            </c:extLst>
          </c:dPt>
          <c:dPt>
            <c:idx val="114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65-F2A4-406A-A7DA-6B5418467181}"/>
              </c:ext>
            </c:extLst>
          </c:dPt>
          <c:dPt>
            <c:idx val="114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66-F2A4-406A-A7DA-6B5418467181}"/>
              </c:ext>
            </c:extLst>
          </c:dPt>
          <c:dPt>
            <c:idx val="1150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67-F2A4-406A-A7DA-6B5418467181}"/>
              </c:ext>
            </c:extLst>
          </c:dPt>
          <c:dPt>
            <c:idx val="115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68-F2A4-406A-A7DA-6B5418467181}"/>
              </c:ext>
            </c:extLst>
          </c:dPt>
          <c:dPt>
            <c:idx val="115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69-F2A4-406A-A7DA-6B5418467181}"/>
              </c:ext>
            </c:extLst>
          </c:dPt>
          <c:dPt>
            <c:idx val="1153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6A-F2A4-406A-A7DA-6B5418467181}"/>
              </c:ext>
            </c:extLst>
          </c:dPt>
          <c:dPt>
            <c:idx val="115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6B-F2A4-406A-A7DA-6B5418467181}"/>
              </c:ext>
            </c:extLst>
          </c:dPt>
          <c:dPt>
            <c:idx val="115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6C-F2A4-406A-A7DA-6B5418467181}"/>
              </c:ext>
            </c:extLst>
          </c:dPt>
          <c:dPt>
            <c:idx val="115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6D-F2A4-406A-A7DA-6B5418467181}"/>
              </c:ext>
            </c:extLst>
          </c:dPt>
          <c:dPt>
            <c:idx val="115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6E-F2A4-406A-A7DA-6B5418467181}"/>
              </c:ext>
            </c:extLst>
          </c:dPt>
          <c:dPt>
            <c:idx val="115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6F-F2A4-406A-A7DA-6B5418467181}"/>
              </c:ext>
            </c:extLst>
          </c:dPt>
          <c:dPt>
            <c:idx val="115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70-F2A4-406A-A7DA-6B5418467181}"/>
              </c:ext>
            </c:extLst>
          </c:dPt>
          <c:dPt>
            <c:idx val="116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71-F2A4-406A-A7DA-6B5418467181}"/>
              </c:ext>
            </c:extLst>
          </c:dPt>
          <c:dPt>
            <c:idx val="116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72-F2A4-406A-A7DA-6B5418467181}"/>
              </c:ext>
            </c:extLst>
          </c:dPt>
          <c:dPt>
            <c:idx val="116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73-F2A4-406A-A7DA-6B5418467181}"/>
              </c:ext>
            </c:extLst>
          </c:dPt>
          <c:dPt>
            <c:idx val="116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74-F2A4-406A-A7DA-6B5418467181}"/>
              </c:ext>
            </c:extLst>
          </c:dPt>
          <c:dPt>
            <c:idx val="116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75-F2A4-406A-A7DA-6B5418467181}"/>
              </c:ext>
            </c:extLst>
          </c:dPt>
          <c:dPt>
            <c:idx val="116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76-F2A4-406A-A7DA-6B5418467181}"/>
              </c:ext>
            </c:extLst>
          </c:dPt>
          <c:dPt>
            <c:idx val="116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77-F2A4-406A-A7DA-6B5418467181}"/>
              </c:ext>
            </c:extLst>
          </c:dPt>
          <c:dPt>
            <c:idx val="116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78-F2A4-406A-A7DA-6B5418467181}"/>
              </c:ext>
            </c:extLst>
          </c:dPt>
          <c:dPt>
            <c:idx val="116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79-F2A4-406A-A7DA-6B5418467181}"/>
              </c:ext>
            </c:extLst>
          </c:dPt>
          <c:dPt>
            <c:idx val="116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7A-F2A4-406A-A7DA-6B5418467181}"/>
              </c:ext>
            </c:extLst>
          </c:dPt>
          <c:dPt>
            <c:idx val="117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7B-F2A4-406A-A7DA-6B5418467181}"/>
              </c:ext>
            </c:extLst>
          </c:dPt>
          <c:dPt>
            <c:idx val="117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7C-F2A4-406A-A7DA-6B5418467181}"/>
              </c:ext>
            </c:extLst>
          </c:dPt>
          <c:dPt>
            <c:idx val="117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7D-F2A4-406A-A7DA-6B5418467181}"/>
              </c:ext>
            </c:extLst>
          </c:dPt>
          <c:dPt>
            <c:idx val="1173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7E-F2A4-406A-A7DA-6B5418467181}"/>
              </c:ext>
            </c:extLst>
          </c:dPt>
          <c:dPt>
            <c:idx val="117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7F-F2A4-406A-A7DA-6B5418467181}"/>
              </c:ext>
            </c:extLst>
          </c:dPt>
          <c:dPt>
            <c:idx val="117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80-F2A4-406A-A7DA-6B5418467181}"/>
              </c:ext>
            </c:extLst>
          </c:dPt>
          <c:dPt>
            <c:idx val="117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81-F2A4-406A-A7DA-6B5418467181}"/>
              </c:ext>
            </c:extLst>
          </c:dPt>
          <c:dPt>
            <c:idx val="117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82-F2A4-406A-A7DA-6B5418467181}"/>
              </c:ext>
            </c:extLst>
          </c:dPt>
          <c:dPt>
            <c:idx val="117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83-F2A4-406A-A7DA-6B5418467181}"/>
              </c:ext>
            </c:extLst>
          </c:dPt>
          <c:dPt>
            <c:idx val="117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84-F2A4-406A-A7DA-6B5418467181}"/>
              </c:ext>
            </c:extLst>
          </c:dPt>
          <c:dPt>
            <c:idx val="118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85-F2A4-406A-A7DA-6B5418467181}"/>
              </c:ext>
            </c:extLst>
          </c:dPt>
          <c:dPt>
            <c:idx val="118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86-F2A4-406A-A7DA-6B5418467181}"/>
              </c:ext>
            </c:extLst>
          </c:dPt>
          <c:dPt>
            <c:idx val="118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87-F2A4-406A-A7DA-6B5418467181}"/>
              </c:ext>
            </c:extLst>
          </c:dPt>
          <c:dPt>
            <c:idx val="118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88-F2A4-406A-A7DA-6B5418467181}"/>
              </c:ext>
            </c:extLst>
          </c:dPt>
          <c:dPt>
            <c:idx val="118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89-F2A4-406A-A7DA-6B5418467181}"/>
              </c:ext>
            </c:extLst>
          </c:dPt>
          <c:dPt>
            <c:idx val="1185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8A-F2A4-406A-A7DA-6B5418467181}"/>
              </c:ext>
            </c:extLst>
          </c:dPt>
          <c:dPt>
            <c:idx val="118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8B-F2A4-406A-A7DA-6B5418467181}"/>
              </c:ext>
            </c:extLst>
          </c:dPt>
          <c:dPt>
            <c:idx val="118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8C-F2A4-406A-A7DA-6B5418467181}"/>
              </c:ext>
            </c:extLst>
          </c:dPt>
          <c:dPt>
            <c:idx val="118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8D-F2A4-406A-A7DA-6B5418467181}"/>
              </c:ext>
            </c:extLst>
          </c:dPt>
          <c:dPt>
            <c:idx val="118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8E-F2A4-406A-A7DA-6B5418467181}"/>
              </c:ext>
            </c:extLst>
          </c:dPt>
          <c:dPt>
            <c:idx val="119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8F-F2A4-406A-A7DA-6B5418467181}"/>
              </c:ext>
            </c:extLst>
          </c:dPt>
          <c:dPt>
            <c:idx val="119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90-F2A4-406A-A7DA-6B5418467181}"/>
              </c:ext>
            </c:extLst>
          </c:dPt>
          <c:dPt>
            <c:idx val="119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91-F2A4-406A-A7DA-6B5418467181}"/>
              </c:ext>
            </c:extLst>
          </c:dPt>
          <c:dPt>
            <c:idx val="119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92-F2A4-406A-A7DA-6B5418467181}"/>
              </c:ext>
            </c:extLst>
          </c:dPt>
          <c:dPt>
            <c:idx val="119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93-F2A4-406A-A7DA-6B5418467181}"/>
              </c:ext>
            </c:extLst>
          </c:dPt>
          <c:dPt>
            <c:idx val="119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94-F2A4-406A-A7DA-6B5418467181}"/>
              </c:ext>
            </c:extLst>
          </c:dPt>
          <c:dPt>
            <c:idx val="119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95-F2A4-406A-A7DA-6B5418467181}"/>
              </c:ext>
            </c:extLst>
          </c:dPt>
          <c:dPt>
            <c:idx val="119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96-F2A4-406A-A7DA-6B5418467181}"/>
              </c:ext>
            </c:extLst>
          </c:dPt>
          <c:dPt>
            <c:idx val="119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97-F2A4-406A-A7DA-6B5418467181}"/>
              </c:ext>
            </c:extLst>
          </c:dPt>
          <c:dPt>
            <c:idx val="119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98-F2A4-406A-A7DA-6B5418467181}"/>
              </c:ext>
            </c:extLst>
          </c:dPt>
          <c:dPt>
            <c:idx val="1200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99-F2A4-406A-A7DA-6B5418467181}"/>
              </c:ext>
            </c:extLst>
          </c:dPt>
          <c:dPt>
            <c:idx val="120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9A-F2A4-406A-A7DA-6B5418467181}"/>
              </c:ext>
            </c:extLst>
          </c:dPt>
          <c:dPt>
            <c:idx val="120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9B-F2A4-406A-A7DA-6B5418467181}"/>
              </c:ext>
            </c:extLst>
          </c:dPt>
          <c:dPt>
            <c:idx val="120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9C-F2A4-406A-A7DA-6B5418467181}"/>
              </c:ext>
            </c:extLst>
          </c:dPt>
          <c:dPt>
            <c:idx val="120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9D-F2A4-406A-A7DA-6B5418467181}"/>
              </c:ext>
            </c:extLst>
          </c:dPt>
          <c:dPt>
            <c:idx val="1205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9E-F2A4-406A-A7DA-6B5418467181}"/>
              </c:ext>
            </c:extLst>
          </c:dPt>
          <c:dPt>
            <c:idx val="120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9F-F2A4-406A-A7DA-6B5418467181}"/>
              </c:ext>
            </c:extLst>
          </c:dPt>
          <c:dPt>
            <c:idx val="120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A0-F2A4-406A-A7DA-6B5418467181}"/>
              </c:ext>
            </c:extLst>
          </c:dPt>
          <c:dPt>
            <c:idx val="120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A1-F2A4-406A-A7DA-6B5418467181}"/>
              </c:ext>
            </c:extLst>
          </c:dPt>
          <c:dPt>
            <c:idx val="120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A2-F2A4-406A-A7DA-6B5418467181}"/>
              </c:ext>
            </c:extLst>
          </c:dPt>
          <c:dPt>
            <c:idx val="121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A3-F2A4-406A-A7DA-6B5418467181}"/>
              </c:ext>
            </c:extLst>
          </c:dPt>
          <c:dPt>
            <c:idx val="121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A4-F2A4-406A-A7DA-6B5418467181}"/>
              </c:ext>
            </c:extLst>
          </c:dPt>
          <c:dPt>
            <c:idx val="121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A5-F2A4-406A-A7DA-6B5418467181}"/>
              </c:ext>
            </c:extLst>
          </c:dPt>
          <c:dPt>
            <c:idx val="121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A6-F2A4-406A-A7DA-6B5418467181}"/>
              </c:ext>
            </c:extLst>
          </c:dPt>
          <c:dPt>
            <c:idx val="121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A7-F2A4-406A-A7DA-6B5418467181}"/>
              </c:ext>
            </c:extLst>
          </c:dPt>
          <c:dPt>
            <c:idx val="121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A8-F2A4-406A-A7DA-6B5418467181}"/>
              </c:ext>
            </c:extLst>
          </c:dPt>
          <c:dPt>
            <c:idx val="121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A9-F2A4-406A-A7DA-6B5418467181}"/>
              </c:ext>
            </c:extLst>
          </c:dPt>
          <c:dPt>
            <c:idx val="121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AA-F2A4-406A-A7DA-6B5418467181}"/>
              </c:ext>
            </c:extLst>
          </c:dPt>
          <c:dPt>
            <c:idx val="121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AB-F2A4-406A-A7DA-6B5418467181}"/>
              </c:ext>
            </c:extLst>
          </c:dPt>
          <c:dPt>
            <c:idx val="121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AC-F2A4-406A-A7DA-6B5418467181}"/>
              </c:ext>
            </c:extLst>
          </c:dPt>
          <c:dPt>
            <c:idx val="122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AD-F2A4-406A-A7DA-6B5418467181}"/>
              </c:ext>
            </c:extLst>
          </c:dPt>
          <c:dPt>
            <c:idx val="122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AE-F2A4-406A-A7DA-6B5418467181}"/>
              </c:ext>
            </c:extLst>
          </c:dPt>
          <c:dPt>
            <c:idx val="122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AF-F2A4-406A-A7DA-6B5418467181}"/>
              </c:ext>
            </c:extLst>
          </c:dPt>
          <c:dPt>
            <c:idx val="122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B0-F2A4-406A-A7DA-6B5418467181}"/>
              </c:ext>
            </c:extLst>
          </c:dPt>
          <c:dPt>
            <c:idx val="1224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B1-F2A4-406A-A7DA-6B5418467181}"/>
              </c:ext>
            </c:extLst>
          </c:dPt>
          <c:dPt>
            <c:idx val="122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B2-F2A4-406A-A7DA-6B5418467181}"/>
              </c:ext>
            </c:extLst>
          </c:dPt>
          <c:dPt>
            <c:idx val="1226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B3-F2A4-406A-A7DA-6B5418467181}"/>
              </c:ext>
            </c:extLst>
          </c:dPt>
          <c:dPt>
            <c:idx val="122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B4-F2A4-406A-A7DA-6B5418467181}"/>
              </c:ext>
            </c:extLst>
          </c:dPt>
          <c:dPt>
            <c:idx val="1228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B5-F2A4-406A-A7DA-6B5418467181}"/>
              </c:ext>
            </c:extLst>
          </c:dPt>
          <c:dPt>
            <c:idx val="122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B6-F2A4-406A-A7DA-6B5418467181}"/>
              </c:ext>
            </c:extLst>
          </c:dPt>
          <c:dPt>
            <c:idx val="1230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B7-F2A4-406A-A7DA-6B5418467181}"/>
              </c:ext>
            </c:extLst>
          </c:dPt>
          <c:dPt>
            <c:idx val="123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B8-F2A4-406A-A7DA-6B5418467181}"/>
              </c:ext>
            </c:extLst>
          </c:dPt>
          <c:dPt>
            <c:idx val="1232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B9-F2A4-406A-A7DA-6B5418467181}"/>
              </c:ext>
            </c:extLst>
          </c:dPt>
          <c:dPt>
            <c:idx val="123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BA-F2A4-406A-A7DA-6B5418467181}"/>
              </c:ext>
            </c:extLst>
          </c:dPt>
          <c:dPt>
            <c:idx val="123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BB-F2A4-406A-A7DA-6B5418467181}"/>
              </c:ext>
            </c:extLst>
          </c:dPt>
          <c:dPt>
            <c:idx val="123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BC-F2A4-406A-A7DA-6B5418467181}"/>
              </c:ext>
            </c:extLst>
          </c:dPt>
          <c:dPt>
            <c:idx val="123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BD-F2A4-406A-A7DA-6B5418467181}"/>
              </c:ext>
            </c:extLst>
          </c:dPt>
          <c:dPt>
            <c:idx val="123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BE-F2A4-406A-A7DA-6B5418467181}"/>
              </c:ext>
            </c:extLst>
          </c:dPt>
          <c:dPt>
            <c:idx val="123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BF-F2A4-406A-A7DA-6B5418467181}"/>
              </c:ext>
            </c:extLst>
          </c:dPt>
          <c:dPt>
            <c:idx val="123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C0-F2A4-406A-A7DA-6B5418467181}"/>
              </c:ext>
            </c:extLst>
          </c:dPt>
          <c:dPt>
            <c:idx val="1240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C1-F2A4-406A-A7DA-6B5418467181}"/>
              </c:ext>
            </c:extLst>
          </c:dPt>
          <c:dPt>
            <c:idx val="124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C2-F2A4-406A-A7DA-6B5418467181}"/>
              </c:ext>
            </c:extLst>
          </c:dPt>
          <c:dPt>
            <c:idx val="124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C3-F2A4-406A-A7DA-6B5418467181}"/>
              </c:ext>
            </c:extLst>
          </c:dPt>
          <c:dPt>
            <c:idx val="124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C4-F2A4-406A-A7DA-6B5418467181}"/>
              </c:ext>
            </c:extLst>
          </c:dPt>
          <c:dPt>
            <c:idx val="124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C5-F2A4-406A-A7DA-6B5418467181}"/>
              </c:ext>
            </c:extLst>
          </c:dPt>
          <c:dPt>
            <c:idx val="1245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C6-F2A4-406A-A7DA-6B5418467181}"/>
              </c:ext>
            </c:extLst>
          </c:dPt>
          <c:dPt>
            <c:idx val="1246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C7-F2A4-406A-A7DA-6B5418467181}"/>
              </c:ext>
            </c:extLst>
          </c:dPt>
          <c:dPt>
            <c:idx val="124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C8-F2A4-406A-A7DA-6B5418467181}"/>
              </c:ext>
            </c:extLst>
          </c:dPt>
          <c:dPt>
            <c:idx val="124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C9-F2A4-406A-A7DA-6B5418467181}"/>
              </c:ext>
            </c:extLst>
          </c:dPt>
          <c:dPt>
            <c:idx val="124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CA-F2A4-406A-A7DA-6B5418467181}"/>
              </c:ext>
            </c:extLst>
          </c:dPt>
          <c:dPt>
            <c:idx val="125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CB-F2A4-406A-A7DA-6B5418467181}"/>
              </c:ext>
            </c:extLst>
          </c:dPt>
          <c:dPt>
            <c:idx val="125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CC-F2A4-406A-A7DA-6B5418467181}"/>
              </c:ext>
            </c:extLst>
          </c:dPt>
          <c:dPt>
            <c:idx val="125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CD-F2A4-406A-A7DA-6B5418467181}"/>
              </c:ext>
            </c:extLst>
          </c:dPt>
          <c:dPt>
            <c:idx val="125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CE-F2A4-406A-A7DA-6B5418467181}"/>
              </c:ext>
            </c:extLst>
          </c:dPt>
          <c:dPt>
            <c:idx val="1254"/>
            <c:marker>
              <c:symbol val="circle"/>
              <c:size val="2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CF-F2A4-406A-A7DA-6B5418467181}"/>
              </c:ext>
            </c:extLst>
          </c:dPt>
          <c:dPt>
            <c:idx val="125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D0-F2A4-406A-A7DA-6B5418467181}"/>
              </c:ext>
            </c:extLst>
          </c:dPt>
          <c:dPt>
            <c:idx val="125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2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D1-F2A4-406A-A7DA-6B5418467181}"/>
              </c:ext>
            </c:extLst>
          </c:dPt>
          <c:xVal>
            <c:numRef>
              <c:f>'TSLA, MSFT'!$K$5:$K$1261</c:f>
              <c:numCache>
                <c:formatCode>General</c:formatCode>
                <c:ptCount val="12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1.884472806840146E-2</c:v>
                </c:pt>
                <c:pt idx="6">
                  <c:v>6.6163800677848271E-3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1.3538438405816084E-2</c:v>
                </c:pt>
                <c:pt idx="15">
                  <c:v>0</c:v>
                </c:pt>
                <c:pt idx="16">
                  <c:v>0</c:v>
                </c:pt>
                <c:pt idx="17">
                  <c:v>3.6373473411679992E-3</c:v>
                </c:pt>
                <c:pt idx="18">
                  <c:v>0</c:v>
                </c:pt>
                <c:pt idx="19">
                  <c:v>0</c:v>
                </c:pt>
                <c:pt idx="20">
                  <c:v>1.6763098228235802E-2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2.2760615835724512E-2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5.5123454405148958E-2</c:v>
                </c:pt>
                <c:pt idx="38">
                  <c:v>1.6198945115598318E-2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1.2661941281268986E-3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2.2659793927958829E-2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2.6024338845442498E-2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2.5865783136668E-2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2.6564160334157094E-2</c:v>
                </c:pt>
                <c:pt idx="80">
                  <c:v>0</c:v>
                </c:pt>
                <c:pt idx="81">
                  <c:v>0</c:v>
                </c:pt>
                <c:pt idx="82">
                  <c:v>4.2214086061577283E-2</c:v>
                </c:pt>
                <c:pt idx="83">
                  <c:v>0</c:v>
                </c:pt>
                <c:pt idx="84">
                  <c:v>1.214765859953434E-3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1.421898114479468E-2</c:v>
                </c:pt>
                <c:pt idx="98">
                  <c:v>0</c:v>
                </c:pt>
                <c:pt idx="99">
                  <c:v>0</c:v>
                </c:pt>
                <c:pt idx="100">
                  <c:v>6.1284797439532506E-3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1.9629427183950842E-2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2.778379591207563E-3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3.3779114772282473E-2</c:v>
                </c:pt>
                <c:pt idx="133">
                  <c:v>0</c:v>
                </c:pt>
                <c:pt idx="134">
                  <c:v>9.7785259893780688E-3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3.3335679456834473E-2</c:v>
                </c:pt>
                <c:pt idx="143">
                  <c:v>2.7154796681445447E-2</c:v>
                </c:pt>
                <c:pt idx="144">
                  <c:v>0</c:v>
                </c:pt>
                <c:pt idx="145">
                  <c:v>0</c:v>
                </c:pt>
                <c:pt idx="146">
                  <c:v>2.0931894046336348E-3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5.9596546431933926E-3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7.0287020222221074E-3</c:v>
                </c:pt>
                <c:pt idx="165">
                  <c:v>0</c:v>
                </c:pt>
                <c:pt idx="166">
                  <c:v>1.7437622888696925E-2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1.8901398874675988E-2</c:v>
                </c:pt>
                <c:pt idx="172">
                  <c:v>1.6048960733383827E-2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2.5320549227214805E-3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1.5734753843707705E-2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2.6816036902084416E-2</c:v>
                </c:pt>
                <c:pt idx="192">
                  <c:v>9.7536411625101637E-3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3.5935411346187662E-2</c:v>
                </c:pt>
                <c:pt idx="197">
                  <c:v>0</c:v>
                </c:pt>
                <c:pt idx="198">
                  <c:v>7.1865501716784474E-3</c:v>
                </c:pt>
                <c:pt idx="199">
                  <c:v>8.5102482394836462E-3</c:v>
                </c:pt>
                <c:pt idx="200">
                  <c:v>0</c:v>
                </c:pt>
                <c:pt idx="201">
                  <c:v>0</c:v>
                </c:pt>
                <c:pt idx="202">
                  <c:v>8.1717274027008607E-3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2.9079308982401436E-2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7.3828212770502884E-3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1.4831591992312021E-2</c:v>
                </c:pt>
                <c:pt idx="231">
                  <c:v>3.9638389786243941E-3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1.0778464479536943E-2</c:v>
                </c:pt>
                <c:pt idx="236">
                  <c:v>2.7051157925621593E-2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3.668132119521212E-2</c:v>
                </c:pt>
                <c:pt idx="243">
                  <c:v>0</c:v>
                </c:pt>
                <c:pt idx="244">
                  <c:v>0</c:v>
                </c:pt>
                <c:pt idx="245">
                  <c:v>3.3053056979443621E-2</c:v>
                </c:pt>
                <c:pt idx="246">
                  <c:v>1.4281389483556874E-2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2.9202666031253596E-2</c:v>
                </c:pt>
                <c:pt idx="253">
                  <c:v>0</c:v>
                </c:pt>
                <c:pt idx="254">
                  <c:v>3.8066697131154077E-2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2.4578300308671371E-2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6.9423738497939827E-2</c:v>
                </c:pt>
                <c:pt idx="264">
                  <c:v>4.0049828055395927E-2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1.5115861321444816E-2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4.0112045166092085E-3</c:v>
                </c:pt>
                <c:pt idx="279">
                  <c:v>0</c:v>
                </c:pt>
                <c:pt idx="280">
                  <c:v>4.6734379413183584E-2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1.766248152101891E-3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2.5383760249469028E-3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1.568802879187136E-2</c:v>
                </c:pt>
                <c:pt idx="307">
                  <c:v>0</c:v>
                </c:pt>
                <c:pt idx="308">
                  <c:v>6.5620844206357679E-2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4.2632633180120921E-2</c:v>
                </c:pt>
                <c:pt idx="313">
                  <c:v>0</c:v>
                </c:pt>
                <c:pt idx="314">
                  <c:v>0</c:v>
                </c:pt>
                <c:pt idx="315">
                  <c:v>5.4675073845714815E-2</c:v>
                </c:pt>
                <c:pt idx="316">
                  <c:v>0</c:v>
                </c:pt>
                <c:pt idx="317">
                  <c:v>5.5039414249895793E-2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2.7701615556867246E-2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9.6669461895235259E-2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1.4654921725593446E-2</c:v>
                </c:pt>
                <c:pt idx="349">
                  <c:v>0</c:v>
                </c:pt>
                <c:pt idx="350">
                  <c:v>2.433068622863686E-3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7.2849666306644301E-2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1.3239655413010082E-2</c:v>
                </c:pt>
                <c:pt idx="380">
                  <c:v>0</c:v>
                </c:pt>
                <c:pt idx="381">
                  <c:v>0</c:v>
                </c:pt>
                <c:pt idx="382">
                  <c:v>0.10241918485294788</c:v>
                </c:pt>
                <c:pt idx="383">
                  <c:v>0</c:v>
                </c:pt>
                <c:pt idx="384">
                  <c:v>0</c:v>
                </c:pt>
                <c:pt idx="385">
                  <c:v>1.9074494219560024E-2</c:v>
                </c:pt>
                <c:pt idx="386">
                  <c:v>0</c:v>
                </c:pt>
                <c:pt idx="387">
                  <c:v>1.3329424348126323E-4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1.3458716860313634E-3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4.1722059780747743E-2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2.3768208126910512E-2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0.11839533725145152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2.7433479468328019E-2</c:v>
                </c:pt>
                <c:pt idx="423">
                  <c:v>0</c:v>
                </c:pt>
                <c:pt idx="424">
                  <c:v>0</c:v>
                </c:pt>
                <c:pt idx="425">
                  <c:v>1.3720035962462535E-2</c:v>
                </c:pt>
                <c:pt idx="426">
                  <c:v>3.7093745101904733E-3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4.3261015972517587E-2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3.2273292242499606E-2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3.1630273579095425E-2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7.8939447167404891E-2</c:v>
                </c:pt>
                <c:pt idx="474">
                  <c:v>9.7097449828009219E-2</c:v>
                </c:pt>
                <c:pt idx="475">
                  <c:v>0</c:v>
                </c:pt>
                <c:pt idx="476">
                  <c:v>0</c:v>
                </c:pt>
                <c:pt idx="477">
                  <c:v>6.3770982472079435E-2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4.2270933345384717E-2</c:v>
                </c:pt>
                <c:pt idx="485">
                  <c:v>0</c:v>
                </c:pt>
                <c:pt idx="486">
                  <c:v>6.8886053879370954E-2</c:v>
                </c:pt>
                <c:pt idx="487">
                  <c:v>0</c:v>
                </c:pt>
                <c:pt idx="488">
                  <c:v>0</c:v>
                </c:pt>
                <c:pt idx="489">
                  <c:v>3.6689588285640048E-2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5.7903540959043369E-2</c:v>
                </c:pt>
                <c:pt idx="496">
                  <c:v>0</c:v>
                </c:pt>
                <c:pt idx="497">
                  <c:v>0</c:v>
                </c:pt>
                <c:pt idx="498">
                  <c:v>8.769206998196926E-3</c:v>
                </c:pt>
                <c:pt idx="499">
                  <c:v>0</c:v>
                </c:pt>
                <c:pt idx="500">
                  <c:v>0</c:v>
                </c:pt>
                <c:pt idx="501">
                  <c:v>3.459533536901926E-3</c:v>
                </c:pt>
                <c:pt idx="502">
                  <c:v>4.2320580394787415E-2</c:v>
                </c:pt>
                <c:pt idx="503">
                  <c:v>0</c:v>
                </c:pt>
                <c:pt idx="504">
                  <c:v>3.3581738038283911E-2</c:v>
                </c:pt>
                <c:pt idx="505">
                  <c:v>0</c:v>
                </c:pt>
                <c:pt idx="506">
                  <c:v>2.7994766272789726E-2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4.6075003435088836E-2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3.8519243896783247E-2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2.0276497338968948E-2</c:v>
                </c:pt>
                <c:pt idx="553">
                  <c:v>0</c:v>
                </c:pt>
                <c:pt idx="554">
                  <c:v>3.6168699533115939E-2</c:v>
                </c:pt>
                <c:pt idx="555">
                  <c:v>0</c:v>
                </c:pt>
                <c:pt idx="556">
                  <c:v>2.6145837597827469E-3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1.592908423443094E-2</c:v>
                </c:pt>
                <c:pt idx="561">
                  <c:v>0</c:v>
                </c:pt>
                <c:pt idx="562">
                  <c:v>0</c:v>
                </c:pt>
                <c:pt idx="563">
                  <c:v>3.9029426396589947E-2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8.2443538012665063E-4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6.0824798880130789E-3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4.6804612967244197E-2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1.8013254644399549E-3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2.3599290892354571E-2</c:v>
                </c:pt>
                <c:pt idx="604">
                  <c:v>1.8752899054494437E-2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9.1511561701767986E-3</c:v>
                </c:pt>
                <c:pt idx="618">
                  <c:v>0</c:v>
                </c:pt>
                <c:pt idx="619">
                  <c:v>1.0823458688873275E-2</c:v>
                </c:pt>
                <c:pt idx="620">
                  <c:v>0</c:v>
                </c:pt>
                <c:pt idx="621">
                  <c:v>0</c:v>
                </c:pt>
                <c:pt idx="622">
                  <c:v>5.1343818034003529E-2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1.2578597629938839E-2</c:v>
                </c:pt>
                <c:pt idx="633">
                  <c:v>0</c:v>
                </c:pt>
                <c:pt idx="634">
                  <c:v>4.2832282541715797E-2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3.0996754591582814E-3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2.1891687201386185E-2</c:v>
                </c:pt>
                <c:pt idx="645">
                  <c:v>0</c:v>
                </c:pt>
                <c:pt idx="646">
                  <c:v>3.4062304299400112E-3</c:v>
                </c:pt>
                <c:pt idx="647">
                  <c:v>0</c:v>
                </c:pt>
                <c:pt idx="648">
                  <c:v>1.4437212206107266E-2</c:v>
                </c:pt>
                <c:pt idx="649">
                  <c:v>3.2174723813891297E-2</c:v>
                </c:pt>
                <c:pt idx="650">
                  <c:v>0</c:v>
                </c:pt>
                <c:pt idx="651">
                  <c:v>1.6611691462417009E-3</c:v>
                </c:pt>
                <c:pt idx="652">
                  <c:v>0</c:v>
                </c:pt>
                <c:pt idx="653">
                  <c:v>0</c:v>
                </c:pt>
                <c:pt idx="654">
                  <c:v>2.0752940847617946E-2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3.4372590313574959E-2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3.0958513440262972E-3</c:v>
                </c:pt>
                <c:pt idx="666">
                  <c:v>3.8177507969855656E-3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6.5592728008330332E-3</c:v>
                </c:pt>
                <c:pt idx="671">
                  <c:v>0</c:v>
                </c:pt>
                <c:pt idx="672">
                  <c:v>0</c:v>
                </c:pt>
                <c:pt idx="673">
                  <c:v>1.6098368964965026E-3</c:v>
                </c:pt>
                <c:pt idx="674">
                  <c:v>2.6035942861974151E-2</c:v>
                </c:pt>
                <c:pt idx="675">
                  <c:v>0</c:v>
                </c:pt>
                <c:pt idx="676">
                  <c:v>1.3123702262358848E-3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3.2970909887781149E-3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2.7160842943028497E-2</c:v>
                </c:pt>
                <c:pt idx="688">
                  <c:v>2.1677400434894613E-2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8.1066752009176738E-3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8.1779958193878531E-3</c:v>
                </c:pt>
                <c:pt idx="699">
                  <c:v>1.7250617053734475E-2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1.7687496963500339E-3</c:v>
                </c:pt>
                <c:pt idx="706">
                  <c:v>0</c:v>
                </c:pt>
                <c:pt idx="707">
                  <c:v>1.7387072370021288E-2</c:v>
                </c:pt>
                <c:pt idx="708">
                  <c:v>0.11921843469834342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8.149724215728181E-2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4.2512838408843977E-2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3.1984215402247274E-2</c:v>
                </c:pt>
                <c:pt idx="726">
                  <c:v>0</c:v>
                </c:pt>
                <c:pt idx="727">
                  <c:v>0</c:v>
                </c:pt>
                <c:pt idx="728">
                  <c:v>1.7272098156102669E-2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6.8105777798458059E-3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6.0769463734712077E-3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0.12691162760779501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6.2250996619883636E-4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1.8159773290799184E-2</c:v>
                </c:pt>
                <c:pt idx="786">
                  <c:v>0</c:v>
                </c:pt>
                <c:pt idx="787">
                  <c:v>1.0402109795871618E-3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2.4335419370770311E-2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1.7268012053019786E-2</c:v>
                </c:pt>
                <c:pt idx="810">
                  <c:v>0</c:v>
                </c:pt>
                <c:pt idx="811">
                  <c:v>5.1478631292917005E-3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1.122853435290554E-2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3.1805638017546933E-2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6.9639764869784222E-3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1.5919805632582506E-2</c:v>
                </c:pt>
                <c:pt idx="863">
                  <c:v>0</c:v>
                </c:pt>
                <c:pt idx="864">
                  <c:v>1.2397351851490705E-2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2.5117077400754709E-2</c:v>
                </c:pt>
                <c:pt idx="885">
                  <c:v>0</c:v>
                </c:pt>
                <c:pt idx="886">
                  <c:v>0</c:v>
                </c:pt>
                <c:pt idx="887">
                  <c:v>1.6890006070094419E-2</c:v>
                </c:pt>
                <c:pt idx="888">
                  <c:v>0</c:v>
                </c:pt>
                <c:pt idx="889">
                  <c:v>0</c:v>
                </c:pt>
                <c:pt idx="890">
                  <c:v>1.9974275893810817E-3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1.9732775523699131E-3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4.2621910881015217E-4</c:v>
                </c:pt>
                <c:pt idx="901">
                  <c:v>1.1072870961918942E-2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7.7890227412380246E-3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2.2307817128732914E-2</c:v>
                </c:pt>
                <c:pt idx="917">
                  <c:v>2.167774345348632E-3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5.6082026645247508E-3</c:v>
                </c:pt>
                <c:pt idx="924">
                  <c:v>0</c:v>
                </c:pt>
                <c:pt idx="925">
                  <c:v>1.5460425709335437E-2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3.7601964886575415E-3</c:v>
                </c:pt>
                <c:pt idx="933">
                  <c:v>0</c:v>
                </c:pt>
                <c:pt idx="934">
                  <c:v>1.8680536940044085E-2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2.4668021494356502E-3</c:v>
                </c:pt>
                <c:pt idx="940">
                  <c:v>2.479773492400484E-2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8.3666952163500997E-3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9.9316389871805053E-3</c:v>
                </c:pt>
                <c:pt idx="962">
                  <c:v>2.0011880691981447E-3</c:v>
                </c:pt>
                <c:pt idx="963">
                  <c:v>0</c:v>
                </c:pt>
                <c:pt idx="964">
                  <c:v>0</c:v>
                </c:pt>
                <c:pt idx="965">
                  <c:v>1.2298578500289335E-3</c:v>
                </c:pt>
                <c:pt idx="966">
                  <c:v>0</c:v>
                </c:pt>
                <c:pt idx="967">
                  <c:v>1.5338588826226604E-3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3.2804965116761897E-4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3.183338341689141E-2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5.5331015157087287E-3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3.2553264874440636E-2</c:v>
                </c:pt>
                <c:pt idx="1005">
                  <c:v>0</c:v>
                </c:pt>
                <c:pt idx="1006">
                  <c:v>1.1102154850558861E-2</c:v>
                </c:pt>
                <c:pt idx="1007">
                  <c:v>0</c:v>
                </c:pt>
                <c:pt idx="1008">
                  <c:v>4.9978842042493858E-2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9.7343214811301652E-4</c:v>
                </c:pt>
                <c:pt idx="1022">
                  <c:v>3.7458008211161413E-3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9.0416584244853142E-3</c:v>
                </c:pt>
                <c:pt idx="1030">
                  <c:v>2.4849223234688869E-2</c:v>
                </c:pt>
                <c:pt idx="1031">
                  <c:v>0</c:v>
                </c:pt>
                <c:pt idx="1032">
                  <c:v>2.2507833363982391E-2</c:v>
                </c:pt>
                <c:pt idx="1033">
                  <c:v>2.9516907548491313E-2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2.3567195911589529E-2</c:v>
                </c:pt>
                <c:pt idx="1038">
                  <c:v>0</c:v>
                </c:pt>
                <c:pt idx="1039">
                  <c:v>3.0561682241501485E-2</c:v>
                </c:pt>
                <c:pt idx="1040">
                  <c:v>0</c:v>
                </c:pt>
                <c:pt idx="1041">
                  <c:v>1.7528038510899908E-2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3.0026815492576763E-3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1.7172500573563711E-2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7.325625312823371E-3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1.2281318240982973E-2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1.2741337091449591E-2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1.8696440753141676E-3</c:v>
                </c:pt>
                <c:pt idx="1091">
                  <c:v>0</c:v>
                </c:pt>
                <c:pt idx="1092">
                  <c:v>0</c:v>
                </c:pt>
                <c:pt idx="1093">
                  <c:v>1.0121455693837895E-2</c:v>
                </c:pt>
                <c:pt idx="1094">
                  <c:v>0</c:v>
                </c:pt>
                <c:pt idx="1095">
                  <c:v>0</c:v>
                </c:pt>
                <c:pt idx="1096">
                  <c:v>2.0786427770936523E-2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1.8206256002173436E-2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4.0530011323805605E-2</c:v>
                </c:pt>
                <c:pt idx="1109">
                  <c:v>1.3676132190318721E-2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1.6859950123644881E-2</c:v>
                </c:pt>
                <c:pt idx="1114">
                  <c:v>1.4623069233908043E-2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1.7969715093973462E-2</c:v>
                </c:pt>
                <c:pt idx="1122">
                  <c:v>5.2012703906651095E-2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4.9052538288021303E-3</c:v>
                </c:pt>
                <c:pt idx="1130">
                  <c:v>0</c:v>
                </c:pt>
                <c:pt idx="1131">
                  <c:v>6.6680350724189971E-2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3.7087386218649055E-3</c:v>
                </c:pt>
                <c:pt idx="1151">
                  <c:v>0</c:v>
                </c:pt>
                <c:pt idx="1152">
                  <c:v>0</c:v>
                </c:pt>
                <c:pt idx="1153">
                  <c:v>2.0295599228610389E-2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4.5826832444734074E-3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4.5883754285710411E-3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1.5097009163363918E-2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3.6559114277089047E-3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4.1341834796234198E-2</c:v>
                </c:pt>
                <c:pt idx="1225">
                  <c:v>0</c:v>
                </c:pt>
                <c:pt idx="1226">
                  <c:v>2.2614152654415905E-2</c:v>
                </c:pt>
                <c:pt idx="1227">
                  <c:v>0</c:v>
                </c:pt>
                <c:pt idx="1228">
                  <c:v>3.034933623272177E-3</c:v>
                </c:pt>
                <c:pt idx="1229">
                  <c:v>0</c:v>
                </c:pt>
                <c:pt idx="1230">
                  <c:v>2.3490975170894914E-2</c:v>
                </c:pt>
                <c:pt idx="1231">
                  <c:v>0</c:v>
                </c:pt>
                <c:pt idx="1232">
                  <c:v>5.2803852599883818E-3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2.7191298957301938E-3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9.5738629963608365E-3</c:v>
                </c:pt>
                <c:pt idx="1246">
                  <c:v>4.7975958192508515E-2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1.8647455192521752E-2</c:v>
                </c:pt>
                <c:pt idx="1255">
                  <c:v>0</c:v>
                </c:pt>
                <c:pt idx="1256">
                  <c:v>0</c:v>
                </c:pt>
              </c:numCache>
            </c:numRef>
          </c:xVal>
          <c:yVal>
            <c:numRef>
              <c:f>'TSLA, MSFT'!$L$5:$L$1261</c:f>
              <c:numCache>
                <c:formatCode>General</c:formatCode>
                <c:ptCount val="12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-6.446358976119072E-3</c:v>
                </c:pt>
                <c:pt idx="6">
                  <c:v>-7.7519768043179359E-3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-4.7907658206349539E-3</c:v>
                </c:pt>
                <c:pt idx="15">
                  <c:v>0</c:v>
                </c:pt>
                <c:pt idx="16">
                  <c:v>0</c:v>
                </c:pt>
                <c:pt idx="17">
                  <c:v>-2.0575670592730608E-2</c:v>
                </c:pt>
                <c:pt idx="18">
                  <c:v>0</c:v>
                </c:pt>
                <c:pt idx="19">
                  <c:v>0</c:v>
                </c:pt>
                <c:pt idx="20">
                  <c:v>-1.5926208927373738E-2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-3.9825578904485945E-3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-1.692424578910882E-3</c:v>
                </c:pt>
                <c:pt idx="38">
                  <c:v>-1.2488850865001288E-3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-1.2244683463417904E-2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-1.1055833077497552E-3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-9.7154335009584977E-3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-2.3157730967836129E-3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-9.2428567005325415E-4</c:v>
                </c:pt>
                <c:pt idx="80">
                  <c:v>0</c:v>
                </c:pt>
                <c:pt idx="81">
                  <c:v>0</c:v>
                </c:pt>
                <c:pt idx="82">
                  <c:v>-1.314513792110155E-2</c:v>
                </c:pt>
                <c:pt idx="83">
                  <c:v>0</c:v>
                </c:pt>
                <c:pt idx="84">
                  <c:v>-5.8354571350615796E-3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-1.1739350889595974E-2</c:v>
                </c:pt>
                <c:pt idx="98">
                  <c:v>0</c:v>
                </c:pt>
                <c:pt idx="99">
                  <c:v>0</c:v>
                </c:pt>
                <c:pt idx="100">
                  <c:v>-9.7173205893590353E-3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-3.7778662234824846E-3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-1.4173289456292557E-3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-5.9264852446786632E-3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-2.195701558559404E-3</c:v>
                </c:pt>
                <c:pt idx="143">
                  <c:v>-4.8333308962574088E-3</c:v>
                </c:pt>
                <c:pt idx="144">
                  <c:v>0</c:v>
                </c:pt>
                <c:pt idx="145">
                  <c:v>0</c:v>
                </c:pt>
                <c:pt idx="146">
                  <c:v>-8.4376409809262913E-3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-7.3037892026986042E-3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-1.3269445367617273E-3</c:v>
                </c:pt>
                <c:pt idx="165">
                  <c:v>0</c:v>
                </c:pt>
                <c:pt idx="166">
                  <c:v>-1.8841950642857889E-3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-1.142373785480328E-2</c:v>
                </c:pt>
                <c:pt idx="172">
                  <c:v>-1.0526412986987504E-2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-2.1537807162703006E-3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-1.4197992938162221E-2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-7.2664176723218994E-3</c:v>
                </c:pt>
                <c:pt idx="192">
                  <c:v>-1.0630988352252577E-2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-9.3113210896089444E-4</c:v>
                </c:pt>
                <c:pt idx="197">
                  <c:v>0</c:v>
                </c:pt>
                <c:pt idx="198">
                  <c:v>-8.227580279855002E-3</c:v>
                </c:pt>
                <c:pt idx="199">
                  <c:v>-5.1410323870912777E-3</c:v>
                </c:pt>
                <c:pt idx="200">
                  <c:v>0</c:v>
                </c:pt>
                <c:pt idx="201">
                  <c:v>0</c:v>
                </c:pt>
                <c:pt idx="202">
                  <c:v>-1.4993002829901025E-2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-2.7727731614839374E-3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-9.3614182697584125E-4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-1.2162446805064245E-2</c:v>
                </c:pt>
                <c:pt idx="231">
                  <c:v>-1.6061035373845821E-3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-2.5733246360394482E-3</c:v>
                </c:pt>
                <c:pt idx="236">
                  <c:v>-1.5207117215390055E-3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-2.0707960548235595E-3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-1.9060325989278269E-4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-1.2529922105142565E-2</c:v>
                </c:pt>
                <c:pt idx="253">
                  <c:v>0</c:v>
                </c:pt>
                <c:pt idx="254">
                  <c:v>-9.1595978502822788E-3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-7.0680359396116657E-3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-3.5971261808494803E-3</c:v>
                </c:pt>
                <c:pt idx="264">
                  <c:v>-4.8163849879813148E-3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-1.4868645104259065E-2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-2.2834245035999685E-2</c:v>
                </c:pt>
                <c:pt idx="279">
                  <c:v>0</c:v>
                </c:pt>
                <c:pt idx="280">
                  <c:v>-5.4286002703827496E-3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-3.2123089277586635E-2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-4.9105625693701326E-2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-1.002459644296938E-2</c:v>
                </c:pt>
                <c:pt idx="307">
                  <c:v>0</c:v>
                </c:pt>
                <c:pt idx="308">
                  <c:v>-9.6187153569455269E-3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-1.5852379520322101E-2</c:v>
                </c:pt>
                <c:pt idx="313">
                  <c:v>0</c:v>
                </c:pt>
                <c:pt idx="314">
                  <c:v>0</c:v>
                </c:pt>
                <c:pt idx="315">
                  <c:v>-9.2530344098743656E-3</c:v>
                </c:pt>
                <c:pt idx="316">
                  <c:v>0</c:v>
                </c:pt>
                <c:pt idx="317">
                  <c:v>-1.0828673765413773E-2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-1.0533114340264821E-2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-2.868619293597077E-3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-1.2083920645527038E-2</c:v>
                </c:pt>
                <c:pt idx="349">
                  <c:v>0</c:v>
                </c:pt>
                <c:pt idx="350">
                  <c:v>-1.0627907640007586E-2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-2.2945814263472409E-3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-1.1696039763191187E-2</c:v>
                </c:pt>
                <c:pt idx="380">
                  <c:v>0</c:v>
                </c:pt>
                <c:pt idx="381">
                  <c:v>0</c:v>
                </c:pt>
                <c:pt idx="382">
                  <c:v>-3.0374564814564737E-3</c:v>
                </c:pt>
                <c:pt idx="383">
                  <c:v>0</c:v>
                </c:pt>
                <c:pt idx="384">
                  <c:v>0</c:v>
                </c:pt>
                <c:pt idx="385">
                  <c:v>-1.4889889635907637E-3</c:v>
                </c:pt>
                <c:pt idx="386">
                  <c:v>0</c:v>
                </c:pt>
                <c:pt idx="387">
                  <c:v>-5.1130888189988323E-3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-1.5122545829821183E-2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-2.3451158178740016E-3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-7.2965711935805647E-3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-1.4875725415896501E-2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-1.4135329784494841E-2</c:v>
                </c:pt>
                <c:pt idx="423">
                  <c:v>0</c:v>
                </c:pt>
                <c:pt idx="424">
                  <c:v>0</c:v>
                </c:pt>
                <c:pt idx="425">
                  <c:v>-2.8418367073426841E-2</c:v>
                </c:pt>
                <c:pt idx="426">
                  <c:v>-6.5461884963448382E-3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-1.2497063213480439E-2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-9.0147549999230799E-3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-6.9169963232151139E-4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-1.2833459276839376E-2</c:v>
                </c:pt>
                <c:pt idx="474">
                  <c:v>-1.5886032254532407E-2</c:v>
                </c:pt>
                <c:pt idx="475">
                  <c:v>0</c:v>
                </c:pt>
                <c:pt idx="476">
                  <c:v>0</c:v>
                </c:pt>
                <c:pt idx="477">
                  <c:v>-1.3317481159708241E-3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-5.2605973136389331E-3</c:v>
                </c:pt>
                <c:pt idx="485">
                  <c:v>0</c:v>
                </c:pt>
                <c:pt idx="486">
                  <c:v>-3.2660679165883626E-4</c:v>
                </c:pt>
                <c:pt idx="487">
                  <c:v>0</c:v>
                </c:pt>
                <c:pt idx="488">
                  <c:v>0</c:v>
                </c:pt>
                <c:pt idx="489">
                  <c:v>-6.0617726817278764E-3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-3.7898723474338136E-3</c:v>
                </c:pt>
                <c:pt idx="496">
                  <c:v>0</c:v>
                </c:pt>
                <c:pt idx="497">
                  <c:v>0</c:v>
                </c:pt>
                <c:pt idx="498">
                  <c:v>-1.3124963671414658E-2</c:v>
                </c:pt>
                <c:pt idx="499">
                  <c:v>0</c:v>
                </c:pt>
                <c:pt idx="500">
                  <c:v>0</c:v>
                </c:pt>
                <c:pt idx="501">
                  <c:v>-3.607138020851588E-3</c:v>
                </c:pt>
                <c:pt idx="502">
                  <c:v>-1.1080570046725515E-2</c:v>
                </c:pt>
                <c:pt idx="503">
                  <c:v>0</c:v>
                </c:pt>
                <c:pt idx="504">
                  <c:v>-2.1495453977850937E-2</c:v>
                </c:pt>
                <c:pt idx="505">
                  <c:v>0</c:v>
                </c:pt>
                <c:pt idx="506">
                  <c:v>-2.6271416759117483E-2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-1.1840478741084941E-2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-5.8435597288530102E-4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-3.9952450287103793E-3</c:v>
                </c:pt>
                <c:pt idx="553">
                  <c:v>0</c:v>
                </c:pt>
                <c:pt idx="554">
                  <c:v>-2.8225400518554584E-3</c:v>
                </c:pt>
                <c:pt idx="555">
                  <c:v>0</c:v>
                </c:pt>
                <c:pt idx="556">
                  <c:v>-1.6049627146583368E-3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-1.3339231564721997E-2</c:v>
                </c:pt>
                <c:pt idx="561">
                  <c:v>0</c:v>
                </c:pt>
                <c:pt idx="562">
                  <c:v>0</c:v>
                </c:pt>
                <c:pt idx="563">
                  <c:v>-1.4515658754285472E-2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-4.8699108178839228E-3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-1.8568670712503898E-3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-1.3077336465140339E-3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-8.6020273996936375E-3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-9.1413134085714361E-4</c:v>
                </c:pt>
                <c:pt idx="604">
                  <c:v>-8.7061252783603871E-3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-3.8003690987532071E-3</c:v>
                </c:pt>
                <c:pt idx="618">
                  <c:v>0</c:v>
                </c:pt>
                <c:pt idx="619">
                  <c:v>-5.6502754439891863E-3</c:v>
                </c:pt>
                <c:pt idx="620">
                  <c:v>0</c:v>
                </c:pt>
                <c:pt idx="621">
                  <c:v>0</c:v>
                </c:pt>
                <c:pt idx="622">
                  <c:v>-9.0432953900393745E-4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-9.0069685788962527E-3</c:v>
                </c:pt>
                <c:pt idx="633">
                  <c:v>0</c:v>
                </c:pt>
                <c:pt idx="634">
                  <c:v>-2.233188984146226E-3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-1.3410986999810052E-2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-2.1426604824486004E-3</c:v>
                </c:pt>
                <c:pt idx="645">
                  <c:v>0</c:v>
                </c:pt>
                <c:pt idx="646">
                  <c:v>-1.1173965824964702E-3</c:v>
                </c:pt>
                <c:pt idx="647">
                  <c:v>0</c:v>
                </c:pt>
                <c:pt idx="648">
                  <c:v>-5.5651952318233793E-3</c:v>
                </c:pt>
                <c:pt idx="649">
                  <c:v>-3.1593913168921671E-4</c:v>
                </c:pt>
                <c:pt idx="650">
                  <c:v>0</c:v>
                </c:pt>
                <c:pt idx="651">
                  <c:v>-2.1268072797269821E-3</c:v>
                </c:pt>
                <c:pt idx="652">
                  <c:v>0</c:v>
                </c:pt>
                <c:pt idx="653">
                  <c:v>0</c:v>
                </c:pt>
                <c:pt idx="654">
                  <c:v>-3.9114607061557964E-3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-8.0506078771945752E-3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-6.6856836710785673E-3</c:v>
                </c:pt>
                <c:pt idx="666">
                  <c:v>-2.0177636139831548E-3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-5.6485194859204543E-3</c:v>
                </c:pt>
                <c:pt idx="671">
                  <c:v>0</c:v>
                </c:pt>
                <c:pt idx="672">
                  <c:v>0</c:v>
                </c:pt>
                <c:pt idx="673">
                  <c:v>-3.3206594832745763E-5</c:v>
                </c:pt>
                <c:pt idx="674">
                  <c:v>-3.1929781667285979E-3</c:v>
                </c:pt>
                <c:pt idx="675">
                  <c:v>0</c:v>
                </c:pt>
                <c:pt idx="676">
                  <c:v>-9.9086941995831217E-3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-1.7683780655882171E-2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-7.0127400980523778E-4</c:v>
                </c:pt>
                <c:pt idx="688">
                  <c:v>-1.7455625851460106E-2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-2.0937134320949045E-2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-2.1049780299160999E-3</c:v>
                </c:pt>
                <c:pt idx="699">
                  <c:v>-4.5988056046162911E-3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-2.6638960591145997E-3</c:v>
                </c:pt>
                <c:pt idx="706">
                  <c:v>0</c:v>
                </c:pt>
                <c:pt idx="707">
                  <c:v>-5.1619678435496676E-3</c:v>
                </c:pt>
                <c:pt idx="708">
                  <c:v>-3.3371703928477161E-3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-6.8079961584758368E-3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-1.5448376216622603E-2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-1.1493746015782179E-3</c:v>
                </c:pt>
                <c:pt idx="726">
                  <c:v>0</c:v>
                </c:pt>
                <c:pt idx="727">
                  <c:v>0</c:v>
                </c:pt>
                <c:pt idx="728">
                  <c:v>-9.6056028927103236E-3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-1.8105467449319592E-2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-3.3914014315197193E-3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-4.67910311730444E-3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-5.719685637616303E-3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-1.3558402840929026E-4</c:v>
                </c:pt>
                <c:pt idx="786">
                  <c:v>0</c:v>
                </c:pt>
                <c:pt idx="787">
                  <c:v>-3.2334978254028425E-3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-1.1031909417436472E-2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-4.2362344243592328E-3</c:v>
                </c:pt>
                <c:pt idx="810">
                  <c:v>0</c:v>
                </c:pt>
                <c:pt idx="811">
                  <c:v>-1.5144022336246371E-2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-1.1281230831182052E-2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-1.9571476474826953E-2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-9.5011752265503104E-3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-4.7144508872274992E-3</c:v>
                </c:pt>
                <c:pt idx="863">
                  <c:v>0</c:v>
                </c:pt>
                <c:pt idx="864">
                  <c:v>-7.6992883697954151E-3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-2.7608867292982044E-3</c:v>
                </c:pt>
                <c:pt idx="885">
                  <c:v>0</c:v>
                </c:pt>
                <c:pt idx="886">
                  <c:v>0</c:v>
                </c:pt>
                <c:pt idx="887">
                  <c:v>-3.7520532178771529E-3</c:v>
                </c:pt>
                <c:pt idx="888">
                  <c:v>0</c:v>
                </c:pt>
                <c:pt idx="889">
                  <c:v>0</c:v>
                </c:pt>
                <c:pt idx="890">
                  <c:v>-9.6679618729322448E-3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-1.7060581352458623E-2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-9.7718898394702214E-3</c:v>
                </c:pt>
                <c:pt idx="901">
                  <c:v>-1.1540746363081363E-2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-9.1970181143315923E-3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-4.7276292965457867E-3</c:v>
                </c:pt>
                <c:pt idx="917">
                  <c:v>-2.3540926794204851E-3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-4.1006438360591075E-3</c:v>
                </c:pt>
                <c:pt idx="924">
                  <c:v>0</c:v>
                </c:pt>
                <c:pt idx="925">
                  <c:v>-1.103464888924017E-2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-2.7493693164691652E-2</c:v>
                </c:pt>
                <c:pt idx="933">
                  <c:v>0</c:v>
                </c:pt>
                <c:pt idx="934">
                  <c:v>-8.9931739699737915E-4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-1.9774077167140861E-3</c:v>
                </c:pt>
                <c:pt idx="940">
                  <c:v>-4.3894891734243902E-3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-8.5056725685590494E-3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-8.0295405893358665E-2</c:v>
                </c:pt>
                <c:pt idx="962">
                  <c:v>-1.9953944294771531E-2</c:v>
                </c:pt>
                <c:pt idx="963">
                  <c:v>0</c:v>
                </c:pt>
                <c:pt idx="964">
                  <c:v>0</c:v>
                </c:pt>
                <c:pt idx="965">
                  <c:v>-1.7206594401876611E-2</c:v>
                </c:pt>
                <c:pt idx="966">
                  <c:v>0</c:v>
                </c:pt>
                <c:pt idx="967">
                  <c:v>-2.6938431054526757E-2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-2.3424678627646377E-2</c:v>
                </c:pt>
                <c:pt idx="984">
                  <c:v>0</c:v>
                </c:pt>
                <c:pt idx="985">
                  <c:v>0</c:v>
                </c:pt>
                <c:pt idx="986">
                  <c:v>-1.7652947722180106E-3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-8.0354314099858049E-3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-3.2438693537079955E-2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-1.0307839046002841E-2</c:v>
                </c:pt>
                <c:pt idx="1005">
                  <c:v>0</c:v>
                </c:pt>
                <c:pt idx="1006">
                  <c:v>-4.9497844544585364E-3</c:v>
                </c:pt>
                <c:pt idx="1007">
                  <c:v>0</c:v>
                </c:pt>
                <c:pt idx="1008">
                  <c:v>-4.4728800843735241E-2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-2.2285511266138605E-3</c:v>
                </c:pt>
                <c:pt idx="1022">
                  <c:v>-5.9256363174824134E-3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-2.3903996947661727E-2</c:v>
                </c:pt>
                <c:pt idx="1030">
                  <c:v>-6.1345121715657928E-3</c:v>
                </c:pt>
                <c:pt idx="1031">
                  <c:v>0</c:v>
                </c:pt>
                <c:pt idx="1032">
                  <c:v>-3.1069294490499119E-3</c:v>
                </c:pt>
                <c:pt idx="1033">
                  <c:v>-1.1728238516837746E-2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-1.0526607387759304E-2</c:v>
                </c:pt>
                <c:pt idx="1038">
                  <c:v>0</c:v>
                </c:pt>
                <c:pt idx="1039">
                  <c:v>-1.5724742994841695E-2</c:v>
                </c:pt>
                <c:pt idx="1040">
                  <c:v>0</c:v>
                </c:pt>
                <c:pt idx="1041">
                  <c:v>-4.6015393186366943E-3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-1.4893170208639148E-2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-2.6104516777849054E-2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-1.5046517821102334E-2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-2.2929248917307413E-2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-1.2240545707965717E-3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-3.3125102033009406E-3</c:v>
                </c:pt>
                <c:pt idx="1091">
                  <c:v>0</c:v>
                </c:pt>
                <c:pt idx="1092">
                  <c:v>0</c:v>
                </c:pt>
                <c:pt idx="1093">
                  <c:v>-6.4589276697979798E-3</c:v>
                </c:pt>
                <c:pt idx="1094">
                  <c:v>0</c:v>
                </c:pt>
                <c:pt idx="1095">
                  <c:v>0</c:v>
                </c:pt>
                <c:pt idx="1096">
                  <c:v>-7.0692110210003704E-3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-5.6527338753573411E-4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-5.0594897870190041E-3</c:v>
                </c:pt>
                <c:pt idx="1109">
                  <c:v>-8.5506888472856729E-3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-6.7501227001670414E-3</c:v>
                </c:pt>
                <c:pt idx="1114">
                  <c:v>-3.1354347577021255E-2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-1.6714610702695375E-2</c:v>
                </c:pt>
                <c:pt idx="1122">
                  <c:v>-1.2581370578011064E-2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-2.3848572936938689E-3</c:v>
                </c:pt>
                <c:pt idx="1130">
                  <c:v>0</c:v>
                </c:pt>
                <c:pt idx="1131">
                  <c:v>-7.5162837459640842E-3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-7.2669349439972841E-3</c:v>
                </c:pt>
                <c:pt idx="1151">
                  <c:v>0</c:v>
                </c:pt>
                <c:pt idx="1152">
                  <c:v>0</c:v>
                </c:pt>
                <c:pt idx="1153">
                  <c:v>-2.568180450313361E-3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-3.1376158556015343E-3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-1.2467502489189131E-3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-4.3451246558967012E-3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-1.7451486300624746E-3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-8.1211826805802877E-3</c:v>
                </c:pt>
                <c:pt idx="1225">
                  <c:v>0</c:v>
                </c:pt>
                <c:pt idx="1226">
                  <c:v>-1.6217534705629327E-3</c:v>
                </c:pt>
                <c:pt idx="1227">
                  <c:v>0</c:v>
                </c:pt>
                <c:pt idx="1228">
                  <c:v>-1.6943650836679435E-2</c:v>
                </c:pt>
                <c:pt idx="1229">
                  <c:v>0</c:v>
                </c:pt>
                <c:pt idx="1230">
                  <c:v>-1.1645546062581421E-2</c:v>
                </c:pt>
                <c:pt idx="1231">
                  <c:v>0</c:v>
                </c:pt>
                <c:pt idx="1232">
                  <c:v>-1.1121704355797279E-3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-1.0036235971018262E-2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-2.6711185310398745E-5</c:v>
                </c:pt>
                <c:pt idx="1246">
                  <c:v>-2.2802554909027505E-2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-1.5760023563083504E-3</c:v>
                </c:pt>
                <c:pt idx="1255">
                  <c:v>0</c:v>
                </c:pt>
                <c:pt idx="125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E35-42A5-AAAA-A8B28234B61A}"/>
            </c:ext>
          </c:extLst>
        </c:ser>
        <c:ser>
          <c:idx val="2"/>
          <c:order val="2"/>
          <c:tx>
            <c:v>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6"/>
              </a:solidFill>
              <a:ln w="9525">
                <a:noFill/>
              </a:ln>
              <a:effectLst/>
            </c:spPr>
          </c:marker>
          <c:dPt>
            <c:idx val="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D2-F2A4-406A-A7DA-6B5418467181}"/>
              </c:ext>
            </c:extLst>
          </c:dPt>
          <c:dPt>
            <c:idx val="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D3-F2A4-406A-A7DA-6B5418467181}"/>
              </c:ext>
            </c:extLst>
          </c:dPt>
          <c:dPt>
            <c:idx val="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D4-F2A4-406A-A7DA-6B5418467181}"/>
              </c:ext>
            </c:extLst>
          </c:dPt>
          <c:dPt>
            <c:idx val="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D5-F2A4-406A-A7DA-6B5418467181}"/>
              </c:ext>
            </c:extLst>
          </c:dPt>
          <c:dPt>
            <c:idx val="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D6-F2A4-406A-A7DA-6B5418467181}"/>
              </c:ext>
            </c:extLst>
          </c:dPt>
          <c:dPt>
            <c:idx val="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D7-F2A4-406A-A7DA-6B5418467181}"/>
              </c:ext>
            </c:extLst>
          </c:dPt>
          <c:dPt>
            <c:idx val="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D8-F2A4-406A-A7DA-6B5418467181}"/>
              </c:ext>
            </c:extLst>
          </c:dPt>
          <c:dPt>
            <c:idx val="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D9-F2A4-406A-A7DA-6B5418467181}"/>
              </c:ext>
            </c:extLst>
          </c:dPt>
          <c:dPt>
            <c:idx val="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DA-F2A4-406A-A7DA-6B5418467181}"/>
              </c:ext>
            </c:extLst>
          </c:dPt>
          <c:dPt>
            <c:idx val="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DB-F2A4-406A-A7DA-6B5418467181}"/>
              </c:ext>
            </c:extLst>
          </c:dPt>
          <c:dPt>
            <c:idx val="1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DC-F2A4-406A-A7DA-6B5418467181}"/>
              </c:ext>
            </c:extLst>
          </c:dPt>
          <c:dPt>
            <c:idx val="11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DD-F2A4-406A-A7DA-6B5418467181}"/>
              </c:ext>
            </c:extLst>
          </c:dPt>
          <c:dPt>
            <c:idx val="1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DE-F2A4-406A-A7DA-6B5418467181}"/>
              </c:ext>
            </c:extLst>
          </c:dPt>
          <c:dPt>
            <c:idx val="13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DF-F2A4-406A-A7DA-6B5418467181}"/>
              </c:ext>
            </c:extLst>
          </c:dPt>
          <c:dPt>
            <c:idx val="1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E0-F2A4-406A-A7DA-6B5418467181}"/>
              </c:ext>
            </c:extLst>
          </c:dPt>
          <c:dPt>
            <c:idx val="1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E1-F2A4-406A-A7DA-6B5418467181}"/>
              </c:ext>
            </c:extLst>
          </c:dPt>
          <c:dPt>
            <c:idx val="1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E2-F2A4-406A-A7DA-6B5418467181}"/>
              </c:ext>
            </c:extLst>
          </c:dPt>
          <c:dPt>
            <c:idx val="1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E3-F2A4-406A-A7DA-6B5418467181}"/>
              </c:ext>
            </c:extLst>
          </c:dPt>
          <c:dPt>
            <c:idx val="1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E4-F2A4-406A-A7DA-6B5418467181}"/>
              </c:ext>
            </c:extLst>
          </c:dPt>
          <c:dPt>
            <c:idx val="1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E5-F2A4-406A-A7DA-6B5418467181}"/>
              </c:ext>
            </c:extLst>
          </c:dPt>
          <c:dPt>
            <c:idx val="2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E6-F2A4-406A-A7DA-6B5418467181}"/>
              </c:ext>
            </c:extLst>
          </c:dPt>
          <c:dPt>
            <c:idx val="2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E7-F2A4-406A-A7DA-6B5418467181}"/>
              </c:ext>
            </c:extLst>
          </c:dPt>
          <c:dPt>
            <c:idx val="2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E8-F2A4-406A-A7DA-6B5418467181}"/>
              </c:ext>
            </c:extLst>
          </c:dPt>
          <c:dPt>
            <c:idx val="2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E9-F2A4-406A-A7DA-6B5418467181}"/>
              </c:ext>
            </c:extLst>
          </c:dPt>
          <c:dPt>
            <c:idx val="2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EA-F2A4-406A-A7DA-6B5418467181}"/>
              </c:ext>
            </c:extLst>
          </c:dPt>
          <c:dPt>
            <c:idx val="25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EB-F2A4-406A-A7DA-6B5418467181}"/>
              </c:ext>
            </c:extLst>
          </c:dPt>
          <c:dPt>
            <c:idx val="2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EC-F2A4-406A-A7DA-6B5418467181}"/>
              </c:ext>
            </c:extLst>
          </c:dPt>
          <c:dPt>
            <c:idx val="27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ED-F2A4-406A-A7DA-6B5418467181}"/>
              </c:ext>
            </c:extLst>
          </c:dPt>
          <c:dPt>
            <c:idx val="2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EE-F2A4-406A-A7DA-6B5418467181}"/>
              </c:ext>
            </c:extLst>
          </c:dPt>
          <c:dPt>
            <c:idx val="29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EF-F2A4-406A-A7DA-6B5418467181}"/>
              </c:ext>
            </c:extLst>
          </c:dPt>
          <c:dPt>
            <c:idx val="3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F0-F2A4-406A-A7DA-6B5418467181}"/>
              </c:ext>
            </c:extLst>
          </c:dPt>
          <c:dPt>
            <c:idx val="3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F1-F2A4-406A-A7DA-6B5418467181}"/>
              </c:ext>
            </c:extLst>
          </c:dPt>
          <c:dPt>
            <c:idx val="3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F2-F2A4-406A-A7DA-6B5418467181}"/>
              </c:ext>
            </c:extLst>
          </c:dPt>
          <c:dPt>
            <c:idx val="33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F3-F2A4-406A-A7DA-6B5418467181}"/>
              </c:ext>
            </c:extLst>
          </c:dPt>
          <c:dPt>
            <c:idx val="3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F4-F2A4-406A-A7DA-6B5418467181}"/>
              </c:ext>
            </c:extLst>
          </c:dPt>
          <c:dPt>
            <c:idx val="3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F5-F2A4-406A-A7DA-6B5418467181}"/>
              </c:ext>
            </c:extLst>
          </c:dPt>
          <c:dPt>
            <c:idx val="36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F6-F2A4-406A-A7DA-6B5418467181}"/>
              </c:ext>
            </c:extLst>
          </c:dPt>
          <c:dPt>
            <c:idx val="3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F7-F2A4-406A-A7DA-6B5418467181}"/>
              </c:ext>
            </c:extLst>
          </c:dPt>
          <c:dPt>
            <c:idx val="3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F8-F2A4-406A-A7DA-6B5418467181}"/>
              </c:ext>
            </c:extLst>
          </c:dPt>
          <c:dPt>
            <c:idx val="39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F9-F2A4-406A-A7DA-6B5418467181}"/>
              </c:ext>
            </c:extLst>
          </c:dPt>
          <c:dPt>
            <c:idx val="4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FA-F2A4-406A-A7DA-6B5418467181}"/>
              </c:ext>
            </c:extLst>
          </c:dPt>
          <c:dPt>
            <c:idx val="4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FB-F2A4-406A-A7DA-6B5418467181}"/>
              </c:ext>
            </c:extLst>
          </c:dPt>
          <c:dPt>
            <c:idx val="42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FC-F2A4-406A-A7DA-6B5418467181}"/>
              </c:ext>
            </c:extLst>
          </c:dPt>
          <c:dPt>
            <c:idx val="4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FD-F2A4-406A-A7DA-6B5418467181}"/>
              </c:ext>
            </c:extLst>
          </c:dPt>
          <c:dPt>
            <c:idx val="4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FE-F2A4-406A-A7DA-6B5418467181}"/>
              </c:ext>
            </c:extLst>
          </c:dPt>
          <c:dPt>
            <c:idx val="4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9FF-F2A4-406A-A7DA-6B5418467181}"/>
              </c:ext>
            </c:extLst>
          </c:dPt>
          <c:dPt>
            <c:idx val="46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00-F2A4-406A-A7DA-6B5418467181}"/>
              </c:ext>
            </c:extLst>
          </c:dPt>
          <c:dPt>
            <c:idx val="4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01-F2A4-406A-A7DA-6B5418467181}"/>
              </c:ext>
            </c:extLst>
          </c:dPt>
          <c:dPt>
            <c:idx val="4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02-F2A4-406A-A7DA-6B5418467181}"/>
              </c:ext>
            </c:extLst>
          </c:dPt>
          <c:dPt>
            <c:idx val="49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03-F2A4-406A-A7DA-6B5418467181}"/>
              </c:ext>
            </c:extLst>
          </c:dPt>
          <c:dPt>
            <c:idx val="50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04-F2A4-406A-A7DA-6B5418467181}"/>
              </c:ext>
            </c:extLst>
          </c:dPt>
          <c:dPt>
            <c:idx val="51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05-F2A4-406A-A7DA-6B5418467181}"/>
              </c:ext>
            </c:extLst>
          </c:dPt>
          <c:dPt>
            <c:idx val="5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06-F2A4-406A-A7DA-6B5418467181}"/>
              </c:ext>
            </c:extLst>
          </c:dPt>
          <c:dPt>
            <c:idx val="5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07-F2A4-406A-A7DA-6B5418467181}"/>
              </c:ext>
            </c:extLst>
          </c:dPt>
          <c:dPt>
            <c:idx val="5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08-F2A4-406A-A7DA-6B5418467181}"/>
              </c:ext>
            </c:extLst>
          </c:dPt>
          <c:dPt>
            <c:idx val="55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09-F2A4-406A-A7DA-6B5418467181}"/>
              </c:ext>
            </c:extLst>
          </c:dPt>
          <c:dPt>
            <c:idx val="5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0A-F2A4-406A-A7DA-6B5418467181}"/>
              </c:ext>
            </c:extLst>
          </c:dPt>
          <c:dPt>
            <c:idx val="5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0B-F2A4-406A-A7DA-6B5418467181}"/>
              </c:ext>
            </c:extLst>
          </c:dPt>
          <c:dPt>
            <c:idx val="5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0C-F2A4-406A-A7DA-6B5418467181}"/>
              </c:ext>
            </c:extLst>
          </c:dPt>
          <c:dPt>
            <c:idx val="5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0D-F2A4-406A-A7DA-6B5418467181}"/>
              </c:ext>
            </c:extLst>
          </c:dPt>
          <c:dPt>
            <c:idx val="6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0E-F2A4-406A-A7DA-6B5418467181}"/>
              </c:ext>
            </c:extLst>
          </c:dPt>
          <c:dPt>
            <c:idx val="61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0F-F2A4-406A-A7DA-6B5418467181}"/>
              </c:ext>
            </c:extLst>
          </c:dPt>
          <c:dPt>
            <c:idx val="6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10-F2A4-406A-A7DA-6B5418467181}"/>
              </c:ext>
            </c:extLst>
          </c:dPt>
          <c:dPt>
            <c:idx val="6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11-F2A4-406A-A7DA-6B5418467181}"/>
              </c:ext>
            </c:extLst>
          </c:dPt>
          <c:dPt>
            <c:idx val="6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12-F2A4-406A-A7DA-6B5418467181}"/>
              </c:ext>
            </c:extLst>
          </c:dPt>
          <c:dPt>
            <c:idx val="65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13-F2A4-406A-A7DA-6B5418467181}"/>
              </c:ext>
            </c:extLst>
          </c:dPt>
          <c:dPt>
            <c:idx val="6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14-F2A4-406A-A7DA-6B5418467181}"/>
              </c:ext>
            </c:extLst>
          </c:dPt>
          <c:dPt>
            <c:idx val="6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15-F2A4-406A-A7DA-6B5418467181}"/>
              </c:ext>
            </c:extLst>
          </c:dPt>
          <c:dPt>
            <c:idx val="68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16-F2A4-406A-A7DA-6B5418467181}"/>
              </c:ext>
            </c:extLst>
          </c:dPt>
          <c:dPt>
            <c:idx val="69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17-F2A4-406A-A7DA-6B5418467181}"/>
              </c:ext>
            </c:extLst>
          </c:dPt>
          <c:dPt>
            <c:idx val="70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18-F2A4-406A-A7DA-6B5418467181}"/>
              </c:ext>
            </c:extLst>
          </c:dPt>
          <c:dPt>
            <c:idx val="7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19-F2A4-406A-A7DA-6B5418467181}"/>
              </c:ext>
            </c:extLst>
          </c:dPt>
          <c:dPt>
            <c:idx val="72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1A-F2A4-406A-A7DA-6B5418467181}"/>
              </c:ext>
            </c:extLst>
          </c:dPt>
          <c:dPt>
            <c:idx val="7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1B-F2A4-406A-A7DA-6B5418467181}"/>
              </c:ext>
            </c:extLst>
          </c:dPt>
          <c:dPt>
            <c:idx val="74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1C-F2A4-406A-A7DA-6B5418467181}"/>
              </c:ext>
            </c:extLst>
          </c:dPt>
          <c:dPt>
            <c:idx val="7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1D-F2A4-406A-A7DA-6B5418467181}"/>
              </c:ext>
            </c:extLst>
          </c:dPt>
          <c:dPt>
            <c:idx val="7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1E-F2A4-406A-A7DA-6B5418467181}"/>
              </c:ext>
            </c:extLst>
          </c:dPt>
          <c:dPt>
            <c:idx val="77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1F-F2A4-406A-A7DA-6B5418467181}"/>
              </c:ext>
            </c:extLst>
          </c:dPt>
          <c:dPt>
            <c:idx val="78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20-F2A4-406A-A7DA-6B5418467181}"/>
              </c:ext>
            </c:extLst>
          </c:dPt>
          <c:dPt>
            <c:idx val="7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21-F2A4-406A-A7DA-6B5418467181}"/>
              </c:ext>
            </c:extLst>
          </c:dPt>
          <c:dPt>
            <c:idx val="80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22-F2A4-406A-A7DA-6B5418467181}"/>
              </c:ext>
            </c:extLst>
          </c:dPt>
          <c:dPt>
            <c:idx val="8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23-F2A4-406A-A7DA-6B5418467181}"/>
              </c:ext>
            </c:extLst>
          </c:dPt>
          <c:dPt>
            <c:idx val="8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24-F2A4-406A-A7DA-6B5418467181}"/>
              </c:ext>
            </c:extLst>
          </c:dPt>
          <c:dPt>
            <c:idx val="8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25-F2A4-406A-A7DA-6B5418467181}"/>
              </c:ext>
            </c:extLst>
          </c:dPt>
          <c:dPt>
            <c:idx val="8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26-F2A4-406A-A7DA-6B5418467181}"/>
              </c:ext>
            </c:extLst>
          </c:dPt>
          <c:dPt>
            <c:idx val="8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27-F2A4-406A-A7DA-6B5418467181}"/>
              </c:ext>
            </c:extLst>
          </c:dPt>
          <c:dPt>
            <c:idx val="8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28-F2A4-406A-A7DA-6B5418467181}"/>
              </c:ext>
            </c:extLst>
          </c:dPt>
          <c:dPt>
            <c:idx val="8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29-F2A4-406A-A7DA-6B5418467181}"/>
              </c:ext>
            </c:extLst>
          </c:dPt>
          <c:dPt>
            <c:idx val="88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2A-F2A4-406A-A7DA-6B5418467181}"/>
              </c:ext>
            </c:extLst>
          </c:dPt>
          <c:dPt>
            <c:idx val="8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2B-F2A4-406A-A7DA-6B5418467181}"/>
              </c:ext>
            </c:extLst>
          </c:dPt>
          <c:dPt>
            <c:idx val="9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2C-F2A4-406A-A7DA-6B5418467181}"/>
              </c:ext>
            </c:extLst>
          </c:dPt>
          <c:dPt>
            <c:idx val="91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2D-F2A4-406A-A7DA-6B5418467181}"/>
              </c:ext>
            </c:extLst>
          </c:dPt>
          <c:dPt>
            <c:idx val="92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2E-F2A4-406A-A7DA-6B5418467181}"/>
              </c:ext>
            </c:extLst>
          </c:dPt>
          <c:dPt>
            <c:idx val="9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2F-F2A4-406A-A7DA-6B5418467181}"/>
              </c:ext>
            </c:extLst>
          </c:dPt>
          <c:dPt>
            <c:idx val="9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30-F2A4-406A-A7DA-6B5418467181}"/>
              </c:ext>
            </c:extLst>
          </c:dPt>
          <c:dPt>
            <c:idx val="95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31-F2A4-406A-A7DA-6B5418467181}"/>
              </c:ext>
            </c:extLst>
          </c:dPt>
          <c:dPt>
            <c:idx val="96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32-F2A4-406A-A7DA-6B5418467181}"/>
              </c:ext>
            </c:extLst>
          </c:dPt>
          <c:dPt>
            <c:idx val="9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33-F2A4-406A-A7DA-6B5418467181}"/>
              </c:ext>
            </c:extLst>
          </c:dPt>
          <c:dPt>
            <c:idx val="98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34-F2A4-406A-A7DA-6B5418467181}"/>
              </c:ext>
            </c:extLst>
          </c:dPt>
          <c:dPt>
            <c:idx val="9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35-F2A4-406A-A7DA-6B5418467181}"/>
              </c:ext>
            </c:extLst>
          </c:dPt>
          <c:dPt>
            <c:idx val="10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36-F2A4-406A-A7DA-6B5418467181}"/>
              </c:ext>
            </c:extLst>
          </c:dPt>
          <c:dPt>
            <c:idx val="101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37-F2A4-406A-A7DA-6B5418467181}"/>
              </c:ext>
            </c:extLst>
          </c:dPt>
          <c:dPt>
            <c:idx val="10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38-F2A4-406A-A7DA-6B5418467181}"/>
              </c:ext>
            </c:extLst>
          </c:dPt>
          <c:dPt>
            <c:idx val="10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39-F2A4-406A-A7DA-6B5418467181}"/>
              </c:ext>
            </c:extLst>
          </c:dPt>
          <c:dPt>
            <c:idx val="10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3A-F2A4-406A-A7DA-6B5418467181}"/>
              </c:ext>
            </c:extLst>
          </c:dPt>
          <c:dPt>
            <c:idx val="10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3B-F2A4-406A-A7DA-6B5418467181}"/>
              </c:ext>
            </c:extLst>
          </c:dPt>
          <c:dPt>
            <c:idx val="10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3C-F2A4-406A-A7DA-6B5418467181}"/>
              </c:ext>
            </c:extLst>
          </c:dPt>
          <c:dPt>
            <c:idx val="107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3D-F2A4-406A-A7DA-6B5418467181}"/>
              </c:ext>
            </c:extLst>
          </c:dPt>
          <c:dPt>
            <c:idx val="10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3E-F2A4-406A-A7DA-6B5418467181}"/>
              </c:ext>
            </c:extLst>
          </c:dPt>
          <c:dPt>
            <c:idx val="10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3F-F2A4-406A-A7DA-6B5418467181}"/>
              </c:ext>
            </c:extLst>
          </c:dPt>
          <c:dPt>
            <c:idx val="11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40-F2A4-406A-A7DA-6B5418467181}"/>
              </c:ext>
            </c:extLst>
          </c:dPt>
          <c:dPt>
            <c:idx val="11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41-F2A4-406A-A7DA-6B5418467181}"/>
              </c:ext>
            </c:extLst>
          </c:dPt>
          <c:dPt>
            <c:idx val="11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42-F2A4-406A-A7DA-6B5418467181}"/>
              </c:ext>
            </c:extLst>
          </c:dPt>
          <c:dPt>
            <c:idx val="11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43-F2A4-406A-A7DA-6B5418467181}"/>
              </c:ext>
            </c:extLst>
          </c:dPt>
          <c:dPt>
            <c:idx val="114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44-F2A4-406A-A7DA-6B5418467181}"/>
              </c:ext>
            </c:extLst>
          </c:dPt>
          <c:dPt>
            <c:idx val="11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45-F2A4-406A-A7DA-6B5418467181}"/>
              </c:ext>
            </c:extLst>
          </c:dPt>
          <c:dPt>
            <c:idx val="116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46-F2A4-406A-A7DA-6B5418467181}"/>
              </c:ext>
            </c:extLst>
          </c:dPt>
          <c:dPt>
            <c:idx val="11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47-F2A4-406A-A7DA-6B5418467181}"/>
              </c:ext>
            </c:extLst>
          </c:dPt>
          <c:dPt>
            <c:idx val="11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48-F2A4-406A-A7DA-6B5418467181}"/>
              </c:ext>
            </c:extLst>
          </c:dPt>
          <c:dPt>
            <c:idx val="11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49-F2A4-406A-A7DA-6B5418467181}"/>
              </c:ext>
            </c:extLst>
          </c:dPt>
          <c:dPt>
            <c:idx val="120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4A-F2A4-406A-A7DA-6B5418467181}"/>
              </c:ext>
            </c:extLst>
          </c:dPt>
          <c:dPt>
            <c:idx val="12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4B-F2A4-406A-A7DA-6B5418467181}"/>
              </c:ext>
            </c:extLst>
          </c:dPt>
          <c:dPt>
            <c:idx val="12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4C-F2A4-406A-A7DA-6B5418467181}"/>
              </c:ext>
            </c:extLst>
          </c:dPt>
          <c:dPt>
            <c:idx val="12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4D-F2A4-406A-A7DA-6B5418467181}"/>
              </c:ext>
            </c:extLst>
          </c:dPt>
          <c:dPt>
            <c:idx val="124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4E-F2A4-406A-A7DA-6B5418467181}"/>
              </c:ext>
            </c:extLst>
          </c:dPt>
          <c:dPt>
            <c:idx val="12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4F-F2A4-406A-A7DA-6B5418467181}"/>
              </c:ext>
            </c:extLst>
          </c:dPt>
          <c:dPt>
            <c:idx val="12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50-F2A4-406A-A7DA-6B5418467181}"/>
              </c:ext>
            </c:extLst>
          </c:dPt>
          <c:dPt>
            <c:idx val="12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51-F2A4-406A-A7DA-6B5418467181}"/>
              </c:ext>
            </c:extLst>
          </c:dPt>
          <c:dPt>
            <c:idx val="12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52-F2A4-406A-A7DA-6B5418467181}"/>
              </c:ext>
            </c:extLst>
          </c:dPt>
          <c:dPt>
            <c:idx val="12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53-F2A4-406A-A7DA-6B5418467181}"/>
              </c:ext>
            </c:extLst>
          </c:dPt>
          <c:dPt>
            <c:idx val="130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54-F2A4-406A-A7DA-6B5418467181}"/>
              </c:ext>
            </c:extLst>
          </c:dPt>
          <c:dPt>
            <c:idx val="13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55-F2A4-406A-A7DA-6B5418467181}"/>
              </c:ext>
            </c:extLst>
          </c:dPt>
          <c:dPt>
            <c:idx val="13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56-F2A4-406A-A7DA-6B5418467181}"/>
              </c:ext>
            </c:extLst>
          </c:dPt>
          <c:dPt>
            <c:idx val="13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57-F2A4-406A-A7DA-6B5418467181}"/>
              </c:ext>
            </c:extLst>
          </c:dPt>
          <c:dPt>
            <c:idx val="13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58-F2A4-406A-A7DA-6B5418467181}"/>
              </c:ext>
            </c:extLst>
          </c:dPt>
          <c:dPt>
            <c:idx val="135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59-F2A4-406A-A7DA-6B5418467181}"/>
              </c:ext>
            </c:extLst>
          </c:dPt>
          <c:dPt>
            <c:idx val="13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5A-F2A4-406A-A7DA-6B5418467181}"/>
              </c:ext>
            </c:extLst>
          </c:dPt>
          <c:dPt>
            <c:idx val="137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5B-F2A4-406A-A7DA-6B5418467181}"/>
              </c:ext>
            </c:extLst>
          </c:dPt>
          <c:dPt>
            <c:idx val="13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5C-F2A4-406A-A7DA-6B5418467181}"/>
              </c:ext>
            </c:extLst>
          </c:dPt>
          <c:dPt>
            <c:idx val="13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5D-F2A4-406A-A7DA-6B5418467181}"/>
              </c:ext>
            </c:extLst>
          </c:dPt>
          <c:dPt>
            <c:idx val="14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5E-F2A4-406A-A7DA-6B5418467181}"/>
              </c:ext>
            </c:extLst>
          </c:dPt>
          <c:dPt>
            <c:idx val="141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5F-F2A4-406A-A7DA-6B5418467181}"/>
              </c:ext>
            </c:extLst>
          </c:dPt>
          <c:dPt>
            <c:idx val="14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60-F2A4-406A-A7DA-6B5418467181}"/>
              </c:ext>
            </c:extLst>
          </c:dPt>
          <c:dPt>
            <c:idx val="14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61-F2A4-406A-A7DA-6B5418467181}"/>
              </c:ext>
            </c:extLst>
          </c:dPt>
          <c:dPt>
            <c:idx val="14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62-F2A4-406A-A7DA-6B5418467181}"/>
              </c:ext>
            </c:extLst>
          </c:dPt>
          <c:dPt>
            <c:idx val="145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63-F2A4-406A-A7DA-6B5418467181}"/>
              </c:ext>
            </c:extLst>
          </c:dPt>
          <c:dPt>
            <c:idx val="14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64-F2A4-406A-A7DA-6B5418467181}"/>
              </c:ext>
            </c:extLst>
          </c:dPt>
          <c:dPt>
            <c:idx val="14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65-F2A4-406A-A7DA-6B5418467181}"/>
              </c:ext>
            </c:extLst>
          </c:dPt>
          <c:dPt>
            <c:idx val="14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66-F2A4-406A-A7DA-6B5418467181}"/>
              </c:ext>
            </c:extLst>
          </c:dPt>
          <c:dPt>
            <c:idx val="14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67-F2A4-406A-A7DA-6B5418467181}"/>
              </c:ext>
            </c:extLst>
          </c:dPt>
          <c:dPt>
            <c:idx val="15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68-F2A4-406A-A7DA-6B5418467181}"/>
              </c:ext>
            </c:extLst>
          </c:dPt>
          <c:dPt>
            <c:idx val="15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69-F2A4-406A-A7DA-6B5418467181}"/>
              </c:ext>
            </c:extLst>
          </c:dPt>
          <c:dPt>
            <c:idx val="15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6A-F2A4-406A-A7DA-6B5418467181}"/>
              </c:ext>
            </c:extLst>
          </c:dPt>
          <c:dPt>
            <c:idx val="15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6B-F2A4-406A-A7DA-6B5418467181}"/>
              </c:ext>
            </c:extLst>
          </c:dPt>
          <c:dPt>
            <c:idx val="15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6C-F2A4-406A-A7DA-6B5418467181}"/>
              </c:ext>
            </c:extLst>
          </c:dPt>
          <c:dPt>
            <c:idx val="15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6D-F2A4-406A-A7DA-6B5418467181}"/>
              </c:ext>
            </c:extLst>
          </c:dPt>
          <c:dPt>
            <c:idx val="15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6E-F2A4-406A-A7DA-6B5418467181}"/>
              </c:ext>
            </c:extLst>
          </c:dPt>
          <c:dPt>
            <c:idx val="15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6F-F2A4-406A-A7DA-6B5418467181}"/>
              </c:ext>
            </c:extLst>
          </c:dPt>
          <c:dPt>
            <c:idx val="15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70-F2A4-406A-A7DA-6B5418467181}"/>
              </c:ext>
            </c:extLst>
          </c:dPt>
          <c:dPt>
            <c:idx val="159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71-F2A4-406A-A7DA-6B5418467181}"/>
              </c:ext>
            </c:extLst>
          </c:dPt>
          <c:dPt>
            <c:idx val="16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72-F2A4-406A-A7DA-6B5418467181}"/>
              </c:ext>
            </c:extLst>
          </c:dPt>
          <c:dPt>
            <c:idx val="16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73-F2A4-406A-A7DA-6B5418467181}"/>
              </c:ext>
            </c:extLst>
          </c:dPt>
          <c:dPt>
            <c:idx val="16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74-F2A4-406A-A7DA-6B5418467181}"/>
              </c:ext>
            </c:extLst>
          </c:dPt>
          <c:dPt>
            <c:idx val="163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75-F2A4-406A-A7DA-6B5418467181}"/>
              </c:ext>
            </c:extLst>
          </c:dPt>
          <c:dPt>
            <c:idx val="16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76-F2A4-406A-A7DA-6B5418467181}"/>
              </c:ext>
            </c:extLst>
          </c:dPt>
          <c:dPt>
            <c:idx val="16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77-F2A4-406A-A7DA-6B5418467181}"/>
              </c:ext>
            </c:extLst>
          </c:dPt>
          <c:dPt>
            <c:idx val="16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78-F2A4-406A-A7DA-6B5418467181}"/>
              </c:ext>
            </c:extLst>
          </c:dPt>
          <c:dPt>
            <c:idx val="16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79-F2A4-406A-A7DA-6B5418467181}"/>
              </c:ext>
            </c:extLst>
          </c:dPt>
          <c:dPt>
            <c:idx val="168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7A-F2A4-406A-A7DA-6B5418467181}"/>
              </c:ext>
            </c:extLst>
          </c:dPt>
          <c:dPt>
            <c:idx val="16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7B-F2A4-406A-A7DA-6B5418467181}"/>
              </c:ext>
            </c:extLst>
          </c:dPt>
          <c:dPt>
            <c:idx val="17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7C-F2A4-406A-A7DA-6B5418467181}"/>
              </c:ext>
            </c:extLst>
          </c:dPt>
          <c:dPt>
            <c:idx val="17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7D-F2A4-406A-A7DA-6B5418467181}"/>
              </c:ext>
            </c:extLst>
          </c:dPt>
          <c:dPt>
            <c:idx val="17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7E-F2A4-406A-A7DA-6B5418467181}"/>
              </c:ext>
            </c:extLst>
          </c:dPt>
          <c:dPt>
            <c:idx val="17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7F-F2A4-406A-A7DA-6B5418467181}"/>
              </c:ext>
            </c:extLst>
          </c:dPt>
          <c:dPt>
            <c:idx val="174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80-F2A4-406A-A7DA-6B5418467181}"/>
              </c:ext>
            </c:extLst>
          </c:dPt>
          <c:dPt>
            <c:idx val="17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81-F2A4-406A-A7DA-6B5418467181}"/>
              </c:ext>
            </c:extLst>
          </c:dPt>
          <c:dPt>
            <c:idx val="17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82-F2A4-406A-A7DA-6B5418467181}"/>
              </c:ext>
            </c:extLst>
          </c:dPt>
          <c:dPt>
            <c:idx val="17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83-F2A4-406A-A7DA-6B5418467181}"/>
              </c:ext>
            </c:extLst>
          </c:dPt>
          <c:dPt>
            <c:idx val="178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84-F2A4-406A-A7DA-6B5418467181}"/>
              </c:ext>
            </c:extLst>
          </c:dPt>
          <c:dPt>
            <c:idx val="17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85-F2A4-406A-A7DA-6B5418467181}"/>
              </c:ext>
            </c:extLst>
          </c:dPt>
          <c:dPt>
            <c:idx val="18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86-F2A4-406A-A7DA-6B5418467181}"/>
              </c:ext>
            </c:extLst>
          </c:dPt>
          <c:dPt>
            <c:idx val="18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87-F2A4-406A-A7DA-6B5418467181}"/>
              </c:ext>
            </c:extLst>
          </c:dPt>
          <c:dPt>
            <c:idx val="18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88-F2A4-406A-A7DA-6B5418467181}"/>
              </c:ext>
            </c:extLst>
          </c:dPt>
          <c:dPt>
            <c:idx val="18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89-F2A4-406A-A7DA-6B5418467181}"/>
              </c:ext>
            </c:extLst>
          </c:dPt>
          <c:dPt>
            <c:idx val="18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8A-F2A4-406A-A7DA-6B5418467181}"/>
              </c:ext>
            </c:extLst>
          </c:dPt>
          <c:dPt>
            <c:idx val="18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8B-F2A4-406A-A7DA-6B5418467181}"/>
              </c:ext>
            </c:extLst>
          </c:dPt>
          <c:dPt>
            <c:idx val="186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8C-F2A4-406A-A7DA-6B5418467181}"/>
              </c:ext>
            </c:extLst>
          </c:dPt>
          <c:dPt>
            <c:idx val="18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8D-F2A4-406A-A7DA-6B5418467181}"/>
              </c:ext>
            </c:extLst>
          </c:dPt>
          <c:dPt>
            <c:idx val="18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8E-F2A4-406A-A7DA-6B5418467181}"/>
              </c:ext>
            </c:extLst>
          </c:dPt>
          <c:dPt>
            <c:idx val="189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8F-F2A4-406A-A7DA-6B5418467181}"/>
              </c:ext>
            </c:extLst>
          </c:dPt>
          <c:dPt>
            <c:idx val="190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90-F2A4-406A-A7DA-6B5418467181}"/>
              </c:ext>
            </c:extLst>
          </c:dPt>
          <c:dPt>
            <c:idx val="19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91-F2A4-406A-A7DA-6B5418467181}"/>
              </c:ext>
            </c:extLst>
          </c:dPt>
          <c:dPt>
            <c:idx val="19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92-F2A4-406A-A7DA-6B5418467181}"/>
              </c:ext>
            </c:extLst>
          </c:dPt>
          <c:dPt>
            <c:idx val="19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93-F2A4-406A-A7DA-6B5418467181}"/>
              </c:ext>
            </c:extLst>
          </c:dPt>
          <c:dPt>
            <c:idx val="19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94-F2A4-406A-A7DA-6B5418467181}"/>
              </c:ext>
            </c:extLst>
          </c:dPt>
          <c:dPt>
            <c:idx val="19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95-F2A4-406A-A7DA-6B5418467181}"/>
              </c:ext>
            </c:extLst>
          </c:dPt>
          <c:dPt>
            <c:idx val="19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96-F2A4-406A-A7DA-6B5418467181}"/>
              </c:ext>
            </c:extLst>
          </c:dPt>
          <c:dPt>
            <c:idx val="19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97-F2A4-406A-A7DA-6B5418467181}"/>
              </c:ext>
            </c:extLst>
          </c:dPt>
          <c:dPt>
            <c:idx val="19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98-F2A4-406A-A7DA-6B5418467181}"/>
              </c:ext>
            </c:extLst>
          </c:dPt>
          <c:dPt>
            <c:idx val="19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99-F2A4-406A-A7DA-6B5418467181}"/>
              </c:ext>
            </c:extLst>
          </c:dPt>
          <c:dPt>
            <c:idx val="20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9A-F2A4-406A-A7DA-6B5418467181}"/>
              </c:ext>
            </c:extLst>
          </c:dPt>
          <c:dPt>
            <c:idx val="201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9B-F2A4-406A-A7DA-6B5418467181}"/>
              </c:ext>
            </c:extLst>
          </c:dPt>
          <c:dPt>
            <c:idx val="20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9C-F2A4-406A-A7DA-6B5418467181}"/>
              </c:ext>
            </c:extLst>
          </c:dPt>
          <c:dPt>
            <c:idx val="203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9D-F2A4-406A-A7DA-6B5418467181}"/>
              </c:ext>
            </c:extLst>
          </c:dPt>
          <c:dPt>
            <c:idx val="20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9E-F2A4-406A-A7DA-6B5418467181}"/>
              </c:ext>
            </c:extLst>
          </c:dPt>
          <c:dPt>
            <c:idx val="20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9F-F2A4-406A-A7DA-6B5418467181}"/>
              </c:ext>
            </c:extLst>
          </c:dPt>
          <c:dPt>
            <c:idx val="206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A0-F2A4-406A-A7DA-6B5418467181}"/>
              </c:ext>
            </c:extLst>
          </c:dPt>
          <c:dPt>
            <c:idx val="20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A1-F2A4-406A-A7DA-6B5418467181}"/>
              </c:ext>
            </c:extLst>
          </c:dPt>
          <c:dPt>
            <c:idx val="208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A2-F2A4-406A-A7DA-6B5418467181}"/>
              </c:ext>
            </c:extLst>
          </c:dPt>
          <c:dPt>
            <c:idx val="20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A3-F2A4-406A-A7DA-6B5418467181}"/>
              </c:ext>
            </c:extLst>
          </c:dPt>
          <c:dPt>
            <c:idx val="210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A4-F2A4-406A-A7DA-6B5418467181}"/>
              </c:ext>
            </c:extLst>
          </c:dPt>
          <c:dPt>
            <c:idx val="21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A5-F2A4-406A-A7DA-6B5418467181}"/>
              </c:ext>
            </c:extLst>
          </c:dPt>
          <c:dPt>
            <c:idx val="21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A6-F2A4-406A-A7DA-6B5418467181}"/>
              </c:ext>
            </c:extLst>
          </c:dPt>
          <c:dPt>
            <c:idx val="21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A7-F2A4-406A-A7DA-6B5418467181}"/>
              </c:ext>
            </c:extLst>
          </c:dPt>
          <c:dPt>
            <c:idx val="21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A8-F2A4-406A-A7DA-6B5418467181}"/>
              </c:ext>
            </c:extLst>
          </c:dPt>
          <c:dPt>
            <c:idx val="21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A9-F2A4-406A-A7DA-6B5418467181}"/>
              </c:ext>
            </c:extLst>
          </c:dPt>
          <c:dPt>
            <c:idx val="21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AA-F2A4-406A-A7DA-6B5418467181}"/>
              </c:ext>
            </c:extLst>
          </c:dPt>
          <c:dPt>
            <c:idx val="21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AB-F2A4-406A-A7DA-6B5418467181}"/>
              </c:ext>
            </c:extLst>
          </c:dPt>
          <c:dPt>
            <c:idx val="218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AC-F2A4-406A-A7DA-6B5418467181}"/>
              </c:ext>
            </c:extLst>
          </c:dPt>
          <c:dPt>
            <c:idx val="21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AD-F2A4-406A-A7DA-6B5418467181}"/>
              </c:ext>
            </c:extLst>
          </c:dPt>
          <c:dPt>
            <c:idx val="22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AE-F2A4-406A-A7DA-6B5418467181}"/>
              </c:ext>
            </c:extLst>
          </c:dPt>
          <c:dPt>
            <c:idx val="221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AF-F2A4-406A-A7DA-6B5418467181}"/>
              </c:ext>
            </c:extLst>
          </c:dPt>
          <c:dPt>
            <c:idx val="22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B0-F2A4-406A-A7DA-6B5418467181}"/>
              </c:ext>
            </c:extLst>
          </c:dPt>
          <c:dPt>
            <c:idx val="22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B1-F2A4-406A-A7DA-6B5418467181}"/>
              </c:ext>
            </c:extLst>
          </c:dPt>
          <c:dPt>
            <c:idx val="22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B2-F2A4-406A-A7DA-6B5418467181}"/>
              </c:ext>
            </c:extLst>
          </c:dPt>
          <c:dPt>
            <c:idx val="225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B3-F2A4-406A-A7DA-6B5418467181}"/>
              </c:ext>
            </c:extLst>
          </c:dPt>
          <c:dPt>
            <c:idx val="22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B4-F2A4-406A-A7DA-6B5418467181}"/>
              </c:ext>
            </c:extLst>
          </c:dPt>
          <c:dPt>
            <c:idx val="227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B5-F2A4-406A-A7DA-6B5418467181}"/>
              </c:ext>
            </c:extLst>
          </c:dPt>
          <c:dPt>
            <c:idx val="22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B6-F2A4-406A-A7DA-6B5418467181}"/>
              </c:ext>
            </c:extLst>
          </c:dPt>
          <c:dPt>
            <c:idx val="22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B7-F2A4-406A-A7DA-6B5418467181}"/>
              </c:ext>
            </c:extLst>
          </c:dPt>
          <c:dPt>
            <c:idx val="23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B8-F2A4-406A-A7DA-6B5418467181}"/>
              </c:ext>
            </c:extLst>
          </c:dPt>
          <c:dPt>
            <c:idx val="23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B9-F2A4-406A-A7DA-6B5418467181}"/>
              </c:ext>
            </c:extLst>
          </c:dPt>
          <c:dPt>
            <c:idx val="232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BA-F2A4-406A-A7DA-6B5418467181}"/>
              </c:ext>
            </c:extLst>
          </c:dPt>
          <c:dPt>
            <c:idx val="233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BB-F2A4-406A-A7DA-6B5418467181}"/>
              </c:ext>
            </c:extLst>
          </c:dPt>
          <c:dPt>
            <c:idx val="23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BC-F2A4-406A-A7DA-6B5418467181}"/>
              </c:ext>
            </c:extLst>
          </c:dPt>
          <c:dPt>
            <c:idx val="23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BD-F2A4-406A-A7DA-6B5418467181}"/>
              </c:ext>
            </c:extLst>
          </c:dPt>
          <c:dPt>
            <c:idx val="23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BE-F2A4-406A-A7DA-6B5418467181}"/>
              </c:ext>
            </c:extLst>
          </c:dPt>
          <c:dPt>
            <c:idx val="23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BF-F2A4-406A-A7DA-6B5418467181}"/>
              </c:ext>
            </c:extLst>
          </c:dPt>
          <c:dPt>
            <c:idx val="23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C0-F2A4-406A-A7DA-6B5418467181}"/>
              </c:ext>
            </c:extLst>
          </c:dPt>
          <c:dPt>
            <c:idx val="239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C1-F2A4-406A-A7DA-6B5418467181}"/>
              </c:ext>
            </c:extLst>
          </c:dPt>
          <c:dPt>
            <c:idx val="24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C2-F2A4-406A-A7DA-6B5418467181}"/>
              </c:ext>
            </c:extLst>
          </c:dPt>
          <c:dPt>
            <c:idx val="24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C3-F2A4-406A-A7DA-6B5418467181}"/>
              </c:ext>
            </c:extLst>
          </c:dPt>
          <c:dPt>
            <c:idx val="24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C4-F2A4-406A-A7DA-6B5418467181}"/>
              </c:ext>
            </c:extLst>
          </c:dPt>
          <c:dPt>
            <c:idx val="24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C5-F2A4-406A-A7DA-6B5418467181}"/>
              </c:ext>
            </c:extLst>
          </c:dPt>
          <c:dPt>
            <c:idx val="24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C6-F2A4-406A-A7DA-6B5418467181}"/>
              </c:ext>
            </c:extLst>
          </c:dPt>
          <c:dPt>
            <c:idx val="24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C7-F2A4-406A-A7DA-6B5418467181}"/>
              </c:ext>
            </c:extLst>
          </c:dPt>
          <c:dPt>
            <c:idx val="24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C8-F2A4-406A-A7DA-6B5418467181}"/>
              </c:ext>
            </c:extLst>
          </c:dPt>
          <c:dPt>
            <c:idx val="24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C9-F2A4-406A-A7DA-6B5418467181}"/>
              </c:ext>
            </c:extLst>
          </c:dPt>
          <c:dPt>
            <c:idx val="248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CA-F2A4-406A-A7DA-6B5418467181}"/>
              </c:ext>
            </c:extLst>
          </c:dPt>
          <c:dPt>
            <c:idx val="24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CB-F2A4-406A-A7DA-6B5418467181}"/>
              </c:ext>
            </c:extLst>
          </c:dPt>
          <c:dPt>
            <c:idx val="25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CC-F2A4-406A-A7DA-6B5418467181}"/>
              </c:ext>
            </c:extLst>
          </c:dPt>
          <c:dPt>
            <c:idx val="25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CD-F2A4-406A-A7DA-6B5418467181}"/>
              </c:ext>
            </c:extLst>
          </c:dPt>
          <c:dPt>
            <c:idx val="25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CE-F2A4-406A-A7DA-6B5418467181}"/>
              </c:ext>
            </c:extLst>
          </c:dPt>
          <c:dPt>
            <c:idx val="25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CF-F2A4-406A-A7DA-6B5418467181}"/>
              </c:ext>
            </c:extLst>
          </c:dPt>
          <c:dPt>
            <c:idx val="25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D0-F2A4-406A-A7DA-6B5418467181}"/>
              </c:ext>
            </c:extLst>
          </c:dPt>
          <c:dPt>
            <c:idx val="25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D1-F2A4-406A-A7DA-6B5418467181}"/>
              </c:ext>
            </c:extLst>
          </c:dPt>
          <c:dPt>
            <c:idx val="256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D2-F2A4-406A-A7DA-6B5418467181}"/>
              </c:ext>
            </c:extLst>
          </c:dPt>
          <c:dPt>
            <c:idx val="25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D3-F2A4-406A-A7DA-6B5418467181}"/>
              </c:ext>
            </c:extLst>
          </c:dPt>
          <c:dPt>
            <c:idx val="25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D4-F2A4-406A-A7DA-6B5418467181}"/>
              </c:ext>
            </c:extLst>
          </c:dPt>
          <c:dPt>
            <c:idx val="25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D5-F2A4-406A-A7DA-6B5418467181}"/>
              </c:ext>
            </c:extLst>
          </c:dPt>
          <c:dPt>
            <c:idx val="260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D6-F2A4-406A-A7DA-6B5418467181}"/>
              </c:ext>
            </c:extLst>
          </c:dPt>
          <c:dPt>
            <c:idx val="261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D7-F2A4-406A-A7DA-6B5418467181}"/>
              </c:ext>
            </c:extLst>
          </c:dPt>
          <c:dPt>
            <c:idx val="262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D8-F2A4-406A-A7DA-6B5418467181}"/>
              </c:ext>
            </c:extLst>
          </c:dPt>
          <c:dPt>
            <c:idx val="26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D9-F2A4-406A-A7DA-6B5418467181}"/>
              </c:ext>
            </c:extLst>
          </c:dPt>
          <c:dPt>
            <c:idx val="26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DA-F2A4-406A-A7DA-6B5418467181}"/>
              </c:ext>
            </c:extLst>
          </c:dPt>
          <c:dPt>
            <c:idx val="26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DB-F2A4-406A-A7DA-6B5418467181}"/>
              </c:ext>
            </c:extLst>
          </c:dPt>
          <c:dPt>
            <c:idx val="26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DC-F2A4-406A-A7DA-6B5418467181}"/>
              </c:ext>
            </c:extLst>
          </c:dPt>
          <c:dPt>
            <c:idx val="26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DD-F2A4-406A-A7DA-6B5418467181}"/>
              </c:ext>
            </c:extLst>
          </c:dPt>
          <c:dPt>
            <c:idx val="26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DE-F2A4-406A-A7DA-6B5418467181}"/>
              </c:ext>
            </c:extLst>
          </c:dPt>
          <c:dPt>
            <c:idx val="26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DF-F2A4-406A-A7DA-6B5418467181}"/>
              </c:ext>
            </c:extLst>
          </c:dPt>
          <c:dPt>
            <c:idx val="27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E0-F2A4-406A-A7DA-6B5418467181}"/>
              </c:ext>
            </c:extLst>
          </c:dPt>
          <c:dPt>
            <c:idx val="27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E1-F2A4-406A-A7DA-6B5418467181}"/>
              </c:ext>
            </c:extLst>
          </c:dPt>
          <c:dPt>
            <c:idx val="27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E2-F2A4-406A-A7DA-6B5418467181}"/>
              </c:ext>
            </c:extLst>
          </c:dPt>
          <c:dPt>
            <c:idx val="27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E3-F2A4-406A-A7DA-6B5418467181}"/>
              </c:ext>
            </c:extLst>
          </c:dPt>
          <c:dPt>
            <c:idx val="27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E4-F2A4-406A-A7DA-6B5418467181}"/>
              </c:ext>
            </c:extLst>
          </c:dPt>
          <c:dPt>
            <c:idx val="27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E5-F2A4-406A-A7DA-6B5418467181}"/>
              </c:ext>
            </c:extLst>
          </c:dPt>
          <c:dPt>
            <c:idx val="276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E6-F2A4-406A-A7DA-6B5418467181}"/>
              </c:ext>
            </c:extLst>
          </c:dPt>
          <c:dPt>
            <c:idx val="27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E7-F2A4-406A-A7DA-6B5418467181}"/>
              </c:ext>
            </c:extLst>
          </c:dPt>
          <c:dPt>
            <c:idx val="27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E8-F2A4-406A-A7DA-6B5418467181}"/>
              </c:ext>
            </c:extLst>
          </c:dPt>
          <c:dPt>
            <c:idx val="279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E9-F2A4-406A-A7DA-6B5418467181}"/>
              </c:ext>
            </c:extLst>
          </c:dPt>
          <c:dPt>
            <c:idx val="28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EA-F2A4-406A-A7DA-6B5418467181}"/>
              </c:ext>
            </c:extLst>
          </c:dPt>
          <c:dPt>
            <c:idx val="281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EB-F2A4-406A-A7DA-6B5418467181}"/>
              </c:ext>
            </c:extLst>
          </c:dPt>
          <c:dPt>
            <c:idx val="28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EC-F2A4-406A-A7DA-6B5418467181}"/>
              </c:ext>
            </c:extLst>
          </c:dPt>
          <c:dPt>
            <c:idx val="28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ED-F2A4-406A-A7DA-6B5418467181}"/>
              </c:ext>
            </c:extLst>
          </c:dPt>
          <c:dPt>
            <c:idx val="28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EE-F2A4-406A-A7DA-6B5418467181}"/>
              </c:ext>
            </c:extLst>
          </c:dPt>
          <c:dPt>
            <c:idx val="28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EF-F2A4-406A-A7DA-6B5418467181}"/>
              </c:ext>
            </c:extLst>
          </c:dPt>
          <c:dPt>
            <c:idx val="28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F0-F2A4-406A-A7DA-6B5418467181}"/>
              </c:ext>
            </c:extLst>
          </c:dPt>
          <c:dPt>
            <c:idx val="28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F1-F2A4-406A-A7DA-6B5418467181}"/>
              </c:ext>
            </c:extLst>
          </c:dPt>
          <c:dPt>
            <c:idx val="288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F2-F2A4-406A-A7DA-6B5418467181}"/>
              </c:ext>
            </c:extLst>
          </c:dPt>
          <c:dPt>
            <c:idx val="28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F3-F2A4-406A-A7DA-6B5418467181}"/>
              </c:ext>
            </c:extLst>
          </c:dPt>
          <c:dPt>
            <c:idx val="290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F4-F2A4-406A-A7DA-6B5418467181}"/>
              </c:ext>
            </c:extLst>
          </c:dPt>
          <c:dPt>
            <c:idx val="29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F5-F2A4-406A-A7DA-6B5418467181}"/>
              </c:ext>
            </c:extLst>
          </c:dPt>
          <c:dPt>
            <c:idx val="29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F6-F2A4-406A-A7DA-6B5418467181}"/>
              </c:ext>
            </c:extLst>
          </c:dPt>
          <c:dPt>
            <c:idx val="29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F7-F2A4-406A-A7DA-6B5418467181}"/>
              </c:ext>
            </c:extLst>
          </c:dPt>
          <c:dPt>
            <c:idx val="29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F8-F2A4-406A-A7DA-6B5418467181}"/>
              </c:ext>
            </c:extLst>
          </c:dPt>
          <c:dPt>
            <c:idx val="29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F9-F2A4-406A-A7DA-6B5418467181}"/>
              </c:ext>
            </c:extLst>
          </c:dPt>
          <c:dPt>
            <c:idx val="29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FA-F2A4-406A-A7DA-6B5418467181}"/>
              </c:ext>
            </c:extLst>
          </c:dPt>
          <c:dPt>
            <c:idx val="29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FB-F2A4-406A-A7DA-6B5418467181}"/>
              </c:ext>
            </c:extLst>
          </c:dPt>
          <c:dPt>
            <c:idx val="29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FC-F2A4-406A-A7DA-6B5418467181}"/>
              </c:ext>
            </c:extLst>
          </c:dPt>
          <c:dPt>
            <c:idx val="29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FD-F2A4-406A-A7DA-6B5418467181}"/>
              </c:ext>
            </c:extLst>
          </c:dPt>
          <c:dPt>
            <c:idx val="300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FE-F2A4-406A-A7DA-6B5418467181}"/>
              </c:ext>
            </c:extLst>
          </c:dPt>
          <c:dPt>
            <c:idx val="30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AFF-F2A4-406A-A7DA-6B5418467181}"/>
              </c:ext>
            </c:extLst>
          </c:dPt>
          <c:dPt>
            <c:idx val="302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00-F2A4-406A-A7DA-6B5418467181}"/>
              </c:ext>
            </c:extLst>
          </c:dPt>
          <c:dPt>
            <c:idx val="30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01-F2A4-406A-A7DA-6B5418467181}"/>
              </c:ext>
            </c:extLst>
          </c:dPt>
          <c:dPt>
            <c:idx val="30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02-F2A4-406A-A7DA-6B5418467181}"/>
              </c:ext>
            </c:extLst>
          </c:dPt>
          <c:dPt>
            <c:idx val="30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03-F2A4-406A-A7DA-6B5418467181}"/>
              </c:ext>
            </c:extLst>
          </c:dPt>
          <c:dPt>
            <c:idx val="30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04-F2A4-406A-A7DA-6B5418467181}"/>
              </c:ext>
            </c:extLst>
          </c:dPt>
          <c:dPt>
            <c:idx val="30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05-F2A4-406A-A7DA-6B5418467181}"/>
              </c:ext>
            </c:extLst>
          </c:dPt>
          <c:dPt>
            <c:idx val="30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06-F2A4-406A-A7DA-6B5418467181}"/>
              </c:ext>
            </c:extLst>
          </c:dPt>
          <c:dPt>
            <c:idx val="309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07-F2A4-406A-A7DA-6B5418467181}"/>
              </c:ext>
            </c:extLst>
          </c:dPt>
          <c:dPt>
            <c:idx val="31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08-F2A4-406A-A7DA-6B5418467181}"/>
              </c:ext>
            </c:extLst>
          </c:dPt>
          <c:dPt>
            <c:idx val="311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09-F2A4-406A-A7DA-6B5418467181}"/>
              </c:ext>
            </c:extLst>
          </c:dPt>
          <c:dPt>
            <c:idx val="31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0A-F2A4-406A-A7DA-6B5418467181}"/>
              </c:ext>
            </c:extLst>
          </c:dPt>
          <c:dPt>
            <c:idx val="31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0B-F2A4-406A-A7DA-6B5418467181}"/>
              </c:ext>
            </c:extLst>
          </c:dPt>
          <c:dPt>
            <c:idx val="314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0C-F2A4-406A-A7DA-6B5418467181}"/>
              </c:ext>
            </c:extLst>
          </c:dPt>
          <c:dPt>
            <c:idx val="31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0D-F2A4-406A-A7DA-6B5418467181}"/>
              </c:ext>
            </c:extLst>
          </c:dPt>
          <c:dPt>
            <c:idx val="31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0E-F2A4-406A-A7DA-6B5418467181}"/>
              </c:ext>
            </c:extLst>
          </c:dPt>
          <c:dPt>
            <c:idx val="31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0F-F2A4-406A-A7DA-6B5418467181}"/>
              </c:ext>
            </c:extLst>
          </c:dPt>
          <c:dPt>
            <c:idx val="31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10-F2A4-406A-A7DA-6B5418467181}"/>
              </c:ext>
            </c:extLst>
          </c:dPt>
          <c:dPt>
            <c:idx val="31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11-F2A4-406A-A7DA-6B5418467181}"/>
              </c:ext>
            </c:extLst>
          </c:dPt>
          <c:dPt>
            <c:idx val="32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12-F2A4-406A-A7DA-6B5418467181}"/>
              </c:ext>
            </c:extLst>
          </c:dPt>
          <c:dPt>
            <c:idx val="32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13-F2A4-406A-A7DA-6B5418467181}"/>
              </c:ext>
            </c:extLst>
          </c:dPt>
          <c:dPt>
            <c:idx val="32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14-F2A4-406A-A7DA-6B5418467181}"/>
              </c:ext>
            </c:extLst>
          </c:dPt>
          <c:dPt>
            <c:idx val="32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15-F2A4-406A-A7DA-6B5418467181}"/>
              </c:ext>
            </c:extLst>
          </c:dPt>
          <c:dPt>
            <c:idx val="32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16-F2A4-406A-A7DA-6B5418467181}"/>
              </c:ext>
            </c:extLst>
          </c:dPt>
          <c:dPt>
            <c:idx val="32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17-F2A4-406A-A7DA-6B5418467181}"/>
              </c:ext>
            </c:extLst>
          </c:dPt>
          <c:dPt>
            <c:idx val="32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18-F2A4-406A-A7DA-6B5418467181}"/>
              </c:ext>
            </c:extLst>
          </c:dPt>
          <c:dPt>
            <c:idx val="32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19-F2A4-406A-A7DA-6B5418467181}"/>
              </c:ext>
            </c:extLst>
          </c:dPt>
          <c:dPt>
            <c:idx val="32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1A-F2A4-406A-A7DA-6B5418467181}"/>
              </c:ext>
            </c:extLst>
          </c:dPt>
          <c:dPt>
            <c:idx val="32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1B-F2A4-406A-A7DA-6B5418467181}"/>
              </c:ext>
            </c:extLst>
          </c:dPt>
          <c:dPt>
            <c:idx val="33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1C-F2A4-406A-A7DA-6B5418467181}"/>
              </c:ext>
            </c:extLst>
          </c:dPt>
          <c:dPt>
            <c:idx val="33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1D-F2A4-406A-A7DA-6B5418467181}"/>
              </c:ext>
            </c:extLst>
          </c:dPt>
          <c:dPt>
            <c:idx val="33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1E-F2A4-406A-A7DA-6B5418467181}"/>
              </c:ext>
            </c:extLst>
          </c:dPt>
          <c:dPt>
            <c:idx val="333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1F-F2A4-406A-A7DA-6B5418467181}"/>
              </c:ext>
            </c:extLst>
          </c:dPt>
          <c:dPt>
            <c:idx val="33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20-F2A4-406A-A7DA-6B5418467181}"/>
              </c:ext>
            </c:extLst>
          </c:dPt>
          <c:dPt>
            <c:idx val="33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21-F2A4-406A-A7DA-6B5418467181}"/>
              </c:ext>
            </c:extLst>
          </c:dPt>
          <c:dPt>
            <c:idx val="33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22-F2A4-406A-A7DA-6B5418467181}"/>
              </c:ext>
            </c:extLst>
          </c:dPt>
          <c:dPt>
            <c:idx val="33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23-F2A4-406A-A7DA-6B5418467181}"/>
              </c:ext>
            </c:extLst>
          </c:dPt>
          <c:dPt>
            <c:idx val="338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24-F2A4-406A-A7DA-6B5418467181}"/>
              </c:ext>
            </c:extLst>
          </c:dPt>
          <c:dPt>
            <c:idx val="33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25-F2A4-406A-A7DA-6B5418467181}"/>
              </c:ext>
            </c:extLst>
          </c:dPt>
          <c:dPt>
            <c:idx val="340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26-F2A4-406A-A7DA-6B5418467181}"/>
              </c:ext>
            </c:extLst>
          </c:dPt>
          <c:dPt>
            <c:idx val="34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27-F2A4-406A-A7DA-6B5418467181}"/>
              </c:ext>
            </c:extLst>
          </c:dPt>
          <c:dPt>
            <c:idx val="34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28-F2A4-406A-A7DA-6B5418467181}"/>
              </c:ext>
            </c:extLst>
          </c:dPt>
          <c:dPt>
            <c:idx val="34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29-F2A4-406A-A7DA-6B5418467181}"/>
              </c:ext>
            </c:extLst>
          </c:dPt>
          <c:dPt>
            <c:idx val="344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2A-F2A4-406A-A7DA-6B5418467181}"/>
              </c:ext>
            </c:extLst>
          </c:dPt>
          <c:dPt>
            <c:idx val="34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2B-F2A4-406A-A7DA-6B5418467181}"/>
              </c:ext>
            </c:extLst>
          </c:dPt>
          <c:dPt>
            <c:idx val="34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2C-F2A4-406A-A7DA-6B5418467181}"/>
              </c:ext>
            </c:extLst>
          </c:dPt>
          <c:dPt>
            <c:idx val="34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2D-F2A4-406A-A7DA-6B5418467181}"/>
              </c:ext>
            </c:extLst>
          </c:dPt>
          <c:dPt>
            <c:idx val="34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2E-F2A4-406A-A7DA-6B5418467181}"/>
              </c:ext>
            </c:extLst>
          </c:dPt>
          <c:dPt>
            <c:idx val="349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2F-F2A4-406A-A7DA-6B5418467181}"/>
              </c:ext>
            </c:extLst>
          </c:dPt>
          <c:dPt>
            <c:idx val="35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30-F2A4-406A-A7DA-6B5418467181}"/>
              </c:ext>
            </c:extLst>
          </c:dPt>
          <c:dPt>
            <c:idx val="35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31-F2A4-406A-A7DA-6B5418467181}"/>
              </c:ext>
            </c:extLst>
          </c:dPt>
          <c:dPt>
            <c:idx val="35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32-F2A4-406A-A7DA-6B5418467181}"/>
              </c:ext>
            </c:extLst>
          </c:dPt>
          <c:dPt>
            <c:idx val="35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33-F2A4-406A-A7DA-6B5418467181}"/>
              </c:ext>
            </c:extLst>
          </c:dPt>
          <c:dPt>
            <c:idx val="35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34-F2A4-406A-A7DA-6B5418467181}"/>
              </c:ext>
            </c:extLst>
          </c:dPt>
          <c:dPt>
            <c:idx val="355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35-F2A4-406A-A7DA-6B5418467181}"/>
              </c:ext>
            </c:extLst>
          </c:dPt>
          <c:dPt>
            <c:idx val="35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36-F2A4-406A-A7DA-6B5418467181}"/>
              </c:ext>
            </c:extLst>
          </c:dPt>
          <c:dPt>
            <c:idx val="35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37-F2A4-406A-A7DA-6B5418467181}"/>
              </c:ext>
            </c:extLst>
          </c:dPt>
          <c:dPt>
            <c:idx val="35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38-F2A4-406A-A7DA-6B5418467181}"/>
              </c:ext>
            </c:extLst>
          </c:dPt>
          <c:dPt>
            <c:idx val="35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39-F2A4-406A-A7DA-6B5418467181}"/>
              </c:ext>
            </c:extLst>
          </c:dPt>
          <c:dPt>
            <c:idx val="360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3A-F2A4-406A-A7DA-6B5418467181}"/>
              </c:ext>
            </c:extLst>
          </c:dPt>
          <c:dPt>
            <c:idx val="36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3B-F2A4-406A-A7DA-6B5418467181}"/>
              </c:ext>
            </c:extLst>
          </c:dPt>
          <c:dPt>
            <c:idx val="36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3C-F2A4-406A-A7DA-6B5418467181}"/>
              </c:ext>
            </c:extLst>
          </c:dPt>
          <c:dPt>
            <c:idx val="363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3D-F2A4-406A-A7DA-6B5418467181}"/>
              </c:ext>
            </c:extLst>
          </c:dPt>
          <c:dPt>
            <c:idx val="36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3E-F2A4-406A-A7DA-6B5418467181}"/>
              </c:ext>
            </c:extLst>
          </c:dPt>
          <c:dPt>
            <c:idx val="365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3F-F2A4-406A-A7DA-6B5418467181}"/>
              </c:ext>
            </c:extLst>
          </c:dPt>
          <c:dPt>
            <c:idx val="36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40-F2A4-406A-A7DA-6B5418467181}"/>
              </c:ext>
            </c:extLst>
          </c:dPt>
          <c:dPt>
            <c:idx val="36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41-F2A4-406A-A7DA-6B5418467181}"/>
              </c:ext>
            </c:extLst>
          </c:dPt>
          <c:dPt>
            <c:idx val="36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42-F2A4-406A-A7DA-6B5418467181}"/>
              </c:ext>
            </c:extLst>
          </c:dPt>
          <c:dPt>
            <c:idx val="369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43-F2A4-406A-A7DA-6B5418467181}"/>
              </c:ext>
            </c:extLst>
          </c:dPt>
          <c:dPt>
            <c:idx val="37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44-F2A4-406A-A7DA-6B5418467181}"/>
              </c:ext>
            </c:extLst>
          </c:dPt>
          <c:dPt>
            <c:idx val="37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45-F2A4-406A-A7DA-6B5418467181}"/>
              </c:ext>
            </c:extLst>
          </c:dPt>
          <c:dPt>
            <c:idx val="37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46-F2A4-406A-A7DA-6B5418467181}"/>
              </c:ext>
            </c:extLst>
          </c:dPt>
          <c:dPt>
            <c:idx val="37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47-F2A4-406A-A7DA-6B5418467181}"/>
              </c:ext>
            </c:extLst>
          </c:dPt>
          <c:dPt>
            <c:idx val="37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48-F2A4-406A-A7DA-6B5418467181}"/>
              </c:ext>
            </c:extLst>
          </c:dPt>
          <c:dPt>
            <c:idx val="37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49-F2A4-406A-A7DA-6B5418467181}"/>
              </c:ext>
            </c:extLst>
          </c:dPt>
          <c:dPt>
            <c:idx val="37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4A-F2A4-406A-A7DA-6B5418467181}"/>
              </c:ext>
            </c:extLst>
          </c:dPt>
          <c:dPt>
            <c:idx val="37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4B-F2A4-406A-A7DA-6B5418467181}"/>
              </c:ext>
            </c:extLst>
          </c:dPt>
          <c:dPt>
            <c:idx val="37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4C-F2A4-406A-A7DA-6B5418467181}"/>
              </c:ext>
            </c:extLst>
          </c:dPt>
          <c:dPt>
            <c:idx val="37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4D-F2A4-406A-A7DA-6B5418467181}"/>
              </c:ext>
            </c:extLst>
          </c:dPt>
          <c:dPt>
            <c:idx val="380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4E-F2A4-406A-A7DA-6B5418467181}"/>
              </c:ext>
            </c:extLst>
          </c:dPt>
          <c:dPt>
            <c:idx val="38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4F-F2A4-406A-A7DA-6B5418467181}"/>
              </c:ext>
            </c:extLst>
          </c:dPt>
          <c:dPt>
            <c:idx val="38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50-F2A4-406A-A7DA-6B5418467181}"/>
              </c:ext>
            </c:extLst>
          </c:dPt>
          <c:dPt>
            <c:idx val="38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51-F2A4-406A-A7DA-6B5418467181}"/>
              </c:ext>
            </c:extLst>
          </c:dPt>
          <c:dPt>
            <c:idx val="38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52-F2A4-406A-A7DA-6B5418467181}"/>
              </c:ext>
            </c:extLst>
          </c:dPt>
          <c:dPt>
            <c:idx val="38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53-F2A4-406A-A7DA-6B5418467181}"/>
              </c:ext>
            </c:extLst>
          </c:dPt>
          <c:dPt>
            <c:idx val="38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54-F2A4-406A-A7DA-6B5418467181}"/>
              </c:ext>
            </c:extLst>
          </c:dPt>
          <c:dPt>
            <c:idx val="38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55-F2A4-406A-A7DA-6B5418467181}"/>
              </c:ext>
            </c:extLst>
          </c:dPt>
          <c:dPt>
            <c:idx val="38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56-F2A4-406A-A7DA-6B5418467181}"/>
              </c:ext>
            </c:extLst>
          </c:dPt>
          <c:dPt>
            <c:idx val="38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57-F2A4-406A-A7DA-6B5418467181}"/>
              </c:ext>
            </c:extLst>
          </c:dPt>
          <c:dPt>
            <c:idx val="39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58-F2A4-406A-A7DA-6B5418467181}"/>
              </c:ext>
            </c:extLst>
          </c:dPt>
          <c:dPt>
            <c:idx val="39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59-F2A4-406A-A7DA-6B5418467181}"/>
              </c:ext>
            </c:extLst>
          </c:dPt>
          <c:dPt>
            <c:idx val="39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5A-F2A4-406A-A7DA-6B5418467181}"/>
              </c:ext>
            </c:extLst>
          </c:dPt>
          <c:dPt>
            <c:idx val="39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5B-F2A4-406A-A7DA-6B5418467181}"/>
              </c:ext>
            </c:extLst>
          </c:dPt>
          <c:dPt>
            <c:idx val="39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5C-F2A4-406A-A7DA-6B5418467181}"/>
              </c:ext>
            </c:extLst>
          </c:dPt>
          <c:dPt>
            <c:idx val="39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5D-F2A4-406A-A7DA-6B5418467181}"/>
              </c:ext>
            </c:extLst>
          </c:dPt>
          <c:dPt>
            <c:idx val="39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5E-F2A4-406A-A7DA-6B5418467181}"/>
              </c:ext>
            </c:extLst>
          </c:dPt>
          <c:dPt>
            <c:idx val="397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5F-F2A4-406A-A7DA-6B5418467181}"/>
              </c:ext>
            </c:extLst>
          </c:dPt>
          <c:dPt>
            <c:idx val="39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60-F2A4-406A-A7DA-6B5418467181}"/>
              </c:ext>
            </c:extLst>
          </c:dPt>
          <c:dPt>
            <c:idx val="39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61-F2A4-406A-A7DA-6B5418467181}"/>
              </c:ext>
            </c:extLst>
          </c:dPt>
          <c:dPt>
            <c:idx val="40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62-F2A4-406A-A7DA-6B5418467181}"/>
              </c:ext>
            </c:extLst>
          </c:dPt>
          <c:dPt>
            <c:idx val="40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63-F2A4-406A-A7DA-6B5418467181}"/>
              </c:ext>
            </c:extLst>
          </c:dPt>
          <c:dPt>
            <c:idx val="40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64-F2A4-406A-A7DA-6B5418467181}"/>
              </c:ext>
            </c:extLst>
          </c:dPt>
          <c:dPt>
            <c:idx val="40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65-F2A4-406A-A7DA-6B5418467181}"/>
              </c:ext>
            </c:extLst>
          </c:dPt>
          <c:dPt>
            <c:idx val="40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66-F2A4-406A-A7DA-6B5418467181}"/>
              </c:ext>
            </c:extLst>
          </c:dPt>
          <c:dPt>
            <c:idx val="40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67-F2A4-406A-A7DA-6B5418467181}"/>
              </c:ext>
            </c:extLst>
          </c:dPt>
          <c:dPt>
            <c:idx val="40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68-F2A4-406A-A7DA-6B5418467181}"/>
              </c:ext>
            </c:extLst>
          </c:dPt>
          <c:dPt>
            <c:idx val="40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69-F2A4-406A-A7DA-6B5418467181}"/>
              </c:ext>
            </c:extLst>
          </c:dPt>
          <c:dPt>
            <c:idx val="40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6A-F2A4-406A-A7DA-6B5418467181}"/>
              </c:ext>
            </c:extLst>
          </c:dPt>
          <c:dPt>
            <c:idx val="40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6B-F2A4-406A-A7DA-6B5418467181}"/>
              </c:ext>
            </c:extLst>
          </c:dPt>
          <c:dPt>
            <c:idx val="41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6C-F2A4-406A-A7DA-6B5418467181}"/>
              </c:ext>
            </c:extLst>
          </c:dPt>
          <c:dPt>
            <c:idx val="41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6D-F2A4-406A-A7DA-6B5418467181}"/>
              </c:ext>
            </c:extLst>
          </c:dPt>
          <c:dPt>
            <c:idx val="41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6E-F2A4-406A-A7DA-6B5418467181}"/>
              </c:ext>
            </c:extLst>
          </c:dPt>
          <c:dPt>
            <c:idx val="413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6F-F2A4-406A-A7DA-6B5418467181}"/>
              </c:ext>
            </c:extLst>
          </c:dPt>
          <c:dPt>
            <c:idx val="41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70-F2A4-406A-A7DA-6B5418467181}"/>
              </c:ext>
            </c:extLst>
          </c:dPt>
          <c:dPt>
            <c:idx val="41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71-F2A4-406A-A7DA-6B5418467181}"/>
              </c:ext>
            </c:extLst>
          </c:dPt>
          <c:dPt>
            <c:idx val="41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72-F2A4-406A-A7DA-6B5418467181}"/>
              </c:ext>
            </c:extLst>
          </c:dPt>
          <c:dPt>
            <c:idx val="417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73-F2A4-406A-A7DA-6B5418467181}"/>
              </c:ext>
            </c:extLst>
          </c:dPt>
          <c:dPt>
            <c:idx val="41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74-F2A4-406A-A7DA-6B5418467181}"/>
              </c:ext>
            </c:extLst>
          </c:dPt>
          <c:dPt>
            <c:idx val="419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75-F2A4-406A-A7DA-6B5418467181}"/>
              </c:ext>
            </c:extLst>
          </c:dPt>
          <c:dPt>
            <c:idx val="420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76-F2A4-406A-A7DA-6B5418467181}"/>
              </c:ext>
            </c:extLst>
          </c:dPt>
          <c:dPt>
            <c:idx val="42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77-F2A4-406A-A7DA-6B5418467181}"/>
              </c:ext>
            </c:extLst>
          </c:dPt>
          <c:dPt>
            <c:idx val="42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78-F2A4-406A-A7DA-6B5418467181}"/>
              </c:ext>
            </c:extLst>
          </c:dPt>
          <c:dPt>
            <c:idx val="42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79-F2A4-406A-A7DA-6B5418467181}"/>
              </c:ext>
            </c:extLst>
          </c:dPt>
          <c:dPt>
            <c:idx val="42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7A-F2A4-406A-A7DA-6B5418467181}"/>
              </c:ext>
            </c:extLst>
          </c:dPt>
          <c:dPt>
            <c:idx val="42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7B-F2A4-406A-A7DA-6B5418467181}"/>
              </c:ext>
            </c:extLst>
          </c:dPt>
          <c:dPt>
            <c:idx val="42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7C-F2A4-406A-A7DA-6B5418467181}"/>
              </c:ext>
            </c:extLst>
          </c:dPt>
          <c:dPt>
            <c:idx val="42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7D-F2A4-406A-A7DA-6B5418467181}"/>
              </c:ext>
            </c:extLst>
          </c:dPt>
          <c:dPt>
            <c:idx val="42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7E-F2A4-406A-A7DA-6B5418467181}"/>
              </c:ext>
            </c:extLst>
          </c:dPt>
          <c:dPt>
            <c:idx val="42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7F-F2A4-406A-A7DA-6B5418467181}"/>
              </c:ext>
            </c:extLst>
          </c:dPt>
          <c:dPt>
            <c:idx val="43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80-F2A4-406A-A7DA-6B5418467181}"/>
              </c:ext>
            </c:extLst>
          </c:dPt>
          <c:dPt>
            <c:idx val="43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81-F2A4-406A-A7DA-6B5418467181}"/>
              </c:ext>
            </c:extLst>
          </c:dPt>
          <c:dPt>
            <c:idx val="43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82-F2A4-406A-A7DA-6B5418467181}"/>
              </c:ext>
            </c:extLst>
          </c:dPt>
          <c:dPt>
            <c:idx val="433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83-F2A4-406A-A7DA-6B5418467181}"/>
              </c:ext>
            </c:extLst>
          </c:dPt>
          <c:dPt>
            <c:idx val="43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84-F2A4-406A-A7DA-6B5418467181}"/>
              </c:ext>
            </c:extLst>
          </c:dPt>
          <c:dPt>
            <c:idx val="43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85-F2A4-406A-A7DA-6B5418467181}"/>
              </c:ext>
            </c:extLst>
          </c:dPt>
          <c:dPt>
            <c:idx val="43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86-F2A4-406A-A7DA-6B5418467181}"/>
              </c:ext>
            </c:extLst>
          </c:dPt>
          <c:dPt>
            <c:idx val="43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87-F2A4-406A-A7DA-6B5418467181}"/>
              </c:ext>
            </c:extLst>
          </c:dPt>
          <c:dPt>
            <c:idx val="43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88-F2A4-406A-A7DA-6B5418467181}"/>
              </c:ext>
            </c:extLst>
          </c:dPt>
          <c:dPt>
            <c:idx val="43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89-F2A4-406A-A7DA-6B5418467181}"/>
              </c:ext>
            </c:extLst>
          </c:dPt>
          <c:dPt>
            <c:idx val="44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8A-F2A4-406A-A7DA-6B5418467181}"/>
              </c:ext>
            </c:extLst>
          </c:dPt>
          <c:dPt>
            <c:idx val="44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8B-F2A4-406A-A7DA-6B5418467181}"/>
              </c:ext>
            </c:extLst>
          </c:dPt>
          <c:dPt>
            <c:idx val="44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8C-F2A4-406A-A7DA-6B5418467181}"/>
              </c:ext>
            </c:extLst>
          </c:dPt>
          <c:dPt>
            <c:idx val="44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8D-F2A4-406A-A7DA-6B5418467181}"/>
              </c:ext>
            </c:extLst>
          </c:dPt>
          <c:dPt>
            <c:idx val="44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8E-F2A4-406A-A7DA-6B5418467181}"/>
              </c:ext>
            </c:extLst>
          </c:dPt>
          <c:dPt>
            <c:idx val="44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8F-F2A4-406A-A7DA-6B5418467181}"/>
              </c:ext>
            </c:extLst>
          </c:dPt>
          <c:dPt>
            <c:idx val="44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90-F2A4-406A-A7DA-6B5418467181}"/>
              </c:ext>
            </c:extLst>
          </c:dPt>
          <c:dPt>
            <c:idx val="44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91-F2A4-406A-A7DA-6B5418467181}"/>
              </c:ext>
            </c:extLst>
          </c:dPt>
          <c:dPt>
            <c:idx val="44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92-F2A4-406A-A7DA-6B5418467181}"/>
              </c:ext>
            </c:extLst>
          </c:dPt>
          <c:dPt>
            <c:idx val="44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93-F2A4-406A-A7DA-6B5418467181}"/>
              </c:ext>
            </c:extLst>
          </c:dPt>
          <c:dPt>
            <c:idx val="45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94-F2A4-406A-A7DA-6B5418467181}"/>
              </c:ext>
            </c:extLst>
          </c:dPt>
          <c:dPt>
            <c:idx val="45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95-F2A4-406A-A7DA-6B5418467181}"/>
              </c:ext>
            </c:extLst>
          </c:dPt>
          <c:dPt>
            <c:idx val="45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96-F2A4-406A-A7DA-6B5418467181}"/>
              </c:ext>
            </c:extLst>
          </c:dPt>
          <c:dPt>
            <c:idx val="453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97-F2A4-406A-A7DA-6B5418467181}"/>
              </c:ext>
            </c:extLst>
          </c:dPt>
          <c:dPt>
            <c:idx val="45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98-F2A4-406A-A7DA-6B5418467181}"/>
              </c:ext>
            </c:extLst>
          </c:dPt>
          <c:dPt>
            <c:idx val="45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99-F2A4-406A-A7DA-6B5418467181}"/>
              </c:ext>
            </c:extLst>
          </c:dPt>
          <c:dPt>
            <c:idx val="456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9A-F2A4-406A-A7DA-6B5418467181}"/>
              </c:ext>
            </c:extLst>
          </c:dPt>
          <c:dPt>
            <c:idx val="45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9B-F2A4-406A-A7DA-6B5418467181}"/>
              </c:ext>
            </c:extLst>
          </c:dPt>
          <c:dPt>
            <c:idx val="45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9C-F2A4-406A-A7DA-6B5418467181}"/>
              </c:ext>
            </c:extLst>
          </c:dPt>
          <c:dPt>
            <c:idx val="45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9D-F2A4-406A-A7DA-6B5418467181}"/>
              </c:ext>
            </c:extLst>
          </c:dPt>
          <c:dPt>
            <c:idx val="46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9E-F2A4-406A-A7DA-6B5418467181}"/>
              </c:ext>
            </c:extLst>
          </c:dPt>
          <c:dPt>
            <c:idx val="46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9F-F2A4-406A-A7DA-6B5418467181}"/>
              </c:ext>
            </c:extLst>
          </c:dPt>
          <c:dPt>
            <c:idx val="46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A0-F2A4-406A-A7DA-6B5418467181}"/>
              </c:ext>
            </c:extLst>
          </c:dPt>
          <c:dPt>
            <c:idx val="46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A1-F2A4-406A-A7DA-6B5418467181}"/>
              </c:ext>
            </c:extLst>
          </c:dPt>
          <c:dPt>
            <c:idx val="464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A2-F2A4-406A-A7DA-6B5418467181}"/>
              </c:ext>
            </c:extLst>
          </c:dPt>
          <c:dPt>
            <c:idx val="46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A3-F2A4-406A-A7DA-6B5418467181}"/>
              </c:ext>
            </c:extLst>
          </c:dPt>
          <c:dPt>
            <c:idx val="466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A4-F2A4-406A-A7DA-6B5418467181}"/>
              </c:ext>
            </c:extLst>
          </c:dPt>
          <c:dPt>
            <c:idx val="46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A5-F2A4-406A-A7DA-6B5418467181}"/>
              </c:ext>
            </c:extLst>
          </c:dPt>
          <c:dPt>
            <c:idx val="46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A6-F2A4-406A-A7DA-6B5418467181}"/>
              </c:ext>
            </c:extLst>
          </c:dPt>
          <c:dPt>
            <c:idx val="46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A7-F2A4-406A-A7DA-6B5418467181}"/>
              </c:ext>
            </c:extLst>
          </c:dPt>
          <c:dPt>
            <c:idx val="47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A8-F2A4-406A-A7DA-6B5418467181}"/>
              </c:ext>
            </c:extLst>
          </c:dPt>
          <c:dPt>
            <c:idx val="471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A9-F2A4-406A-A7DA-6B5418467181}"/>
              </c:ext>
            </c:extLst>
          </c:dPt>
          <c:dPt>
            <c:idx val="472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AA-F2A4-406A-A7DA-6B5418467181}"/>
              </c:ext>
            </c:extLst>
          </c:dPt>
          <c:dPt>
            <c:idx val="47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AB-F2A4-406A-A7DA-6B5418467181}"/>
              </c:ext>
            </c:extLst>
          </c:dPt>
          <c:dPt>
            <c:idx val="47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AC-F2A4-406A-A7DA-6B5418467181}"/>
              </c:ext>
            </c:extLst>
          </c:dPt>
          <c:dPt>
            <c:idx val="47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AD-F2A4-406A-A7DA-6B5418467181}"/>
              </c:ext>
            </c:extLst>
          </c:dPt>
          <c:dPt>
            <c:idx val="47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AE-F2A4-406A-A7DA-6B5418467181}"/>
              </c:ext>
            </c:extLst>
          </c:dPt>
          <c:dPt>
            <c:idx val="47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AF-F2A4-406A-A7DA-6B5418467181}"/>
              </c:ext>
            </c:extLst>
          </c:dPt>
          <c:dPt>
            <c:idx val="47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B0-F2A4-406A-A7DA-6B5418467181}"/>
              </c:ext>
            </c:extLst>
          </c:dPt>
          <c:dPt>
            <c:idx val="47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B1-F2A4-406A-A7DA-6B5418467181}"/>
              </c:ext>
            </c:extLst>
          </c:dPt>
          <c:dPt>
            <c:idx val="48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B2-F2A4-406A-A7DA-6B5418467181}"/>
              </c:ext>
            </c:extLst>
          </c:dPt>
          <c:dPt>
            <c:idx val="48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B3-F2A4-406A-A7DA-6B5418467181}"/>
              </c:ext>
            </c:extLst>
          </c:dPt>
          <c:dPt>
            <c:idx val="48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B4-F2A4-406A-A7DA-6B5418467181}"/>
              </c:ext>
            </c:extLst>
          </c:dPt>
          <c:dPt>
            <c:idx val="48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B5-F2A4-406A-A7DA-6B5418467181}"/>
              </c:ext>
            </c:extLst>
          </c:dPt>
          <c:dPt>
            <c:idx val="48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B6-F2A4-406A-A7DA-6B5418467181}"/>
              </c:ext>
            </c:extLst>
          </c:dPt>
          <c:dPt>
            <c:idx val="48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B7-F2A4-406A-A7DA-6B5418467181}"/>
              </c:ext>
            </c:extLst>
          </c:dPt>
          <c:dPt>
            <c:idx val="48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B8-F2A4-406A-A7DA-6B5418467181}"/>
              </c:ext>
            </c:extLst>
          </c:dPt>
          <c:dPt>
            <c:idx val="48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B9-F2A4-406A-A7DA-6B5418467181}"/>
              </c:ext>
            </c:extLst>
          </c:dPt>
          <c:dPt>
            <c:idx val="48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BA-F2A4-406A-A7DA-6B5418467181}"/>
              </c:ext>
            </c:extLst>
          </c:dPt>
          <c:dPt>
            <c:idx val="48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BB-F2A4-406A-A7DA-6B5418467181}"/>
              </c:ext>
            </c:extLst>
          </c:dPt>
          <c:dPt>
            <c:idx val="490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BC-F2A4-406A-A7DA-6B5418467181}"/>
              </c:ext>
            </c:extLst>
          </c:dPt>
          <c:dPt>
            <c:idx val="49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BD-F2A4-406A-A7DA-6B5418467181}"/>
              </c:ext>
            </c:extLst>
          </c:dPt>
          <c:dPt>
            <c:idx val="49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BE-F2A4-406A-A7DA-6B5418467181}"/>
              </c:ext>
            </c:extLst>
          </c:dPt>
          <c:dPt>
            <c:idx val="493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BF-F2A4-406A-A7DA-6B5418467181}"/>
              </c:ext>
            </c:extLst>
          </c:dPt>
          <c:dPt>
            <c:idx val="49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C0-F2A4-406A-A7DA-6B5418467181}"/>
              </c:ext>
            </c:extLst>
          </c:dPt>
          <c:dPt>
            <c:idx val="49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C1-F2A4-406A-A7DA-6B5418467181}"/>
              </c:ext>
            </c:extLst>
          </c:dPt>
          <c:dPt>
            <c:idx val="496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C2-F2A4-406A-A7DA-6B5418467181}"/>
              </c:ext>
            </c:extLst>
          </c:dPt>
          <c:dPt>
            <c:idx val="497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C3-F2A4-406A-A7DA-6B5418467181}"/>
              </c:ext>
            </c:extLst>
          </c:dPt>
          <c:dPt>
            <c:idx val="49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C4-F2A4-406A-A7DA-6B5418467181}"/>
              </c:ext>
            </c:extLst>
          </c:dPt>
          <c:dPt>
            <c:idx val="49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C5-F2A4-406A-A7DA-6B5418467181}"/>
              </c:ext>
            </c:extLst>
          </c:dPt>
          <c:dPt>
            <c:idx val="50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C6-F2A4-406A-A7DA-6B5418467181}"/>
              </c:ext>
            </c:extLst>
          </c:dPt>
          <c:dPt>
            <c:idx val="50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C7-F2A4-406A-A7DA-6B5418467181}"/>
              </c:ext>
            </c:extLst>
          </c:dPt>
          <c:dPt>
            <c:idx val="50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C8-F2A4-406A-A7DA-6B5418467181}"/>
              </c:ext>
            </c:extLst>
          </c:dPt>
          <c:dPt>
            <c:idx val="50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C9-F2A4-406A-A7DA-6B5418467181}"/>
              </c:ext>
            </c:extLst>
          </c:dPt>
          <c:dPt>
            <c:idx val="50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CA-F2A4-406A-A7DA-6B5418467181}"/>
              </c:ext>
            </c:extLst>
          </c:dPt>
          <c:dPt>
            <c:idx val="50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CB-F2A4-406A-A7DA-6B5418467181}"/>
              </c:ext>
            </c:extLst>
          </c:dPt>
          <c:dPt>
            <c:idx val="50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CC-F2A4-406A-A7DA-6B5418467181}"/>
              </c:ext>
            </c:extLst>
          </c:dPt>
          <c:dPt>
            <c:idx val="50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CD-F2A4-406A-A7DA-6B5418467181}"/>
              </c:ext>
            </c:extLst>
          </c:dPt>
          <c:dPt>
            <c:idx val="50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CE-F2A4-406A-A7DA-6B5418467181}"/>
              </c:ext>
            </c:extLst>
          </c:dPt>
          <c:dPt>
            <c:idx val="50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CF-F2A4-406A-A7DA-6B5418467181}"/>
              </c:ext>
            </c:extLst>
          </c:dPt>
          <c:dPt>
            <c:idx val="51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D0-F2A4-406A-A7DA-6B5418467181}"/>
              </c:ext>
            </c:extLst>
          </c:dPt>
          <c:dPt>
            <c:idx val="51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D1-F2A4-406A-A7DA-6B5418467181}"/>
              </c:ext>
            </c:extLst>
          </c:dPt>
          <c:dPt>
            <c:idx val="51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D2-F2A4-406A-A7DA-6B5418467181}"/>
              </c:ext>
            </c:extLst>
          </c:dPt>
          <c:dPt>
            <c:idx val="51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D3-F2A4-406A-A7DA-6B5418467181}"/>
              </c:ext>
            </c:extLst>
          </c:dPt>
          <c:dPt>
            <c:idx val="51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D4-F2A4-406A-A7DA-6B5418467181}"/>
              </c:ext>
            </c:extLst>
          </c:dPt>
          <c:dPt>
            <c:idx val="51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D5-F2A4-406A-A7DA-6B5418467181}"/>
              </c:ext>
            </c:extLst>
          </c:dPt>
          <c:dPt>
            <c:idx val="516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D6-F2A4-406A-A7DA-6B5418467181}"/>
              </c:ext>
            </c:extLst>
          </c:dPt>
          <c:dPt>
            <c:idx val="51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D7-F2A4-406A-A7DA-6B5418467181}"/>
              </c:ext>
            </c:extLst>
          </c:dPt>
          <c:dPt>
            <c:idx val="51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D8-F2A4-406A-A7DA-6B5418467181}"/>
              </c:ext>
            </c:extLst>
          </c:dPt>
          <c:dPt>
            <c:idx val="51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D9-F2A4-406A-A7DA-6B5418467181}"/>
              </c:ext>
            </c:extLst>
          </c:dPt>
          <c:dPt>
            <c:idx val="520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DA-F2A4-406A-A7DA-6B5418467181}"/>
              </c:ext>
            </c:extLst>
          </c:dPt>
          <c:dPt>
            <c:idx val="521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DB-F2A4-406A-A7DA-6B5418467181}"/>
              </c:ext>
            </c:extLst>
          </c:dPt>
          <c:dPt>
            <c:idx val="52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DC-F2A4-406A-A7DA-6B5418467181}"/>
              </c:ext>
            </c:extLst>
          </c:dPt>
          <c:dPt>
            <c:idx val="52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DD-F2A4-406A-A7DA-6B5418467181}"/>
              </c:ext>
            </c:extLst>
          </c:dPt>
          <c:dPt>
            <c:idx val="52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DE-F2A4-406A-A7DA-6B5418467181}"/>
              </c:ext>
            </c:extLst>
          </c:dPt>
          <c:dPt>
            <c:idx val="525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DF-F2A4-406A-A7DA-6B5418467181}"/>
              </c:ext>
            </c:extLst>
          </c:dPt>
          <c:dPt>
            <c:idx val="52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E0-F2A4-406A-A7DA-6B5418467181}"/>
              </c:ext>
            </c:extLst>
          </c:dPt>
          <c:dPt>
            <c:idx val="52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E1-F2A4-406A-A7DA-6B5418467181}"/>
              </c:ext>
            </c:extLst>
          </c:dPt>
          <c:dPt>
            <c:idx val="52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E2-F2A4-406A-A7DA-6B5418467181}"/>
              </c:ext>
            </c:extLst>
          </c:dPt>
          <c:dPt>
            <c:idx val="529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E3-F2A4-406A-A7DA-6B5418467181}"/>
              </c:ext>
            </c:extLst>
          </c:dPt>
          <c:dPt>
            <c:idx val="53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E4-F2A4-406A-A7DA-6B5418467181}"/>
              </c:ext>
            </c:extLst>
          </c:dPt>
          <c:dPt>
            <c:idx val="53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E5-F2A4-406A-A7DA-6B5418467181}"/>
              </c:ext>
            </c:extLst>
          </c:dPt>
          <c:dPt>
            <c:idx val="53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E6-F2A4-406A-A7DA-6B5418467181}"/>
              </c:ext>
            </c:extLst>
          </c:dPt>
          <c:dPt>
            <c:idx val="53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E7-F2A4-406A-A7DA-6B5418467181}"/>
              </c:ext>
            </c:extLst>
          </c:dPt>
          <c:dPt>
            <c:idx val="53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E8-F2A4-406A-A7DA-6B5418467181}"/>
              </c:ext>
            </c:extLst>
          </c:dPt>
          <c:dPt>
            <c:idx val="53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E9-F2A4-406A-A7DA-6B5418467181}"/>
              </c:ext>
            </c:extLst>
          </c:dPt>
          <c:dPt>
            <c:idx val="53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EA-F2A4-406A-A7DA-6B5418467181}"/>
              </c:ext>
            </c:extLst>
          </c:dPt>
          <c:dPt>
            <c:idx val="53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EB-F2A4-406A-A7DA-6B5418467181}"/>
              </c:ext>
            </c:extLst>
          </c:dPt>
          <c:dPt>
            <c:idx val="53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EC-F2A4-406A-A7DA-6B5418467181}"/>
              </c:ext>
            </c:extLst>
          </c:dPt>
          <c:dPt>
            <c:idx val="53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ED-F2A4-406A-A7DA-6B5418467181}"/>
              </c:ext>
            </c:extLst>
          </c:dPt>
          <c:dPt>
            <c:idx val="54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EE-F2A4-406A-A7DA-6B5418467181}"/>
              </c:ext>
            </c:extLst>
          </c:dPt>
          <c:dPt>
            <c:idx val="541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EF-F2A4-406A-A7DA-6B5418467181}"/>
              </c:ext>
            </c:extLst>
          </c:dPt>
          <c:dPt>
            <c:idx val="54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F0-F2A4-406A-A7DA-6B5418467181}"/>
              </c:ext>
            </c:extLst>
          </c:dPt>
          <c:dPt>
            <c:idx val="54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F1-F2A4-406A-A7DA-6B5418467181}"/>
              </c:ext>
            </c:extLst>
          </c:dPt>
          <c:dPt>
            <c:idx val="54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F2-F2A4-406A-A7DA-6B5418467181}"/>
              </c:ext>
            </c:extLst>
          </c:dPt>
          <c:dPt>
            <c:idx val="54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F3-F2A4-406A-A7DA-6B5418467181}"/>
              </c:ext>
            </c:extLst>
          </c:dPt>
          <c:dPt>
            <c:idx val="546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F4-F2A4-406A-A7DA-6B5418467181}"/>
              </c:ext>
            </c:extLst>
          </c:dPt>
          <c:dPt>
            <c:idx val="54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F5-F2A4-406A-A7DA-6B5418467181}"/>
              </c:ext>
            </c:extLst>
          </c:dPt>
          <c:dPt>
            <c:idx val="54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F6-F2A4-406A-A7DA-6B5418467181}"/>
              </c:ext>
            </c:extLst>
          </c:dPt>
          <c:dPt>
            <c:idx val="54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F7-F2A4-406A-A7DA-6B5418467181}"/>
              </c:ext>
            </c:extLst>
          </c:dPt>
          <c:dPt>
            <c:idx val="55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F8-F2A4-406A-A7DA-6B5418467181}"/>
              </c:ext>
            </c:extLst>
          </c:dPt>
          <c:dPt>
            <c:idx val="55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F9-F2A4-406A-A7DA-6B5418467181}"/>
              </c:ext>
            </c:extLst>
          </c:dPt>
          <c:dPt>
            <c:idx val="55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FA-F2A4-406A-A7DA-6B5418467181}"/>
              </c:ext>
            </c:extLst>
          </c:dPt>
          <c:dPt>
            <c:idx val="553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FB-F2A4-406A-A7DA-6B5418467181}"/>
              </c:ext>
            </c:extLst>
          </c:dPt>
          <c:dPt>
            <c:idx val="55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FC-F2A4-406A-A7DA-6B5418467181}"/>
              </c:ext>
            </c:extLst>
          </c:dPt>
          <c:dPt>
            <c:idx val="55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FD-F2A4-406A-A7DA-6B5418467181}"/>
              </c:ext>
            </c:extLst>
          </c:dPt>
          <c:dPt>
            <c:idx val="55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FE-F2A4-406A-A7DA-6B5418467181}"/>
              </c:ext>
            </c:extLst>
          </c:dPt>
          <c:dPt>
            <c:idx val="55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BFF-F2A4-406A-A7DA-6B5418467181}"/>
              </c:ext>
            </c:extLst>
          </c:dPt>
          <c:dPt>
            <c:idx val="558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00-F2A4-406A-A7DA-6B5418467181}"/>
              </c:ext>
            </c:extLst>
          </c:dPt>
          <c:dPt>
            <c:idx val="55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01-F2A4-406A-A7DA-6B5418467181}"/>
              </c:ext>
            </c:extLst>
          </c:dPt>
          <c:dPt>
            <c:idx val="56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02-F2A4-406A-A7DA-6B5418467181}"/>
              </c:ext>
            </c:extLst>
          </c:dPt>
          <c:dPt>
            <c:idx val="561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03-F2A4-406A-A7DA-6B5418467181}"/>
              </c:ext>
            </c:extLst>
          </c:dPt>
          <c:dPt>
            <c:idx val="56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04-F2A4-406A-A7DA-6B5418467181}"/>
              </c:ext>
            </c:extLst>
          </c:dPt>
          <c:dPt>
            <c:idx val="56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05-F2A4-406A-A7DA-6B5418467181}"/>
              </c:ext>
            </c:extLst>
          </c:dPt>
          <c:dPt>
            <c:idx val="56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06-F2A4-406A-A7DA-6B5418467181}"/>
              </c:ext>
            </c:extLst>
          </c:dPt>
          <c:dPt>
            <c:idx val="565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07-F2A4-406A-A7DA-6B5418467181}"/>
              </c:ext>
            </c:extLst>
          </c:dPt>
          <c:dPt>
            <c:idx val="56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08-F2A4-406A-A7DA-6B5418467181}"/>
              </c:ext>
            </c:extLst>
          </c:dPt>
          <c:dPt>
            <c:idx val="56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09-F2A4-406A-A7DA-6B5418467181}"/>
              </c:ext>
            </c:extLst>
          </c:dPt>
          <c:dPt>
            <c:idx val="568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0A-F2A4-406A-A7DA-6B5418467181}"/>
              </c:ext>
            </c:extLst>
          </c:dPt>
          <c:dPt>
            <c:idx val="56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0B-F2A4-406A-A7DA-6B5418467181}"/>
              </c:ext>
            </c:extLst>
          </c:dPt>
          <c:dPt>
            <c:idx val="570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0C-F2A4-406A-A7DA-6B5418467181}"/>
              </c:ext>
            </c:extLst>
          </c:dPt>
          <c:dPt>
            <c:idx val="57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0D-F2A4-406A-A7DA-6B5418467181}"/>
              </c:ext>
            </c:extLst>
          </c:dPt>
          <c:dPt>
            <c:idx val="57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0E-F2A4-406A-A7DA-6B5418467181}"/>
              </c:ext>
            </c:extLst>
          </c:dPt>
          <c:dPt>
            <c:idx val="57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0F-F2A4-406A-A7DA-6B5418467181}"/>
              </c:ext>
            </c:extLst>
          </c:dPt>
          <c:dPt>
            <c:idx val="57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10-F2A4-406A-A7DA-6B5418467181}"/>
              </c:ext>
            </c:extLst>
          </c:dPt>
          <c:dPt>
            <c:idx val="57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11-F2A4-406A-A7DA-6B5418467181}"/>
              </c:ext>
            </c:extLst>
          </c:dPt>
          <c:dPt>
            <c:idx val="57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12-F2A4-406A-A7DA-6B5418467181}"/>
              </c:ext>
            </c:extLst>
          </c:dPt>
          <c:dPt>
            <c:idx val="57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13-F2A4-406A-A7DA-6B5418467181}"/>
              </c:ext>
            </c:extLst>
          </c:dPt>
          <c:dPt>
            <c:idx val="57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14-F2A4-406A-A7DA-6B5418467181}"/>
              </c:ext>
            </c:extLst>
          </c:dPt>
          <c:dPt>
            <c:idx val="57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15-F2A4-406A-A7DA-6B5418467181}"/>
              </c:ext>
            </c:extLst>
          </c:dPt>
          <c:dPt>
            <c:idx val="58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16-F2A4-406A-A7DA-6B5418467181}"/>
              </c:ext>
            </c:extLst>
          </c:dPt>
          <c:dPt>
            <c:idx val="58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17-F2A4-406A-A7DA-6B5418467181}"/>
              </c:ext>
            </c:extLst>
          </c:dPt>
          <c:dPt>
            <c:idx val="582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18-F2A4-406A-A7DA-6B5418467181}"/>
              </c:ext>
            </c:extLst>
          </c:dPt>
          <c:dPt>
            <c:idx val="58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19-F2A4-406A-A7DA-6B5418467181}"/>
              </c:ext>
            </c:extLst>
          </c:dPt>
          <c:dPt>
            <c:idx val="58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1A-F2A4-406A-A7DA-6B5418467181}"/>
              </c:ext>
            </c:extLst>
          </c:dPt>
          <c:dPt>
            <c:idx val="58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1B-F2A4-406A-A7DA-6B5418467181}"/>
              </c:ext>
            </c:extLst>
          </c:dPt>
          <c:dPt>
            <c:idx val="58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1C-F2A4-406A-A7DA-6B5418467181}"/>
              </c:ext>
            </c:extLst>
          </c:dPt>
          <c:dPt>
            <c:idx val="58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1D-F2A4-406A-A7DA-6B5418467181}"/>
              </c:ext>
            </c:extLst>
          </c:dPt>
          <c:dPt>
            <c:idx val="58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1E-F2A4-406A-A7DA-6B5418467181}"/>
              </c:ext>
            </c:extLst>
          </c:dPt>
          <c:dPt>
            <c:idx val="589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1F-F2A4-406A-A7DA-6B5418467181}"/>
              </c:ext>
            </c:extLst>
          </c:dPt>
          <c:dPt>
            <c:idx val="59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20-F2A4-406A-A7DA-6B5418467181}"/>
              </c:ext>
            </c:extLst>
          </c:dPt>
          <c:dPt>
            <c:idx val="59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21-F2A4-406A-A7DA-6B5418467181}"/>
              </c:ext>
            </c:extLst>
          </c:dPt>
          <c:dPt>
            <c:idx val="59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22-F2A4-406A-A7DA-6B5418467181}"/>
              </c:ext>
            </c:extLst>
          </c:dPt>
          <c:dPt>
            <c:idx val="59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23-F2A4-406A-A7DA-6B5418467181}"/>
              </c:ext>
            </c:extLst>
          </c:dPt>
          <c:dPt>
            <c:idx val="594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24-F2A4-406A-A7DA-6B5418467181}"/>
              </c:ext>
            </c:extLst>
          </c:dPt>
          <c:dPt>
            <c:idx val="59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25-F2A4-406A-A7DA-6B5418467181}"/>
              </c:ext>
            </c:extLst>
          </c:dPt>
          <c:dPt>
            <c:idx val="59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26-F2A4-406A-A7DA-6B5418467181}"/>
              </c:ext>
            </c:extLst>
          </c:dPt>
          <c:dPt>
            <c:idx val="59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27-F2A4-406A-A7DA-6B5418467181}"/>
              </c:ext>
            </c:extLst>
          </c:dPt>
          <c:dPt>
            <c:idx val="598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28-F2A4-406A-A7DA-6B5418467181}"/>
              </c:ext>
            </c:extLst>
          </c:dPt>
          <c:dPt>
            <c:idx val="59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29-F2A4-406A-A7DA-6B5418467181}"/>
              </c:ext>
            </c:extLst>
          </c:dPt>
          <c:dPt>
            <c:idx val="60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2A-F2A4-406A-A7DA-6B5418467181}"/>
              </c:ext>
            </c:extLst>
          </c:dPt>
          <c:dPt>
            <c:idx val="60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2B-F2A4-406A-A7DA-6B5418467181}"/>
              </c:ext>
            </c:extLst>
          </c:dPt>
          <c:dPt>
            <c:idx val="602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2C-F2A4-406A-A7DA-6B5418467181}"/>
              </c:ext>
            </c:extLst>
          </c:dPt>
          <c:dPt>
            <c:idx val="60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2D-F2A4-406A-A7DA-6B5418467181}"/>
              </c:ext>
            </c:extLst>
          </c:dPt>
          <c:dPt>
            <c:idx val="60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2E-F2A4-406A-A7DA-6B5418467181}"/>
              </c:ext>
            </c:extLst>
          </c:dPt>
          <c:dPt>
            <c:idx val="605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2F-F2A4-406A-A7DA-6B5418467181}"/>
              </c:ext>
            </c:extLst>
          </c:dPt>
          <c:dPt>
            <c:idx val="60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30-F2A4-406A-A7DA-6B5418467181}"/>
              </c:ext>
            </c:extLst>
          </c:dPt>
          <c:dPt>
            <c:idx val="60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31-F2A4-406A-A7DA-6B5418467181}"/>
              </c:ext>
            </c:extLst>
          </c:dPt>
          <c:dPt>
            <c:idx val="60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32-F2A4-406A-A7DA-6B5418467181}"/>
              </c:ext>
            </c:extLst>
          </c:dPt>
          <c:dPt>
            <c:idx val="60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33-F2A4-406A-A7DA-6B5418467181}"/>
              </c:ext>
            </c:extLst>
          </c:dPt>
          <c:dPt>
            <c:idx val="61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34-F2A4-406A-A7DA-6B5418467181}"/>
              </c:ext>
            </c:extLst>
          </c:dPt>
          <c:dPt>
            <c:idx val="61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35-F2A4-406A-A7DA-6B5418467181}"/>
              </c:ext>
            </c:extLst>
          </c:dPt>
          <c:dPt>
            <c:idx val="612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36-F2A4-406A-A7DA-6B5418467181}"/>
              </c:ext>
            </c:extLst>
          </c:dPt>
          <c:dPt>
            <c:idx val="61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37-F2A4-406A-A7DA-6B5418467181}"/>
              </c:ext>
            </c:extLst>
          </c:dPt>
          <c:dPt>
            <c:idx val="614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38-F2A4-406A-A7DA-6B5418467181}"/>
              </c:ext>
            </c:extLst>
          </c:dPt>
          <c:dPt>
            <c:idx val="61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39-F2A4-406A-A7DA-6B5418467181}"/>
              </c:ext>
            </c:extLst>
          </c:dPt>
          <c:dPt>
            <c:idx val="61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3A-F2A4-406A-A7DA-6B5418467181}"/>
              </c:ext>
            </c:extLst>
          </c:dPt>
          <c:dPt>
            <c:idx val="61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3B-F2A4-406A-A7DA-6B5418467181}"/>
              </c:ext>
            </c:extLst>
          </c:dPt>
          <c:dPt>
            <c:idx val="61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3C-F2A4-406A-A7DA-6B5418467181}"/>
              </c:ext>
            </c:extLst>
          </c:dPt>
          <c:dPt>
            <c:idx val="61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3D-F2A4-406A-A7DA-6B5418467181}"/>
              </c:ext>
            </c:extLst>
          </c:dPt>
          <c:dPt>
            <c:idx val="620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3E-F2A4-406A-A7DA-6B5418467181}"/>
              </c:ext>
            </c:extLst>
          </c:dPt>
          <c:dPt>
            <c:idx val="62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3F-F2A4-406A-A7DA-6B5418467181}"/>
              </c:ext>
            </c:extLst>
          </c:dPt>
          <c:dPt>
            <c:idx val="62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40-F2A4-406A-A7DA-6B5418467181}"/>
              </c:ext>
            </c:extLst>
          </c:dPt>
          <c:dPt>
            <c:idx val="62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41-F2A4-406A-A7DA-6B5418467181}"/>
              </c:ext>
            </c:extLst>
          </c:dPt>
          <c:dPt>
            <c:idx val="62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42-F2A4-406A-A7DA-6B5418467181}"/>
              </c:ext>
            </c:extLst>
          </c:dPt>
          <c:dPt>
            <c:idx val="62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43-F2A4-406A-A7DA-6B5418467181}"/>
              </c:ext>
            </c:extLst>
          </c:dPt>
          <c:dPt>
            <c:idx val="626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44-F2A4-406A-A7DA-6B5418467181}"/>
              </c:ext>
            </c:extLst>
          </c:dPt>
          <c:dPt>
            <c:idx val="62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45-F2A4-406A-A7DA-6B5418467181}"/>
              </c:ext>
            </c:extLst>
          </c:dPt>
          <c:dPt>
            <c:idx val="628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46-F2A4-406A-A7DA-6B5418467181}"/>
              </c:ext>
            </c:extLst>
          </c:dPt>
          <c:dPt>
            <c:idx val="62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47-F2A4-406A-A7DA-6B5418467181}"/>
              </c:ext>
            </c:extLst>
          </c:dPt>
          <c:dPt>
            <c:idx val="630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48-F2A4-406A-A7DA-6B5418467181}"/>
              </c:ext>
            </c:extLst>
          </c:dPt>
          <c:dPt>
            <c:idx val="631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49-F2A4-406A-A7DA-6B5418467181}"/>
              </c:ext>
            </c:extLst>
          </c:dPt>
          <c:dPt>
            <c:idx val="63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4A-F2A4-406A-A7DA-6B5418467181}"/>
              </c:ext>
            </c:extLst>
          </c:dPt>
          <c:dPt>
            <c:idx val="63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4B-F2A4-406A-A7DA-6B5418467181}"/>
              </c:ext>
            </c:extLst>
          </c:dPt>
          <c:dPt>
            <c:idx val="63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4C-F2A4-406A-A7DA-6B5418467181}"/>
              </c:ext>
            </c:extLst>
          </c:dPt>
          <c:dPt>
            <c:idx val="635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4D-F2A4-406A-A7DA-6B5418467181}"/>
              </c:ext>
            </c:extLst>
          </c:dPt>
          <c:dPt>
            <c:idx val="636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4E-F2A4-406A-A7DA-6B5418467181}"/>
              </c:ext>
            </c:extLst>
          </c:dPt>
          <c:dPt>
            <c:idx val="63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4F-F2A4-406A-A7DA-6B5418467181}"/>
              </c:ext>
            </c:extLst>
          </c:dPt>
          <c:dPt>
            <c:idx val="63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50-F2A4-406A-A7DA-6B5418467181}"/>
              </c:ext>
            </c:extLst>
          </c:dPt>
          <c:dPt>
            <c:idx val="63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51-F2A4-406A-A7DA-6B5418467181}"/>
              </c:ext>
            </c:extLst>
          </c:dPt>
          <c:dPt>
            <c:idx val="64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52-F2A4-406A-A7DA-6B5418467181}"/>
              </c:ext>
            </c:extLst>
          </c:dPt>
          <c:dPt>
            <c:idx val="641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53-F2A4-406A-A7DA-6B5418467181}"/>
              </c:ext>
            </c:extLst>
          </c:dPt>
          <c:dPt>
            <c:idx val="642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54-F2A4-406A-A7DA-6B5418467181}"/>
              </c:ext>
            </c:extLst>
          </c:dPt>
          <c:dPt>
            <c:idx val="643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55-F2A4-406A-A7DA-6B5418467181}"/>
              </c:ext>
            </c:extLst>
          </c:dPt>
          <c:dPt>
            <c:idx val="64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56-F2A4-406A-A7DA-6B5418467181}"/>
              </c:ext>
            </c:extLst>
          </c:dPt>
          <c:dPt>
            <c:idx val="64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57-F2A4-406A-A7DA-6B5418467181}"/>
              </c:ext>
            </c:extLst>
          </c:dPt>
          <c:dPt>
            <c:idx val="64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58-F2A4-406A-A7DA-6B5418467181}"/>
              </c:ext>
            </c:extLst>
          </c:dPt>
          <c:dPt>
            <c:idx val="64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59-F2A4-406A-A7DA-6B5418467181}"/>
              </c:ext>
            </c:extLst>
          </c:dPt>
          <c:dPt>
            <c:idx val="64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5A-F2A4-406A-A7DA-6B5418467181}"/>
              </c:ext>
            </c:extLst>
          </c:dPt>
          <c:dPt>
            <c:idx val="64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5B-F2A4-406A-A7DA-6B5418467181}"/>
              </c:ext>
            </c:extLst>
          </c:dPt>
          <c:dPt>
            <c:idx val="65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5C-F2A4-406A-A7DA-6B5418467181}"/>
              </c:ext>
            </c:extLst>
          </c:dPt>
          <c:dPt>
            <c:idx val="65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5D-F2A4-406A-A7DA-6B5418467181}"/>
              </c:ext>
            </c:extLst>
          </c:dPt>
          <c:dPt>
            <c:idx val="65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5E-F2A4-406A-A7DA-6B5418467181}"/>
              </c:ext>
            </c:extLst>
          </c:dPt>
          <c:dPt>
            <c:idx val="65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5F-F2A4-406A-A7DA-6B5418467181}"/>
              </c:ext>
            </c:extLst>
          </c:dPt>
          <c:dPt>
            <c:idx val="65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60-F2A4-406A-A7DA-6B5418467181}"/>
              </c:ext>
            </c:extLst>
          </c:dPt>
          <c:dPt>
            <c:idx val="65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61-F2A4-406A-A7DA-6B5418467181}"/>
              </c:ext>
            </c:extLst>
          </c:dPt>
          <c:dPt>
            <c:idx val="656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62-F2A4-406A-A7DA-6B5418467181}"/>
              </c:ext>
            </c:extLst>
          </c:dPt>
          <c:dPt>
            <c:idx val="65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63-F2A4-406A-A7DA-6B5418467181}"/>
              </c:ext>
            </c:extLst>
          </c:dPt>
          <c:dPt>
            <c:idx val="658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64-F2A4-406A-A7DA-6B5418467181}"/>
              </c:ext>
            </c:extLst>
          </c:dPt>
          <c:dPt>
            <c:idx val="659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65-F2A4-406A-A7DA-6B5418467181}"/>
              </c:ext>
            </c:extLst>
          </c:dPt>
          <c:dPt>
            <c:idx val="66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66-F2A4-406A-A7DA-6B5418467181}"/>
              </c:ext>
            </c:extLst>
          </c:dPt>
          <c:dPt>
            <c:idx val="66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67-F2A4-406A-A7DA-6B5418467181}"/>
              </c:ext>
            </c:extLst>
          </c:dPt>
          <c:dPt>
            <c:idx val="662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68-F2A4-406A-A7DA-6B5418467181}"/>
              </c:ext>
            </c:extLst>
          </c:dPt>
          <c:dPt>
            <c:idx val="66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69-F2A4-406A-A7DA-6B5418467181}"/>
              </c:ext>
            </c:extLst>
          </c:dPt>
          <c:dPt>
            <c:idx val="66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6A-F2A4-406A-A7DA-6B5418467181}"/>
              </c:ext>
            </c:extLst>
          </c:dPt>
          <c:dPt>
            <c:idx val="66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6B-F2A4-406A-A7DA-6B5418467181}"/>
              </c:ext>
            </c:extLst>
          </c:dPt>
          <c:dPt>
            <c:idx val="66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6C-F2A4-406A-A7DA-6B5418467181}"/>
              </c:ext>
            </c:extLst>
          </c:dPt>
          <c:dPt>
            <c:idx val="66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6D-F2A4-406A-A7DA-6B5418467181}"/>
              </c:ext>
            </c:extLst>
          </c:dPt>
          <c:dPt>
            <c:idx val="66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6E-F2A4-406A-A7DA-6B5418467181}"/>
              </c:ext>
            </c:extLst>
          </c:dPt>
          <c:dPt>
            <c:idx val="66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6F-F2A4-406A-A7DA-6B5418467181}"/>
              </c:ext>
            </c:extLst>
          </c:dPt>
          <c:dPt>
            <c:idx val="67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70-F2A4-406A-A7DA-6B5418467181}"/>
              </c:ext>
            </c:extLst>
          </c:dPt>
          <c:dPt>
            <c:idx val="67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71-F2A4-406A-A7DA-6B5418467181}"/>
              </c:ext>
            </c:extLst>
          </c:dPt>
          <c:dPt>
            <c:idx val="67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72-F2A4-406A-A7DA-6B5418467181}"/>
              </c:ext>
            </c:extLst>
          </c:dPt>
          <c:dPt>
            <c:idx val="67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73-F2A4-406A-A7DA-6B5418467181}"/>
              </c:ext>
            </c:extLst>
          </c:dPt>
          <c:dPt>
            <c:idx val="67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74-F2A4-406A-A7DA-6B5418467181}"/>
              </c:ext>
            </c:extLst>
          </c:dPt>
          <c:dPt>
            <c:idx val="67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75-F2A4-406A-A7DA-6B5418467181}"/>
              </c:ext>
            </c:extLst>
          </c:dPt>
          <c:dPt>
            <c:idx val="67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76-F2A4-406A-A7DA-6B5418467181}"/>
              </c:ext>
            </c:extLst>
          </c:dPt>
          <c:dPt>
            <c:idx val="67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77-F2A4-406A-A7DA-6B5418467181}"/>
              </c:ext>
            </c:extLst>
          </c:dPt>
          <c:dPt>
            <c:idx val="67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78-F2A4-406A-A7DA-6B5418467181}"/>
              </c:ext>
            </c:extLst>
          </c:dPt>
          <c:dPt>
            <c:idx val="67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79-F2A4-406A-A7DA-6B5418467181}"/>
              </c:ext>
            </c:extLst>
          </c:dPt>
          <c:dPt>
            <c:idx val="68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7A-F2A4-406A-A7DA-6B5418467181}"/>
              </c:ext>
            </c:extLst>
          </c:dPt>
          <c:dPt>
            <c:idx val="68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7B-F2A4-406A-A7DA-6B5418467181}"/>
              </c:ext>
            </c:extLst>
          </c:dPt>
          <c:dPt>
            <c:idx val="68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7C-F2A4-406A-A7DA-6B5418467181}"/>
              </c:ext>
            </c:extLst>
          </c:dPt>
          <c:dPt>
            <c:idx val="68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7D-F2A4-406A-A7DA-6B5418467181}"/>
              </c:ext>
            </c:extLst>
          </c:dPt>
          <c:dPt>
            <c:idx val="68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7E-F2A4-406A-A7DA-6B5418467181}"/>
              </c:ext>
            </c:extLst>
          </c:dPt>
          <c:dPt>
            <c:idx val="68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7F-F2A4-406A-A7DA-6B5418467181}"/>
              </c:ext>
            </c:extLst>
          </c:dPt>
          <c:dPt>
            <c:idx val="68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80-F2A4-406A-A7DA-6B5418467181}"/>
              </c:ext>
            </c:extLst>
          </c:dPt>
          <c:dPt>
            <c:idx val="68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81-F2A4-406A-A7DA-6B5418467181}"/>
              </c:ext>
            </c:extLst>
          </c:dPt>
          <c:dPt>
            <c:idx val="68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82-F2A4-406A-A7DA-6B5418467181}"/>
              </c:ext>
            </c:extLst>
          </c:dPt>
          <c:dPt>
            <c:idx val="68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83-F2A4-406A-A7DA-6B5418467181}"/>
              </c:ext>
            </c:extLst>
          </c:dPt>
          <c:dPt>
            <c:idx val="69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84-F2A4-406A-A7DA-6B5418467181}"/>
              </c:ext>
            </c:extLst>
          </c:dPt>
          <c:dPt>
            <c:idx val="69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85-F2A4-406A-A7DA-6B5418467181}"/>
              </c:ext>
            </c:extLst>
          </c:dPt>
          <c:dPt>
            <c:idx val="692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86-F2A4-406A-A7DA-6B5418467181}"/>
              </c:ext>
            </c:extLst>
          </c:dPt>
          <c:dPt>
            <c:idx val="69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87-F2A4-406A-A7DA-6B5418467181}"/>
              </c:ext>
            </c:extLst>
          </c:dPt>
          <c:dPt>
            <c:idx val="694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88-F2A4-406A-A7DA-6B5418467181}"/>
              </c:ext>
            </c:extLst>
          </c:dPt>
          <c:dPt>
            <c:idx val="69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89-F2A4-406A-A7DA-6B5418467181}"/>
              </c:ext>
            </c:extLst>
          </c:dPt>
          <c:dPt>
            <c:idx val="69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8A-F2A4-406A-A7DA-6B5418467181}"/>
              </c:ext>
            </c:extLst>
          </c:dPt>
          <c:dPt>
            <c:idx val="69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8B-F2A4-406A-A7DA-6B5418467181}"/>
              </c:ext>
            </c:extLst>
          </c:dPt>
          <c:dPt>
            <c:idx val="69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8C-F2A4-406A-A7DA-6B5418467181}"/>
              </c:ext>
            </c:extLst>
          </c:dPt>
          <c:dPt>
            <c:idx val="69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8D-F2A4-406A-A7DA-6B5418467181}"/>
              </c:ext>
            </c:extLst>
          </c:dPt>
          <c:dPt>
            <c:idx val="70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8E-F2A4-406A-A7DA-6B5418467181}"/>
              </c:ext>
            </c:extLst>
          </c:dPt>
          <c:dPt>
            <c:idx val="70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8F-F2A4-406A-A7DA-6B5418467181}"/>
              </c:ext>
            </c:extLst>
          </c:dPt>
          <c:dPt>
            <c:idx val="70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90-F2A4-406A-A7DA-6B5418467181}"/>
              </c:ext>
            </c:extLst>
          </c:dPt>
          <c:dPt>
            <c:idx val="70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91-F2A4-406A-A7DA-6B5418467181}"/>
              </c:ext>
            </c:extLst>
          </c:dPt>
          <c:dPt>
            <c:idx val="704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92-F2A4-406A-A7DA-6B5418467181}"/>
              </c:ext>
            </c:extLst>
          </c:dPt>
          <c:dPt>
            <c:idx val="70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93-F2A4-406A-A7DA-6B5418467181}"/>
              </c:ext>
            </c:extLst>
          </c:dPt>
          <c:dPt>
            <c:idx val="70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94-F2A4-406A-A7DA-6B5418467181}"/>
              </c:ext>
            </c:extLst>
          </c:dPt>
          <c:dPt>
            <c:idx val="70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95-F2A4-406A-A7DA-6B5418467181}"/>
              </c:ext>
            </c:extLst>
          </c:dPt>
          <c:dPt>
            <c:idx val="70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96-F2A4-406A-A7DA-6B5418467181}"/>
              </c:ext>
            </c:extLst>
          </c:dPt>
          <c:dPt>
            <c:idx val="709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97-F2A4-406A-A7DA-6B5418467181}"/>
              </c:ext>
            </c:extLst>
          </c:dPt>
          <c:dPt>
            <c:idx val="71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98-F2A4-406A-A7DA-6B5418467181}"/>
              </c:ext>
            </c:extLst>
          </c:dPt>
          <c:dPt>
            <c:idx val="71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99-F2A4-406A-A7DA-6B5418467181}"/>
              </c:ext>
            </c:extLst>
          </c:dPt>
          <c:dPt>
            <c:idx val="71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9A-F2A4-406A-A7DA-6B5418467181}"/>
              </c:ext>
            </c:extLst>
          </c:dPt>
          <c:dPt>
            <c:idx val="71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9B-F2A4-406A-A7DA-6B5418467181}"/>
              </c:ext>
            </c:extLst>
          </c:dPt>
          <c:dPt>
            <c:idx val="714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9C-F2A4-406A-A7DA-6B5418467181}"/>
              </c:ext>
            </c:extLst>
          </c:dPt>
          <c:dPt>
            <c:idx val="71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9D-F2A4-406A-A7DA-6B5418467181}"/>
              </c:ext>
            </c:extLst>
          </c:dPt>
          <c:dPt>
            <c:idx val="71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9E-F2A4-406A-A7DA-6B5418467181}"/>
              </c:ext>
            </c:extLst>
          </c:dPt>
          <c:dPt>
            <c:idx val="71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9F-F2A4-406A-A7DA-6B5418467181}"/>
              </c:ext>
            </c:extLst>
          </c:dPt>
          <c:dPt>
            <c:idx val="718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A0-F2A4-406A-A7DA-6B5418467181}"/>
              </c:ext>
            </c:extLst>
          </c:dPt>
          <c:dPt>
            <c:idx val="71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A1-F2A4-406A-A7DA-6B5418467181}"/>
              </c:ext>
            </c:extLst>
          </c:dPt>
          <c:dPt>
            <c:idx val="72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A2-F2A4-406A-A7DA-6B5418467181}"/>
              </c:ext>
            </c:extLst>
          </c:dPt>
          <c:dPt>
            <c:idx val="721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A3-F2A4-406A-A7DA-6B5418467181}"/>
              </c:ext>
            </c:extLst>
          </c:dPt>
          <c:dPt>
            <c:idx val="722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A4-F2A4-406A-A7DA-6B5418467181}"/>
              </c:ext>
            </c:extLst>
          </c:dPt>
          <c:dPt>
            <c:idx val="72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A5-F2A4-406A-A7DA-6B5418467181}"/>
              </c:ext>
            </c:extLst>
          </c:dPt>
          <c:dPt>
            <c:idx val="72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A6-F2A4-406A-A7DA-6B5418467181}"/>
              </c:ext>
            </c:extLst>
          </c:dPt>
          <c:dPt>
            <c:idx val="72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A7-F2A4-406A-A7DA-6B5418467181}"/>
              </c:ext>
            </c:extLst>
          </c:dPt>
          <c:dPt>
            <c:idx val="72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A8-F2A4-406A-A7DA-6B5418467181}"/>
              </c:ext>
            </c:extLst>
          </c:dPt>
          <c:dPt>
            <c:idx val="72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A9-F2A4-406A-A7DA-6B5418467181}"/>
              </c:ext>
            </c:extLst>
          </c:dPt>
          <c:dPt>
            <c:idx val="72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AA-F2A4-406A-A7DA-6B5418467181}"/>
              </c:ext>
            </c:extLst>
          </c:dPt>
          <c:dPt>
            <c:idx val="72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AB-F2A4-406A-A7DA-6B5418467181}"/>
              </c:ext>
            </c:extLst>
          </c:dPt>
          <c:dPt>
            <c:idx val="73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AC-F2A4-406A-A7DA-6B5418467181}"/>
              </c:ext>
            </c:extLst>
          </c:dPt>
          <c:dPt>
            <c:idx val="73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AD-F2A4-406A-A7DA-6B5418467181}"/>
              </c:ext>
            </c:extLst>
          </c:dPt>
          <c:dPt>
            <c:idx val="73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AE-F2A4-406A-A7DA-6B5418467181}"/>
              </c:ext>
            </c:extLst>
          </c:dPt>
          <c:dPt>
            <c:idx val="73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AF-F2A4-406A-A7DA-6B5418467181}"/>
              </c:ext>
            </c:extLst>
          </c:dPt>
          <c:dPt>
            <c:idx val="73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B0-F2A4-406A-A7DA-6B5418467181}"/>
              </c:ext>
            </c:extLst>
          </c:dPt>
          <c:dPt>
            <c:idx val="73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B1-F2A4-406A-A7DA-6B5418467181}"/>
              </c:ext>
            </c:extLst>
          </c:dPt>
          <c:dPt>
            <c:idx val="73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B2-F2A4-406A-A7DA-6B5418467181}"/>
              </c:ext>
            </c:extLst>
          </c:dPt>
          <c:dPt>
            <c:idx val="737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B3-F2A4-406A-A7DA-6B5418467181}"/>
              </c:ext>
            </c:extLst>
          </c:dPt>
          <c:dPt>
            <c:idx val="73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B4-F2A4-406A-A7DA-6B5418467181}"/>
              </c:ext>
            </c:extLst>
          </c:dPt>
          <c:dPt>
            <c:idx val="73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B5-F2A4-406A-A7DA-6B5418467181}"/>
              </c:ext>
            </c:extLst>
          </c:dPt>
          <c:dPt>
            <c:idx val="74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B6-F2A4-406A-A7DA-6B5418467181}"/>
              </c:ext>
            </c:extLst>
          </c:dPt>
          <c:dPt>
            <c:idx val="74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B7-F2A4-406A-A7DA-6B5418467181}"/>
              </c:ext>
            </c:extLst>
          </c:dPt>
          <c:dPt>
            <c:idx val="74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B8-F2A4-406A-A7DA-6B5418467181}"/>
              </c:ext>
            </c:extLst>
          </c:dPt>
          <c:dPt>
            <c:idx val="74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B9-F2A4-406A-A7DA-6B5418467181}"/>
              </c:ext>
            </c:extLst>
          </c:dPt>
          <c:dPt>
            <c:idx val="74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BA-F2A4-406A-A7DA-6B5418467181}"/>
              </c:ext>
            </c:extLst>
          </c:dPt>
          <c:dPt>
            <c:idx val="74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BB-F2A4-406A-A7DA-6B5418467181}"/>
              </c:ext>
            </c:extLst>
          </c:dPt>
          <c:dPt>
            <c:idx val="74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BC-F2A4-406A-A7DA-6B5418467181}"/>
              </c:ext>
            </c:extLst>
          </c:dPt>
          <c:dPt>
            <c:idx val="74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BD-F2A4-406A-A7DA-6B5418467181}"/>
              </c:ext>
            </c:extLst>
          </c:dPt>
          <c:dPt>
            <c:idx val="74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BE-F2A4-406A-A7DA-6B5418467181}"/>
              </c:ext>
            </c:extLst>
          </c:dPt>
          <c:dPt>
            <c:idx val="74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BF-F2A4-406A-A7DA-6B5418467181}"/>
              </c:ext>
            </c:extLst>
          </c:dPt>
          <c:dPt>
            <c:idx val="75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C0-F2A4-406A-A7DA-6B5418467181}"/>
              </c:ext>
            </c:extLst>
          </c:dPt>
          <c:dPt>
            <c:idx val="75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C1-F2A4-406A-A7DA-6B5418467181}"/>
              </c:ext>
            </c:extLst>
          </c:dPt>
          <c:dPt>
            <c:idx val="75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C2-F2A4-406A-A7DA-6B5418467181}"/>
              </c:ext>
            </c:extLst>
          </c:dPt>
          <c:dPt>
            <c:idx val="753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C3-F2A4-406A-A7DA-6B5418467181}"/>
              </c:ext>
            </c:extLst>
          </c:dPt>
          <c:dPt>
            <c:idx val="75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C4-F2A4-406A-A7DA-6B5418467181}"/>
              </c:ext>
            </c:extLst>
          </c:dPt>
          <c:dPt>
            <c:idx val="75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C5-F2A4-406A-A7DA-6B5418467181}"/>
              </c:ext>
            </c:extLst>
          </c:dPt>
          <c:dPt>
            <c:idx val="75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C6-F2A4-406A-A7DA-6B5418467181}"/>
              </c:ext>
            </c:extLst>
          </c:dPt>
          <c:dPt>
            <c:idx val="75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C7-F2A4-406A-A7DA-6B5418467181}"/>
              </c:ext>
            </c:extLst>
          </c:dPt>
          <c:dPt>
            <c:idx val="75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C8-F2A4-406A-A7DA-6B5418467181}"/>
              </c:ext>
            </c:extLst>
          </c:dPt>
          <c:dPt>
            <c:idx val="75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C9-F2A4-406A-A7DA-6B5418467181}"/>
              </c:ext>
            </c:extLst>
          </c:dPt>
          <c:dPt>
            <c:idx val="760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CA-F2A4-406A-A7DA-6B5418467181}"/>
              </c:ext>
            </c:extLst>
          </c:dPt>
          <c:dPt>
            <c:idx val="76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CB-F2A4-406A-A7DA-6B5418467181}"/>
              </c:ext>
            </c:extLst>
          </c:dPt>
          <c:dPt>
            <c:idx val="76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CC-F2A4-406A-A7DA-6B5418467181}"/>
              </c:ext>
            </c:extLst>
          </c:dPt>
          <c:dPt>
            <c:idx val="76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CD-F2A4-406A-A7DA-6B5418467181}"/>
              </c:ext>
            </c:extLst>
          </c:dPt>
          <c:dPt>
            <c:idx val="76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CE-F2A4-406A-A7DA-6B5418467181}"/>
              </c:ext>
            </c:extLst>
          </c:dPt>
          <c:dPt>
            <c:idx val="76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CF-F2A4-406A-A7DA-6B5418467181}"/>
              </c:ext>
            </c:extLst>
          </c:dPt>
          <c:dPt>
            <c:idx val="76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D0-F2A4-406A-A7DA-6B5418467181}"/>
              </c:ext>
            </c:extLst>
          </c:dPt>
          <c:dPt>
            <c:idx val="767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D1-F2A4-406A-A7DA-6B5418467181}"/>
              </c:ext>
            </c:extLst>
          </c:dPt>
          <c:dPt>
            <c:idx val="76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D2-F2A4-406A-A7DA-6B5418467181}"/>
              </c:ext>
            </c:extLst>
          </c:dPt>
          <c:dPt>
            <c:idx val="76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D3-F2A4-406A-A7DA-6B5418467181}"/>
              </c:ext>
            </c:extLst>
          </c:dPt>
          <c:dPt>
            <c:idx val="770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D4-F2A4-406A-A7DA-6B5418467181}"/>
              </c:ext>
            </c:extLst>
          </c:dPt>
          <c:dPt>
            <c:idx val="77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D5-F2A4-406A-A7DA-6B5418467181}"/>
              </c:ext>
            </c:extLst>
          </c:dPt>
          <c:dPt>
            <c:idx val="77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D6-F2A4-406A-A7DA-6B5418467181}"/>
              </c:ext>
            </c:extLst>
          </c:dPt>
          <c:dPt>
            <c:idx val="773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D7-F2A4-406A-A7DA-6B5418467181}"/>
              </c:ext>
            </c:extLst>
          </c:dPt>
          <c:dPt>
            <c:idx val="77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D8-F2A4-406A-A7DA-6B5418467181}"/>
              </c:ext>
            </c:extLst>
          </c:dPt>
          <c:dPt>
            <c:idx val="77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D9-F2A4-406A-A7DA-6B5418467181}"/>
              </c:ext>
            </c:extLst>
          </c:dPt>
          <c:dPt>
            <c:idx val="77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DA-F2A4-406A-A7DA-6B5418467181}"/>
              </c:ext>
            </c:extLst>
          </c:dPt>
          <c:dPt>
            <c:idx val="777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DB-F2A4-406A-A7DA-6B5418467181}"/>
              </c:ext>
            </c:extLst>
          </c:dPt>
          <c:dPt>
            <c:idx val="77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DC-F2A4-406A-A7DA-6B5418467181}"/>
              </c:ext>
            </c:extLst>
          </c:dPt>
          <c:dPt>
            <c:idx val="77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DD-F2A4-406A-A7DA-6B5418467181}"/>
              </c:ext>
            </c:extLst>
          </c:dPt>
          <c:dPt>
            <c:idx val="78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DE-F2A4-406A-A7DA-6B5418467181}"/>
              </c:ext>
            </c:extLst>
          </c:dPt>
          <c:dPt>
            <c:idx val="78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DF-F2A4-406A-A7DA-6B5418467181}"/>
              </c:ext>
            </c:extLst>
          </c:dPt>
          <c:dPt>
            <c:idx val="78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E0-F2A4-406A-A7DA-6B5418467181}"/>
              </c:ext>
            </c:extLst>
          </c:dPt>
          <c:dPt>
            <c:idx val="78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E1-F2A4-406A-A7DA-6B5418467181}"/>
              </c:ext>
            </c:extLst>
          </c:dPt>
          <c:dPt>
            <c:idx val="78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E2-F2A4-406A-A7DA-6B5418467181}"/>
              </c:ext>
            </c:extLst>
          </c:dPt>
          <c:dPt>
            <c:idx val="78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E3-F2A4-406A-A7DA-6B5418467181}"/>
              </c:ext>
            </c:extLst>
          </c:dPt>
          <c:dPt>
            <c:idx val="78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E4-F2A4-406A-A7DA-6B5418467181}"/>
              </c:ext>
            </c:extLst>
          </c:dPt>
          <c:dPt>
            <c:idx val="78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E5-F2A4-406A-A7DA-6B5418467181}"/>
              </c:ext>
            </c:extLst>
          </c:dPt>
          <c:dPt>
            <c:idx val="78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E6-F2A4-406A-A7DA-6B5418467181}"/>
              </c:ext>
            </c:extLst>
          </c:dPt>
          <c:dPt>
            <c:idx val="78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E7-F2A4-406A-A7DA-6B5418467181}"/>
              </c:ext>
            </c:extLst>
          </c:dPt>
          <c:dPt>
            <c:idx val="79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E8-F2A4-406A-A7DA-6B5418467181}"/>
              </c:ext>
            </c:extLst>
          </c:dPt>
          <c:dPt>
            <c:idx val="79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E9-F2A4-406A-A7DA-6B5418467181}"/>
              </c:ext>
            </c:extLst>
          </c:dPt>
          <c:dPt>
            <c:idx val="79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EA-F2A4-406A-A7DA-6B5418467181}"/>
              </c:ext>
            </c:extLst>
          </c:dPt>
          <c:dPt>
            <c:idx val="79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EB-F2A4-406A-A7DA-6B5418467181}"/>
              </c:ext>
            </c:extLst>
          </c:dPt>
          <c:dPt>
            <c:idx val="79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EC-F2A4-406A-A7DA-6B5418467181}"/>
              </c:ext>
            </c:extLst>
          </c:dPt>
          <c:dPt>
            <c:idx val="79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ED-F2A4-406A-A7DA-6B5418467181}"/>
              </c:ext>
            </c:extLst>
          </c:dPt>
          <c:dPt>
            <c:idx val="79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EE-F2A4-406A-A7DA-6B5418467181}"/>
              </c:ext>
            </c:extLst>
          </c:dPt>
          <c:dPt>
            <c:idx val="79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EF-F2A4-406A-A7DA-6B5418467181}"/>
              </c:ext>
            </c:extLst>
          </c:dPt>
          <c:dPt>
            <c:idx val="79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F0-F2A4-406A-A7DA-6B5418467181}"/>
              </c:ext>
            </c:extLst>
          </c:dPt>
          <c:dPt>
            <c:idx val="79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F1-F2A4-406A-A7DA-6B5418467181}"/>
              </c:ext>
            </c:extLst>
          </c:dPt>
          <c:dPt>
            <c:idx val="80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F2-F2A4-406A-A7DA-6B5418467181}"/>
              </c:ext>
            </c:extLst>
          </c:dPt>
          <c:dPt>
            <c:idx val="80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F3-F2A4-406A-A7DA-6B5418467181}"/>
              </c:ext>
            </c:extLst>
          </c:dPt>
          <c:dPt>
            <c:idx val="80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F4-F2A4-406A-A7DA-6B5418467181}"/>
              </c:ext>
            </c:extLst>
          </c:dPt>
          <c:dPt>
            <c:idx val="80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F5-F2A4-406A-A7DA-6B5418467181}"/>
              </c:ext>
            </c:extLst>
          </c:dPt>
          <c:dPt>
            <c:idx val="80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F6-F2A4-406A-A7DA-6B5418467181}"/>
              </c:ext>
            </c:extLst>
          </c:dPt>
          <c:dPt>
            <c:idx val="80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F7-F2A4-406A-A7DA-6B5418467181}"/>
              </c:ext>
            </c:extLst>
          </c:dPt>
          <c:dPt>
            <c:idx val="80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F8-F2A4-406A-A7DA-6B5418467181}"/>
              </c:ext>
            </c:extLst>
          </c:dPt>
          <c:dPt>
            <c:idx val="80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F9-F2A4-406A-A7DA-6B5418467181}"/>
              </c:ext>
            </c:extLst>
          </c:dPt>
          <c:dPt>
            <c:idx val="80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FA-F2A4-406A-A7DA-6B5418467181}"/>
              </c:ext>
            </c:extLst>
          </c:dPt>
          <c:dPt>
            <c:idx val="80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FB-F2A4-406A-A7DA-6B5418467181}"/>
              </c:ext>
            </c:extLst>
          </c:dPt>
          <c:dPt>
            <c:idx val="81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FC-F2A4-406A-A7DA-6B5418467181}"/>
              </c:ext>
            </c:extLst>
          </c:dPt>
          <c:dPt>
            <c:idx val="81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FD-F2A4-406A-A7DA-6B5418467181}"/>
              </c:ext>
            </c:extLst>
          </c:dPt>
          <c:dPt>
            <c:idx val="81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FE-F2A4-406A-A7DA-6B5418467181}"/>
              </c:ext>
            </c:extLst>
          </c:dPt>
          <c:dPt>
            <c:idx val="81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CFF-F2A4-406A-A7DA-6B5418467181}"/>
              </c:ext>
            </c:extLst>
          </c:dPt>
          <c:dPt>
            <c:idx val="81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00-F2A4-406A-A7DA-6B5418467181}"/>
              </c:ext>
            </c:extLst>
          </c:dPt>
          <c:dPt>
            <c:idx val="81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01-F2A4-406A-A7DA-6B5418467181}"/>
              </c:ext>
            </c:extLst>
          </c:dPt>
          <c:dPt>
            <c:idx val="81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02-F2A4-406A-A7DA-6B5418467181}"/>
              </c:ext>
            </c:extLst>
          </c:dPt>
          <c:dPt>
            <c:idx val="81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03-F2A4-406A-A7DA-6B5418467181}"/>
              </c:ext>
            </c:extLst>
          </c:dPt>
          <c:dPt>
            <c:idx val="81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04-F2A4-406A-A7DA-6B5418467181}"/>
              </c:ext>
            </c:extLst>
          </c:dPt>
          <c:dPt>
            <c:idx val="81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05-F2A4-406A-A7DA-6B5418467181}"/>
              </c:ext>
            </c:extLst>
          </c:dPt>
          <c:dPt>
            <c:idx val="82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06-F2A4-406A-A7DA-6B5418467181}"/>
              </c:ext>
            </c:extLst>
          </c:dPt>
          <c:dPt>
            <c:idx val="82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07-F2A4-406A-A7DA-6B5418467181}"/>
              </c:ext>
            </c:extLst>
          </c:dPt>
          <c:dPt>
            <c:idx val="82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08-F2A4-406A-A7DA-6B5418467181}"/>
              </c:ext>
            </c:extLst>
          </c:dPt>
          <c:dPt>
            <c:idx val="82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09-F2A4-406A-A7DA-6B5418467181}"/>
              </c:ext>
            </c:extLst>
          </c:dPt>
          <c:dPt>
            <c:idx val="82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0A-F2A4-406A-A7DA-6B5418467181}"/>
              </c:ext>
            </c:extLst>
          </c:dPt>
          <c:dPt>
            <c:idx val="82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0B-F2A4-406A-A7DA-6B5418467181}"/>
              </c:ext>
            </c:extLst>
          </c:dPt>
          <c:dPt>
            <c:idx val="82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0C-F2A4-406A-A7DA-6B5418467181}"/>
              </c:ext>
            </c:extLst>
          </c:dPt>
          <c:dPt>
            <c:idx val="82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0D-F2A4-406A-A7DA-6B5418467181}"/>
              </c:ext>
            </c:extLst>
          </c:dPt>
          <c:dPt>
            <c:idx val="82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0E-F2A4-406A-A7DA-6B5418467181}"/>
              </c:ext>
            </c:extLst>
          </c:dPt>
          <c:dPt>
            <c:idx val="82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0F-F2A4-406A-A7DA-6B5418467181}"/>
              </c:ext>
            </c:extLst>
          </c:dPt>
          <c:dPt>
            <c:idx val="830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10-F2A4-406A-A7DA-6B5418467181}"/>
              </c:ext>
            </c:extLst>
          </c:dPt>
          <c:dPt>
            <c:idx val="83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11-F2A4-406A-A7DA-6B5418467181}"/>
              </c:ext>
            </c:extLst>
          </c:dPt>
          <c:dPt>
            <c:idx val="83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12-F2A4-406A-A7DA-6B5418467181}"/>
              </c:ext>
            </c:extLst>
          </c:dPt>
          <c:dPt>
            <c:idx val="833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13-F2A4-406A-A7DA-6B5418467181}"/>
              </c:ext>
            </c:extLst>
          </c:dPt>
          <c:dPt>
            <c:idx val="83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14-F2A4-406A-A7DA-6B5418467181}"/>
              </c:ext>
            </c:extLst>
          </c:dPt>
          <c:dPt>
            <c:idx val="83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15-F2A4-406A-A7DA-6B5418467181}"/>
              </c:ext>
            </c:extLst>
          </c:dPt>
          <c:dPt>
            <c:idx val="836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16-F2A4-406A-A7DA-6B5418467181}"/>
              </c:ext>
            </c:extLst>
          </c:dPt>
          <c:dPt>
            <c:idx val="83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17-F2A4-406A-A7DA-6B5418467181}"/>
              </c:ext>
            </c:extLst>
          </c:dPt>
          <c:dPt>
            <c:idx val="83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18-F2A4-406A-A7DA-6B5418467181}"/>
              </c:ext>
            </c:extLst>
          </c:dPt>
          <c:dPt>
            <c:idx val="83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19-F2A4-406A-A7DA-6B5418467181}"/>
              </c:ext>
            </c:extLst>
          </c:dPt>
          <c:dPt>
            <c:idx val="84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1A-F2A4-406A-A7DA-6B5418467181}"/>
              </c:ext>
            </c:extLst>
          </c:dPt>
          <c:dPt>
            <c:idx val="84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1B-F2A4-406A-A7DA-6B5418467181}"/>
              </c:ext>
            </c:extLst>
          </c:dPt>
          <c:dPt>
            <c:idx val="84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1C-F2A4-406A-A7DA-6B5418467181}"/>
              </c:ext>
            </c:extLst>
          </c:dPt>
          <c:dPt>
            <c:idx val="84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1D-F2A4-406A-A7DA-6B5418467181}"/>
              </c:ext>
            </c:extLst>
          </c:dPt>
          <c:dPt>
            <c:idx val="84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1E-F2A4-406A-A7DA-6B5418467181}"/>
              </c:ext>
            </c:extLst>
          </c:dPt>
          <c:dPt>
            <c:idx val="84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1F-F2A4-406A-A7DA-6B5418467181}"/>
              </c:ext>
            </c:extLst>
          </c:dPt>
          <c:dPt>
            <c:idx val="84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20-F2A4-406A-A7DA-6B5418467181}"/>
              </c:ext>
            </c:extLst>
          </c:dPt>
          <c:dPt>
            <c:idx val="84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21-F2A4-406A-A7DA-6B5418467181}"/>
              </c:ext>
            </c:extLst>
          </c:dPt>
          <c:dPt>
            <c:idx val="848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22-F2A4-406A-A7DA-6B5418467181}"/>
              </c:ext>
            </c:extLst>
          </c:dPt>
          <c:dPt>
            <c:idx val="84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23-F2A4-406A-A7DA-6B5418467181}"/>
              </c:ext>
            </c:extLst>
          </c:dPt>
          <c:dPt>
            <c:idx val="85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24-F2A4-406A-A7DA-6B5418467181}"/>
              </c:ext>
            </c:extLst>
          </c:dPt>
          <c:dPt>
            <c:idx val="85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25-F2A4-406A-A7DA-6B5418467181}"/>
              </c:ext>
            </c:extLst>
          </c:dPt>
          <c:dPt>
            <c:idx val="85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26-F2A4-406A-A7DA-6B5418467181}"/>
              </c:ext>
            </c:extLst>
          </c:dPt>
          <c:dPt>
            <c:idx val="85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27-F2A4-406A-A7DA-6B5418467181}"/>
              </c:ext>
            </c:extLst>
          </c:dPt>
          <c:dPt>
            <c:idx val="85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28-F2A4-406A-A7DA-6B5418467181}"/>
              </c:ext>
            </c:extLst>
          </c:dPt>
          <c:dPt>
            <c:idx val="85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29-F2A4-406A-A7DA-6B5418467181}"/>
              </c:ext>
            </c:extLst>
          </c:dPt>
          <c:dPt>
            <c:idx val="85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2A-F2A4-406A-A7DA-6B5418467181}"/>
              </c:ext>
            </c:extLst>
          </c:dPt>
          <c:dPt>
            <c:idx val="85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2B-F2A4-406A-A7DA-6B5418467181}"/>
              </c:ext>
            </c:extLst>
          </c:dPt>
          <c:dPt>
            <c:idx val="85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2C-F2A4-406A-A7DA-6B5418467181}"/>
              </c:ext>
            </c:extLst>
          </c:dPt>
          <c:dPt>
            <c:idx val="859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2D-F2A4-406A-A7DA-6B5418467181}"/>
              </c:ext>
            </c:extLst>
          </c:dPt>
          <c:dPt>
            <c:idx val="86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2E-F2A4-406A-A7DA-6B5418467181}"/>
              </c:ext>
            </c:extLst>
          </c:dPt>
          <c:dPt>
            <c:idx val="86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2F-F2A4-406A-A7DA-6B5418467181}"/>
              </c:ext>
            </c:extLst>
          </c:dPt>
          <c:dPt>
            <c:idx val="86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30-F2A4-406A-A7DA-6B5418467181}"/>
              </c:ext>
            </c:extLst>
          </c:dPt>
          <c:dPt>
            <c:idx val="86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31-F2A4-406A-A7DA-6B5418467181}"/>
              </c:ext>
            </c:extLst>
          </c:dPt>
          <c:dPt>
            <c:idx val="86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32-F2A4-406A-A7DA-6B5418467181}"/>
              </c:ext>
            </c:extLst>
          </c:dPt>
          <c:dPt>
            <c:idx val="86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33-F2A4-406A-A7DA-6B5418467181}"/>
              </c:ext>
            </c:extLst>
          </c:dPt>
          <c:dPt>
            <c:idx val="86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34-F2A4-406A-A7DA-6B5418467181}"/>
              </c:ext>
            </c:extLst>
          </c:dPt>
          <c:dPt>
            <c:idx val="86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35-F2A4-406A-A7DA-6B5418467181}"/>
              </c:ext>
            </c:extLst>
          </c:dPt>
          <c:dPt>
            <c:idx val="86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36-F2A4-406A-A7DA-6B5418467181}"/>
              </c:ext>
            </c:extLst>
          </c:dPt>
          <c:dPt>
            <c:idx val="86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37-F2A4-406A-A7DA-6B5418467181}"/>
              </c:ext>
            </c:extLst>
          </c:dPt>
          <c:dPt>
            <c:idx val="87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38-F2A4-406A-A7DA-6B5418467181}"/>
              </c:ext>
            </c:extLst>
          </c:dPt>
          <c:dPt>
            <c:idx val="87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39-F2A4-406A-A7DA-6B5418467181}"/>
              </c:ext>
            </c:extLst>
          </c:dPt>
          <c:dPt>
            <c:idx val="87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3A-F2A4-406A-A7DA-6B5418467181}"/>
              </c:ext>
            </c:extLst>
          </c:dPt>
          <c:dPt>
            <c:idx val="87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3B-F2A4-406A-A7DA-6B5418467181}"/>
              </c:ext>
            </c:extLst>
          </c:dPt>
          <c:dPt>
            <c:idx val="874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3C-F2A4-406A-A7DA-6B5418467181}"/>
              </c:ext>
            </c:extLst>
          </c:dPt>
          <c:dPt>
            <c:idx val="87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3D-F2A4-406A-A7DA-6B5418467181}"/>
              </c:ext>
            </c:extLst>
          </c:dPt>
          <c:dPt>
            <c:idx val="87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3E-F2A4-406A-A7DA-6B5418467181}"/>
              </c:ext>
            </c:extLst>
          </c:dPt>
          <c:dPt>
            <c:idx val="87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3F-F2A4-406A-A7DA-6B5418467181}"/>
              </c:ext>
            </c:extLst>
          </c:dPt>
          <c:dPt>
            <c:idx val="878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40-F2A4-406A-A7DA-6B5418467181}"/>
              </c:ext>
            </c:extLst>
          </c:dPt>
          <c:dPt>
            <c:idx val="87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41-F2A4-406A-A7DA-6B5418467181}"/>
              </c:ext>
            </c:extLst>
          </c:dPt>
          <c:dPt>
            <c:idx val="88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42-F2A4-406A-A7DA-6B5418467181}"/>
              </c:ext>
            </c:extLst>
          </c:dPt>
          <c:dPt>
            <c:idx val="88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43-F2A4-406A-A7DA-6B5418467181}"/>
              </c:ext>
            </c:extLst>
          </c:dPt>
          <c:dPt>
            <c:idx val="882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44-F2A4-406A-A7DA-6B5418467181}"/>
              </c:ext>
            </c:extLst>
          </c:dPt>
          <c:dPt>
            <c:idx val="88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45-F2A4-406A-A7DA-6B5418467181}"/>
              </c:ext>
            </c:extLst>
          </c:dPt>
          <c:dPt>
            <c:idx val="88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46-F2A4-406A-A7DA-6B5418467181}"/>
              </c:ext>
            </c:extLst>
          </c:dPt>
          <c:dPt>
            <c:idx val="88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47-F2A4-406A-A7DA-6B5418467181}"/>
              </c:ext>
            </c:extLst>
          </c:dPt>
          <c:dPt>
            <c:idx val="88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48-F2A4-406A-A7DA-6B5418467181}"/>
              </c:ext>
            </c:extLst>
          </c:dPt>
          <c:dPt>
            <c:idx val="88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49-F2A4-406A-A7DA-6B5418467181}"/>
              </c:ext>
            </c:extLst>
          </c:dPt>
          <c:dPt>
            <c:idx val="88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4A-F2A4-406A-A7DA-6B5418467181}"/>
              </c:ext>
            </c:extLst>
          </c:dPt>
          <c:dPt>
            <c:idx val="88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4B-F2A4-406A-A7DA-6B5418467181}"/>
              </c:ext>
            </c:extLst>
          </c:dPt>
          <c:dPt>
            <c:idx val="89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4C-F2A4-406A-A7DA-6B5418467181}"/>
              </c:ext>
            </c:extLst>
          </c:dPt>
          <c:dPt>
            <c:idx val="89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4D-F2A4-406A-A7DA-6B5418467181}"/>
              </c:ext>
            </c:extLst>
          </c:dPt>
          <c:dPt>
            <c:idx val="89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4E-F2A4-406A-A7DA-6B5418467181}"/>
              </c:ext>
            </c:extLst>
          </c:dPt>
          <c:dPt>
            <c:idx val="89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4F-F2A4-406A-A7DA-6B5418467181}"/>
              </c:ext>
            </c:extLst>
          </c:dPt>
          <c:dPt>
            <c:idx val="89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50-F2A4-406A-A7DA-6B5418467181}"/>
              </c:ext>
            </c:extLst>
          </c:dPt>
          <c:dPt>
            <c:idx val="89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51-F2A4-406A-A7DA-6B5418467181}"/>
              </c:ext>
            </c:extLst>
          </c:dPt>
          <c:dPt>
            <c:idx val="89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52-F2A4-406A-A7DA-6B5418467181}"/>
              </c:ext>
            </c:extLst>
          </c:dPt>
          <c:dPt>
            <c:idx val="89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53-F2A4-406A-A7DA-6B5418467181}"/>
              </c:ext>
            </c:extLst>
          </c:dPt>
          <c:dPt>
            <c:idx val="89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54-F2A4-406A-A7DA-6B5418467181}"/>
              </c:ext>
            </c:extLst>
          </c:dPt>
          <c:dPt>
            <c:idx val="89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55-F2A4-406A-A7DA-6B5418467181}"/>
              </c:ext>
            </c:extLst>
          </c:dPt>
          <c:dPt>
            <c:idx val="90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56-F2A4-406A-A7DA-6B5418467181}"/>
              </c:ext>
            </c:extLst>
          </c:dPt>
          <c:dPt>
            <c:idx val="90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57-F2A4-406A-A7DA-6B5418467181}"/>
              </c:ext>
            </c:extLst>
          </c:dPt>
          <c:dPt>
            <c:idx val="90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58-F2A4-406A-A7DA-6B5418467181}"/>
              </c:ext>
            </c:extLst>
          </c:dPt>
          <c:dPt>
            <c:idx val="90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59-F2A4-406A-A7DA-6B5418467181}"/>
              </c:ext>
            </c:extLst>
          </c:dPt>
          <c:dPt>
            <c:idx val="90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5A-F2A4-406A-A7DA-6B5418467181}"/>
              </c:ext>
            </c:extLst>
          </c:dPt>
          <c:dPt>
            <c:idx val="90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5B-F2A4-406A-A7DA-6B5418467181}"/>
              </c:ext>
            </c:extLst>
          </c:dPt>
          <c:dPt>
            <c:idx val="906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5C-F2A4-406A-A7DA-6B5418467181}"/>
              </c:ext>
            </c:extLst>
          </c:dPt>
          <c:dPt>
            <c:idx val="90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5D-F2A4-406A-A7DA-6B5418467181}"/>
              </c:ext>
            </c:extLst>
          </c:dPt>
          <c:dPt>
            <c:idx val="90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5E-F2A4-406A-A7DA-6B5418467181}"/>
              </c:ext>
            </c:extLst>
          </c:dPt>
          <c:dPt>
            <c:idx val="90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5F-F2A4-406A-A7DA-6B5418467181}"/>
              </c:ext>
            </c:extLst>
          </c:dPt>
          <c:dPt>
            <c:idx val="91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60-F2A4-406A-A7DA-6B5418467181}"/>
              </c:ext>
            </c:extLst>
          </c:dPt>
          <c:dPt>
            <c:idx val="91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61-F2A4-406A-A7DA-6B5418467181}"/>
              </c:ext>
            </c:extLst>
          </c:dPt>
          <c:dPt>
            <c:idx val="91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62-F2A4-406A-A7DA-6B5418467181}"/>
              </c:ext>
            </c:extLst>
          </c:dPt>
          <c:dPt>
            <c:idx val="91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63-F2A4-406A-A7DA-6B5418467181}"/>
              </c:ext>
            </c:extLst>
          </c:dPt>
          <c:dPt>
            <c:idx val="91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64-F2A4-406A-A7DA-6B5418467181}"/>
              </c:ext>
            </c:extLst>
          </c:dPt>
          <c:dPt>
            <c:idx val="91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65-F2A4-406A-A7DA-6B5418467181}"/>
              </c:ext>
            </c:extLst>
          </c:dPt>
          <c:dPt>
            <c:idx val="91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66-F2A4-406A-A7DA-6B5418467181}"/>
              </c:ext>
            </c:extLst>
          </c:dPt>
          <c:dPt>
            <c:idx val="91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67-F2A4-406A-A7DA-6B5418467181}"/>
              </c:ext>
            </c:extLst>
          </c:dPt>
          <c:dPt>
            <c:idx val="918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68-F2A4-406A-A7DA-6B5418467181}"/>
              </c:ext>
            </c:extLst>
          </c:dPt>
          <c:dPt>
            <c:idx val="91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69-F2A4-406A-A7DA-6B5418467181}"/>
              </c:ext>
            </c:extLst>
          </c:dPt>
          <c:dPt>
            <c:idx val="92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6A-F2A4-406A-A7DA-6B5418467181}"/>
              </c:ext>
            </c:extLst>
          </c:dPt>
          <c:dPt>
            <c:idx val="92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6B-F2A4-406A-A7DA-6B5418467181}"/>
              </c:ext>
            </c:extLst>
          </c:dPt>
          <c:dPt>
            <c:idx val="92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6C-F2A4-406A-A7DA-6B5418467181}"/>
              </c:ext>
            </c:extLst>
          </c:dPt>
          <c:dPt>
            <c:idx val="92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6D-F2A4-406A-A7DA-6B5418467181}"/>
              </c:ext>
            </c:extLst>
          </c:dPt>
          <c:dPt>
            <c:idx val="92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6E-F2A4-406A-A7DA-6B5418467181}"/>
              </c:ext>
            </c:extLst>
          </c:dPt>
          <c:dPt>
            <c:idx val="92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6F-F2A4-406A-A7DA-6B5418467181}"/>
              </c:ext>
            </c:extLst>
          </c:dPt>
          <c:dPt>
            <c:idx val="92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70-F2A4-406A-A7DA-6B5418467181}"/>
              </c:ext>
            </c:extLst>
          </c:dPt>
          <c:dPt>
            <c:idx val="92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71-F2A4-406A-A7DA-6B5418467181}"/>
              </c:ext>
            </c:extLst>
          </c:dPt>
          <c:dPt>
            <c:idx val="92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72-F2A4-406A-A7DA-6B5418467181}"/>
              </c:ext>
            </c:extLst>
          </c:dPt>
          <c:dPt>
            <c:idx val="92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73-F2A4-406A-A7DA-6B5418467181}"/>
              </c:ext>
            </c:extLst>
          </c:dPt>
          <c:dPt>
            <c:idx val="93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74-F2A4-406A-A7DA-6B5418467181}"/>
              </c:ext>
            </c:extLst>
          </c:dPt>
          <c:dPt>
            <c:idx val="93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75-F2A4-406A-A7DA-6B5418467181}"/>
              </c:ext>
            </c:extLst>
          </c:dPt>
          <c:dPt>
            <c:idx val="93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76-F2A4-406A-A7DA-6B5418467181}"/>
              </c:ext>
            </c:extLst>
          </c:dPt>
          <c:dPt>
            <c:idx val="93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77-F2A4-406A-A7DA-6B5418467181}"/>
              </c:ext>
            </c:extLst>
          </c:dPt>
          <c:dPt>
            <c:idx val="93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78-F2A4-406A-A7DA-6B5418467181}"/>
              </c:ext>
            </c:extLst>
          </c:dPt>
          <c:dPt>
            <c:idx val="93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79-F2A4-406A-A7DA-6B5418467181}"/>
              </c:ext>
            </c:extLst>
          </c:dPt>
          <c:dPt>
            <c:idx val="93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7A-F2A4-406A-A7DA-6B5418467181}"/>
              </c:ext>
            </c:extLst>
          </c:dPt>
          <c:dPt>
            <c:idx val="937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7B-F2A4-406A-A7DA-6B5418467181}"/>
              </c:ext>
            </c:extLst>
          </c:dPt>
          <c:dPt>
            <c:idx val="93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7C-F2A4-406A-A7DA-6B5418467181}"/>
              </c:ext>
            </c:extLst>
          </c:dPt>
          <c:dPt>
            <c:idx val="93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7D-F2A4-406A-A7DA-6B5418467181}"/>
              </c:ext>
            </c:extLst>
          </c:dPt>
          <c:dPt>
            <c:idx val="94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7E-F2A4-406A-A7DA-6B5418467181}"/>
              </c:ext>
            </c:extLst>
          </c:dPt>
          <c:dPt>
            <c:idx val="94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7F-F2A4-406A-A7DA-6B5418467181}"/>
              </c:ext>
            </c:extLst>
          </c:dPt>
          <c:dPt>
            <c:idx val="94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80-F2A4-406A-A7DA-6B5418467181}"/>
              </c:ext>
            </c:extLst>
          </c:dPt>
          <c:dPt>
            <c:idx val="94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81-F2A4-406A-A7DA-6B5418467181}"/>
              </c:ext>
            </c:extLst>
          </c:dPt>
          <c:dPt>
            <c:idx val="944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82-F2A4-406A-A7DA-6B5418467181}"/>
              </c:ext>
            </c:extLst>
          </c:dPt>
          <c:dPt>
            <c:idx val="94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83-F2A4-406A-A7DA-6B5418467181}"/>
              </c:ext>
            </c:extLst>
          </c:dPt>
          <c:dPt>
            <c:idx val="946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84-F2A4-406A-A7DA-6B5418467181}"/>
              </c:ext>
            </c:extLst>
          </c:dPt>
          <c:dPt>
            <c:idx val="94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85-F2A4-406A-A7DA-6B5418467181}"/>
              </c:ext>
            </c:extLst>
          </c:dPt>
          <c:dPt>
            <c:idx val="94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86-F2A4-406A-A7DA-6B5418467181}"/>
              </c:ext>
            </c:extLst>
          </c:dPt>
          <c:dPt>
            <c:idx val="94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87-F2A4-406A-A7DA-6B5418467181}"/>
              </c:ext>
            </c:extLst>
          </c:dPt>
          <c:dPt>
            <c:idx val="95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88-F2A4-406A-A7DA-6B5418467181}"/>
              </c:ext>
            </c:extLst>
          </c:dPt>
          <c:dPt>
            <c:idx val="95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89-F2A4-406A-A7DA-6B5418467181}"/>
              </c:ext>
            </c:extLst>
          </c:dPt>
          <c:dPt>
            <c:idx val="95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8A-F2A4-406A-A7DA-6B5418467181}"/>
              </c:ext>
            </c:extLst>
          </c:dPt>
          <c:dPt>
            <c:idx val="95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8B-F2A4-406A-A7DA-6B5418467181}"/>
              </c:ext>
            </c:extLst>
          </c:dPt>
          <c:dPt>
            <c:idx val="95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8C-F2A4-406A-A7DA-6B5418467181}"/>
              </c:ext>
            </c:extLst>
          </c:dPt>
          <c:dPt>
            <c:idx val="95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8D-F2A4-406A-A7DA-6B5418467181}"/>
              </c:ext>
            </c:extLst>
          </c:dPt>
          <c:dPt>
            <c:idx val="95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8E-F2A4-406A-A7DA-6B5418467181}"/>
              </c:ext>
            </c:extLst>
          </c:dPt>
          <c:dPt>
            <c:idx val="95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8F-F2A4-406A-A7DA-6B5418467181}"/>
              </c:ext>
            </c:extLst>
          </c:dPt>
          <c:dPt>
            <c:idx val="95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90-F2A4-406A-A7DA-6B5418467181}"/>
              </c:ext>
            </c:extLst>
          </c:dPt>
          <c:dPt>
            <c:idx val="959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91-F2A4-406A-A7DA-6B5418467181}"/>
              </c:ext>
            </c:extLst>
          </c:dPt>
          <c:dPt>
            <c:idx val="96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92-F2A4-406A-A7DA-6B5418467181}"/>
              </c:ext>
            </c:extLst>
          </c:dPt>
          <c:dPt>
            <c:idx val="96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93-F2A4-406A-A7DA-6B5418467181}"/>
              </c:ext>
            </c:extLst>
          </c:dPt>
          <c:dPt>
            <c:idx val="96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94-F2A4-406A-A7DA-6B5418467181}"/>
              </c:ext>
            </c:extLst>
          </c:dPt>
          <c:dPt>
            <c:idx val="96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95-F2A4-406A-A7DA-6B5418467181}"/>
              </c:ext>
            </c:extLst>
          </c:dPt>
          <c:dPt>
            <c:idx val="96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96-F2A4-406A-A7DA-6B5418467181}"/>
              </c:ext>
            </c:extLst>
          </c:dPt>
          <c:dPt>
            <c:idx val="96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97-F2A4-406A-A7DA-6B5418467181}"/>
              </c:ext>
            </c:extLst>
          </c:dPt>
          <c:dPt>
            <c:idx val="96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98-F2A4-406A-A7DA-6B5418467181}"/>
              </c:ext>
            </c:extLst>
          </c:dPt>
          <c:dPt>
            <c:idx val="96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99-F2A4-406A-A7DA-6B5418467181}"/>
              </c:ext>
            </c:extLst>
          </c:dPt>
          <c:dPt>
            <c:idx val="968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9A-F2A4-406A-A7DA-6B5418467181}"/>
              </c:ext>
            </c:extLst>
          </c:dPt>
          <c:dPt>
            <c:idx val="969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9B-F2A4-406A-A7DA-6B5418467181}"/>
              </c:ext>
            </c:extLst>
          </c:dPt>
          <c:dPt>
            <c:idx val="970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9C-F2A4-406A-A7DA-6B5418467181}"/>
              </c:ext>
            </c:extLst>
          </c:dPt>
          <c:dPt>
            <c:idx val="97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9D-F2A4-406A-A7DA-6B5418467181}"/>
              </c:ext>
            </c:extLst>
          </c:dPt>
          <c:dPt>
            <c:idx val="97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9E-F2A4-406A-A7DA-6B5418467181}"/>
              </c:ext>
            </c:extLst>
          </c:dPt>
          <c:dPt>
            <c:idx val="97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9F-F2A4-406A-A7DA-6B5418467181}"/>
              </c:ext>
            </c:extLst>
          </c:dPt>
          <c:dPt>
            <c:idx val="97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A0-F2A4-406A-A7DA-6B5418467181}"/>
              </c:ext>
            </c:extLst>
          </c:dPt>
          <c:dPt>
            <c:idx val="97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A1-F2A4-406A-A7DA-6B5418467181}"/>
              </c:ext>
            </c:extLst>
          </c:dPt>
          <c:dPt>
            <c:idx val="97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A2-F2A4-406A-A7DA-6B5418467181}"/>
              </c:ext>
            </c:extLst>
          </c:dPt>
          <c:dPt>
            <c:idx val="97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A3-F2A4-406A-A7DA-6B5418467181}"/>
              </c:ext>
            </c:extLst>
          </c:dPt>
          <c:dPt>
            <c:idx val="97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A4-F2A4-406A-A7DA-6B5418467181}"/>
              </c:ext>
            </c:extLst>
          </c:dPt>
          <c:dPt>
            <c:idx val="979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A5-F2A4-406A-A7DA-6B5418467181}"/>
              </c:ext>
            </c:extLst>
          </c:dPt>
          <c:dPt>
            <c:idx val="98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A6-F2A4-406A-A7DA-6B5418467181}"/>
              </c:ext>
            </c:extLst>
          </c:dPt>
          <c:dPt>
            <c:idx val="98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A7-F2A4-406A-A7DA-6B5418467181}"/>
              </c:ext>
            </c:extLst>
          </c:dPt>
          <c:dPt>
            <c:idx val="98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A8-F2A4-406A-A7DA-6B5418467181}"/>
              </c:ext>
            </c:extLst>
          </c:dPt>
          <c:dPt>
            <c:idx val="98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A9-F2A4-406A-A7DA-6B5418467181}"/>
              </c:ext>
            </c:extLst>
          </c:dPt>
          <c:dPt>
            <c:idx val="98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AA-F2A4-406A-A7DA-6B5418467181}"/>
              </c:ext>
            </c:extLst>
          </c:dPt>
          <c:dPt>
            <c:idx val="98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AB-F2A4-406A-A7DA-6B5418467181}"/>
              </c:ext>
            </c:extLst>
          </c:dPt>
          <c:dPt>
            <c:idx val="98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AC-F2A4-406A-A7DA-6B5418467181}"/>
              </c:ext>
            </c:extLst>
          </c:dPt>
          <c:dPt>
            <c:idx val="98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AD-F2A4-406A-A7DA-6B5418467181}"/>
              </c:ext>
            </c:extLst>
          </c:dPt>
          <c:dPt>
            <c:idx val="98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AE-F2A4-406A-A7DA-6B5418467181}"/>
              </c:ext>
            </c:extLst>
          </c:dPt>
          <c:dPt>
            <c:idx val="98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AF-F2A4-406A-A7DA-6B5418467181}"/>
              </c:ext>
            </c:extLst>
          </c:dPt>
          <c:dPt>
            <c:idx val="99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B0-F2A4-406A-A7DA-6B5418467181}"/>
              </c:ext>
            </c:extLst>
          </c:dPt>
          <c:dPt>
            <c:idx val="991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B1-F2A4-406A-A7DA-6B5418467181}"/>
              </c:ext>
            </c:extLst>
          </c:dPt>
          <c:dPt>
            <c:idx val="99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B2-F2A4-406A-A7DA-6B5418467181}"/>
              </c:ext>
            </c:extLst>
          </c:dPt>
          <c:dPt>
            <c:idx val="993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B3-F2A4-406A-A7DA-6B5418467181}"/>
              </c:ext>
            </c:extLst>
          </c:dPt>
          <c:dPt>
            <c:idx val="994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B4-F2A4-406A-A7DA-6B5418467181}"/>
              </c:ext>
            </c:extLst>
          </c:dPt>
          <c:dPt>
            <c:idx val="995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B5-F2A4-406A-A7DA-6B5418467181}"/>
              </c:ext>
            </c:extLst>
          </c:dPt>
          <c:dPt>
            <c:idx val="99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B6-F2A4-406A-A7DA-6B5418467181}"/>
              </c:ext>
            </c:extLst>
          </c:dPt>
          <c:dPt>
            <c:idx val="99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B7-F2A4-406A-A7DA-6B5418467181}"/>
              </c:ext>
            </c:extLst>
          </c:dPt>
          <c:dPt>
            <c:idx val="99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B8-F2A4-406A-A7DA-6B5418467181}"/>
              </c:ext>
            </c:extLst>
          </c:dPt>
          <c:dPt>
            <c:idx val="999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B9-F2A4-406A-A7DA-6B5418467181}"/>
              </c:ext>
            </c:extLst>
          </c:dPt>
          <c:dPt>
            <c:idx val="1000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BA-F2A4-406A-A7DA-6B5418467181}"/>
              </c:ext>
            </c:extLst>
          </c:dPt>
          <c:dPt>
            <c:idx val="100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BB-F2A4-406A-A7DA-6B5418467181}"/>
              </c:ext>
            </c:extLst>
          </c:dPt>
          <c:dPt>
            <c:idx val="1002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BC-F2A4-406A-A7DA-6B5418467181}"/>
              </c:ext>
            </c:extLst>
          </c:dPt>
          <c:dPt>
            <c:idx val="100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BD-F2A4-406A-A7DA-6B5418467181}"/>
              </c:ext>
            </c:extLst>
          </c:dPt>
          <c:dPt>
            <c:idx val="100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BE-F2A4-406A-A7DA-6B5418467181}"/>
              </c:ext>
            </c:extLst>
          </c:dPt>
          <c:dPt>
            <c:idx val="100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BF-F2A4-406A-A7DA-6B5418467181}"/>
              </c:ext>
            </c:extLst>
          </c:dPt>
          <c:dPt>
            <c:idx val="100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C0-F2A4-406A-A7DA-6B5418467181}"/>
              </c:ext>
            </c:extLst>
          </c:dPt>
          <c:dPt>
            <c:idx val="100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C1-F2A4-406A-A7DA-6B5418467181}"/>
              </c:ext>
            </c:extLst>
          </c:dPt>
          <c:dPt>
            <c:idx val="100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C2-F2A4-406A-A7DA-6B5418467181}"/>
              </c:ext>
            </c:extLst>
          </c:dPt>
          <c:dPt>
            <c:idx val="100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C3-F2A4-406A-A7DA-6B5418467181}"/>
              </c:ext>
            </c:extLst>
          </c:dPt>
          <c:dPt>
            <c:idx val="101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C4-F2A4-406A-A7DA-6B5418467181}"/>
              </c:ext>
            </c:extLst>
          </c:dPt>
          <c:dPt>
            <c:idx val="101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C5-F2A4-406A-A7DA-6B5418467181}"/>
              </c:ext>
            </c:extLst>
          </c:dPt>
          <c:dPt>
            <c:idx val="1012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C6-F2A4-406A-A7DA-6B5418467181}"/>
              </c:ext>
            </c:extLst>
          </c:dPt>
          <c:dPt>
            <c:idx val="101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C7-F2A4-406A-A7DA-6B5418467181}"/>
              </c:ext>
            </c:extLst>
          </c:dPt>
          <c:dPt>
            <c:idx val="101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C8-F2A4-406A-A7DA-6B5418467181}"/>
              </c:ext>
            </c:extLst>
          </c:dPt>
          <c:dPt>
            <c:idx val="1015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C9-F2A4-406A-A7DA-6B5418467181}"/>
              </c:ext>
            </c:extLst>
          </c:dPt>
          <c:dPt>
            <c:idx val="101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CA-F2A4-406A-A7DA-6B5418467181}"/>
              </c:ext>
            </c:extLst>
          </c:dPt>
          <c:dPt>
            <c:idx val="101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CB-F2A4-406A-A7DA-6B5418467181}"/>
              </c:ext>
            </c:extLst>
          </c:dPt>
          <c:dPt>
            <c:idx val="101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CC-F2A4-406A-A7DA-6B5418467181}"/>
              </c:ext>
            </c:extLst>
          </c:dPt>
          <c:dPt>
            <c:idx val="101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CD-F2A4-406A-A7DA-6B5418467181}"/>
              </c:ext>
            </c:extLst>
          </c:dPt>
          <c:dPt>
            <c:idx val="102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CE-F2A4-406A-A7DA-6B5418467181}"/>
              </c:ext>
            </c:extLst>
          </c:dPt>
          <c:dPt>
            <c:idx val="102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CF-F2A4-406A-A7DA-6B5418467181}"/>
              </c:ext>
            </c:extLst>
          </c:dPt>
          <c:dPt>
            <c:idx val="102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D0-F2A4-406A-A7DA-6B5418467181}"/>
              </c:ext>
            </c:extLst>
          </c:dPt>
          <c:dPt>
            <c:idx val="102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D1-F2A4-406A-A7DA-6B5418467181}"/>
              </c:ext>
            </c:extLst>
          </c:dPt>
          <c:dPt>
            <c:idx val="102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D2-F2A4-406A-A7DA-6B5418467181}"/>
              </c:ext>
            </c:extLst>
          </c:dPt>
          <c:dPt>
            <c:idx val="102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D3-F2A4-406A-A7DA-6B5418467181}"/>
              </c:ext>
            </c:extLst>
          </c:dPt>
          <c:dPt>
            <c:idx val="102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D4-F2A4-406A-A7DA-6B5418467181}"/>
              </c:ext>
            </c:extLst>
          </c:dPt>
          <c:dPt>
            <c:idx val="102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D5-F2A4-406A-A7DA-6B5418467181}"/>
              </c:ext>
            </c:extLst>
          </c:dPt>
          <c:dPt>
            <c:idx val="102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D6-F2A4-406A-A7DA-6B5418467181}"/>
              </c:ext>
            </c:extLst>
          </c:dPt>
          <c:dPt>
            <c:idx val="102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D7-F2A4-406A-A7DA-6B5418467181}"/>
              </c:ext>
            </c:extLst>
          </c:dPt>
          <c:dPt>
            <c:idx val="103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D8-F2A4-406A-A7DA-6B5418467181}"/>
              </c:ext>
            </c:extLst>
          </c:dPt>
          <c:dPt>
            <c:idx val="103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D9-F2A4-406A-A7DA-6B5418467181}"/>
              </c:ext>
            </c:extLst>
          </c:dPt>
          <c:dPt>
            <c:idx val="103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DA-F2A4-406A-A7DA-6B5418467181}"/>
              </c:ext>
            </c:extLst>
          </c:dPt>
          <c:dPt>
            <c:idx val="103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DB-F2A4-406A-A7DA-6B5418467181}"/>
              </c:ext>
            </c:extLst>
          </c:dPt>
          <c:dPt>
            <c:idx val="103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DC-F2A4-406A-A7DA-6B5418467181}"/>
              </c:ext>
            </c:extLst>
          </c:dPt>
          <c:dPt>
            <c:idx val="1035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DD-F2A4-406A-A7DA-6B5418467181}"/>
              </c:ext>
            </c:extLst>
          </c:dPt>
          <c:dPt>
            <c:idx val="103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DE-F2A4-406A-A7DA-6B5418467181}"/>
              </c:ext>
            </c:extLst>
          </c:dPt>
          <c:dPt>
            <c:idx val="103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DF-F2A4-406A-A7DA-6B5418467181}"/>
              </c:ext>
            </c:extLst>
          </c:dPt>
          <c:dPt>
            <c:idx val="103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E0-F2A4-406A-A7DA-6B5418467181}"/>
              </c:ext>
            </c:extLst>
          </c:dPt>
          <c:dPt>
            <c:idx val="103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E1-F2A4-406A-A7DA-6B5418467181}"/>
              </c:ext>
            </c:extLst>
          </c:dPt>
          <c:dPt>
            <c:idx val="104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E2-F2A4-406A-A7DA-6B5418467181}"/>
              </c:ext>
            </c:extLst>
          </c:dPt>
          <c:dPt>
            <c:idx val="104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E3-F2A4-406A-A7DA-6B5418467181}"/>
              </c:ext>
            </c:extLst>
          </c:dPt>
          <c:dPt>
            <c:idx val="104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E4-F2A4-406A-A7DA-6B5418467181}"/>
              </c:ext>
            </c:extLst>
          </c:dPt>
          <c:dPt>
            <c:idx val="104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E5-F2A4-406A-A7DA-6B5418467181}"/>
              </c:ext>
            </c:extLst>
          </c:dPt>
          <c:dPt>
            <c:idx val="104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E6-F2A4-406A-A7DA-6B5418467181}"/>
              </c:ext>
            </c:extLst>
          </c:dPt>
          <c:dPt>
            <c:idx val="104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E7-F2A4-406A-A7DA-6B5418467181}"/>
              </c:ext>
            </c:extLst>
          </c:dPt>
          <c:dPt>
            <c:idx val="104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E8-F2A4-406A-A7DA-6B5418467181}"/>
              </c:ext>
            </c:extLst>
          </c:dPt>
          <c:dPt>
            <c:idx val="1047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E9-F2A4-406A-A7DA-6B5418467181}"/>
              </c:ext>
            </c:extLst>
          </c:dPt>
          <c:dPt>
            <c:idx val="104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EA-F2A4-406A-A7DA-6B5418467181}"/>
              </c:ext>
            </c:extLst>
          </c:dPt>
          <c:dPt>
            <c:idx val="1049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EB-F2A4-406A-A7DA-6B5418467181}"/>
              </c:ext>
            </c:extLst>
          </c:dPt>
          <c:dPt>
            <c:idx val="105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EC-F2A4-406A-A7DA-6B5418467181}"/>
              </c:ext>
            </c:extLst>
          </c:dPt>
          <c:dPt>
            <c:idx val="105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ED-F2A4-406A-A7DA-6B5418467181}"/>
              </c:ext>
            </c:extLst>
          </c:dPt>
          <c:dPt>
            <c:idx val="105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EE-F2A4-406A-A7DA-6B5418467181}"/>
              </c:ext>
            </c:extLst>
          </c:dPt>
          <c:dPt>
            <c:idx val="105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EF-F2A4-406A-A7DA-6B5418467181}"/>
              </c:ext>
            </c:extLst>
          </c:dPt>
          <c:dPt>
            <c:idx val="105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F0-F2A4-406A-A7DA-6B5418467181}"/>
              </c:ext>
            </c:extLst>
          </c:dPt>
          <c:dPt>
            <c:idx val="105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F1-F2A4-406A-A7DA-6B5418467181}"/>
              </c:ext>
            </c:extLst>
          </c:dPt>
          <c:dPt>
            <c:idx val="1056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F2-F2A4-406A-A7DA-6B5418467181}"/>
              </c:ext>
            </c:extLst>
          </c:dPt>
          <c:dPt>
            <c:idx val="105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F3-F2A4-406A-A7DA-6B5418467181}"/>
              </c:ext>
            </c:extLst>
          </c:dPt>
          <c:dPt>
            <c:idx val="1058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F4-F2A4-406A-A7DA-6B5418467181}"/>
              </c:ext>
            </c:extLst>
          </c:dPt>
          <c:dPt>
            <c:idx val="105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F5-F2A4-406A-A7DA-6B5418467181}"/>
              </c:ext>
            </c:extLst>
          </c:dPt>
          <c:dPt>
            <c:idx val="106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F6-F2A4-406A-A7DA-6B5418467181}"/>
              </c:ext>
            </c:extLst>
          </c:dPt>
          <c:dPt>
            <c:idx val="106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F7-F2A4-406A-A7DA-6B5418467181}"/>
              </c:ext>
            </c:extLst>
          </c:dPt>
          <c:dPt>
            <c:idx val="106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F8-F2A4-406A-A7DA-6B5418467181}"/>
              </c:ext>
            </c:extLst>
          </c:dPt>
          <c:dPt>
            <c:idx val="1063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F9-F2A4-406A-A7DA-6B5418467181}"/>
              </c:ext>
            </c:extLst>
          </c:dPt>
          <c:dPt>
            <c:idx val="106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FA-F2A4-406A-A7DA-6B5418467181}"/>
              </c:ext>
            </c:extLst>
          </c:dPt>
          <c:dPt>
            <c:idx val="106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FB-F2A4-406A-A7DA-6B5418467181}"/>
              </c:ext>
            </c:extLst>
          </c:dPt>
          <c:dPt>
            <c:idx val="106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FC-F2A4-406A-A7DA-6B5418467181}"/>
              </c:ext>
            </c:extLst>
          </c:dPt>
          <c:dPt>
            <c:idx val="106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FD-F2A4-406A-A7DA-6B5418467181}"/>
              </c:ext>
            </c:extLst>
          </c:dPt>
          <c:dPt>
            <c:idx val="106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FE-F2A4-406A-A7DA-6B5418467181}"/>
              </c:ext>
            </c:extLst>
          </c:dPt>
          <c:dPt>
            <c:idx val="106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DFF-F2A4-406A-A7DA-6B5418467181}"/>
              </c:ext>
            </c:extLst>
          </c:dPt>
          <c:dPt>
            <c:idx val="107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00-F2A4-406A-A7DA-6B5418467181}"/>
              </c:ext>
            </c:extLst>
          </c:dPt>
          <c:dPt>
            <c:idx val="107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01-F2A4-406A-A7DA-6B5418467181}"/>
              </c:ext>
            </c:extLst>
          </c:dPt>
          <c:dPt>
            <c:idx val="1072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02-F2A4-406A-A7DA-6B5418467181}"/>
              </c:ext>
            </c:extLst>
          </c:dPt>
          <c:dPt>
            <c:idx val="107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03-F2A4-406A-A7DA-6B5418467181}"/>
              </c:ext>
            </c:extLst>
          </c:dPt>
          <c:dPt>
            <c:idx val="107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04-F2A4-406A-A7DA-6B5418467181}"/>
              </c:ext>
            </c:extLst>
          </c:dPt>
          <c:dPt>
            <c:idx val="1075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05-F2A4-406A-A7DA-6B5418467181}"/>
              </c:ext>
            </c:extLst>
          </c:dPt>
          <c:dPt>
            <c:idx val="107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06-F2A4-406A-A7DA-6B5418467181}"/>
              </c:ext>
            </c:extLst>
          </c:dPt>
          <c:dPt>
            <c:idx val="107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07-F2A4-406A-A7DA-6B5418467181}"/>
              </c:ext>
            </c:extLst>
          </c:dPt>
          <c:dPt>
            <c:idx val="107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08-F2A4-406A-A7DA-6B5418467181}"/>
              </c:ext>
            </c:extLst>
          </c:dPt>
          <c:dPt>
            <c:idx val="107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09-F2A4-406A-A7DA-6B5418467181}"/>
              </c:ext>
            </c:extLst>
          </c:dPt>
          <c:dPt>
            <c:idx val="1080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0A-F2A4-406A-A7DA-6B5418467181}"/>
              </c:ext>
            </c:extLst>
          </c:dPt>
          <c:dPt>
            <c:idx val="108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0B-F2A4-406A-A7DA-6B5418467181}"/>
              </c:ext>
            </c:extLst>
          </c:dPt>
          <c:dPt>
            <c:idx val="108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0C-F2A4-406A-A7DA-6B5418467181}"/>
              </c:ext>
            </c:extLst>
          </c:dPt>
          <c:dPt>
            <c:idx val="108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0D-F2A4-406A-A7DA-6B5418467181}"/>
              </c:ext>
            </c:extLst>
          </c:dPt>
          <c:dPt>
            <c:idx val="108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0E-F2A4-406A-A7DA-6B5418467181}"/>
              </c:ext>
            </c:extLst>
          </c:dPt>
          <c:dPt>
            <c:idx val="1085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0F-F2A4-406A-A7DA-6B5418467181}"/>
              </c:ext>
            </c:extLst>
          </c:dPt>
          <c:dPt>
            <c:idx val="108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10-F2A4-406A-A7DA-6B5418467181}"/>
              </c:ext>
            </c:extLst>
          </c:dPt>
          <c:dPt>
            <c:idx val="108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11-F2A4-406A-A7DA-6B5418467181}"/>
              </c:ext>
            </c:extLst>
          </c:dPt>
          <c:dPt>
            <c:idx val="108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12-F2A4-406A-A7DA-6B5418467181}"/>
              </c:ext>
            </c:extLst>
          </c:dPt>
          <c:dPt>
            <c:idx val="108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13-F2A4-406A-A7DA-6B5418467181}"/>
              </c:ext>
            </c:extLst>
          </c:dPt>
          <c:dPt>
            <c:idx val="109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14-F2A4-406A-A7DA-6B5418467181}"/>
              </c:ext>
            </c:extLst>
          </c:dPt>
          <c:dPt>
            <c:idx val="109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15-F2A4-406A-A7DA-6B5418467181}"/>
              </c:ext>
            </c:extLst>
          </c:dPt>
          <c:dPt>
            <c:idx val="109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16-F2A4-406A-A7DA-6B5418467181}"/>
              </c:ext>
            </c:extLst>
          </c:dPt>
          <c:dPt>
            <c:idx val="109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17-F2A4-406A-A7DA-6B5418467181}"/>
              </c:ext>
            </c:extLst>
          </c:dPt>
          <c:dPt>
            <c:idx val="109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18-F2A4-406A-A7DA-6B5418467181}"/>
              </c:ext>
            </c:extLst>
          </c:dPt>
          <c:dPt>
            <c:idx val="1095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19-F2A4-406A-A7DA-6B5418467181}"/>
              </c:ext>
            </c:extLst>
          </c:dPt>
          <c:dPt>
            <c:idx val="109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1A-F2A4-406A-A7DA-6B5418467181}"/>
              </c:ext>
            </c:extLst>
          </c:dPt>
          <c:dPt>
            <c:idx val="109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1B-F2A4-406A-A7DA-6B5418467181}"/>
              </c:ext>
            </c:extLst>
          </c:dPt>
          <c:dPt>
            <c:idx val="1098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1C-F2A4-406A-A7DA-6B5418467181}"/>
              </c:ext>
            </c:extLst>
          </c:dPt>
          <c:dPt>
            <c:idx val="109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1D-F2A4-406A-A7DA-6B5418467181}"/>
              </c:ext>
            </c:extLst>
          </c:dPt>
          <c:dPt>
            <c:idx val="110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1E-F2A4-406A-A7DA-6B5418467181}"/>
              </c:ext>
            </c:extLst>
          </c:dPt>
          <c:dPt>
            <c:idx val="110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1F-F2A4-406A-A7DA-6B5418467181}"/>
              </c:ext>
            </c:extLst>
          </c:dPt>
          <c:dPt>
            <c:idx val="110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20-F2A4-406A-A7DA-6B5418467181}"/>
              </c:ext>
            </c:extLst>
          </c:dPt>
          <c:dPt>
            <c:idx val="110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21-F2A4-406A-A7DA-6B5418467181}"/>
              </c:ext>
            </c:extLst>
          </c:dPt>
          <c:dPt>
            <c:idx val="110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22-F2A4-406A-A7DA-6B5418467181}"/>
              </c:ext>
            </c:extLst>
          </c:dPt>
          <c:dPt>
            <c:idx val="110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23-F2A4-406A-A7DA-6B5418467181}"/>
              </c:ext>
            </c:extLst>
          </c:dPt>
          <c:dPt>
            <c:idx val="110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24-F2A4-406A-A7DA-6B5418467181}"/>
              </c:ext>
            </c:extLst>
          </c:dPt>
          <c:dPt>
            <c:idx val="110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25-F2A4-406A-A7DA-6B5418467181}"/>
              </c:ext>
            </c:extLst>
          </c:dPt>
          <c:dPt>
            <c:idx val="110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26-F2A4-406A-A7DA-6B5418467181}"/>
              </c:ext>
            </c:extLst>
          </c:dPt>
          <c:dPt>
            <c:idx val="110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27-F2A4-406A-A7DA-6B5418467181}"/>
              </c:ext>
            </c:extLst>
          </c:dPt>
          <c:dPt>
            <c:idx val="111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28-F2A4-406A-A7DA-6B5418467181}"/>
              </c:ext>
            </c:extLst>
          </c:dPt>
          <c:dPt>
            <c:idx val="111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29-F2A4-406A-A7DA-6B5418467181}"/>
              </c:ext>
            </c:extLst>
          </c:dPt>
          <c:dPt>
            <c:idx val="111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2A-F2A4-406A-A7DA-6B5418467181}"/>
              </c:ext>
            </c:extLst>
          </c:dPt>
          <c:dPt>
            <c:idx val="111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2B-F2A4-406A-A7DA-6B5418467181}"/>
              </c:ext>
            </c:extLst>
          </c:dPt>
          <c:dPt>
            <c:idx val="111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2C-F2A4-406A-A7DA-6B5418467181}"/>
              </c:ext>
            </c:extLst>
          </c:dPt>
          <c:dPt>
            <c:idx val="111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2D-F2A4-406A-A7DA-6B5418467181}"/>
              </c:ext>
            </c:extLst>
          </c:dPt>
          <c:dPt>
            <c:idx val="111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2E-F2A4-406A-A7DA-6B5418467181}"/>
              </c:ext>
            </c:extLst>
          </c:dPt>
          <c:dPt>
            <c:idx val="111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2F-F2A4-406A-A7DA-6B5418467181}"/>
              </c:ext>
            </c:extLst>
          </c:dPt>
          <c:dPt>
            <c:idx val="111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30-F2A4-406A-A7DA-6B5418467181}"/>
              </c:ext>
            </c:extLst>
          </c:dPt>
          <c:dPt>
            <c:idx val="1119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31-F2A4-406A-A7DA-6B5418467181}"/>
              </c:ext>
            </c:extLst>
          </c:dPt>
          <c:dPt>
            <c:idx val="1120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32-F2A4-406A-A7DA-6B5418467181}"/>
              </c:ext>
            </c:extLst>
          </c:dPt>
          <c:dPt>
            <c:idx val="112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33-F2A4-406A-A7DA-6B5418467181}"/>
              </c:ext>
            </c:extLst>
          </c:dPt>
          <c:dPt>
            <c:idx val="112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34-F2A4-406A-A7DA-6B5418467181}"/>
              </c:ext>
            </c:extLst>
          </c:dPt>
          <c:dPt>
            <c:idx val="112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35-F2A4-406A-A7DA-6B5418467181}"/>
              </c:ext>
            </c:extLst>
          </c:dPt>
          <c:dPt>
            <c:idx val="112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36-F2A4-406A-A7DA-6B5418467181}"/>
              </c:ext>
            </c:extLst>
          </c:dPt>
          <c:dPt>
            <c:idx val="112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37-F2A4-406A-A7DA-6B5418467181}"/>
              </c:ext>
            </c:extLst>
          </c:dPt>
          <c:dPt>
            <c:idx val="112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38-F2A4-406A-A7DA-6B5418467181}"/>
              </c:ext>
            </c:extLst>
          </c:dPt>
          <c:dPt>
            <c:idx val="112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39-F2A4-406A-A7DA-6B5418467181}"/>
              </c:ext>
            </c:extLst>
          </c:dPt>
          <c:dPt>
            <c:idx val="112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3A-F2A4-406A-A7DA-6B5418467181}"/>
              </c:ext>
            </c:extLst>
          </c:dPt>
          <c:dPt>
            <c:idx val="112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3B-F2A4-406A-A7DA-6B5418467181}"/>
              </c:ext>
            </c:extLst>
          </c:dPt>
          <c:dPt>
            <c:idx val="113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3C-F2A4-406A-A7DA-6B5418467181}"/>
              </c:ext>
            </c:extLst>
          </c:dPt>
          <c:dPt>
            <c:idx val="113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3D-F2A4-406A-A7DA-6B5418467181}"/>
              </c:ext>
            </c:extLst>
          </c:dPt>
          <c:dPt>
            <c:idx val="113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3E-F2A4-406A-A7DA-6B5418467181}"/>
              </c:ext>
            </c:extLst>
          </c:dPt>
          <c:dPt>
            <c:idx val="1133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3F-F2A4-406A-A7DA-6B5418467181}"/>
              </c:ext>
            </c:extLst>
          </c:dPt>
          <c:dPt>
            <c:idx val="113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40-F2A4-406A-A7DA-6B5418467181}"/>
              </c:ext>
            </c:extLst>
          </c:dPt>
          <c:dPt>
            <c:idx val="113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41-F2A4-406A-A7DA-6B5418467181}"/>
              </c:ext>
            </c:extLst>
          </c:dPt>
          <c:dPt>
            <c:idx val="113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42-F2A4-406A-A7DA-6B5418467181}"/>
              </c:ext>
            </c:extLst>
          </c:dPt>
          <c:dPt>
            <c:idx val="113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43-F2A4-406A-A7DA-6B5418467181}"/>
              </c:ext>
            </c:extLst>
          </c:dPt>
          <c:dPt>
            <c:idx val="113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44-F2A4-406A-A7DA-6B5418467181}"/>
              </c:ext>
            </c:extLst>
          </c:dPt>
          <c:dPt>
            <c:idx val="113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45-F2A4-406A-A7DA-6B5418467181}"/>
              </c:ext>
            </c:extLst>
          </c:dPt>
          <c:dPt>
            <c:idx val="114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46-F2A4-406A-A7DA-6B5418467181}"/>
              </c:ext>
            </c:extLst>
          </c:dPt>
          <c:dPt>
            <c:idx val="114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47-F2A4-406A-A7DA-6B5418467181}"/>
              </c:ext>
            </c:extLst>
          </c:dPt>
          <c:dPt>
            <c:idx val="114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48-F2A4-406A-A7DA-6B5418467181}"/>
              </c:ext>
            </c:extLst>
          </c:dPt>
          <c:dPt>
            <c:idx val="114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49-F2A4-406A-A7DA-6B5418467181}"/>
              </c:ext>
            </c:extLst>
          </c:dPt>
          <c:dPt>
            <c:idx val="114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4A-F2A4-406A-A7DA-6B5418467181}"/>
              </c:ext>
            </c:extLst>
          </c:dPt>
          <c:dPt>
            <c:idx val="114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4B-F2A4-406A-A7DA-6B5418467181}"/>
              </c:ext>
            </c:extLst>
          </c:dPt>
          <c:dPt>
            <c:idx val="1146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4C-F2A4-406A-A7DA-6B5418467181}"/>
              </c:ext>
            </c:extLst>
          </c:dPt>
          <c:dPt>
            <c:idx val="114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4D-F2A4-406A-A7DA-6B5418467181}"/>
              </c:ext>
            </c:extLst>
          </c:dPt>
          <c:dPt>
            <c:idx val="114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4E-F2A4-406A-A7DA-6B5418467181}"/>
              </c:ext>
            </c:extLst>
          </c:dPt>
          <c:dPt>
            <c:idx val="114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4F-F2A4-406A-A7DA-6B5418467181}"/>
              </c:ext>
            </c:extLst>
          </c:dPt>
          <c:dPt>
            <c:idx val="115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50-F2A4-406A-A7DA-6B5418467181}"/>
              </c:ext>
            </c:extLst>
          </c:dPt>
          <c:dPt>
            <c:idx val="1151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51-F2A4-406A-A7DA-6B5418467181}"/>
              </c:ext>
            </c:extLst>
          </c:dPt>
          <c:dPt>
            <c:idx val="115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52-F2A4-406A-A7DA-6B5418467181}"/>
              </c:ext>
            </c:extLst>
          </c:dPt>
          <c:dPt>
            <c:idx val="115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53-F2A4-406A-A7DA-6B5418467181}"/>
              </c:ext>
            </c:extLst>
          </c:dPt>
          <c:dPt>
            <c:idx val="1154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54-F2A4-406A-A7DA-6B5418467181}"/>
              </c:ext>
            </c:extLst>
          </c:dPt>
          <c:dPt>
            <c:idx val="1155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55-F2A4-406A-A7DA-6B5418467181}"/>
              </c:ext>
            </c:extLst>
          </c:dPt>
          <c:dPt>
            <c:idx val="115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56-F2A4-406A-A7DA-6B5418467181}"/>
              </c:ext>
            </c:extLst>
          </c:dPt>
          <c:dPt>
            <c:idx val="115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57-F2A4-406A-A7DA-6B5418467181}"/>
              </c:ext>
            </c:extLst>
          </c:dPt>
          <c:dPt>
            <c:idx val="115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58-F2A4-406A-A7DA-6B5418467181}"/>
              </c:ext>
            </c:extLst>
          </c:dPt>
          <c:dPt>
            <c:idx val="115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59-F2A4-406A-A7DA-6B5418467181}"/>
              </c:ext>
            </c:extLst>
          </c:dPt>
          <c:dPt>
            <c:idx val="1160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5A-F2A4-406A-A7DA-6B5418467181}"/>
              </c:ext>
            </c:extLst>
          </c:dPt>
          <c:dPt>
            <c:idx val="116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5B-F2A4-406A-A7DA-6B5418467181}"/>
              </c:ext>
            </c:extLst>
          </c:dPt>
          <c:dPt>
            <c:idx val="116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5C-F2A4-406A-A7DA-6B5418467181}"/>
              </c:ext>
            </c:extLst>
          </c:dPt>
          <c:dPt>
            <c:idx val="116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5D-F2A4-406A-A7DA-6B5418467181}"/>
              </c:ext>
            </c:extLst>
          </c:dPt>
          <c:dPt>
            <c:idx val="116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5E-F2A4-406A-A7DA-6B5418467181}"/>
              </c:ext>
            </c:extLst>
          </c:dPt>
          <c:dPt>
            <c:idx val="116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5F-F2A4-406A-A7DA-6B5418467181}"/>
              </c:ext>
            </c:extLst>
          </c:dPt>
          <c:dPt>
            <c:idx val="116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60-F2A4-406A-A7DA-6B5418467181}"/>
              </c:ext>
            </c:extLst>
          </c:dPt>
          <c:dPt>
            <c:idx val="116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61-F2A4-406A-A7DA-6B5418467181}"/>
              </c:ext>
            </c:extLst>
          </c:dPt>
          <c:dPt>
            <c:idx val="116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62-F2A4-406A-A7DA-6B5418467181}"/>
              </c:ext>
            </c:extLst>
          </c:dPt>
          <c:dPt>
            <c:idx val="116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63-F2A4-406A-A7DA-6B5418467181}"/>
              </c:ext>
            </c:extLst>
          </c:dPt>
          <c:dPt>
            <c:idx val="117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64-F2A4-406A-A7DA-6B5418467181}"/>
              </c:ext>
            </c:extLst>
          </c:dPt>
          <c:dPt>
            <c:idx val="117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65-F2A4-406A-A7DA-6B5418467181}"/>
              </c:ext>
            </c:extLst>
          </c:dPt>
          <c:dPt>
            <c:idx val="1172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66-F2A4-406A-A7DA-6B5418467181}"/>
              </c:ext>
            </c:extLst>
          </c:dPt>
          <c:dPt>
            <c:idx val="117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67-F2A4-406A-A7DA-6B5418467181}"/>
              </c:ext>
            </c:extLst>
          </c:dPt>
          <c:dPt>
            <c:idx val="1174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68-F2A4-406A-A7DA-6B5418467181}"/>
              </c:ext>
            </c:extLst>
          </c:dPt>
          <c:dPt>
            <c:idx val="117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69-F2A4-406A-A7DA-6B5418467181}"/>
              </c:ext>
            </c:extLst>
          </c:dPt>
          <c:dPt>
            <c:idx val="117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6A-F2A4-406A-A7DA-6B5418467181}"/>
              </c:ext>
            </c:extLst>
          </c:dPt>
          <c:dPt>
            <c:idx val="117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6B-F2A4-406A-A7DA-6B5418467181}"/>
              </c:ext>
            </c:extLst>
          </c:dPt>
          <c:dPt>
            <c:idx val="1178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6C-F2A4-406A-A7DA-6B5418467181}"/>
              </c:ext>
            </c:extLst>
          </c:dPt>
          <c:dPt>
            <c:idx val="117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6D-F2A4-406A-A7DA-6B5418467181}"/>
              </c:ext>
            </c:extLst>
          </c:dPt>
          <c:dPt>
            <c:idx val="118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6E-F2A4-406A-A7DA-6B5418467181}"/>
              </c:ext>
            </c:extLst>
          </c:dPt>
          <c:dPt>
            <c:idx val="118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6F-F2A4-406A-A7DA-6B5418467181}"/>
              </c:ext>
            </c:extLst>
          </c:dPt>
          <c:dPt>
            <c:idx val="118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70-F2A4-406A-A7DA-6B5418467181}"/>
              </c:ext>
            </c:extLst>
          </c:dPt>
          <c:dPt>
            <c:idx val="118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71-F2A4-406A-A7DA-6B5418467181}"/>
              </c:ext>
            </c:extLst>
          </c:dPt>
          <c:dPt>
            <c:idx val="118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72-F2A4-406A-A7DA-6B5418467181}"/>
              </c:ext>
            </c:extLst>
          </c:dPt>
          <c:dPt>
            <c:idx val="118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73-F2A4-406A-A7DA-6B5418467181}"/>
              </c:ext>
            </c:extLst>
          </c:dPt>
          <c:dPt>
            <c:idx val="118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74-F2A4-406A-A7DA-6B5418467181}"/>
              </c:ext>
            </c:extLst>
          </c:dPt>
          <c:dPt>
            <c:idx val="118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75-F2A4-406A-A7DA-6B5418467181}"/>
              </c:ext>
            </c:extLst>
          </c:dPt>
          <c:dPt>
            <c:idx val="118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76-F2A4-406A-A7DA-6B5418467181}"/>
              </c:ext>
            </c:extLst>
          </c:dPt>
          <c:dPt>
            <c:idx val="118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77-F2A4-406A-A7DA-6B5418467181}"/>
              </c:ext>
            </c:extLst>
          </c:dPt>
          <c:dPt>
            <c:idx val="119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78-F2A4-406A-A7DA-6B5418467181}"/>
              </c:ext>
            </c:extLst>
          </c:dPt>
          <c:dPt>
            <c:idx val="1191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79-F2A4-406A-A7DA-6B5418467181}"/>
              </c:ext>
            </c:extLst>
          </c:dPt>
          <c:dPt>
            <c:idx val="119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7A-F2A4-406A-A7DA-6B5418467181}"/>
              </c:ext>
            </c:extLst>
          </c:dPt>
          <c:dPt>
            <c:idx val="119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7B-F2A4-406A-A7DA-6B5418467181}"/>
              </c:ext>
            </c:extLst>
          </c:dPt>
          <c:dPt>
            <c:idx val="119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7C-F2A4-406A-A7DA-6B5418467181}"/>
              </c:ext>
            </c:extLst>
          </c:dPt>
          <c:dPt>
            <c:idx val="119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7D-F2A4-406A-A7DA-6B5418467181}"/>
              </c:ext>
            </c:extLst>
          </c:dPt>
          <c:dPt>
            <c:idx val="119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7E-F2A4-406A-A7DA-6B5418467181}"/>
              </c:ext>
            </c:extLst>
          </c:dPt>
          <c:dPt>
            <c:idx val="1197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7F-F2A4-406A-A7DA-6B5418467181}"/>
              </c:ext>
            </c:extLst>
          </c:dPt>
          <c:dPt>
            <c:idx val="119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80-F2A4-406A-A7DA-6B5418467181}"/>
              </c:ext>
            </c:extLst>
          </c:dPt>
          <c:dPt>
            <c:idx val="1199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81-F2A4-406A-A7DA-6B5418467181}"/>
              </c:ext>
            </c:extLst>
          </c:dPt>
          <c:dPt>
            <c:idx val="120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82-F2A4-406A-A7DA-6B5418467181}"/>
              </c:ext>
            </c:extLst>
          </c:dPt>
          <c:dPt>
            <c:idx val="1201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83-F2A4-406A-A7DA-6B5418467181}"/>
              </c:ext>
            </c:extLst>
          </c:dPt>
          <c:dPt>
            <c:idx val="120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84-F2A4-406A-A7DA-6B5418467181}"/>
              </c:ext>
            </c:extLst>
          </c:dPt>
          <c:dPt>
            <c:idx val="120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85-F2A4-406A-A7DA-6B5418467181}"/>
              </c:ext>
            </c:extLst>
          </c:dPt>
          <c:dPt>
            <c:idx val="120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86-F2A4-406A-A7DA-6B5418467181}"/>
              </c:ext>
            </c:extLst>
          </c:dPt>
          <c:dPt>
            <c:idx val="120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87-F2A4-406A-A7DA-6B5418467181}"/>
              </c:ext>
            </c:extLst>
          </c:dPt>
          <c:dPt>
            <c:idx val="120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88-F2A4-406A-A7DA-6B5418467181}"/>
              </c:ext>
            </c:extLst>
          </c:dPt>
          <c:dPt>
            <c:idx val="1207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89-F2A4-406A-A7DA-6B5418467181}"/>
              </c:ext>
            </c:extLst>
          </c:dPt>
          <c:dPt>
            <c:idx val="120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8A-F2A4-406A-A7DA-6B5418467181}"/>
              </c:ext>
            </c:extLst>
          </c:dPt>
          <c:dPt>
            <c:idx val="120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8B-F2A4-406A-A7DA-6B5418467181}"/>
              </c:ext>
            </c:extLst>
          </c:dPt>
          <c:dPt>
            <c:idx val="121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8C-F2A4-406A-A7DA-6B5418467181}"/>
              </c:ext>
            </c:extLst>
          </c:dPt>
          <c:dPt>
            <c:idx val="1211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8D-F2A4-406A-A7DA-6B5418467181}"/>
              </c:ext>
            </c:extLst>
          </c:dPt>
          <c:dPt>
            <c:idx val="121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8E-F2A4-406A-A7DA-6B5418467181}"/>
              </c:ext>
            </c:extLst>
          </c:dPt>
          <c:dPt>
            <c:idx val="121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8F-F2A4-406A-A7DA-6B5418467181}"/>
              </c:ext>
            </c:extLst>
          </c:dPt>
          <c:dPt>
            <c:idx val="1214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90-F2A4-406A-A7DA-6B5418467181}"/>
              </c:ext>
            </c:extLst>
          </c:dPt>
          <c:dPt>
            <c:idx val="121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91-F2A4-406A-A7DA-6B5418467181}"/>
              </c:ext>
            </c:extLst>
          </c:dPt>
          <c:dPt>
            <c:idx val="121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92-F2A4-406A-A7DA-6B5418467181}"/>
              </c:ext>
            </c:extLst>
          </c:dPt>
          <c:dPt>
            <c:idx val="121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93-F2A4-406A-A7DA-6B5418467181}"/>
              </c:ext>
            </c:extLst>
          </c:dPt>
          <c:dPt>
            <c:idx val="121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94-F2A4-406A-A7DA-6B5418467181}"/>
              </c:ext>
            </c:extLst>
          </c:dPt>
          <c:dPt>
            <c:idx val="1219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95-F2A4-406A-A7DA-6B5418467181}"/>
              </c:ext>
            </c:extLst>
          </c:dPt>
          <c:dPt>
            <c:idx val="122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96-F2A4-406A-A7DA-6B5418467181}"/>
              </c:ext>
            </c:extLst>
          </c:dPt>
          <c:dPt>
            <c:idx val="1221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97-F2A4-406A-A7DA-6B5418467181}"/>
              </c:ext>
            </c:extLst>
          </c:dPt>
          <c:dPt>
            <c:idx val="122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98-F2A4-406A-A7DA-6B5418467181}"/>
              </c:ext>
            </c:extLst>
          </c:dPt>
          <c:dPt>
            <c:idx val="122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99-F2A4-406A-A7DA-6B5418467181}"/>
              </c:ext>
            </c:extLst>
          </c:dPt>
          <c:dPt>
            <c:idx val="122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9A-F2A4-406A-A7DA-6B5418467181}"/>
              </c:ext>
            </c:extLst>
          </c:dPt>
          <c:dPt>
            <c:idx val="122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9B-F2A4-406A-A7DA-6B5418467181}"/>
              </c:ext>
            </c:extLst>
          </c:dPt>
          <c:dPt>
            <c:idx val="122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9C-F2A4-406A-A7DA-6B5418467181}"/>
              </c:ext>
            </c:extLst>
          </c:dPt>
          <c:dPt>
            <c:idx val="1227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9D-F2A4-406A-A7DA-6B5418467181}"/>
              </c:ext>
            </c:extLst>
          </c:dPt>
          <c:dPt>
            <c:idx val="122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9E-F2A4-406A-A7DA-6B5418467181}"/>
              </c:ext>
            </c:extLst>
          </c:dPt>
          <c:dPt>
            <c:idx val="122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9F-F2A4-406A-A7DA-6B5418467181}"/>
              </c:ext>
            </c:extLst>
          </c:dPt>
          <c:dPt>
            <c:idx val="123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A0-F2A4-406A-A7DA-6B5418467181}"/>
              </c:ext>
            </c:extLst>
          </c:dPt>
          <c:dPt>
            <c:idx val="1231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A1-F2A4-406A-A7DA-6B5418467181}"/>
              </c:ext>
            </c:extLst>
          </c:dPt>
          <c:dPt>
            <c:idx val="123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A2-F2A4-406A-A7DA-6B5418467181}"/>
              </c:ext>
            </c:extLst>
          </c:dPt>
          <c:dPt>
            <c:idx val="123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A3-F2A4-406A-A7DA-6B5418467181}"/>
              </c:ext>
            </c:extLst>
          </c:dPt>
          <c:dPt>
            <c:idx val="123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A4-F2A4-406A-A7DA-6B5418467181}"/>
              </c:ext>
            </c:extLst>
          </c:dPt>
          <c:dPt>
            <c:idx val="123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A5-F2A4-406A-A7DA-6B5418467181}"/>
              </c:ext>
            </c:extLst>
          </c:dPt>
          <c:dPt>
            <c:idx val="1236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A6-F2A4-406A-A7DA-6B5418467181}"/>
              </c:ext>
            </c:extLst>
          </c:dPt>
          <c:dPt>
            <c:idx val="123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A7-F2A4-406A-A7DA-6B5418467181}"/>
              </c:ext>
            </c:extLst>
          </c:dPt>
          <c:dPt>
            <c:idx val="123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A8-F2A4-406A-A7DA-6B5418467181}"/>
              </c:ext>
            </c:extLst>
          </c:dPt>
          <c:dPt>
            <c:idx val="123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A9-F2A4-406A-A7DA-6B5418467181}"/>
              </c:ext>
            </c:extLst>
          </c:dPt>
          <c:dPt>
            <c:idx val="124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AA-F2A4-406A-A7DA-6B5418467181}"/>
              </c:ext>
            </c:extLst>
          </c:dPt>
          <c:dPt>
            <c:idx val="124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AB-F2A4-406A-A7DA-6B5418467181}"/>
              </c:ext>
            </c:extLst>
          </c:dPt>
          <c:dPt>
            <c:idx val="124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AC-F2A4-406A-A7DA-6B5418467181}"/>
              </c:ext>
            </c:extLst>
          </c:dPt>
          <c:dPt>
            <c:idx val="124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AD-F2A4-406A-A7DA-6B5418467181}"/>
              </c:ext>
            </c:extLst>
          </c:dPt>
          <c:dPt>
            <c:idx val="1244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AE-F2A4-406A-A7DA-6B5418467181}"/>
              </c:ext>
            </c:extLst>
          </c:dPt>
          <c:dPt>
            <c:idx val="124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AF-F2A4-406A-A7DA-6B5418467181}"/>
              </c:ext>
            </c:extLst>
          </c:dPt>
          <c:dPt>
            <c:idx val="124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B0-F2A4-406A-A7DA-6B5418467181}"/>
              </c:ext>
            </c:extLst>
          </c:dPt>
          <c:dPt>
            <c:idx val="124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B1-F2A4-406A-A7DA-6B5418467181}"/>
              </c:ext>
            </c:extLst>
          </c:dPt>
          <c:dPt>
            <c:idx val="1248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B2-F2A4-406A-A7DA-6B5418467181}"/>
              </c:ext>
            </c:extLst>
          </c:dPt>
          <c:dPt>
            <c:idx val="124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B3-F2A4-406A-A7DA-6B5418467181}"/>
              </c:ext>
            </c:extLst>
          </c:dPt>
          <c:dPt>
            <c:idx val="125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B4-F2A4-406A-A7DA-6B5418467181}"/>
              </c:ext>
            </c:extLst>
          </c:dPt>
          <c:dPt>
            <c:idx val="125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B5-F2A4-406A-A7DA-6B5418467181}"/>
              </c:ext>
            </c:extLst>
          </c:dPt>
          <c:dPt>
            <c:idx val="1252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B6-F2A4-406A-A7DA-6B5418467181}"/>
              </c:ext>
            </c:extLst>
          </c:dPt>
          <c:dPt>
            <c:idx val="125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B7-F2A4-406A-A7DA-6B5418467181}"/>
              </c:ext>
            </c:extLst>
          </c:dPt>
          <c:dPt>
            <c:idx val="125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chemeClr val="accent6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B8-F2A4-406A-A7DA-6B5418467181}"/>
              </c:ext>
            </c:extLst>
          </c:dPt>
          <c:dPt>
            <c:idx val="1255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B9-F2A4-406A-A7DA-6B5418467181}"/>
              </c:ext>
            </c:extLst>
          </c:dPt>
          <c:dPt>
            <c:idx val="1256"/>
            <c:marker>
              <c:symbol val="circle"/>
              <c:size val="2"/>
              <c:spPr>
                <a:solidFill>
                  <a:schemeClr val="accent6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BA-F2A4-406A-A7DA-6B5418467181}"/>
              </c:ext>
            </c:extLst>
          </c:dPt>
          <c:xVal>
            <c:numRef>
              <c:f>'TSLA, MSFT'!$M$5:$M$1261</c:f>
              <c:numCache>
                <c:formatCode>General</c:formatCode>
                <c:ptCount val="12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-0.13893011901263974</c:v>
                </c:pt>
                <c:pt idx="12">
                  <c:v>0</c:v>
                </c:pt>
                <c:pt idx="13">
                  <c:v>-3.8640056767796374E-2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-5.5763622360170562E-3</c:v>
                </c:pt>
                <c:pt idx="26">
                  <c:v>0</c:v>
                </c:pt>
                <c:pt idx="27">
                  <c:v>-3.297913766339239E-3</c:v>
                </c:pt>
                <c:pt idx="28">
                  <c:v>0</c:v>
                </c:pt>
                <c:pt idx="29">
                  <c:v>-1.4380726659860957E-2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-3.8166355187144119E-2</c:v>
                </c:pt>
                <c:pt idx="34">
                  <c:v>0</c:v>
                </c:pt>
                <c:pt idx="35">
                  <c:v>0</c:v>
                </c:pt>
                <c:pt idx="36">
                  <c:v>-3.0504860937321651E-3</c:v>
                </c:pt>
                <c:pt idx="37">
                  <c:v>0</c:v>
                </c:pt>
                <c:pt idx="38">
                  <c:v>0</c:v>
                </c:pt>
                <c:pt idx="39">
                  <c:v>-8.1682705318018273E-2</c:v>
                </c:pt>
                <c:pt idx="40">
                  <c:v>0</c:v>
                </c:pt>
                <c:pt idx="41">
                  <c:v>0</c:v>
                </c:pt>
                <c:pt idx="42">
                  <c:v>-1.0854771204345441E-3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-2.6330140793273889E-2</c:v>
                </c:pt>
                <c:pt idx="47">
                  <c:v>0</c:v>
                </c:pt>
                <c:pt idx="48">
                  <c:v>0</c:v>
                </c:pt>
                <c:pt idx="49">
                  <c:v>-5.1409486852716298E-2</c:v>
                </c:pt>
                <c:pt idx="50">
                  <c:v>-2.1802228914493255E-2</c:v>
                </c:pt>
                <c:pt idx="51">
                  <c:v>-7.5238920887885164E-3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-1.5658840110826595E-2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-1.1477241518183351E-2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-6.421541331017141E-3</c:v>
                </c:pt>
                <c:pt idx="66">
                  <c:v>0</c:v>
                </c:pt>
                <c:pt idx="67">
                  <c:v>0</c:v>
                </c:pt>
                <c:pt idx="68">
                  <c:v>-2.8065242462233131E-2</c:v>
                </c:pt>
                <c:pt idx="69">
                  <c:v>-2.6860234261259436E-3</c:v>
                </c:pt>
                <c:pt idx="70">
                  <c:v>-4.943033627995491E-3</c:v>
                </c:pt>
                <c:pt idx="71">
                  <c:v>0</c:v>
                </c:pt>
                <c:pt idx="72">
                  <c:v>-7.822437958730109E-3</c:v>
                </c:pt>
                <c:pt idx="73">
                  <c:v>0</c:v>
                </c:pt>
                <c:pt idx="74">
                  <c:v>-3.9220732914681242E-2</c:v>
                </c:pt>
                <c:pt idx="75">
                  <c:v>0</c:v>
                </c:pt>
                <c:pt idx="76">
                  <c:v>0</c:v>
                </c:pt>
                <c:pt idx="77">
                  <c:v>-4.3578683167321997E-2</c:v>
                </c:pt>
                <c:pt idx="78">
                  <c:v>-5.1754635388994094E-2</c:v>
                </c:pt>
                <c:pt idx="79">
                  <c:v>0</c:v>
                </c:pt>
                <c:pt idx="80">
                  <c:v>-1.1579581949136825E-2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-1.0218157442013608E-2</c:v>
                </c:pt>
                <c:pt idx="89">
                  <c:v>0</c:v>
                </c:pt>
                <c:pt idx="90">
                  <c:v>0</c:v>
                </c:pt>
                <c:pt idx="91">
                  <c:v>-1.5508554685256305E-3</c:v>
                </c:pt>
                <c:pt idx="92">
                  <c:v>-1.5729858693972663E-2</c:v>
                </c:pt>
                <c:pt idx="93">
                  <c:v>0</c:v>
                </c:pt>
                <c:pt idx="94">
                  <c:v>0</c:v>
                </c:pt>
                <c:pt idx="95">
                  <c:v>-1.3644139948721101E-3</c:v>
                </c:pt>
                <c:pt idx="96">
                  <c:v>-6.2109875261510919E-2</c:v>
                </c:pt>
                <c:pt idx="97">
                  <c:v>0</c:v>
                </c:pt>
                <c:pt idx="98">
                  <c:v>-2.5174850044078559E-2</c:v>
                </c:pt>
                <c:pt idx="99">
                  <c:v>0</c:v>
                </c:pt>
                <c:pt idx="100">
                  <c:v>0</c:v>
                </c:pt>
                <c:pt idx="101">
                  <c:v>-8.6754406878159444E-3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-7.0654698491113719E-3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-1.2895259219677642E-3</c:v>
                </c:pt>
                <c:pt idx="115">
                  <c:v>0</c:v>
                </c:pt>
                <c:pt idx="116">
                  <c:v>-3.0537066899580141E-2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-2.2322173787013583E-3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-1.1600258351330469E-2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-1.3402372447155525E-3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-5.1928323336753292E-3</c:v>
                </c:pt>
                <c:pt idx="136">
                  <c:v>0</c:v>
                </c:pt>
                <c:pt idx="137">
                  <c:v>-9.7303143892648568E-3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-3.4146160346756149E-3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-3.2644888982634741E-2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-2.2522141419192346E-2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-4.2882279319848612E-3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-1.9431179478243858E-2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-4.9901721296880331E-3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-5.3246623714830257E-3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-5.2173408654343648E-3</c:v>
                </c:pt>
                <c:pt idx="187">
                  <c:v>0</c:v>
                </c:pt>
                <c:pt idx="188">
                  <c:v>0</c:v>
                </c:pt>
                <c:pt idx="189">
                  <c:v>-4.2429182788675725E-2</c:v>
                </c:pt>
                <c:pt idx="190">
                  <c:v>-6.8897055894063504E-3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-1.351763202988307E-2</c:v>
                </c:pt>
                <c:pt idx="202">
                  <c:v>0</c:v>
                </c:pt>
                <c:pt idx="203">
                  <c:v>-3.5277345500748245E-3</c:v>
                </c:pt>
                <c:pt idx="204">
                  <c:v>0</c:v>
                </c:pt>
                <c:pt idx="205">
                  <c:v>0</c:v>
                </c:pt>
                <c:pt idx="206">
                  <c:v>-1.2808003312018137E-3</c:v>
                </c:pt>
                <c:pt idx="207">
                  <c:v>0</c:v>
                </c:pt>
                <c:pt idx="208">
                  <c:v>-3.8337102266919635E-3</c:v>
                </c:pt>
                <c:pt idx="209">
                  <c:v>0</c:v>
                </c:pt>
                <c:pt idx="210">
                  <c:v>-5.1255544140017166E-3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-1.0976548500879984E-2</c:v>
                </c:pt>
                <c:pt idx="219">
                  <c:v>0</c:v>
                </c:pt>
                <c:pt idx="220">
                  <c:v>0</c:v>
                </c:pt>
                <c:pt idx="221">
                  <c:v>-6.2095020771338032E-3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-6.3376169548384625E-2</c:v>
                </c:pt>
                <c:pt idx="226">
                  <c:v>0</c:v>
                </c:pt>
                <c:pt idx="227">
                  <c:v>-2.2308053461613898E-2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-9.4736747060491251E-3</c:v>
                </c:pt>
                <c:pt idx="233">
                  <c:v>-8.019276981618622E-3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-3.5928847318540337E-3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-1.3003879676967388E-3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-2.2189378463184667E-2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-3.6769804656821475E-2</c:v>
                </c:pt>
                <c:pt idx="261">
                  <c:v>-9.7094728754558591E-3</c:v>
                </c:pt>
                <c:pt idx="262">
                  <c:v>-5.8399076973219052E-3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-1.1890344041505341E-3</c:v>
                </c:pt>
                <c:pt idx="277">
                  <c:v>0</c:v>
                </c:pt>
                <c:pt idx="278">
                  <c:v>0</c:v>
                </c:pt>
                <c:pt idx="279">
                  <c:v>-9.1978309031150642E-3</c:v>
                </c:pt>
                <c:pt idx="280">
                  <c:v>0</c:v>
                </c:pt>
                <c:pt idx="281">
                  <c:v>-4.9499736518852774E-3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-2.6744961359271888E-2</c:v>
                </c:pt>
                <c:pt idx="289">
                  <c:v>0</c:v>
                </c:pt>
                <c:pt idx="290">
                  <c:v>-1.6347946892153117E-2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-2.5164536893321161E-2</c:v>
                </c:pt>
                <c:pt idx="301">
                  <c:v>0</c:v>
                </c:pt>
                <c:pt idx="302">
                  <c:v>-3.3981345098331256E-2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-2.0780035513965973E-2</c:v>
                </c:pt>
                <c:pt idx="310">
                  <c:v>0</c:v>
                </c:pt>
                <c:pt idx="311">
                  <c:v>-2.4064378060619111E-2</c:v>
                </c:pt>
                <c:pt idx="312">
                  <c:v>0</c:v>
                </c:pt>
                <c:pt idx="313">
                  <c:v>0</c:v>
                </c:pt>
                <c:pt idx="314">
                  <c:v>-5.7898929228483803E-2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-2.3547749061601311E-2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-3.2509851774314836E-3</c:v>
                </c:pt>
                <c:pt idx="339">
                  <c:v>0</c:v>
                </c:pt>
                <c:pt idx="340">
                  <c:v>-9.971181367853077E-3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-5.1918744417645234E-3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-1.3037691974441276E-2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-1.8588327104050045E-2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-9.7853567763607867E-3</c:v>
                </c:pt>
                <c:pt idx="361">
                  <c:v>0</c:v>
                </c:pt>
                <c:pt idx="362">
                  <c:v>0</c:v>
                </c:pt>
                <c:pt idx="363">
                  <c:v>-3.9373709307395435E-2</c:v>
                </c:pt>
                <c:pt idx="364">
                  <c:v>0</c:v>
                </c:pt>
                <c:pt idx="365">
                  <c:v>-8.8898981227133501E-3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-6.5957925848718155E-3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-1.7404072882517024E-2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-3.8884332650255517E-2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-1.760791851275623E-2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-1.1387893098045275E-2</c:v>
                </c:pt>
                <c:pt idx="418">
                  <c:v>0</c:v>
                </c:pt>
                <c:pt idx="419">
                  <c:v>-4.7822385550721373E-2</c:v>
                </c:pt>
                <c:pt idx="420">
                  <c:v>-6.0034082237854308E-2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-5.7615280508846151E-2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-2.0731091848048021E-2</c:v>
                </c:pt>
                <c:pt idx="452">
                  <c:v>0</c:v>
                </c:pt>
                <c:pt idx="453">
                  <c:v>-2.0850461501258029E-2</c:v>
                </c:pt>
                <c:pt idx="454">
                  <c:v>0</c:v>
                </c:pt>
                <c:pt idx="455">
                  <c:v>0</c:v>
                </c:pt>
                <c:pt idx="456">
                  <c:v>-1.2192580332926615E-2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-6.91232048251369E-3</c:v>
                </c:pt>
                <c:pt idx="465">
                  <c:v>0</c:v>
                </c:pt>
                <c:pt idx="466">
                  <c:v>-1.8755443667380002E-2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-7.9486484475719734E-3</c:v>
                </c:pt>
                <c:pt idx="472">
                  <c:v>-1.0042225056146946E-3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-2.7615592554940224E-2</c:v>
                </c:pt>
                <c:pt idx="491">
                  <c:v>0</c:v>
                </c:pt>
                <c:pt idx="492">
                  <c:v>0</c:v>
                </c:pt>
                <c:pt idx="493">
                  <c:v>-1.6688013641240031E-2</c:v>
                </c:pt>
                <c:pt idx="494">
                  <c:v>0</c:v>
                </c:pt>
                <c:pt idx="495">
                  <c:v>0</c:v>
                </c:pt>
                <c:pt idx="496">
                  <c:v>-6.715493659256877E-2</c:v>
                </c:pt>
                <c:pt idx="497">
                  <c:v>-1.4757626401697305E-2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-6.4408529612681948E-3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-2.1669172760480512E-2</c:v>
                </c:pt>
                <c:pt idx="521">
                  <c:v>-3.3811460472739238E-2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-2.0956121752060818E-2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-1.6300455750757347E-2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-9.8989848630220683E-3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-3.8532232202016112E-2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-4.4865339024082546E-2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-1.1770465396647122E-2</c:v>
                </c:pt>
                <c:pt idx="559">
                  <c:v>0</c:v>
                </c:pt>
                <c:pt idx="560">
                  <c:v>0</c:v>
                </c:pt>
                <c:pt idx="561">
                  <c:v>-3.4440711800165467E-2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-9.2955277601054365E-3</c:v>
                </c:pt>
                <c:pt idx="566">
                  <c:v>0</c:v>
                </c:pt>
                <c:pt idx="567">
                  <c:v>0</c:v>
                </c:pt>
                <c:pt idx="568">
                  <c:v>-3.0312235759580412E-2</c:v>
                </c:pt>
                <c:pt idx="569">
                  <c:v>0</c:v>
                </c:pt>
                <c:pt idx="570">
                  <c:v>-9.9646360154036721E-3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-4.6385861611560018E-2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-1.1090609019195475E-2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-3.1339188106151925E-2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-2.5252565601854619E-2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-2.8898387321902846E-3</c:v>
                </c:pt>
                <c:pt idx="603">
                  <c:v>0</c:v>
                </c:pt>
                <c:pt idx="604">
                  <c:v>0</c:v>
                </c:pt>
                <c:pt idx="605">
                  <c:v>-8.9645826701897843E-3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-8.000905796215721E-3</c:v>
                </c:pt>
                <c:pt idx="613">
                  <c:v>0</c:v>
                </c:pt>
                <c:pt idx="614">
                  <c:v>-3.7709199737221148E-4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-3.9867350728973842E-3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-1.162499294083965E-2</c:v>
                </c:pt>
                <c:pt idx="627">
                  <c:v>0</c:v>
                </c:pt>
                <c:pt idx="628">
                  <c:v>-2.6222581334739677E-3</c:v>
                </c:pt>
                <c:pt idx="629">
                  <c:v>0</c:v>
                </c:pt>
                <c:pt idx="630">
                  <c:v>-2.887058119716375E-2</c:v>
                </c:pt>
                <c:pt idx="631">
                  <c:v>-2.2895750368935257E-2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-2.5343993135531602E-2</c:v>
                </c:pt>
                <c:pt idx="636">
                  <c:v>-2.2937321008562134E-2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-7.9192944904939045E-3</c:v>
                </c:pt>
                <c:pt idx="642">
                  <c:v>-9.2446101256363992E-3</c:v>
                </c:pt>
                <c:pt idx="643">
                  <c:v>-9.0976814700940937E-3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-3.0610387858883551E-3</c:v>
                </c:pt>
                <c:pt idx="657">
                  <c:v>0</c:v>
                </c:pt>
                <c:pt idx="658">
                  <c:v>-7.0584096997419778E-3</c:v>
                </c:pt>
                <c:pt idx="659">
                  <c:v>-4.4187542528147057E-2</c:v>
                </c:pt>
                <c:pt idx="660">
                  <c:v>0</c:v>
                </c:pt>
                <c:pt idx="661">
                  <c:v>0</c:v>
                </c:pt>
                <c:pt idx="662">
                  <c:v>-2.2783268905041627E-2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-3.3534531548885333E-4</c:v>
                </c:pt>
                <c:pt idx="693">
                  <c:v>0</c:v>
                </c:pt>
                <c:pt idx="694">
                  <c:v>-1.2035760588048072E-3</c:v>
                </c:pt>
                <c:pt idx="695">
                  <c:v>0</c:v>
                </c:pt>
                <c:pt idx="696">
                  <c:v>0</c:v>
                </c:pt>
                <c:pt idx="697">
                  <c:v>-1.0284537441349809E-2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-6.7344872031091891E-3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-6.2938147716026707E-3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-3.074274853662157E-2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-4.9611246715024281E-2</c:v>
                </c:pt>
                <c:pt idx="719">
                  <c:v>0</c:v>
                </c:pt>
                <c:pt idx="720">
                  <c:v>0</c:v>
                </c:pt>
                <c:pt idx="721">
                  <c:v>-4.1661954201515292E-3</c:v>
                </c:pt>
                <c:pt idx="722">
                  <c:v>-2.87010630514456E-2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-5.8893953413597239E-3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-2.0969078961354448E-3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-3.6090050189015829E-2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-3.4413299787847365E-2</c:v>
                </c:pt>
                <c:pt idx="768">
                  <c:v>0</c:v>
                </c:pt>
                <c:pt idx="769">
                  <c:v>0</c:v>
                </c:pt>
                <c:pt idx="770">
                  <c:v>-1.4835634767557193E-2</c:v>
                </c:pt>
                <c:pt idx="771">
                  <c:v>0</c:v>
                </c:pt>
                <c:pt idx="772">
                  <c:v>0</c:v>
                </c:pt>
                <c:pt idx="773">
                  <c:v>-0.1227799728715154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-2.7863804368545544E-2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-5.082502344280828E-2</c:v>
                </c:pt>
                <c:pt idx="831">
                  <c:v>0</c:v>
                </c:pt>
                <c:pt idx="832">
                  <c:v>0</c:v>
                </c:pt>
                <c:pt idx="833">
                  <c:v>-7.0192233241730311E-3</c:v>
                </c:pt>
                <c:pt idx="834">
                  <c:v>0</c:v>
                </c:pt>
                <c:pt idx="835">
                  <c:v>0</c:v>
                </c:pt>
                <c:pt idx="836">
                  <c:v>-4.5480312016959075E-3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-6.0555596940416817E-2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-2.3876272854707472E-2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-4.3156114623120381E-3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-1.8100005433969498E-2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-5.7372317069467578E-3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-2.4715553158508687E-2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-3.4616712223850825E-3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-4.1438570337767024E-2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-9.0083548051408682E-2</c:v>
                </c:pt>
                <c:pt idx="945">
                  <c:v>0</c:v>
                </c:pt>
                <c:pt idx="946">
                  <c:v>-3.52101808211343E-2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-1.4987722048671815E-2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-3.7092085096135818E-2</c:v>
                </c:pt>
                <c:pt idx="969">
                  <c:v>-5.1377007901096609E-2</c:v>
                </c:pt>
                <c:pt idx="970">
                  <c:v>-2.9766855695543791E-2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-7.0822020288748427E-2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-3.4533878491931338E-3</c:v>
                </c:pt>
                <c:pt idx="992">
                  <c:v>0</c:v>
                </c:pt>
                <c:pt idx="993">
                  <c:v>-6.4773095046258042E-2</c:v>
                </c:pt>
                <c:pt idx="994">
                  <c:v>-4.1798279047791896E-2</c:v>
                </c:pt>
                <c:pt idx="995">
                  <c:v>-2.6122612056527664E-2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-8.396483794441674E-2</c:v>
                </c:pt>
                <c:pt idx="1000">
                  <c:v>-1.6704509941504603E-3</c:v>
                </c:pt>
                <c:pt idx="1001">
                  <c:v>0</c:v>
                </c:pt>
                <c:pt idx="1002">
                  <c:v>-1.7706667842073111E-2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-7.7110349331380341E-3</c:v>
                </c:pt>
                <c:pt idx="1013">
                  <c:v>0</c:v>
                </c:pt>
                <c:pt idx="1014">
                  <c:v>0</c:v>
                </c:pt>
                <c:pt idx="1015">
                  <c:v>-9.4324654458178368E-3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-1.1493498737185893E-2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-6.032265220552302E-2</c:v>
                </c:pt>
                <c:pt idx="1048">
                  <c:v>0</c:v>
                </c:pt>
                <c:pt idx="1049">
                  <c:v>-2.032753900897484E-2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-1.5452167789732596E-2</c:v>
                </c:pt>
                <c:pt idx="1057">
                  <c:v>0</c:v>
                </c:pt>
                <c:pt idx="1058">
                  <c:v>-2.1963216840658828E-2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-9.4608916037223611E-3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-2.4826284947152E-3</c:v>
                </c:pt>
                <c:pt idx="1073">
                  <c:v>0</c:v>
                </c:pt>
                <c:pt idx="1074">
                  <c:v>0</c:v>
                </c:pt>
                <c:pt idx="1075">
                  <c:v>-3.4032632598534528E-2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-2.0389865397617165E-2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-4.4024652920741772E-2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-3.6127909442024916E-3</c:v>
                </c:pt>
                <c:pt idx="1096">
                  <c:v>0</c:v>
                </c:pt>
                <c:pt idx="1097">
                  <c:v>0</c:v>
                </c:pt>
                <c:pt idx="1098">
                  <c:v>-9.7508623521068184E-3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-7.4490431737250142E-3</c:v>
                </c:pt>
                <c:pt idx="1120">
                  <c:v>-3.4719455766334655E-3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-2.125228205544815E-2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-1.4148527446782411E-2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-2.4069226263067518E-2</c:v>
                </c:pt>
                <c:pt idx="1152">
                  <c:v>0</c:v>
                </c:pt>
                <c:pt idx="1153">
                  <c:v>0</c:v>
                </c:pt>
                <c:pt idx="1154">
                  <c:v>-2.1279909401260018E-2</c:v>
                </c:pt>
                <c:pt idx="1155">
                  <c:v>-9.5387872120379063E-3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-1.1981648970031813E-2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-1.0893208635555313E-3</c:v>
                </c:pt>
                <c:pt idx="1173">
                  <c:v>0</c:v>
                </c:pt>
                <c:pt idx="1174">
                  <c:v>-5.1970558373956352E-2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-1.1960401662698291E-2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-1.4939797648747774E-2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-4.2593875606056555E-3</c:v>
                </c:pt>
                <c:pt idx="1198">
                  <c:v>0</c:v>
                </c:pt>
                <c:pt idx="1199">
                  <c:v>-3.3063697178572211E-3</c:v>
                </c:pt>
                <c:pt idx="1200">
                  <c:v>0</c:v>
                </c:pt>
                <c:pt idx="1201">
                  <c:v>-2.3926827006944661E-3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-9.761624829233205E-2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-1.9117502924736716E-2</c:v>
                </c:pt>
                <c:pt idx="1212">
                  <c:v>0</c:v>
                </c:pt>
                <c:pt idx="1213">
                  <c:v>0</c:v>
                </c:pt>
                <c:pt idx="1214">
                  <c:v>-4.9137556625529634E-2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-3.1418780608219407E-3</c:v>
                </c:pt>
                <c:pt idx="1220">
                  <c:v>0</c:v>
                </c:pt>
                <c:pt idx="1221">
                  <c:v>-3.1507349489852019E-4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-3.8835349095907183E-2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-2.9408273727202904E-2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-1.6769617682974927E-2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-1.1452710393224732E-2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-5.6173176482294772E-3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-7.7312116984247789E-3</c:v>
                </c:pt>
                <c:pt idx="1253">
                  <c:v>0</c:v>
                </c:pt>
                <c:pt idx="1254">
                  <c:v>0</c:v>
                </c:pt>
                <c:pt idx="1255">
                  <c:v>-3.2104148761208443E-2</c:v>
                </c:pt>
                <c:pt idx="1256">
                  <c:v>-1.8738327257866602E-2</c:v>
                </c:pt>
              </c:numCache>
            </c:numRef>
          </c:xVal>
          <c:yVal>
            <c:numRef>
              <c:f>'TSLA, MSFT'!$N$5:$N$1261</c:f>
              <c:numCache>
                <c:formatCode>General</c:formatCode>
                <c:ptCount val="12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1.4871901093139874E-2</c:v>
                </c:pt>
                <c:pt idx="12">
                  <c:v>0</c:v>
                </c:pt>
                <c:pt idx="13">
                  <c:v>9.6992144144035074E-3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3.7925521897060779E-3</c:v>
                </c:pt>
                <c:pt idx="26">
                  <c:v>0</c:v>
                </c:pt>
                <c:pt idx="27">
                  <c:v>1.5461795723363632E-2</c:v>
                </c:pt>
                <c:pt idx="28">
                  <c:v>0</c:v>
                </c:pt>
                <c:pt idx="29">
                  <c:v>8.4226292939550921E-4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2.0872571569112382E-2</c:v>
                </c:pt>
                <c:pt idx="34">
                  <c:v>0</c:v>
                </c:pt>
                <c:pt idx="35">
                  <c:v>0</c:v>
                </c:pt>
                <c:pt idx="36">
                  <c:v>6.876562038433006E-3</c:v>
                </c:pt>
                <c:pt idx="37">
                  <c:v>0</c:v>
                </c:pt>
                <c:pt idx="38">
                  <c:v>0</c:v>
                </c:pt>
                <c:pt idx="39">
                  <c:v>4.45316019127363E-3</c:v>
                </c:pt>
                <c:pt idx="40">
                  <c:v>0</c:v>
                </c:pt>
                <c:pt idx="41">
                  <c:v>0</c:v>
                </c:pt>
                <c:pt idx="42">
                  <c:v>4.4752741852316158E-4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6.9772859786261885E-3</c:v>
                </c:pt>
                <c:pt idx="47">
                  <c:v>0</c:v>
                </c:pt>
                <c:pt idx="48">
                  <c:v>0</c:v>
                </c:pt>
                <c:pt idx="49">
                  <c:v>1.145348746229681E-2</c:v>
                </c:pt>
                <c:pt idx="50">
                  <c:v>1.4219872978996158E-2</c:v>
                </c:pt>
                <c:pt idx="51">
                  <c:v>6.8021429372175975E-4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5.1979154993902019E-3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1.4273122779112064E-3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3.3358352406753425E-4</c:v>
                </c:pt>
                <c:pt idx="66">
                  <c:v>0</c:v>
                </c:pt>
                <c:pt idx="67">
                  <c:v>0</c:v>
                </c:pt>
                <c:pt idx="68">
                  <c:v>1.1641444853738039E-3</c:v>
                </c:pt>
                <c:pt idx="69">
                  <c:v>5.1392686059650826E-3</c:v>
                </c:pt>
                <c:pt idx="70">
                  <c:v>8.2644632803111865E-4</c:v>
                </c:pt>
                <c:pt idx="71">
                  <c:v>0</c:v>
                </c:pt>
                <c:pt idx="72">
                  <c:v>8.2461092316321628E-3</c:v>
                </c:pt>
                <c:pt idx="73">
                  <c:v>0</c:v>
                </c:pt>
                <c:pt idx="74">
                  <c:v>3.15623618143741E-3</c:v>
                </c:pt>
                <c:pt idx="75">
                  <c:v>0</c:v>
                </c:pt>
                <c:pt idx="76">
                  <c:v>0</c:v>
                </c:pt>
                <c:pt idx="77">
                  <c:v>3.2580785439377764E-2</c:v>
                </c:pt>
                <c:pt idx="78">
                  <c:v>5.7134188773429019E-3</c:v>
                </c:pt>
                <c:pt idx="79">
                  <c:v>0</c:v>
                </c:pt>
                <c:pt idx="80">
                  <c:v>6.3755640931915068E-3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1.2904426390192522E-2</c:v>
                </c:pt>
                <c:pt idx="89">
                  <c:v>0</c:v>
                </c:pt>
                <c:pt idx="90">
                  <c:v>0</c:v>
                </c:pt>
                <c:pt idx="91">
                  <c:v>1.0289223376291675E-2</c:v>
                </c:pt>
                <c:pt idx="92">
                  <c:v>2.2828996908836954E-2</c:v>
                </c:pt>
                <c:pt idx="93">
                  <c:v>0</c:v>
                </c:pt>
                <c:pt idx="94">
                  <c:v>0</c:v>
                </c:pt>
                <c:pt idx="95">
                  <c:v>5.3729585642485504E-3</c:v>
                </c:pt>
                <c:pt idx="96">
                  <c:v>6.0494351119174334E-3</c:v>
                </c:pt>
                <c:pt idx="97">
                  <c:v>0</c:v>
                </c:pt>
                <c:pt idx="98">
                  <c:v>4.7539815490059602E-4</c:v>
                </c:pt>
                <c:pt idx="99">
                  <c:v>0</c:v>
                </c:pt>
                <c:pt idx="100">
                  <c:v>0</c:v>
                </c:pt>
                <c:pt idx="101">
                  <c:v>6.3031285396660044E-3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2.7623081828374432E-2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1.7238589640266644E-2</c:v>
                </c:pt>
                <c:pt idx="115">
                  <c:v>0</c:v>
                </c:pt>
                <c:pt idx="116">
                  <c:v>9.2430235512256757E-3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3.7402796447013734E-3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6.6113514893502987E-3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3.9819057137634997E-3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1.1001504648436222E-3</c:v>
                </c:pt>
                <c:pt idx="136">
                  <c:v>0</c:v>
                </c:pt>
                <c:pt idx="137">
                  <c:v>1.3161433395940393E-2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8.1696898822637698E-3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1.3050161513600039E-2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1.1085061887259775E-2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2.1387227445082719E-3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1.1619964852446388E-2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1.0232511441888879E-2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8.1911225983645336E-3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9.3944902522116545E-3</c:v>
                </c:pt>
                <c:pt idx="187">
                  <c:v>0</c:v>
                </c:pt>
                <c:pt idx="188">
                  <c:v>0</c:v>
                </c:pt>
                <c:pt idx="189">
                  <c:v>1.2032773535157883E-2</c:v>
                </c:pt>
                <c:pt idx="190">
                  <c:v>1.3411279729025703E-2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7.3956253559607672E-3</c:v>
                </c:pt>
                <c:pt idx="202">
                  <c:v>0</c:v>
                </c:pt>
                <c:pt idx="203">
                  <c:v>6.359438120506467E-3</c:v>
                </c:pt>
                <c:pt idx="204">
                  <c:v>0</c:v>
                </c:pt>
                <c:pt idx="205">
                  <c:v>0</c:v>
                </c:pt>
                <c:pt idx="206">
                  <c:v>2.4288713310079313E-2</c:v>
                </c:pt>
                <c:pt idx="207">
                  <c:v>0</c:v>
                </c:pt>
                <c:pt idx="208">
                  <c:v>1.2385351752163636E-2</c:v>
                </c:pt>
                <c:pt idx="209">
                  <c:v>0</c:v>
                </c:pt>
                <c:pt idx="210">
                  <c:v>2.4382609871413685E-3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1.6305459146247676E-3</c:v>
                </c:pt>
                <c:pt idx="219">
                  <c:v>0</c:v>
                </c:pt>
                <c:pt idx="220">
                  <c:v>0</c:v>
                </c:pt>
                <c:pt idx="221">
                  <c:v>2.4641216557342643E-3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7.3561376908654942E-4</c:v>
                </c:pt>
                <c:pt idx="226">
                  <c:v>0</c:v>
                </c:pt>
                <c:pt idx="227">
                  <c:v>5.2760130300954534E-3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3.6101122240995722E-3</c:v>
                </c:pt>
                <c:pt idx="233">
                  <c:v>5.3372474413965025E-4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8.3829324131552089E-3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1.8260244975634057E-3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1.2415579434081026E-2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6.4554034386764183E-3</c:v>
                </c:pt>
                <c:pt idx="261">
                  <c:v>1.815747471246797E-2</c:v>
                </c:pt>
                <c:pt idx="262">
                  <c:v>5.5810748882257604E-3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1.4148892216736151E-3</c:v>
                </c:pt>
                <c:pt idx="277">
                  <c:v>0</c:v>
                </c:pt>
                <c:pt idx="278">
                  <c:v>0</c:v>
                </c:pt>
                <c:pt idx="279">
                  <c:v>1.4628202527237823E-3</c:v>
                </c:pt>
                <c:pt idx="280">
                  <c:v>0</c:v>
                </c:pt>
                <c:pt idx="281">
                  <c:v>8.8875022758955011E-3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1.2417378094870118E-2</c:v>
                </c:pt>
                <c:pt idx="289">
                  <c:v>0</c:v>
                </c:pt>
                <c:pt idx="290">
                  <c:v>2.3924436631055646E-2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0.13292895317619191</c:v>
                </c:pt>
                <c:pt idx="301">
                  <c:v>0</c:v>
                </c:pt>
                <c:pt idx="302">
                  <c:v>7.9122069981709925E-2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6.0672666017108891E-2</c:v>
                </c:pt>
                <c:pt idx="310">
                  <c:v>0</c:v>
                </c:pt>
                <c:pt idx="311">
                  <c:v>6.7976991594205935E-2</c:v>
                </c:pt>
                <c:pt idx="312">
                  <c:v>0</c:v>
                </c:pt>
                <c:pt idx="313">
                  <c:v>0</c:v>
                </c:pt>
                <c:pt idx="314">
                  <c:v>2.0497187653882639E-2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9.9821376198091782E-3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5.7901510976589368E-3</c:v>
                </c:pt>
                <c:pt idx="339">
                  <c:v>0</c:v>
                </c:pt>
                <c:pt idx="340">
                  <c:v>1.1092677416991709E-2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1.446311884032798E-2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4.3603859632363547E-4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1.1312460878481178E-2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7.6158608004735732E-3</c:v>
                </c:pt>
                <c:pt idx="361">
                  <c:v>0</c:v>
                </c:pt>
                <c:pt idx="362">
                  <c:v>0</c:v>
                </c:pt>
                <c:pt idx="363">
                  <c:v>7.860792863934641E-3</c:v>
                </c:pt>
                <c:pt idx="364">
                  <c:v>0</c:v>
                </c:pt>
                <c:pt idx="365">
                  <c:v>2.4209699816466059E-2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2.7394819371331314E-2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2.1754443927760391E-2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5.4290808560741336E-3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3.14030864335241E-3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1.0230829758571102E-2</c:v>
                </c:pt>
                <c:pt idx="418">
                  <c:v>0</c:v>
                </c:pt>
                <c:pt idx="419">
                  <c:v>7.6855501979038818E-3</c:v>
                </c:pt>
                <c:pt idx="420">
                  <c:v>1.9088873876736422E-2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2.3808325257449203E-2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2.0052703340860448E-3</c:v>
                </c:pt>
                <c:pt idx="454">
                  <c:v>0</c:v>
                </c:pt>
                <c:pt idx="455">
                  <c:v>0</c:v>
                </c:pt>
                <c:pt idx="456">
                  <c:v>6.2163866913341852E-3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4.7120963301192767E-2</c:v>
                </c:pt>
                <c:pt idx="465">
                  <c:v>0</c:v>
                </c:pt>
                <c:pt idx="466">
                  <c:v>1.9238949134582444E-3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4.9542872489481086E-3</c:v>
                </c:pt>
                <c:pt idx="472">
                  <c:v>3.319964316547558E-3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1.2931418104455262E-2</c:v>
                </c:pt>
                <c:pt idx="491">
                  <c:v>0</c:v>
                </c:pt>
                <c:pt idx="492">
                  <c:v>0</c:v>
                </c:pt>
                <c:pt idx="493">
                  <c:v>2.3766144776405075E-2</c:v>
                </c:pt>
                <c:pt idx="494">
                  <c:v>0</c:v>
                </c:pt>
                <c:pt idx="495">
                  <c:v>0</c:v>
                </c:pt>
                <c:pt idx="496">
                  <c:v>1.8133685160607718E-2</c:v>
                </c:pt>
                <c:pt idx="497">
                  <c:v>6.0466446295322288E-3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2.8043017643304248E-3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2.450402103098711E-3</c:v>
                </c:pt>
                <c:pt idx="521">
                  <c:v>2.5561445112144004E-2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1.4466273707793423E-2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5.3471664095328343E-3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1.4695628276227099E-2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2.1251863460288959E-2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1.2274766832308631E-2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6.7149776148953564E-3</c:v>
                </c:pt>
                <c:pt idx="559">
                  <c:v>0</c:v>
                </c:pt>
                <c:pt idx="560">
                  <c:v>0</c:v>
                </c:pt>
                <c:pt idx="561">
                  <c:v>1.7661821674508152E-2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2.7526208745191651E-2</c:v>
                </c:pt>
                <c:pt idx="566">
                  <c:v>0</c:v>
                </c:pt>
                <c:pt idx="567">
                  <c:v>0</c:v>
                </c:pt>
                <c:pt idx="568">
                  <c:v>8.1967672041784907E-3</c:v>
                </c:pt>
                <c:pt idx="569">
                  <c:v>0</c:v>
                </c:pt>
                <c:pt idx="570">
                  <c:v>1.0214192122307978E-2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1.604523571620534E-3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1.3140052019727578E-2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1.6721340578998951E-2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1.6454134138308837E-4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3.741297896340983E-3</c:v>
                </c:pt>
                <c:pt idx="603">
                  <c:v>0</c:v>
                </c:pt>
                <c:pt idx="604">
                  <c:v>0</c:v>
                </c:pt>
                <c:pt idx="605">
                  <c:v>1.4829959230085934E-3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4.030351591263779E-3</c:v>
                </c:pt>
                <c:pt idx="613">
                  <c:v>0</c:v>
                </c:pt>
                <c:pt idx="614">
                  <c:v>2.5236361499944788E-3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1.2259280838310032E-2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9.9238020967312331E-3</c:v>
                </c:pt>
                <c:pt idx="627">
                  <c:v>0</c:v>
                </c:pt>
                <c:pt idx="628">
                  <c:v>2.580646593491713E-3</c:v>
                </c:pt>
                <c:pt idx="629">
                  <c:v>0</c:v>
                </c:pt>
                <c:pt idx="630">
                  <c:v>3.6015919040201323E-5</c:v>
                </c:pt>
                <c:pt idx="631">
                  <c:v>8.1422283073840241E-3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1.3111418349215869E-2</c:v>
                </c:pt>
                <c:pt idx="636">
                  <c:v>5.4304557665760212E-3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7.4190667024540387E-3</c:v>
                </c:pt>
                <c:pt idx="642">
                  <c:v>1.6704056857899399E-2</c:v>
                </c:pt>
                <c:pt idx="643">
                  <c:v>1.2261142472745878E-2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1.7788944156325662E-3</c:v>
                </c:pt>
                <c:pt idx="657">
                  <c:v>0</c:v>
                </c:pt>
                <c:pt idx="658">
                  <c:v>1.0434996688301102E-2</c:v>
                </c:pt>
                <c:pt idx="659">
                  <c:v>5.9579714927386141E-3</c:v>
                </c:pt>
                <c:pt idx="660">
                  <c:v>0</c:v>
                </c:pt>
                <c:pt idx="661">
                  <c:v>0</c:v>
                </c:pt>
                <c:pt idx="662">
                  <c:v>2.0562426602798858E-2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2.5149306274485618E-2</c:v>
                </c:pt>
                <c:pt idx="693">
                  <c:v>0</c:v>
                </c:pt>
                <c:pt idx="694">
                  <c:v>1.9760378569608793E-2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3.0543304222980113E-3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6.4053014026805273E-3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1.1351065273581687E-2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2.763540871791554E-3</c:v>
                </c:pt>
                <c:pt idx="719">
                  <c:v>0</c:v>
                </c:pt>
                <c:pt idx="720">
                  <c:v>0</c:v>
                </c:pt>
                <c:pt idx="721">
                  <c:v>4.9153484668075743E-3</c:v>
                </c:pt>
                <c:pt idx="722">
                  <c:v>1.2822412845971506E-2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9.7967511820325169E-3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2.0491810449354236E-3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5.0961907078251353E-4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2.2442994337211241E-3</c:v>
                </c:pt>
                <c:pt idx="768">
                  <c:v>0</c:v>
                </c:pt>
                <c:pt idx="769">
                  <c:v>0</c:v>
                </c:pt>
                <c:pt idx="770">
                  <c:v>1.1478731847818272E-3</c:v>
                </c:pt>
                <c:pt idx="771">
                  <c:v>0</c:v>
                </c:pt>
                <c:pt idx="772">
                  <c:v>0</c:v>
                </c:pt>
                <c:pt idx="773">
                  <c:v>1.049376824305746E-2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1.5107484144268837E-2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3.7085023085299436E-3</c:v>
                </c:pt>
                <c:pt idx="831">
                  <c:v>0</c:v>
                </c:pt>
                <c:pt idx="832">
                  <c:v>0</c:v>
                </c:pt>
                <c:pt idx="833">
                  <c:v>2.4120141829283414E-2</c:v>
                </c:pt>
                <c:pt idx="834">
                  <c:v>0</c:v>
                </c:pt>
                <c:pt idx="835">
                  <c:v>0</c:v>
                </c:pt>
                <c:pt idx="836">
                  <c:v>2.2380265511675688E-2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1.4542117292354118E-3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2.0209821499577903E-3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2.2384184262158456E-2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1.4630442487368323E-2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1.2701943730024361E-2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7.0385275114170451E-3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1.1034296291789666E-2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8.4596174709630455E-3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3.3108336061293472E-2</c:v>
                </c:pt>
                <c:pt idx="945">
                  <c:v>0</c:v>
                </c:pt>
                <c:pt idx="946">
                  <c:v>1.2849343239165513E-3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2.0966499479335061E-2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3.2782294658244462E-2</c:v>
                </c:pt>
                <c:pt idx="969">
                  <c:v>2.8849438767880896E-2</c:v>
                </c:pt>
                <c:pt idx="970">
                  <c:v>4.3788658662332882E-3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3.4349362306066067E-3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1.2322989786129564E-2</c:v>
                </c:pt>
                <c:pt idx="992">
                  <c:v>0</c:v>
                </c:pt>
                <c:pt idx="993">
                  <c:v>2.8479823343192653E-2</c:v>
                </c:pt>
                <c:pt idx="994">
                  <c:v>1.7313900497997487E-2</c:v>
                </c:pt>
                <c:pt idx="995">
                  <c:v>1.1669974483490499E-3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5.5987704570208338E-3</c:v>
                </c:pt>
                <c:pt idx="1000">
                  <c:v>1.0818031174468079E-2</c:v>
                </c:pt>
                <c:pt idx="1001">
                  <c:v>0</c:v>
                </c:pt>
                <c:pt idx="1002">
                  <c:v>2.2645317066369822E-3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7.5882549349352126E-3</c:v>
                </c:pt>
                <c:pt idx="1013">
                  <c:v>0</c:v>
                </c:pt>
                <c:pt idx="1014">
                  <c:v>0</c:v>
                </c:pt>
                <c:pt idx="1015">
                  <c:v>3.0141941019042238E-3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3.0764748031631706E-2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1.9462595113277387E-2</c:v>
                </c:pt>
                <c:pt idx="1048">
                  <c:v>0</c:v>
                </c:pt>
                <c:pt idx="1049">
                  <c:v>6.1699664649621077E-3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1.767334068305166E-2</c:v>
                </c:pt>
                <c:pt idx="1057">
                  <c:v>0</c:v>
                </c:pt>
                <c:pt idx="1058">
                  <c:v>1.1626573025626578E-2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1.0425904589784402E-2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2.5212294926951224E-2</c:v>
                </c:pt>
                <c:pt idx="1073">
                  <c:v>0</c:v>
                </c:pt>
                <c:pt idx="1074">
                  <c:v>0</c:v>
                </c:pt>
                <c:pt idx="1075">
                  <c:v>2.3308387441887124E-3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2.7738289418866382E-4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6.9931602430454834E-2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1.7148536682306217E-2</c:v>
                </c:pt>
                <c:pt idx="1096">
                  <c:v>0</c:v>
                </c:pt>
                <c:pt idx="1097">
                  <c:v>0</c:v>
                </c:pt>
                <c:pt idx="1098">
                  <c:v>1.5846582557063886E-3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9.0824441027961261E-3</c:v>
                </c:pt>
                <c:pt idx="1120">
                  <c:v>3.1398470987524872E-2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9.1843688194433309E-3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1.6866034993246487E-2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1.2495167186658946E-3</c:v>
                </c:pt>
                <c:pt idx="1152">
                  <c:v>0</c:v>
                </c:pt>
                <c:pt idx="1153">
                  <c:v>0</c:v>
                </c:pt>
                <c:pt idx="1154">
                  <c:v>3.4227770106877997E-3</c:v>
                </c:pt>
                <c:pt idx="1155">
                  <c:v>7.0832806149652063E-3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9.3946896695333831E-3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1.1564213096414565E-3</c:v>
                </c:pt>
                <c:pt idx="1173">
                  <c:v>0</c:v>
                </c:pt>
                <c:pt idx="1174">
                  <c:v>2.7421485145284557E-3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1.3129159653535925E-2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2.0802337362564502E-3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1.2532900499997019E-3</c:v>
                </c:pt>
                <c:pt idx="1198">
                  <c:v>0</c:v>
                </c:pt>
                <c:pt idx="1199">
                  <c:v>7.7920890998744797E-3</c:v>
                </c:pt>
                <c:pt idx="1200">
                  <c:v>0</c:v>
                </c:pt>
                <c:pt idx="1201">
                  <c:v>1.2197303198236704E-2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3.6587434794169253E-3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3.0216840052984643E-2</c:v>
                </c:pt>
                <c:pt idx="1212">
                  <c:v>0</c:v>
                </c:pt>
                <c:pt idx="1213">
                  <c:v>0</c:v>
                </c:pt>
                <c:pt idx="1214">
                  <c:v>2.2485657753747654E-2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1.0517063653828608E-2</c:v>
                </c:pt>
                <c:pt idx="1220">
                  <c:v>0</c:v>
                </c:pt>
                <c:pt idx="1221">
                  <c:v>7.3784757114190693E-3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1.7430453096400955E-2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1.2731221869945538E-2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1.5836148681733716E-4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8.2609631901485788E-3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5.1656064714049113E-3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2.7803044162468061E-3</c:v>
                </c:pt>
                <c:pt idx="1253">
                  <c:v>0</c:v>
                </c:pt>
                <c:pt idx="1254">
                  <c:v>0</c:v>
                </c:pt>
                <c:pt idx="1255">
                  <c:v>3.2294683435980338E-3</c:v>
                </c:pt>
                <c:pt idx="1256">
                  <c:v>2.0231066901477699E-3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E35-42A5-AAAA-A8B28234B61A}"/>
            </c:ext>
          </c:extLst>
        </c:ser>
        <c:ser>
          <c:idx val="3"/>
          <c:order val="3"/>
          <c:tx>
            <c:v>4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4"/>
              </a:solidFill>
              <a:ln w="9525">
                <a:noFill/>
              </a:ln>
              <a:effectLst/>
            </c:spPr>
          </c:marker>
          <c:dPt>
            <c:idx val="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BB-F2A4-406A-A7DA-6B5418467181}"/>
              </c:ext>
            </c:extLst>
          </c:dPt>
          <c:dPt>
            <c:idx val="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C0-F2A4-406A-A7DA-6B5418467181}"/>
              </c:ext>
            </c:extLst>
          </c:dPt>
          <c:dPt>
            <c:idx val="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C1-F2A4-406A-A7DA-6B5418467181}"/>
              </c:ext>
            </c:extLst>
          </c:dPt>
          <c:dPt>
            <c:idx val="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C2-F2A4-406A-A7DA-6B5418467181}"/>
              </c:ext>
            </c:extLst>
          </c:dPt>
          <c:dPt>
            <c:idx val="1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C6-F2A4-406A-A7DA-6B5418467181}"/>
              </c:ext>
            </c:extLst>
          </c:dPt>
          <c:dPt>
            <c:idx val="1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C7-F2A4-406A-A7DA-6B5418467181}"/>
              </c:ext>
            </c:extLst>
          </c:dPt>
          <c:dPt>
            <c:idx val="1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C8-F2A4-406A-A7DA-6B5418467181}"/>
              </c:ext>
            </c:extLst>
          </c:dPt>
          <c:dPt>
            <c:idx val="1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C9-F2A4-406A-A7DA-6B5418467181}"/>
              </c:ext>
            </c:extLst>
          </c:dPt>
          <c:dPt>
            <c:idx val="1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CB-F2A4-406A-A7DA-6B5418467181}"/>
              </c:ext>
            </c:extLst>
          </c:dPt>
          <c:dPt>
            <c:idx val="1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CC-F2A4-406A-A7DA-6B5418467181}"/>
              </c:ext>
            </c:extLst>
          </c:dPt>
          <c:dPt>
            <c:idx val="1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CE-F2A4-406A-A7DA-6B5418467181}"/>
              </c:ext>
            </c:extLst>
          </c:dPt>
          <c:dPt>
            <c:idx val="2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CF-F2A4-406A-A7DA-6B5418467181}"/>
              </c:ext>
            </c:extLst>
          </c:dPt>
          <c:dPt>
            <c:idx val="2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D2-F2A4-406A-A7DA-6B5418467181}"/>
              </c:ext>
            </c:extLst>
          </c:dPt>
          <c:dPt>
            <c:idx val="2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D3-F2A4-406A-A7DA-6B5418467181}"/>
              </c:ext>
            </c:extLst>
          </c:dPt>
          <c:dPt>
            <c:idx val="2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D4-F2A4-406A-A7DA-6B5418467181}"/>
              </c:ext>
            </c:extLst>
          </c:dPt>
          <c:dPt>
            <c:idx val="2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D5-F2A4-406A-A7DA-6B5418467181}"/>
              </c:ext>
            </c:extLst>
          </c:dPt>
          <c:dPt>
            <c:idx val="2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D6-F2A4-406A-A7DA-6B5418467181}"/>
              </c:ext>
            </c:extLst>
          </c:dPt>
          <c:dPt>
            <c:idx val="2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D7-F2A4-406A-A7DA-6B5418467181}"/>
              </c:ext>
            </c:extLst>
          </c:dPt>
          <c:dPt>
            <c:idx val="2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D8-F2A4-406A-A7DA-6B5418467181}"/>
              </c:ext>
            </c:extLst>
          </c:dPt>
          <c:dPt>
            <c:idx val="3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DA-F2A4-406A-A7DA-6B5418467181}"/>
              </c:ext>
            </c:extLst>
          </c:dPt>
          <c:dPt>
            <c:idx val="3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DB-F2A4-406A-A7DA-6B5418467181}"/>
              </c:ext>
            </c:extLst>
          </c:dPt>
          <c:dPt>
            <c:idx val="3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DC-F2A4-406A-A7DA-6B5418467181}"/>
              </c:ext>
            </c:extLst>
          </c:dPt>
          <c:dPt>
            <c:idx val="3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DF-F2A4-406A-A7DA-6B5418467181}"/>
              </c:ext>
            </c:extLst>
          </c:dPt>
          <c:dPt>
            <c:idx val="3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E0-F2A4-406A-A7DA-6B5418467181}"/>
              </c:ext>
            </c:extLst>
          </c:dPt>
          <c:dPt>
            <c:idx val="3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E1-F2A4-406A-A7DA-6B5418467181}"/>
              </c:ext>
            </c:extLst>
          </c:dPt>
          <c:dPt>
            <c:idx val="3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E2-F2A4-406A-A7DA-6B5418467181}"/>
              </c:ext>
            </c:extLst>
          </c:dPt>
          <c:dPt>
            <c:idx val="4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E3-F2A4-406A-A7DA-6B5418467181}"/>
              </c:ext>
            </c:extLst>
          </c:dPt>
          <c:dPt>
            <c:idx val="4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E4-F2A4-406A-A7DA-6B5418467181}"/>
              </c:ext>
            </c:extLst>
          </c:dPt>
          <c:dPt>
            <c:idx val="4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E5-F2A4-406A-A7DA-6B5418467181}"/>
              </c:ext>
            </c:extLst>
          </c:dPt>
          <c:dPt>
            <c:idx val="4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E6-F2A4-406A-A7DA-6B5418467181}"/>
              </c:ext>
            </c:extLst>
          </c:dPt>
          <c:dPt>
            <c:idx val="4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E9-F2A4-406A-A7DA-6B5418467181}"/>
              </c:ext>
            </c:extLst>
          </c:dPt>
          <c:dPt>
            <c:idx val="4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EC-F2A4-406A-A7DA-6B5418467181}"/>
              </c:ext>
            </c:extLst>
          </c:dPt>
          <c:dPt>
            <c:idx val="5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ED-F2A4-406A-A7DA-6B5418467181}"/>
              </c:ext>
            </c:extLst>
          </c:dPt>
          <c:dPt>
            <c:idx val="5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EE-F2A4-406A-A7DA-6B5418467181}"/>
              </c:ext>
            </c:extLst>
          </c:dPt>
          <c:dPt>
            <c:idx val="5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EF-F2A4-406A-A7DA-6B5418467181}"/>
              </c:ext>
            </c:extLst>
          </c:dPt>
          <c:dPt>
            <c:idx val="5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F1-F2A4-406A-A7DA-6B5418467181}"/>
              </c:ext>
            </c:extLst>
          </c:dPt>
          <c:dPt>
            <c:idx val="5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F2-F2A4-406A-A7DA-6B5418467181}"/>
              </c:ext>
            </c:extLst>
          </c:dPt>
          <c:dPt>
            <c:idx val="5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F4-F2A4-406A-A7DA-6B5418467181}"/>
              </c:ext>
            </c:extLst>
          </c:dPt>
          <c:dPt>
            <c:idx val="6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F8-F2A4-406A-A7DA-6B5418467181}"/>
              </c:ext>
            </c:extLst>
          </c:dPt>
          <c:dPt>
            <c:idx val="6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FA-F2A4-406A-A7DA-6B5418467181}"/>
              </c:ext>
            </c:extLst>
          </c:dPt>
          <c:dPt>
            <c:idx val="6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FC-F2A4-406A-A7DA-6B5418467181}"/>
              </c:ext>
            </c:extLst>
          </c:dPt>
          <c:dPt>
            <c:idx val="6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FD-F2A4-406A-A7DA-6B5418467181}"/>
              </c:ext>
            </c:extLst>
          </c:dPt>
          <c:dPt>
            <c:idx val="6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EFF-F2A4-406A-A7DA-6B5418467181}"/>
              </c:ext>
            </c:extLst>
          </c:dPt>
          <c:dPt>
            <c:idx val="6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00-F2A4-406A-A7DA-6B5418467181}"/>
              </c:ext>
            </c:extLst>
          </c:dPt>
          <c:dPt>
            <c:idx val="7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01-F2A4-406A-A7DA-6B5418467181}"/>
              </c:ext>
            </c:extLst>
          </c:dPt>
          <c:dPt>
            <c:idx val="7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02-F2A4-406A-A7DA-6B5418467181}"/>
              </c:ext>
            </c:extLst>
          </c:dPt>
          <c:dPt>
            <c:idx val="7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03-F2A4-406A-A7DA-6B5418467181}"/>
              </c:ext>
            </c:extLst>
          </c:dPt>
          <c:dPt>
            <c:idx val="7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05-F2A4-406A-A7DA-6B5418467181}"/>
              </c:ext>
            </c:extLst>
          </c:dPt>
          <c:dPt>
            <c:idx val="7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07-F2A4-406A-A7DA-6B5418467181}"/>
              </c:ext>
            </c:extLst>
          </c:dPt>
          <c:dPt>
            <c:idx val="7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08-F2A4-406A-A7DA-6B5418467181}"/>
              </c:ext>
            </c:extLst>
          </c:dPt>
          <c:dPt>
            <c:idx val="7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09-F2A4-406A-A7DA-6B5418467181}"/>
              </c:ext>
            </c:extLst>
          </c:dPt>
          <c:dPt>
            <c:idx val="7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0A-F2A4-406A-A7DA-6B5418467181}"/>
              </c:ext>
            </c:extLst>
          </c:dPt>
          <c:dPt>
            <c:idx val="8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0B-F2A4-406A-A7DA-6B5418467181}"/>
              </c:ext>
            </c:extLst>
          </c:dPt>
          <c:dPt>
            <c:idx val="8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0C-F2A4-406A-A7DA-6B5418467181}"/>
              </c:ext>
            </c:extLst>
          </c:dPt>
          <c:dPt>
            <c:idx val="8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0D-F2A4-406A-A7DA-6B5418467181}"/>
              </c:ext>
            </c:extLst>
          </c:dPt>
          <c:dPt>
            <c:idx val="8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0F-F2A4-406A-A7DA-6B5418467181}"/>
              </c:ext>
            </c:extLst>
          </c:dPt>
          <c:dPt>
            <c:idx val="8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10-F2A4-406A-A7DA-6B5418467181}"/>
              </c:ext>
            </c:extLst>
          </c:dPt>
          <c:dPt>
            <c:idx val="8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11-F2A4-406A-A7DA-6B5418467181}"/>
              </c:ext>
            </c:extLst>
          </c:dPt>
          <c:dPt>
            <c:idx val="8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12-F2A4-406A-A7DA-6B5418467181}"/>
              </c:ext>
            </c:extLst>
          </c:dPt>
          <c:dPt>
            <c:idx val="8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13-F2A4-406A-A7DA-6B5418467181}"/>
              </c:ext>
            </c:extLst>
          </c:dPt>
          <c:dPt>
            <c:idx val="8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14-F2A4-406A-A7DA-6B5418467181}"/>
              </c:ext>
            </c:extLst>
          </c:dPt>
          <c:dPt>
            <c:idx val="9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16-F2A4-406A-A7DA-6B5418467181}"/>
              </c:ext>
            </c:extLst>
          </c:dPt>
          <c:dPt>
            <c:idx val="9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17-F2A4-406A-A7DA-6B5418467181}"/>
              </c:ext>
            </c:extLst>
          </c:dPt>
          <c:dPt>
            <c:idx val="9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18-F2A4-406A-A7DA-6B5418467181}"/>
              </c:ext>
            </c:extLst>
          </c:dPt>
          <c:dPt>
            <c:idx val="9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19-F2A4-406A-A7DA-6B5418467181}"/>
              </c:ext>
            </c:extLst>
          </c:dPt>
          <c:dPt>
            <c:idx val="9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1A-F2A4-406A-A7DA-6B5418467181}"/>
              </c:ext>
            </c:extLst>
          </c:dPt>
          <c:dPt>
            <c:idx val="9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1B-F2A4-406A-A7DA-6B5418467181}"/>
              </c:ext>
            </c:extLst>
          </c:dPt>
          <c:dPt>
            <c:idx val="9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1C-F2A4-406A-A7DA-6B5418467181}"/>
              </c:ext>
            </c:extLst>
          </c:dPt>
          <c:dPt>
            <c:idx val="9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1D-F2A4-406A-A7DA-6B5418467181}"/>
              </c:ext>
            </c:extLst>
          </c:dPt>
          <c:dPt>
            <c:idx val="9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1E-F2A4-406A-A7DA-6B5418467181}"/>
              </c:ext>
            </c:extLst>
          </c:dPt>
          <c:dPt>
            <c:idx val="10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1F-F2A4-406A-A7DA-6B5418467181}"/>
              </c:ext>
            </c:extLst>
          </c:dPt>
          <c:dPt>
            <c:idx val="10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20-F2A4-406A-A7DA-6B5418467181}"/>
              </c:ext>
            </c:extLst>
          </c:dPt>
          <c:dPt>
            <c:idx val="10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21-F2A4-406A-A7DA-6B5418467181}"/>
              </c:ext>
            </c:extLst>
          </c:dPt>
          <c:dPt>
            <c:idx val="10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22-F2A4-406A-A7DA-6B5418467181}"/>
              </c:ext>
            </c:extLst>
          </c:dPt>
          <c:dPt>
            <c:idx val="10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26-F2A4-406A-A7DA-6B5418467181}"/>
              </c:ext>
            </c:extLst>
          </c:dPt>
          <c:dPt>
            <c:idx val="10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28-F2A4-406A-A7DA-6B5418467181}"/>
              </c:ext>
            </c:extLst>
          </c:dPt>
          <c:dPt>
            <c:idx val="11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29-F2A4-406A-A7DA-6B5418467181}"/>
              </c:ext>
            </c:extLst>
          </c:dPt>
          <c:dPt>
            <c:idx val="11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2D-F2A4-406A-A7DA-6B5418467181}"/>
              </c:ext>
            </c:extLst>
          </c:dPt>
          <c:dPt>
            <c:idx val="11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2F-F2A4-406A-A7DA-6B5418467181}"/>
              </c:ext>
            </c:extLst>
          </c:dPt>
          <c:dPt>
            <c:idx val="11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32-F2A4-406A-A7DA-6B5418467181}"/>
              </c:ext>
            </c:extLst>
          </c:dPt>
          <c:dPt>
            <c:idx val="12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33-F2A4-406A-A7DA-6B5418467181}"/>
              </c:ext>
            </c:extLst>
          </c:dPt>
          <c:dPt>
            <c:idx val="12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35-F2A4-406A-A7DA-6B5418467181}"/>
              </c:ext>
            </c:extLst>
          </c:dPt>
          <c:dPt>
            <c:idx val="12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37-F2A4-406A-A7DA-6B5418467181}"/>
              </c:ext>
            </c:extLst>
          </c:dPt>
          <c:dPt>
            <c:idx val="12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39-F2A4-406A-A7DA-6B5418467181}"/>
              </c:ext>
            </c:extLst>
          </c:dPt>
          <c:dPt>
            <c:idx val="12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3A-F2A4-406A-A7DA-6B5418467181}"/>
              </c:ext>
            </c:extLst>
          </c:dPt>
          <c:dPt>
            <c:idx val="12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3B-F2A4-406A-A7DA-6B5418467181}"/>
              </c:ext>
            </c:extLst>
          </c:dPt>
          <c:dPt>
            <c:idx val="13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3D-F2A4-406A-A7DA-6B5418467181}"/>
              </c:ext>
            </c:extLst>
          </c:dPt>
          <c:dPt>
            <c:idx val="13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3F-F2A4-406A-A7DA-6B5418467181}"/>
              </c:ext>
            </c:extLst>
          </c:dPt>
          <c:dPt>
            <c:idx val="13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40-F2A4-406A-A7DA-6B5418467181}"/>
              </c:ext>
            </c:extLst>
          </c:dPt>
          <c:dPt>
            <c:idx val="13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41-F2A4-406A-A7DA-6B5418467181}"/>
              </c:ext>
            </c:extLst>
          </c:dPt>
          <c:dPt>
            <c:idx val="13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42-F2A4-406A-A7DA-6B5418467181}"/>
              </c:ext>
            </c:extLst>
          </c:dPt>
          <c:dPt>
            <c:idx val="13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44-F2A4-406A-A7DA-6B5418467181}"/>
              </c:ext>
            </c:extLst>
          </c:dPt>
          <c:dPt>
            <c:idx val="14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47-F2A4-406A-A7DA-6B5418467181}"/>
              </c:ext>
            </c:extLst>
          </c:dPt>
          <c:dPt>
            <c:idx val="14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48-F2A4-406A-A7DA-6B5418467181}"/>
              </c:ext>
            </c:extLst>
          </c:dPt>
          <c:dPt>
            <c:idx val="14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49-F2A4-406A-A7DA-6B5418467181}"/>
              </c:ext>
            </c:extLst>
          </c:dPt>
          <c:dPt>
            <c:idx val="14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4A-F2A4-406A-A7DA-6B5418467181}"/>
              </c:ext>
            </c:extLst>
          </c:dPt>
          <c:dPt>
            <c:idx val="14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4B-F2A4-406A-A7DA-6B5418467181}"/>
              </c:ext>
            </c:extLst>
          </c:dPt>
          <c:dPt>
            <c:idx val="14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4C-F2A4-406A-A7DA-6B5418467181}"/>
              </c:ext>
            </c:extLst>
          </c:dPt>
          <c:dPt>
            <c:idx val="14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4D-F2A4-406A-A7DA-6B5418467181}"/>
              </c:ext>
            </c:extLst>
          </c:dPt>
          <c:dPt>
            <c:idx val="14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4E-F2A4-406A-A7DA-6B5418467181}"/>
              </c:ext>
            </c:extLst>
          </c:dPt>
          <c:dPt>
            <c:idx val="15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52-F2A4-406A-A7DA-6B5418467181}"/>
              </c:ext>
            </c:extLst>
          </c:dPt>
          <c:dPt>
            <c:idx val="15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53-F2A4-406A-A7DA-6B5418467181}"/>
              </c:ext>
            </c:extLst>
          </c:dPt>
          <c:dPt>
            <c:idx val="15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55-F2A4-406A-A7DA-6B5418467181}"/>
              </c:ext>
            </c:extLst>
          </c:dPt>
          <c:dPt>
            <c:idx val="15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56-F2A4-406A-A7DA-6B5418467181}"/>
              </c:ext>
            </c:extLst>
          </c:dPt>
          <c:dPt>
            <c:idx val="15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59-F2A4-406A-A7DA-6B5418467181}"/>
              </c:ext>
            </c:extLst>
          </c:dPt>
          <c:dPt>
            <c:idx val="15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5A-F2A4-406A-A7DA-6B5418467181}"/>
              </c:ext>
            </c:extLst>
          </c:dPt>
          <c:dPt>
            <c:idx val="16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5B-F2A4-406A-A7DA-6B5418467181}"/>
              </c:ext>
            </c:extLst>
          </c:dPt>
          <c:dPt>
            <c:idx val="16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5C-F2A4-406A-A7DA-6B5418467181}"/>
              </c:ext>
            </c:extLst>
          </c:dPt>
          <c:dPt>
            <c:idx val="16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5E-F2A4-406A-A7DA-6B5418467181}"/>
              </c:ext>
            </c:extLst>
          </c:dPt>
          <c:dPt>
            <c:idx val="16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5F-F2A4-406A-A7DA-6B5418467181}"/>
              </c:ext>
            </c:extLst>
          </c:dPt>
          <c:dPt>
            <c:idx val="16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61-F2A4-406A-A7DA-6B5418467181}"/>
              </c:ext>
            </c:extLst>
          </c:dPt>
          <c:dPt>
            <c:idx val="16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62-F2A4-406A-A7DA-6B5418467181}"/>
              </c:ext>
            </c:extLst>
          </c:dPt>
          <c:dPt>
            <c:idx val="16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63-F2A4-406A-A7DA-6B5418467181}"/>
              </c:ext>
            </c:extLst>
          </c:dPt>
          <c:dPt>
            <c:idx val="17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65-F2A4-406A-A7DA-6B5418467181}"/>
              </c:ext>
            </c:extLst>
          </c:dPt>
          <c:dPt>
            <c:idx val="17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66-F2A4-406A-A7DA-6B5418467181}"/>
              </c:ext>
            </c:extLst>
          </c:dPt>
          <c:dPt>
            <c:idx val="17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67-F2A4-406A-A7DA-6B5418467181}"/>
              </c:ext>
            </c:extLst>
          </c:dPt>
          <c:dPt>
            <c:idx val="17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69-F2A4-406A-A7DA-6B5418467181}"/>
              </c:ext>
            </c:extLst>
          </c:dPt>
          <c:dPt>
            <c:idx val="17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6A-F2A4-406A-A7DA-6B5418467181}"/>
              </c:ext>
            </c:extLst>
          </c:dPt>
          <c:dPt>
            <c:idx val="17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6B-F2A4-406A-A7DA-6B5418467181}"/>
              </c:ext>
            </c:extLst>
          </c:dPt>
          <c:dPt>
            <c:idx val="17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6D-F2A4-406A-A7DA-6B5418467181}"/>
              </c:ext>
            </c:extLst>
          </c:dPt>
          <c:dPt>
            <c:idx val="18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6F-F2A4-406A-A7DA-6B5418467181}"/>
              </c:ext>
            </c:extLst>
          </c:dPt>
          <c:dPt>
            <c:idx val="18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70-F2A4-406A-A7DA-6B5418467181}"/>
              </c:ext>
            </c:extLst>
          </c:dPt>
          <c:dPt>
            <c:idx val="18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71-F2A4-406A-A7DA-6B5418467181}"/>
              </c:ext>
            </c:extLst>
          </c:dPt>
          <c:dPt>
            <c:idx val="18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74-F2A4-406A-A7DA-6B5418467181}"/>
              </c:ext>
            </c:extLst>
          </c:dPt>
          <c:dPt>
            <c:idx val="18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75-F2A4-406A-A7DA-6B5418467181}"/>
              </c:ext>
            </c:extLst>
          </c:dPt>
          <c:dPt>
            <c:idx val="18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76-F2A4-406A-A7DA-6B5418467181}"/>
              </c:ext>
            </c:extLst>
          </c:dPt>
          <c:dPt>
            <c:idx val="18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77-F2A4-406A-A7DA-6B5418467181}"/>
              </c:ext>
            </c:extLst>
          </c:dPt>
          <c:dPt>
            <c:idx val="18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78-F2A4-406A-A7DA-6B5418467181}"/>
              </c:ext>
            </c:extLst>
          </c:dPt>
          <c:dPt>
            <c:idx val="19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79-F2A4-406A-A7DA-6B5418467181}"/>
              </c:ext>
            </c:extLst>
          </c:dPt>
          <c:dPt>
            <c:idx val="19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7A-F2A4-406A-A7DA-6B5418467181}"/>
              </c:ext>
            </c:extLst>
          </c:dPt>
          <c:dPt>
            <c:idx val="19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7B-F2A4-406A-A7DA-6B5418467181}"/>
              </c:ext>
            </c:extLst>
          </c:dPt>
          <c:dPt>
            <c:idx val="19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7F-F2A4-406A-A7DA-6B5418467181}"/>
              </c:ext>
            </c:extLst>
          </c:dPt>
          <c:dPt>
            <c:idx val="19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81-F2A4-406A-A7DA-6B5418467181}"/>
              </c:ext>
            </c:extLst>
          </c:dPt>
          <c:dPt>
            <c:idx val="19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82-F2A4-406A-A7DA-6B5418467181}"/>
              </c:ext>
            </c:extLst>
          </c:dPt>
          <c:dPt>
            <c:idx val="20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83-F2A4-406A-A7DA-6B5418467181}"/>
              </c:ext>
            </c:extLst>
          </c:dPt>
          <c:dPt>
            <c:idx val="20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84-F2A4-406A-A7DA-6B5418467181}"/>
              </c:ext>
            </c:extLst>
          </c:dPt>
          <c:dPt>
            <c:idx val="20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85-F2A4-406A-A7DA-6B5418467181}"/>
              </c:ext>
            </c:extLst>
          </c:dPt>
          <c:dPt>
            <c:idx val="20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86-F2A4-406A-A7DA-6B5418467181}"/>
              </c:ext>
            </c:extLst>
          </c:dPt>
          <c:dPt>
            <c:idx val="20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89-F2A4-406A-A7DA-6B5418467181}"/>
              </c:ext>
            </c:extLst>
          </c:dPt>
          <c:dPt>
            <c:idx val="20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8A-F2A4-406A-A7DA-6B5418467181}"/>
              </c:ext>
            </c:extLst>
          </c:dPt>
          <c:dPt>
            <c:idx val="20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8B-F2A4-406A-A7DA-6B5418467181}"/>
              </c:ext>
            </c:extLst>
          </c:dPt>
          <c:dPt>
            <c:idx val="20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8C-F2A4-406A-A7DA-6B5418467181}"/>
              </c:ext>
            </c:extLst>
          </c:dPt>
          <c:dPt>
            <c:idx val="21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8D-F2A4-406A-A7DA-6B5418467181}"/>
              </c:ext>
            </c:extLst>
          </c:dPt>
          <c:dPt>
            <c:idx val="21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8F-F2A4-406A-A7DA-6B5418467181}"/>
              </c:ext>
            </c:extLst>
          </c:dPt>
          <c:dPt>
            <c:idx val="21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90-F2A4-406A-A7DA-6B5418467181}"/>
              </c:ext>
            </c:extLst>
          </c:dPt>
          <c:dPt>
            <c:idx val="21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95-F2A4-406A-A7DA-6B5418467181}"/>
              </c:ext>
            </c:extLst>
          </c:dPt>
          <c:dPt>
            <c:idx val="22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98-F2A4-406A-A7DA-6B5418467181}"/>
              </c:ext>
            </c:extLst>
          </c:dPt>
          <c:dPt>
            <c:idx val="22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9A-F2A4-406A-A7DA-6B5418467181}"/>
              </c:ext>
            </c:extLst>
          </c:dPt>
          <c:dPt>
            <c:idx val="22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9B-F2A4-406A-A7DA-6B5418467181}"/>
              </c:ext>
            </c:extLst>
          </c:dPt>
          <c:dPt>
            <c:idx val="22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9C-F2A4-406A-A7DA-6B5418467181}"/>
              </c:ext>
            </c:extLst>
          </c:dPt>
          <c:dPt>
            <c:idx val="22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9E-F2A4-406A-A7DA-6B5418467181}"/>
              </c:ext>
            </c:extLst>
          </c:dPt>
          <c:dPt>
            <c:idx val="22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A0-F2A4-406A-A7DA-6B5418467181}"/>
              </c:ext>
            </c:extLst>
          </c:dPt>
          <c:dPt>
            <c:idx val="23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A1-F2A4-406A-A7DA-6B5418467181}"/>
              </c:ext>
            </c:extLst>
          </c:dPt>
          <c:dPt>
            <c:idx val="23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A2-F2A4-406A-A7DA-6B5418467181}"/>
              </c:ext>
            </c:extLst>
          </c:dPt>
          <c:dPt>
            <c:idx val="23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A3-F2A4-406A-A7DA-6B5418467181}"/>
              </c:ext>
            </c:extLst>
          </c:dPt>
          <c:dPt>
            <c:idx val="23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A4-F2A4-406A-A7DA-6B5418467181}"/>
              </c:ext>
            </c:extLst>
          </c:dPt>
          <c:dPt>
            <c:idx val="23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A6-F2A4-406A-A7DA-6B5418467181}"/>
              </c:ext>
            </c:extLst>
          </c:dPt>
          <c:dPt>
            <c:idx val="23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A7-F2A4-406A-A7DA-6B5418467181}"/>
              </c:ext>
            </c:extLst>
          </c:dPt>
          <c:dPt>
            <c:idx val="23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AA-F2A4-406A-A7DA-6B5418467181}"/>
              </c:ext>
            </c:extLst>
          </c:dPt>
          <c:dPt>
            <c:idx val="24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AC-F2A4-406A-A7DA-6B5418467181}"/>
              </c:ext>
            </c:extLst>
          </c:dPt>
          <c:dPt>
            <c:idx val="24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AD-F2A4-406A-A7DA-6B5418467181}"/>
              </c:ext>
            </c:extLst>
          </c:dPt>
          <c:dPt>
            <c:idx val="24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B0-F2A4-406A-A7DA-6B5418467181}"/>
              </c:ext>
            </c:extLst>
          </c:dPt>
          <c:dPt>
            <c:idx val="24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B1-F2A4-406A-A7DA-6B5418467181}"/>
              </c:ext>
            </c:extLst>
          </c:dPt>
          <c:dPt>
            <c:idx val="24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B3-F2A4-406A-A7DA-6B5418467181}"/>
              </c:ext>
            </c:extLst>
          </c:dPt>
          <c:dPt>
            <c:idx val="24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B4-F2A4-406A-A7DA-6B5418467181}"/>
              </c:ext>
            </c:extLst>
          </c:dPt>
          <c:dPt>
            <c:idx val="25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B7-F2A4-406A-A7DA-6B5418467181}"/>
              </c:ext>
            </c:extLst>
          </c:dPt>
          <c:dPt>
            <c:idx val="25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B9-F2A4-406A-A7DA-6B5418467181}"/>
              </c:ext>
            </c:extLst>
          </c:dPt>
          <c:dPt>
            <c:idx val="25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BB-F2A4-406A-A7DA-6B5418467181}"/>
              </c:ext>
            </c:extLst>
          </c:dPt>
          <c:dPt>
            <c:idx val="25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BC-F2A4-406A-A7DA-6B5418467181}"/>
              </c:ext>
            </c:extLst>
          </c:dPt>
          <c:dPt>
            <c:idx val="25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BE-F2A4-406A-A7DA-6B5418467181}"/>
              </c:ext>
            </c:extLst>
          </c:dPt>
          <c:dPt>
            <c:idx val="26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BF-F2A4-406A-A7DA-6B5418467181}"/>
              </c:ext>
            </c:extLst>
          </c:dPt>
          <c:dPt>
            <c:idx val="26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C0-F2A4-406A-A7DA-6B5418467181}"/>
              </c:ext>
            </c:extLst>
          </c:dPt>
          <c:dPt>
            <c:idx val="26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C1-F2A4-406A-A7DA-6B5418467181}"/>
              </c:ext>
            </c:extLst>
          </c:dPt>
          <c:dPt>
            <c:idx val="26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C2-F2A4-406A-A7DA-6B5418467181}"/>
              </c:ext>
            </c:extLst>
          </c:dPt>
          <c:dPt>
            <c:idx val="26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C3-F2A4-406A-A7DA-6B5418467181}"/>
              </c:ext>
            </c:extLst>
          </c:dPt>
          <c:dPt>
            <c:idx val="26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C5-F2A4-406A-A7DA-6B5418467181}"/>
              </c:ext>
            </c:extLst>
          </c:dPt>
          <c:dPt>
            <c:idx val="26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C6-F2A4-406A-A7DA-6B5418467181}"/>
              </c:ext>
            </c:extLst>
          </c:dPt>
          <c:dPt>
            <c:idx val="27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CA-F2A4-406A-A7DA-6B5418467181}"/>
              </c:ext>
            </c:extLst>
          </c:dPt>
          <c:dPt>
            <c:idx val="27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CD-F2A4-406A-A7DA-6B5418467181}"/>
              </c:ext>
            </c:extLst>
          </c:dPt>
          <c:dPt>
            <c:idx val="27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CF-F2A4-406A-A7DA-6B5418467181}"/>
              </c:ext>
            </c:extLst>
          </c:dPt>
          <c:dPt>
            <c:idx val="27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D1-F2A4-406A-A7DA-6B5418467181}"/>
              </c:ext>
            </c:extLst>
          </c:dPt>
          <c:dPt>
            <c:idx val="27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D2-F2A4-406A-A7DA-6B5418467181}"/>
              </c:ext>
            </c:extLst>
          </c:dPt>
          <c:dPt>
            <c:idx val="28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D3-F2A4-406A-A7DA-6B5418467181}"/>
              </c:ext>
            </c:extLst>
          </c:dPt>
          <c:dPt>
            <c:idx val="28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D4-F2A4-406A-A7DA-6B5418467181}"/>
              </c:ext>
            </c:extLst>
          </c:dPt>
          <c:dPt>
            <c:idx val="28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D7-F2A4-406A-A7DA-6B5418467181}"/>
              </c:ext>
            </c:extLst>
          </c:dPt>
          <c:dPt>
            <c:idx val="28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D8-F2A4-406A-A7DA-6B5418467181}"/>
              </c:ext>
            </c:extLst>
          </c:dPt>
          <c:dPt>
            <c:idx val="28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D9-F2A4-406A-A7DA-6B5418467181}"/>
              </c:ext>
            </c:extLst>
          </c:dPt>
          <c:dPt>
            <c:idx val="28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DA-F2A4-406A-A7DA-6B5418467181}"/>
              </c:ext>
            </c:extLst>
          </c:dPt>
          <c:dPt>
            <c:idx val="28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DB-F2A4-406A-A7DA-6B5418467181}"/>
              </c:ext>
            </c:extLst>
          </c:dPt>
          <c:dPt>
            <c:idx val="28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DC-F2A4-406A-A7DA-6B5418467181}"/>
              </c:ext>
            </c:extLst>
          </c:dPt>
          <c:dPt>
            <c:idx val="29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DD-F2A4-406A-A7DA-6B5418467181}"/>
              </c:ext>
            </c:extLst>
          </c:dPt>
          <c:dPt>
            <c:idx val="29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DF-F2A4-406A-A7DA-6B5418467181}"/>
              </c:ext>
            </c:extLst>
          </c:dPt>
          <c:dPt>
            <c:idx val="29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E1-F2A4-406A-A7DA-6B5418467181}"/>
              </c:ext>
            </c:extLst>
          </c:dPt>
          <c:dPt>
            <c:idx val="29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E2-F2A4-406A-A7DA-6B5418467181}"/>
              </c:ext>
            </c:extLst>
          </c:dPt>
          <c:dPt>
            <c:idx val="29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E3-F2A4-406A-A7DA-6B5418467181}"/>
              </c:ext>
            </c:extLst>
          </c:dPt>
          <c:dPt>
            <c:idx val="29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E5-F2A4-406A-A7DA-6B5418467181}"/>
              </c:ext>
            </c:extLst>
          </c:dPt>
          <c:dPt>
            <c:idx val="29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E6-F2A4-406A-A7DA-6B5418467181}"/>
              </c:ext>
            </c:extLst>
          </c:dPt>
          <c:dPt>
            <c:idx val="30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E7-F2A4-406A-A7DA-6B5418467181}"/>
              </c:ext>
            </c:extLst>
          </c:dPt>
          <c:dPt>
            <c:idx val="30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E8-F2A4-406A-A7DA-6B5418467181}"/>
              </c:ext>
            </c:extLst>
          </c:dPt>
          <c:dPt>
            <c:idx val="30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E9-F2A4-406A-A7DA-6B5418467181}"/>
              </c:ext>
            </c:extLst>
          </c:dPt>
          <c:dPt>
            <c:idx val="30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EA-F2A4-406A-A7DA-6B5418467181}"/>
              </c:ext>
            </c:extLst>
          </c:dPt>
          <c:dPt>
            <c:idx val="30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EC-F2A4-406A-A7DA-6B5418467181}"/>
              </c:ext>
            </c:extLst>
          </c:dPt>
          <c:dPt>
            <c:idx val="30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ED-F2A4-406A-A7DA-6B5418467181}"/>
              </c:ext>
            </c:extLst>
          </c:dPt>
          <c:dPt>
            <c:idx val="30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EF-F2A4-406A-A7DA-6B5418467181}"/>
              </c:ext>
            </c:extLst>
          </c:dPt>
          <c:dPt>
            <c:idx val="30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F0-F2A4-406A-A7DA-6B5418467181}"/>
              </c:ext>
            </c:extLst>
          </c:dPt>
          <c:dPt>
            <c:idx val="31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F1-F2A4-406A-A7DA-6B5418467181}"/>
              </c:ext>
            </c:extLst>
          </c:dPt>
          <c:dPt>
            <c:idx val="31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F2-F2A4-406A-A7DA-6B5418467181}"/>
              </c:ext>
            </c:extLst>
          </c:dPt>
          <c:dPt>
            <c:idx val="31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F3-F2A4-406A-A7DA-6B5418467181}"/>
              </c:ext>
            </c:extLst>
          </c:dPt>
          <c:dPt>
            <c:idx val="31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F4-F2A4-406A-A7DA-6B5418467181}"/>
              </c:ext>
            </c:extLst>
          </c:dPt>
          <c:dPt>
            <c:idx val="31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F5-F2A4-406A-A7DA-6B5418467181}"/>
              </c:ext>
            </c:extLst>
          </c:dPt>
          <c:dPt>
            <c:idx val="31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F6-F2A4-406A-A7DA-6B5418467181}"/>
              </c:ext>
            </c:extLst>
          </c:dPt>
          <c:dPt>
            <c:idx val="31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F8-F2A4-406A-A7DA-6B5418467181}"/>
              </c:ext>
            </c:extLst>
          </c:dPt>
          <c:dPt>
            <c:idx val="32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FFD-F2A4-406A-A7DA-6B5418467181}"/>
              </c:ext>
            </c:extLst>
          </c:dPt>
          <c:dPt>
            <c:idx val="32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00-F2A4-406A-A7DA-6B5418467181}"/>
              </c:ext>
            </c:extLst>
          </c:dPt>
          <c:dPt>
            <c:idx val="32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01-F2A4-406A-A7DA-6B5418467181}"/>
              </c:ext>
            </c:extLst>
          </c:dPt>
          <c:dPt>
            <c:idx val="32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03-F2A4-406A-A7DA-6B5418467181}"/>
              </c:ext>
            </c:extLst>
          </c:dPt>
          <c:dPt>
            <c:idx val="33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05-F2A4-406A-A7DA-6B5418467181}"/>
              </c:ext>
            </c:extLst>
          </c:dPt>
          <c:dPt>
            <c:idx val="33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06-F2A4-406A-A7DA-6B5418467181}"/>
              </c:ext>
            </c:extLst>
          </c:dPt>
          <c:dPt>
            <c:idx val="33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08-F2A4-406A-A7DA-6B5418467181}"/>
              </c:ext>
            </c:extLst>
          </c:dPt>
          <c:dPt>
            <c:idx val="33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09-F2A4-406A-A7DA-6B5418467181}"/>
              </c:ext>
            </c:extLst>
          </c:dPt>
          <c:dPt>
            <c:idx val="33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0D-F2A4-406A-A7DA-6B5418467181}"/>
              </c:ext>
            </c:extLst>
          </c:dPt>
          <c:dPt>
            <c:idx val="34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0F-F2A4-406A-A7DA-6B5418467181}"/>
              </c:ext>
            </c:extLst>
          </c:dPt>
          <c:dPt>
            <c:idx val="34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10-F2A4-406A-A7DA-6B5418467181}"/>
              </c:ext>
            </c:extLst>
          </c:dPt>
          <c:dPt>
            <c:idx val="34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11-F2A4-406A-A7DA-6B5418467181}"/>
              </c:ext>
            </c:extLst>
          </c:dPt>
          <c:dPt>
            <c:idx val="34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13-F2A4-406A-A7DA-6B5418467181}"/>
              </c:ext>
            </c:extLst>
          </c:dPt>
          <c:dPt>
            <c:idx val="34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15-F2A4-406A-A7DA-6B5418467181}"/>
              </c:ext>
            </c:extLst>
          </c:dPt>
          <c:dPt>
            <c:idx val="34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17-F2A4-406A-A7DA-6B5418467181}"/>
              </c:ext>
            </c:extLst>
          </c:dPt>
          <c:dPt>
            <c:idx val="34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18-F2A4-406A-A7DA-6B5418467181}"/>
              </c:ext>
            </c:extLst>
          </c:dPt>
          <c:dPt>
            <c:idx val="35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19-F2A4-406A-A7DA-6B5418467181}"/>
              </c:ext>
            </c:extLst>
          </c:dPt>
          <c:dPt>
            <c:idx val="35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1B-F2A4-406A-A7DA-6B5418467181}"/>
              </c:ext>
            </c:extLst>
          </c:dPt>
          <c:dPt>
            <c:idx val="35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1D-F2A4-406A-A7DA-6B5418467181}"/>
              </c:ext>
            </c:extLst>
          </c:dPt>
          <c:dPt>
            <c:idx val="35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1E-F2A4-406A-A7DA-6B5418467181}"/>
              </c:ext>
            </c:extLst>
          </c:dPt>
          <c:dPt>
            <c:idx val="35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20-F2A4-406A-A7DA-6B5418467181}"/>
              </c:ext>
            </c:extLst>
          </c:dPt>
          <c:dPt>
            <c:idx val="36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23-F2A4-406A-A7DA-6B5418467181}"/>
              </c:ext>
            </c:extLst>
          </c:dPt>
          <c:dPt>
            <c:idx val="36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25-F2A4-406A-A7DA-6B5418467181}"/>
              </c:ext>
            </c:extLst>
          </c:dPt>
          <c:dPt>
            <c:idx val="36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26-F2A4-406A-A7DA-6B5418467181}"/>
              </c:ext>
            </c:extLst>
          </c:dPt>
          <c:dPt>
            <c:idx val="36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28-F2A4-406A-A7DA-6B5418467181}"/>
              </c:ext>
            </c:extLst>
          </c:dPt>
          <c:dPt>
            <c:idx val="36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2B-F2A4-406A-A7DA-6B5418467181}"/>
              </c:ext>
            </c:extLst>
          </c:dPt>
          <c:dPt>
            <c:idx val="36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2C-F2A4-406A-A7DA-6B5418467181}"/>
              </c:ext>
            </c:extLst>
          </c:dPt>
          <c:dPt>
            <c:idx val="37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2E-F2A4-406A-A7DA-6B5418467181}"/>
              </c:ext>
            </c:extLst>
          </c:dPt>
          <c:dPt>
            <c:idx val="37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30-F2A4-406A-A7DA-6B5418467181}"/>
              </c:ext>
            </c:extLst>
          </c:dPt>
          <c:dPt>
            <c:idx val="37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36-F2A4-406A-A7DA-6B5418467181}"/>
              </c:ext>
            </c:extLst>
          </c:dPt>
          <c:dPt>
            <c:idx val="38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37-F2A4-406A-A7DA-6B5418467181}"/>
              </c:ext>
            </c:extLst>
          </c:dPt>
          <c:dPt>
            <c:idx val="38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39-F2A4-406A-A7DA-6B5418467181}"/>
              </c:ext>
            </c:extLst>
          </c:dPt>
          <c:dPt>
            <c:idx val="38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3A-F2A4-406A-A7DA-6B5418467181}"/>
              </c:ext>
            </c:extLst>
          </c:dPt>
          <c:dPt>
            <c:idx val="38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3C-F2A4-406A-A7DA-6B5418467181}"/>
              </c:ext>
            </c:extLst>
          </c:dPt>
          <c:dPt>
            <c:idx val="38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3D-F2A4-406A-A7DA-6B5418467181}"/>
              </c:ext>
            </c:extLst>
          </c:dPt>
          <c:dPt>
            <c:idx val="38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3E-F2A4-406A-A7DA-6B5418467181}"/>
              </c:ext>
            </c:extLst>
          </c:dPt>
          <c:dPt>
            <c:idx val="38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40-F2A4-406A-A7DA-6B5418467181}"/>
              </c:ext>
            </c:extLst>
          </c:dPt>
          <c:dPt>
            <c:idx val="39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42-F2A4-406A-A7DA-6B5418467181}"/>
              </c:ext>
            </c:extLst>
          </c:dPt>
          <c:dPt>
            <c:idx val="39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43-F2A4-406A-A7DA-6B5418467181}"/>
              </c:ext>
            </c:extLst>
          </c:dPt>
          <c:dPt>
            <c:idx val="39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45-F2A4-406A-A7DA-6B5418467181}"/>
              </c:ext>
            </c:extLst>
          </c:dPt>
          <c:dPt>
            <c:idx val="39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47-F2A4-406A-A7DA-6B5418467181}"/>
              </c:ext>
            </c:extLst>
          </c:dPt>
          <c:dPt>
            <c:idx val="39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48-F2A4-406A-A7DA-6B5418467181}"/>
              </c:ext>
            </c:extLst>
          </c:dPt>
          <c:dPt>
            <c:idx val="39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4A-F2A4-406A-A7DA-6B5418467181}"/>
              </c:ext>
            </c:extLst>
          </c:dPt>
          <c:dPt>
            <c:idx val="40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4B-F2A4-406A-A7DA-6B5418467181}"/>
              </c:ext>
            </c:extLst>
          </c:dPt>
          <c:dPt>
            <c:idx val="40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4D-F2A4-406A-A7DA-6B5418467181}"/>
              </c:ext>
            </c:extLst>
          </c:dPt>
          <c:dPt>
            <c:idx val="40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4E-F2A4-406A-A7DA-6B5418467181}"/>
              </c:ext>
            </c:extLst>
          </c:dPt>
          <c:dPt>
            <c:idx val="40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4F-F2A4-406A-A7DA-6B5418467181}"/>
              </c:ext>
            </c:extLst>
          </c:dPt>
          <c:dPt>
            <c:idx val="40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51-F2A4-406A-A7DA-6B5418467181}"/>
              </c:ext>
            </c:extLst>
          </c:dPt>
          <c:dPt>
            <c:idx val="41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55-F2A4-406A-A7DA-6B5418467181}"/>
              </c:ext>
            </c:extLst>
          </c:dPt>
          <c:dPt>
            <c:idx val="41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57-F2A4-406A-A7DA-6B5418467181}"/>
              </c:ext>
            </c:extLst>
          </c:dPt>
          <c:dPt>
            <c:idx val="41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58-F2A4-406A-A7DA-6B5418467181}"/>
              </c:ext>
            </c:extLst>
          </c:dPt>
          <c:dPt>
            <c:idx val="41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5C-F2A4-406A-A7DA-6B5418467181}"/>
              </c:ext>
            </c:extLst>
          </c:dPt>
          <c:dPt>
            <c:idx val="41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5D-F2A4-406A-A7DA-6B5418467181}"/>
              </c:ext>
            </c:extLst>
          </c:dPt>
          <c:dPt>
            <c:idx val="41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5E-F2A4-406A-A7DA-6B5418467181}"/>
              </c:ext>
            </c:extLst>
          </c:dPt>
          <c:dPt>
            <c:idx val="42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5F-F2A4-406A-A7DA-6B5418467181}"/>
              </c:ext>
            </c:extLst>
          </c:dPt>
          <c:dPt>
            <c:idx val="42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60-F2A4-406A-A7DA-6B5418467181}"/>
              </c:ext>
            </c:extLst>
          </c:dPt>
          <c:dPt>
            <c:idx val="42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61-F2A4-406A-A7DA-6B5418467181}"/>
              </c:ext>
            </c:extLst>
          </c:dPt>
          <c:dPt>
            <c:idx val="42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62-F2A4-406A-A7DA-6B5418467181}"/>
              </c:ext>
            </c:extLst>
          </c:dPt>
          <c:dPt>
            <c:idx val="42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64-F2A4-406A-A7DA-6B5418467181}"/>
              </c:ext>
            </c:extLst>
          </c:dPt>
          <c:dPt>
            <c:idx val="42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65-F2A4-406A-A7DA-6B5418467181}"/>
              </c:ext>
            </c:extLst>
          </c:dPt>
          <c:dPt>
            <c:idx val="42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68-F2A4-406A-A7DA-6B5418467181}"/>
              </c:ext>
            </c:extLst>
          </c:dPt>
          <c:dPt>
            <c:idx val="43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69-F2A4-406A-A7DA-6B5418467181}"/>
              </c:ext>
            </c:extLst>
          </c:dPt>
          <c:dPt>
            <c:idx val="43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6A-F2A4-406A-A7DA-6B5418467181}"/>
              </c:ext>
            </c:extLst>
          </c:dPt>
          <c:dPt>
            <c:idx val="43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6C-F2A4-406A-A7DA-6B5418467181}"/>
              </c:ext>
            </c:extLst>
          </c:dPt>
          <c:dPt>
            <c:idx val="43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6D-F2A4-406A-A7DA-6B5418467181}"/>
              </c:ext>
            </c:extLst>
          </c:dPt>
          <c:dPt>
            <c:idx val="43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71-F2A4-406A-A7DA-6B5418467181}"/>
              </c:ext>
            </c:extLst>
          </c:dPt>
          <c:dPt>
            <c:idx val="44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74-F2A4-406A-A7DA-6B5418467181}"/>
              </c:ext>
            </c:extLst>
          </c:dPt>
          <c:dPt>
            <c:idx val="44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76-F2A4-406A-A7DA-6B5418467181}"/>
              </c:ext>
            </c:extLst>
          </c:dPt>
          <c:dPt>
            <c:idx val="44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7C-F2A4-406A-A7DA-6B5418467181}"/>
              </c:ext>
            </c:extLst>
          </c:dPt>
          <c:dPt>
            <c:idx val="45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7D-F2A4-406A-A7DA-6B5418467181}"/>
              </c:ext>
            </c:extLst>
          </c:dPt>
          <c:dPt>
            <c:idx val="45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7E-F2A4-406A-A7DA-6B5418467181}"/>
              </c:ext>
            </c:extLst>
          </c:dPt>
          <c:dPt>
            <c:idx val="45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7F-F2A4-406A-A7DA-6B5418467181}"/>
              </c:ext>
            </c:extLst>
          </c:dPt>
          <c:dPt>
            <c:idx val="45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80-F2A4-406A-A7DA-6B5418467181}"/>
              </c:ext>
            </c:extLst>
          </c:dPt>
          <c:dPt>
            <c:idx val="45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83-F2A4-406A-A7DA-6B5418467181}"/>
              </c:ext>
            </c:extLst>
          </c:dPt>
          <c:dPt>
            <c:idx val="45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84-F2A4-406A-A7DA-6B5418467181}"/>
              </c:ext>
            </c:extLst>
          </c:dPt>
          <c:dPt>
            <c:idx val="45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86-F2A4-406A-A7DA-6B5418467181}"/>
              </c:ext>
            </c:extLst>
          </c:dPt>
          <c:dPt>
            <c:idx val="46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88-F2A4-406A-A7DA-6B5418467181}"/>
              </c:ext>
            </c:extLst>
          </c:dPt>
          <c:dPt>
            <c:idx val="46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89-F2A4-406A-A7DA-6B5418467181}"/>
              </c:ext>
            </c:extLst>
          </c:dPt>
          <c:dPt>
            <c:idx val="46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8B-F2A4-406A-A7DA-6B5418467181}"/>
              </c:ext>
            </c:extLst>
          </c:dPt>
          <c:dPt>
            <c:idx val="46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8D-F2A4-406A-A7DA-6B5418467181}"/>
              </c:ext>
            </c:extLst>
          </c:dPt>
          <c:dPt>
            <c:idx val="46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8E-F2A4-406A-A7DA-6B5418467181}"/>
              </c:ext>
            </c:extLst>
          </c:dPt>
          <c:dPt>
            <c:idx val="46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8F-F2A4-406A-A7DA-6B5418467181}"/>
              </c:ext>
            </c:extLst>
          </c:dPt>
          <c:dPt>
            <c:idx val="47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91-F2A4-406A-A7DA-6B5418467181}"/>
              </c:ext>
            </c:extLst>
          </c:dPt>
          <c:dPt>
            <c:idx val="47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92-F2A4-406A-A7DA-6B5418467181}"/>
              </c:ext>
            </c:extLst>
          </c:dPt>
          <c:dPt>
            <c:idx val="47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93-F2A4-406A-A7DA-6B5418467181}"/>
              </c:ext>
            </c:extLst>
          </c:dPt>
          <c:dPt>
            <c:idx val="47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94-F2A4-406A-A7DA-6B5418467181}"/>
              </c:ext>
            </c:extLst>
          </c:dPt>
          <c:dPt>
            <c:idx val="47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95-F2A4-406A-A7DA-6B5418467181}"/>
              </c:ext>
            </c:extLst>
          </c:dPt>
          <c:dPt>
            <c:idx val="47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97-F2A4-406A-A7DA-6B5418467181}"/>
              </c:ext>
            </c:extLst>
          </c:dPt>
          <c:dPt>
            <c:idx val="47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98-F2A4-406A-A7DA-6B5418467181}"/>
              </c:ext>
            </c:extLst>
          </c:dPt>
          <c:dPt>
            <c:idx val="48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9C-F2A4-406A-A7DA-6B5418467181}"/>
              </c:ext>
            </c:extLst>
          </c:dPt>
          <c:dPt>
            <c:idx val="48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9E-F2A4-406A-A7DA-6B5418467181}"/>
              </c:ext>
            </c:extLst>
          </c:dPt>
          <c:dPt>
            <c:idx val="48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9F-F2A4-406A-A7DA-6B5418467181}"/>
              </c:ext>
            </c:extLst>
          </c:dPt>
          <c:dPt>
            <c:idx val="48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A1-F2A4-406A-A7DA-6B5418467181}"/>
              </c:ext>
            </c:extLst>
          </c:dPt>
          <c:dPt>
            <c:idx val="48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A3-F2A4-406A-A7DA-6B5418467181}"/>
              </c:ext>
            </c:extLst>
          </c:dPt>
          <c:dPt>
            <c:idx val="48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A4-F2A4-406A-A7DA-6B5418467181}"/>
              </c:ext>
            </c:extLst>
          </c:dPt>
          <c:dPt>
            <c:idx val="49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A5-F2A4-406A-A7DA-6B5418467181}"/>
              </c:ext>
            </c:extLst>
          </c:dPt>
          <c:dPt>
            <c:idx val="49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A7-F2A4-406A-A7DA-6B5418467181}"/>
              </c:ext>
            </c:extLst>
          </c:dPt>
          <c:dPt>
            <c:idx val="49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A8-F2A4-406A-A7DA-6B5418467181}"/>
              </c:ext>
            </c:extLst>
          </c:dPt>
          <c:dPt>
            <c:idx val="49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AA-F2A4-406A-A7DA-6B5418467181}"/>
              </c:ext>
            </c:extLst>
          </c:dPt>
          <c:dPt>
            <c:idx val="49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AB-F2A4-406A-A7DA-6B5418467181}"/>
              </c:ext>
            </c:extLst>
          </c:dPt>
          <c:dPt>
            <c:idx val="49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AC-F2A4-406A-A7DA-6B5418467181}"/>
              </c:ext>
            </c:extLst>
          </c:dPt>
          <c:dPt>
            <c:idx val="49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AD-F2A4-406A-A7DA-6B5418467181}"/>
              </c:ext>
            </c:extLst>
          </c:dPt>
          <c:dPt>
            <c:idx val="50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B0-F2A4-406A-A7DA-6B5418467181}"/>
              </c:ext>
            </c:extLst>
          </c:dPt>
          <c:dPt>
            <c:idx val="50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B1-F2A4-406A-A7DA-6B5418467181}"/>
              </c:ext>
            </c:extLst>
          </c:dPt>
          <c:dPt>
            <c:idx val="50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B3-F2A4-406A-A7DA-6B5418467181}"/>
              </c:ext>
            </c:extLst>
          </c:dPt>
          <c:dPt>
            <c:idx val="50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B5-F2A4-406A-A7DA-6B5418467181}"/>
              </c:ext>
            </c:extLst>
          </c:dPt>
          <c:dPt>
            <c:idx val="50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B8-F2A4-406A-A7DA-6B5418467181}"/>
              </c:ext>
            </c:extLst>
          </c:dPt>
          <c:dPt>
            <c:idx val="51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B9-F2A4-406A-A7DA-6B5418467181}"/>
              </c:ext>
            </c:extLst>
          </c:dPt>
          <c:dPt>
            <c:idx val="51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BB-F2A4-406A-A7DA-6B5418467181}"/>
              </c:ext>
            </c:extLst>
          </c:dPt>
          <c:dPt>
            <c:idx val="51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BC-F2A4-406A-A7DA-6B5418467181}"/>
              </c:ext>
            </c:extLst>
          </c:dPt>
          <c:dPt>
            <c:idx val="51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BF-F2A4-406A-A7DA-6B5418467181}"/>
              </c:ext>
            </c:extLst>
          </c:dPt>
          <c:dPt>
            <c:idx val="52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C3-F2A4-406A-A7DA-6B5418467181}"/>
              </c:ext>
            </c:extLst>
          </c:dPt>
          <c:dPt>
            <c:idx val="52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C4-F2A4-406A-A7DA-6B5418467181}"/>
              </c:ext>
            </c:extLst>
          </c:dPt>
          <c:dPt>
            <c:idx val="52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C5-F2A4-406A-A7DA-6B5418467181}"/>
              </c:ext>
            </c:extLst>
          </c:dPt>
          <c:dPt>
            <c:idx val="52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C7-F2A4-406A-A7DA-6B5418467181}"/>
              </c:ext>
            </c:extLst>
          </c:dPt>
          <c:dPt>
            <c:idx val="52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C8-F2A4-406A-A7DA-6B5418467181}"/>
              </c:ext>
            </c:extLst>
          </c:dPt>
          <c:dPt>
            <c:idx val="52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C9-F2A4-406A-A7DA-6B5418467181}"/>
              </c:ext>
            </c:extLst>
          </c:dPt>
          <c:dPt>
            <c:idx val="52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CC-F2A4-406A-A7DA-6B5418467181}"/>
              </c:ext>
            </c:extLst>
          </c:dPt>
          <c:dPt>
            <c:idx val="53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CD-F2A4-406A-A7DA-6B5418467181}"/>
              </c:ext>
            </c:extLst>
          </c:dPt>
          <c:dPt>
            <c:idx val="53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D0-F2A4-406A-A7DA-6B5418467181}"/>
              </c:ext>
            </c:extLst>
          </c:dPt>
          <c:dPt>
            <c:idx val="53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D2-F2A4-406A-A7DA-6B5418467181}"/>
              </c:ext>
            </c:extLst>
          </c:dPt>
          <c:dPt>
            <c:idx val="53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D3-F2A4-406A-A7DA-6B5418467181}"/>
              </c:ext>
            </c:extLst>
          </c:dPt>
          <c:dPt>
            <c:idx val="53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D4-F2A4-406A-A7DA-6B5418467181}"/>
              </c:ext>
            </c:extLst>
          </c:dPt>
          <c:dPt>
            <c:idx val="53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D5-F2A4-406A-A7DA-6B5418467181}"/>
              </c:ext>
            </c:extLst>
          </c:dPt>
          <c:dPt>
            <c:idx val="54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D7-F2A4-406A-A7DA-6B5418467181}"/>
              </c:ext>
            </c:extLst>
          </c:dPt>
          <c:dPt>
            <c:idx val="54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D8-F2A4-406A-A7DA-6B5418467181}"/>
              </c:ext>
            </c:extLst>
          </c:dPt>
          <c:dPt>
            <c:idx val="54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DA-F2A4-406A-A7DA-6B5418467181}"/>
              </c:ext>
            </c:extLst>
          </c:dPt>
          <c:dPt>
            <c:idx val="54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DB-F2A4-406A-A7DA-6B5418467181}"/>
              </c:ext>
            </c:extLst>
          </c:dPt>
          <c:dPt>
            <c:idx val="54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DC-F2A4-406A-A7DA-6B5418467181}"/>
              </c:ext>
            </c:extLst>
          </c:dPt>
          <c:dPt>
            <c:idx val="54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DD-F2A4-406A-A7DA-6B5418467181}"/>
              </c:ext>
            </c:extLst>
          </c:dPt>
          <c:dPt>
            <c:idx val="54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DE-F2A4-406A-A7DA-6B5418467181}"/>
              </c:ext>
            </c:extLst>
          </c:dPt>
          <c:dPt>
            <c:idx val="54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E0-F2A4-406A-A7DA-6B5418467181}"/>
              </c:ext>
            </c:extLst>
          </c:dPt>
          <c:dPt>
            <c:idx val="55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E2-F2A4-406A-A7DA-6B5418467181}"/>
              </c:ext>
            </c:extLst>
          </c:dPt>
          <c:dPt>
            <c:idx val="55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E3-F2A4-406A-A7DA-6B5418467181}"/>
              </c:ext>
            </c:extLst>
          </c:dPt>
          <c:dPt>
            <c:idx val="55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E4-F2A4-406A-A7DA-6B5418467181}"/>
              </c:ext>
            </c:extLst>
          </c:dPt>
          <c:dPt>
            <c:idx val="55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E5-F2A4-406A-A7DA-6B5418467181}"/>
              </c:ext>
            </c:extLst>
          </c:dPt>
          <c:dPt>
            <c:idx val="55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E6-F2A4-406A-A7DA-6B5418467181}"/>
              </c:ext>
            </c:extLst>
          </c:dPt>
          <c:dPt>
            <c:idx val="55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E7-F2A4-406A-A7DA-6B5418467181}"/>
              </c:ext>
            </c:extLst>
          </c:dPt>
          <c:dPt>
            <c:idx val="55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E9-F2A4-406A-A7DA-6B5418467181}"/>
              </c:ext>
            </c:extLst>
          </c:dPt>
          <c:dPt>
            <c:idx val="55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EA-F2A4-406A-A7DA-6B5418467181}"/>
              </c:ext>
            </c:extLst>
          </c:dPt>
          <c:dPt>
            <c:idx val="56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EB-F2A4-406A-A7DA-6B5418467181}"/>
              </c:ext>
            </c:extLst>
          </c:dPt>
          <c:dPt>
            <c:idx val="56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EC-F2A4-406A-A7DA-6B5418467181}"/>
              </c:ext>
            </c:extLst>
          </c:dPt>
          <c:dPt>
            <c:idx val="56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ED-F2A4-406A-A7DA-6B5418467181}"/>
              </c:ext>
            </c:extLst>
          </c:dPt>
          <c:dPt>
            <c:idx val="56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EE-F2A4-406A-A7DA-6B5418467181}"/>
              </c:ext>
            </c:extLst>
          </c:dPt>
          <c:dPt>
            <c:idx val="56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F0-F2A4-406A-A7DA-6B5418467181}"/>
              </c:ext>
            </c:extLst>
          </c:dPt>
          <c:dPt>
            <c:idx val="56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F2-F2A4-406A-A7DA-6B5418467181}"/>
              </c:ext>
            </c:extLst>
          </c:dPt>
          <c:dPt>
            <c:idx val="56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F3-F2A4-406A-A7DA-6B5418467181}"/>
              </c:ext>
            </c:extLst>
          </c:dPt>
          <c:dPt>
            <c:idx val="57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F5-F2A4-406A-A7DA-6B5418467181}"/>
              </c:ext>
            </c:extLst>
          </c:dPt>
          <c:dPt>
            <c:idx val="57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F8-F2A4-406A-A7DA-6B5418467181}"/>
              </c:ext>
            </c:extLst>
          </c:dPt>
          <c:dPt>
            <c:idx val="57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FB-F2A4-406A-A7DA-6B5418467181}"/>
              </c:ext>
            </c:extLst>
          </c:dPt>
          <c:dPt>
            <c:idx val="57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FC-F2A4-406A-A7DA-6B5418467181}"/>
              </c:ext>
            </c:extLst>
          </c:dPt>
          <c:dPt>
            <c:idx val="57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0FE-F2A4-406A-A7DA-6B5418467181}"/>
              </c:ext>
            </c:extLst>
          </c:dPt>
          <c:dPt>
            <c:idx val="58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01-F2A4-406A-A7DA-6B5418467181}"/>
              </c:ext>
            </c:extLst>
          </c:dPt>
          <c:dPt>
            <c:idx val="58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02-F2A4-406A-A7DA-6B5418467181}"/>
              </c:ext>
            </c:extLst>
          </c:dPt>
          <c:dPt>
            <c:idx val="58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03-F2A4-406A-A7DA-6B5418467181}"/>
              </c:ext>
            </c:extLst>
          </c:dPt>
          <c:dPt>
            <c:idx val="58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04-F2A4-406A-A7DA-6B5418467181}"/>
              </c:ext>
            </c:extLst>
          </c:dPt>
          <c:dPt>
            <c:idx val="58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05-F2A4-406A-A7DA-6B5418467181}"/>
              </c:ext>
            </c:extLst>
          </c:dPt>
          <c:dPt>
            <c:idx val="58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06-F2A4-406A-A7DA-6B5418467181}"/>
              </c:ext>
            </c:extLst>
          </c:dPt>
          <c:dPt>
            <c:idx val="58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07-F2A4-406A-A7DA-6B5418467181}"/>
              </c:ext>
            </c:extLst>
          </c:dPt>
          <c:dPt>
            <c:idx val="58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08-F2A4-406A-A7DA-6B5418467181}"/>
              </c:ext>
            </c:extLst>
          </c:dPt>
          <c:dPt>
            <c:idx val="59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0A-F2A4-406A-A7DA-6B5418467181}"/>
              </c:ext>
            </c:extLst>
          </c:dPt>
          <c:dPt>
            <c:idx val="59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0B-F2A4-406A-A7DA-6B5418467181}"/>
              </c:ext>
            </c:extLst>
          </c:dPt>
          <c:dPt>
            <c:idx val="59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0C-F2A4-406A-A7DA-6B5418467181}"/>
              </c:ext>
            </c:extLst>
          </c:dPt>
          <c:dPt>
            <c:idx val="59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0D-F2A4-406A-A7DA-6B5418467181}"/>
              </c:ext>
            </c:extLst>
          </c:dPt>
          <c:dPt>
            <c:idx val="59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0F-F2A4-406A-A7DA-6B5418467181}"/>
              </c:ext>
            </c:extLst>
          </c:dPt>
          <c:dPt>
            <c:idx val="59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10-F2A4-406A-A7DA-6B5418467181}"/>
              </c:ext>
            </c:extLst>
          </c:dPt>
          <c:dPt>
            <c:idx val="59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11-F2A4-406A-A7DA-6B5418467181}"/>
              </c:ext>
            </c:extLst>
          </c:dPt>
          <c:dPt>
            <c:idx val="60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13-F2A4-406A-A7DA-6B5418467181}"/>
              </c:ext>
            </c:extLst>
          </c:dPt>
          <c:dPt>
            <c:idx val="60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15-F2A4-406A-A7DA-6B5418467181}"/>
              </c:ext>
            </c:extLst>
          </c:dPt>
          <c:dPt>
            <c:idx val="60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16-F2A4-406A-A7DA-6B5418467181}"/>
              </c:ext>
            </c:extLst>
          </c:dPt>
          <c:dPt>
            <c:idx val="60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17-F2A4-406A-A7DA-6B5418467181}"/>
              </c:ext>
            </c:extLst>
          </c:dPt>
          <c:dPt>
            <c:idx val="60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18-F2A4-406A-A7DA-6B5418467181}"/>
              </c:ext>
            </c:extLst>
          </c:dPt>
          <c:dPt>
            <c:idx val="60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19-F2A4-406A-A7DA-6B5418467181}"/>
              </c:ext>
            </c:extLst>
          </c:dPt>
          <c:dPt>
            <c:idx val="60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1A-F2A4-406A-A7DA-6B5418467181}"/>
              </c:ext>
            </c:extLst>
          </c:dPt>
          <c:dPt>
            <c:idx val="60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1B-F2A4-406A-A7DA-6B5418467181}"/>
              </c:ext>
            </c:extLst>
          </c:dPt>
          <c:dPt>
            <c:idx val="61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1E-F2A4-406A-A7DA-6B5418467181}"/>
              </c:ext>
            </c:extLst>
          </c:dPt>
          <c:dPt>
            <c:idx val="61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1F-F2A4-406A-A7DA-6B5418467181}"/>
              </c:ext>
            </c:extLst>
          </c:dPt>
          <c:dPt>
            <c:idx val="61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21-F2A4-406A-A7DA-6B5418467181}"/>
              </c:ext>
            </c:extLst>
          </c:dPt>
          <c:dPt>
            <c:idx val="61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23-F2A4-406A-A7DA-6B5418467181}"/>
              </c:ext>
            </c:extLst>
          </c:dPt>
          <c:dPt>
            <c:idx val="61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24-F2A4-406A-A7DA-6B5418467181}"/>
              </c:ext>
            </c:extLst>
          </c:dPt>
          <c:dPt>
            <c:idx val="61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26-F2A4-406A-A7DA-6B5418467181}"/>
              </c:ext>
            </c:extLst>
          </c:dPt>
          <c:dPt>
            <c:idx val="62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27-F2A4-406A-A7DA-6B5418467181}"/>
              </c:ext>
            </c:extLst>
          </c:dPt>
          <c:dPt>
            <c:idx val="62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29-F2A4-406A-A7DA-6B5418467181}"/>
              </c:ext>
            </c:extLst>
          </c:dPt>
          <c:dPt>
            <c:idx val="62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2B-F2A4-406A-A7DA-6B5418467181}"/>
              </c:ext>
            </c:extLst>
          </c:dPt>
          <c:dPt>
            <c:idx val="62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2D-F2A4-406A-A7DA-6B5418467181}"/>
              </c:ext>
            </c:extLst>
          </c:dPt>
          <c:dPt>
            <c:idx val="62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2E-F2A4-406A-A7DA-6B5418467181}"/>
              </c:ext>
            </c:extLst>
          </c:dPt>
          <c:dPt>
            <c:idx val="62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2F-F2A4-406A-A7DA-6B5418467181}"/>
              </c:ext>
            </c:extLst>
          </c:dPt>
          <c:dPt>
            <c:idx val="63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31-F2A4-406A-A7DA-6B5418467181}"/>
              </c:ext>
            </c:extLst>
          </c:dPt>
          <c:dPt>
            <c:idx val="63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32-F2A4-406A-A7DA-6B5418467181}"/>
              </c:ext>
            </c:extLst>
          </c:dPt>
          <c:dPt>
            <c:idx val="63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33-F2A4-406A-A7DA-6B5418467181}"/>
              </c:ext>
            </c:extLst>
          </c:dPt>
          <c:dPt>
            <c:idx val="63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35-F2A4-406A-A7DA-6B5418467181}"/>
              </c:ext>
            </c:extLst>
          </c:dPt>
          <c:dPt>
            <c:idx val="63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36-F2A4-406A-A7DA-6B5418467181}"/>
              </c:ext>
            </c:extLst>
          </c:dPt>
          <c:dPt>
            <c:idx val="63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37-F2A4-406A-A7DA-6B5418467181}"/>
              </c:ext>
            </c:extLst>
          </c:dPt>
          <c:dPt>
            <c:idx val="63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38-F2A4-406A-A7DA-6B5418467181}"/>
              </c:ext>
            </c:extLst>
          </c:dPt>
          <c:dPt>
            <c:idx val="63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39-F2A4-406A-A7DA-6B5418467181}"/>
              </c:ext>
            </c:extLst>
          </c:dPt>
          <c:dPt>
            <c:idx val="63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3A-F2A4-406A-A7DA-6B5418467181}"/>
              </c:ext>
            </c:extLst>
          </c:dPt>
          <c:dPt>
            <c:idx val="64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3C-F2A4-406A-A7DA-6B5418467181}"/>
              </c:ext>
            </c:extLst>
          </c:dPt>
          <c:dPt>
            <c:idx val="64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3D-F2A4-406A-A7DA-6B5418467181}"/>
              </c:ext>
            </c:extLst>
          </c:dPt>
          <c:dPt>
            <c:idx val="64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3E-F2A4-406A-A7DA-6B5418467181}"/>
              </c:ext>
            </c:extLst>
          </c:dPt>
          <c:dPt>
            <c:idx val="64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3F-F2A4-406A-A7DA-6B5418467181}"/>
              </c:ext>
            </c:extLst>
          </c:dPt>
          <c:dPt>
            <c:idx val="64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40-F2A4-406A-A7DA-6B5418467181}"/>
              </c:ext>
            </c:extLst>
          </c:dPt>
          <c:dPt>
            <c:idx val="64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41-F2A4-406A-A7DA-6B5418467181}"/>
              </c:ext>
            </c:extLst>
          </c:dPt>
          <c:dPt>
            <c:idx val="64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43-F2A4-406A-A7DA-6B5418467181}"/>
              </c:ext>
            </c:extLst>
          </c:dPt>
          <c:dPt>
            <c:idx val="64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44-F2A4-406A-A7DA-6B5418467181}"/>
              </c:ext>
            </c:extLst>
          </c:dPt>
          <c:dPt>
            <c:idx val="65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46-F2A4-406A-A7DA-6B5418467181}"/>
              </c:ext>
            </c:extLst>
          </c:dPt>
          <c:dPt>
            <c:idx val="65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48-F2A4-406A-A7DA-6B5418467181}"/>
              </c:ext>
            </c:extLst>
          </c:dPt>
          <c:dPt>
            <c:idx val="65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49-F2A4-406A-A7DA-6B5418467181}"/>
              </c:ext>
            </c:extLst>
          </c:dPt>
          <c:dPt>
            <c:idx val="65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4A-F2A4-406A-A7DA-6B5418467181}"/>
              </c:ext>
            </c:extLst>
          </c:dPt>
          <c:dPt>
            <c:idx val="65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4B-F2A4-406A-A7DA-6B5418467181}"/>
              </c:ext>
            </c:extLst>
          </c:dPt>
          <c:dPt>
            <c:idx val="65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4D-F2A4-406A-A7DA-6B5418467181}"/>
              </c:ext>
            </c:extLst>
          </c:dPt>
          <c:dPt>
            <c:idx val="65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4E-F2A4-406A-A7DA-6B5418467181}"/>
              </c:ext>
            </c:extLst>
          </c:dPt>
          <c:dPt>
            <c:idx val="66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4F-F2A4-406A-A7DA-6B5418467181}"/>
              </c:ext>
            </c:extLst>
          </c:dPt>
          <c:dPt>
            <c:idx val="66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50-F2A4-406A-A7DA-6B5418467181}"/>
              </c:ext>
            </c:extLst>
          </c:dPt>
          <c:dPt>
            <c:idx val="66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51-F2A4-406A-A7DA-6B5418467181}"/>
              </c:ext>
            </c:extLst>
          </c:dPt>
          <c:dPt>
            <c:idx val="66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54-F2A4-406A-A7DA-6B5418467181}"/>
              </c:ext>
            </c:extLst>
          </c:dPt>
          <c:dPt>
            <c:idx val="66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55-F2A4-406A-A7DA-6B5418467181}"/>
              </c:ext>
            </c:extLst>
          </c:dPt>
          <c:dPt>
            <c:idx val="66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56-F2A4-406A-A7DA-6B5418467181}"/>
              </c:ext>
            </c:extLst>
          </c:dPt>
          <c:dPt>
            <c:idx val="67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59-F2A4-406A-A7DA-6B5418467181}"/>
              </c:ext>
            </c:extLst>
          </c:dPt>
          <c:dPt>
            <c:idx val="67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5A-F2A4-406A-A7DA-6B5418467181}"/>
              </c:ext>
            </c:extLst>
          </c:dPt>
          <c:dPt>
            <c:idx val="67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5B-F2A4-406A-A7DA-6B5418467181}"/>
              </c:ext>
            </c:extLst>
          </c:dPt>
          <c:dPt>
            <c:idx val="67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5C-F2A4-406A-A7DA-6B5418467181}"/>
              </c:ext>
            </c:extLst>
          </c:dPt>
          <c:dPt>
            <c:idx val="67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5D-F2A4-406A-A7DA-6B5418467181}"/>
              </c:ext>
            </c:extLst>
          </c:dPt>
          <c:dPt>
            <c:idx val="67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5F-F2A4-406A-A7DA-6B5418467181}"/>
              </c:ext>
            </c:extLst>
          </c:dPt>
          <c:dPt>
            <c:idx val="67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60-F2A4-406A-A7DA-6B5418467181}"/>
              </c:ext>
            </c:extLst>
          </c:dPt>
          <c:dPt>
            <c:idx val="68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65-F2A4-406A-A7DA-6B5418467181}"/>
              </c:ext>
            </c:extLst>
          </c:dPt>
          <c:dPt>
            <c:idx val="68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66-F2A4-406A-A7DA-6B5418467181}"/>
              </c:ext>
            </c:extLst>
          </c:dPt>
          <c:dPt>
            <c:idx val="68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6A-F2A4-406A-A7DA-6B5418467181}"/>
              </c:ext>
            </c:extLst>
          </c:dPt>
          <c:dPt>
            <c:idx val="68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6B-F2A4-406A-A7DA-6B5418467181}"/>
              </c:ext>
            </c:extLst>
          </c:dPt>
          <c:dPt>
            <c:idx val="68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6C-F2A4-406A-A7DA-6B5418467181}"/>
              </c:ext>
            </c:extLst>
          </c:dPt>
          <c:dPt>
            <c:idx val="69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6E-F2A4-406A-A7DA-6B5418467181}"/>
              </c:ext>
            </c:extLst>
          </c:dPt>
          <c:dPt>
            <c:idx val="69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6F-F2A4-406A-A7DA-6B5418467181}"/>
              </c:ext>
            </c:extLst>
          </c:dPt>
          <c:dPt>
            <c:idx val="69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70-F2A4-406A-A7DA-6B5418467181}"/>
              </c:ext>
            </c:extLst>
          </c:dPt>
          <c:dPt>
            <c:idx val="69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71-F2A4-406A-A7DA-6B5418467181}"/>
              </c:ext>
            </c:extLst>
          </c:dPt>
          <c:dPt>
            <c:idx val="69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74-F2A4-406A-A7DA-6B5418467181}"/>
              </c:ext>
            </c:extLst>
          </c:dPt>
          <c:dPt>
            <c:idx val="69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75-F2A4-406A-A7DA-6B5418467181}"/>
              </c:ext>
            </c:extLst>
          </c:dPt>
          <c:dPt>
            <c:idx val="69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76-F2A4-406A-A7DA-6B5418467181}"/>
              </c:ext>
            </c:extLst>
          </c:dPt>
          <c:dPt>
            <c:idx val="70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7B-F2A4-406A-A7DA-6B5418467181}"/>
              </c:ext>
            </c:extLst>
          </c:dPt>
          <c:dPt>
            <c:idx val="70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7C-F2A4-406A-A7DA-6B5418467181}"/>
              </c:ext>
            </c:extLst>
          </c:dPt>
          <c:dPt>
            <c:idx val="70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7E-F2A4-406A-A7DA-6B5418467181}"/>
              </c:ext>
            </c:extLst>
          </c:dPt>
          <c:dPt>
            <c:idx val="70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7F-F2A4-406A-A7DA-6B5418467181}"/>
              </c:ext>
            </c:extLst>
          </c:dPt>
          <c:dPt>
            <c:idx val="70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80-F2A4-406A-A7DA-6B5418467181}"/>
              </c:ext>
            </c:extLst>
          </c:dPt>
          <c:dPt>
            <c:idx val="71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84-F2A4-406A-A7DA-6B5418467181}"/>
              </c:ext>
            </c:extLst>
          </c:dPt>
          <c:dPt>
            <c:idx val="71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85-F2A4-406A-A7DA-6B5418467181}"/>
              </c:ext>
            </c:extLst>
          </c:dPt>
          <c:dPt>
            <c:idx val="71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88-F2A4-406A-A7DA-6B5418467181}"/>
              </c:ext>
            </c:extLst>
          </c:dPt>
          <c:dPt>
            <c:idx val="71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89-F2A4-406A-A7DA-6B5418467181}"/>
              </c:ext>
            </c:extLst>
          </c:dPt>
          <c:dPt>
            <c:idx val="71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8A-F2A4-406A-A7DA-6B5418467181}"/>
              </c:ext>
            </c:extLst>
          </c:dPt>
          <c:dPt>
            <c:idx val="72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8B-F2A4-406A-A7DA-6B5418467181}"/>
              </c:ext>
            </c:extLst>
          </c:dPt>
          <c:dPt>
            <c:idx val="72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8C-F2A4-406A-A7DA-6B5418467181}"/>
              </c:ext>
            </c:extLst>
          </c:dPt>
          <c:dPt>
            <c:idx val="72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8D-F2A4-406A-A7DA-6B5418467181}"/>
              </c:ext>
            </c:extLst>
          </c:dPt>
          <c:dPt>
            <c:idx val="72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8E-F2A4-406A-A7DA-6B5418467181}"/>
              </c:ext>
            </c:extLst>
          </c:dPt>
          <c:dPt>
            <c:idx val="72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90-F2A4-406A-A7DA-6B5418467181}"/>
              </c:ext>
            </c:extLst>
          </c:dPt>
          <c:dPt>
            <c:idx val="72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93-F2A4-406A-A7DA-6B5418467181}"/>
              </c:ext>
            </c:extLst>
          </c:dPt>
          <c:dPt>
            <c:idx val="72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94-F2A4-406A-A7DA-6B5418467181}"/>
              </c:ext>
            </c:extLst>
          </c:dPt>
          <c:dPt>
            <c:idx val="73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96-F2A4-406A-A7DA-6B5418467181}"/>
              </c:ext>
            </c:extLst>
          </c:dPt>
          <c:dPt>
            <c:idx val="73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98-F2A4-406A-A7DA-6B5418467181}"/>
              </c:ext>
            </c:extLst>
          </c:dPt>
          <c:dPt>
            <c:idx val="73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99-F2A4-406A-A7DA-6B5418467181}"/>
              </c:ext>
            </c:extLst>
          </c:dPt>
          <c:dPt>
            <c:idx val="73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9A-F2A4-406A-A7DA-6B5418467181}"/>
              </c:ext>
            </c:extLst>
          </c:dPt>
          <c:dPt>
            <c:idx val="73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9B-F2A4-406A-A7DA-6B5418467181}"/>
              </c:ext>
            </c:extLst>
          </c:dPt>
          <c:dPt>
            <c:idx val="73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9C-F2A4-406A-A7DA-6B5418467181}"/>
              </c:ext>
            </c:extLst>
          </c:dPt>
          <c:dPt>
            <c:idx val="74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9F-F2A4-406A-A7DA-6B5418467181}"/>
              </c:ext>
            </c:extLst>
          </c:dPt>
          <c:dPt>
            <c:idx val="74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A1-F2A4-406A-A7DA-6B5418467181}"/>
              </c:ext>
            </c:extLst>
          </c:dPt>
          <c:dPt>
            <c:idx val="74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A2-F2A4-406A-A7DA-6B5418467181}"/>
              </c:ext>
            </c:extLst>
          </c:dPt>
          <c:dPt>
            <c:idx val="74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A4-F2A4-406A-A7DA-6B5418467181}"/>
              </c:ext>
            </c:extLst>
          </c:dPt>
          <c:dPt>
            <c:idx val="74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A5-F2A4-406A-A7DA-6B5418467181}"/>
              </c:ext>
            </c:extLst>
          </c:dPt>
          <c:dPt>
            <c:idx val="74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A6-F2A4-406A-A7DA-6B5418467181}"/>
              </c:ext>
            </c:extLst>
          </c:dPt>
          <c:dPt>
            <c:idx val="75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AB-F2A4-406A-A7DA-6B5418467181}"/>
              </c:ext>
            </c:extLst>
          </c:dPt>
          <c:dPt>
            <c:idx val="75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AC-F2A4-406A-A7DA-6B5418467181}"/>
              </c:ext>
            </c:extLst>
          </c:dPt>
          <c:dPt>
            <c:idx val="75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AD-F2A4-406A-A7DA-6B5418467181}"/>
              </c:ext>
            </c:extLst>
          </c:dPt>
          <c:dPt>
            <c:idx val="75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AE-F2A4-406A-A7DA-6B5418467181}"/>
              </c:ext>
            </c:extLst>
          </c:dPt>
          <c:dPt>
            <c:idx val="75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AF-F2A4-406A-A7DA-6B5418467181}"/>
              </c:ext>
            </c:extLst>
          </c:dPt>
          <c:dPt>
            <c:idx val="75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B0-F2A4-406A-A7DA-6B5418467181}"/>
              </c:ext>
            </c:extLst>
          </c:dPt>
          <c:dPt>
            <c:idx val="75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B1-F2A4-406A-A7DA-6B5418467181}"/>
              </c:ext>
            </c:extLst>
          </c:dPt>
          <c:dPt>
            <c:idx val="75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B2-F2A4-406A-A7DA-6B5418467181}"/>
              </c:ext>
            </c:extLst>
          </c:dPt>
          <c:dPt>
            <c:idx val="76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B3-F2A4-406A-A7DA-6B5418467181}"/>
              </c:ext>
            </c:extLst>
          </c:dPt>
          <c:dPt>
            <c:idx val="76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B7-F2A4-406A-A7DA-6B5418467181}"/>
              </c:ext>
            </c:extLst>
          </c:dPt>
          <c:dPt>
            <c:idx val="76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B9-F2A4-406A-A7DA-6B5418467181}"/>
              </c:ext>
            </c:extLst>
          </c:dPt>
          <c:dPt>
            <c:idx val="76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BA-F2A4-406A-A7DA-6B5418467181}"/>
              </c:ext>
            </c:extLst>
          </c:dPt>
          <c:dPt>
            <c:idx val="76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BB-F2A4-406A-A7DA-6B5418467181}"/>
              </c:ext>
            </c:extLst>
          </c:dPt>
          <c:dPt>
            <c:idx val="76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BC-F2A4-406A-A7DA-6B5418467181}"/>
              </c:ext>
            </c:extLst>
          </c:dPt>
          <c:dPt>
            <c:idx val="77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BD-F2A4-406A-A7DA-6B5418467181}"/>
              </c:ext>
            </c:extLst>
          </c:dPt>
          <c:dPt>
            <c:idx val="77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BE-F2A4-406A-A7DA-6B5418467181}"/>
              </c:ext>
            </c:extLst>
          </c:dPt>
          <c:dPt>
            <c:idx val="77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C0-F2A4-406A-A7DA-6B5418467181}"/>
              </c:ext>
            </c:extLst>
          </c:dPt>
          <c:dPt>
            <c:idx val="77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C3-F2A4-406A-A7DA-6B5418467181}"/>
              </c:ext>
            </c:extLst>
          </c:dPt>
          <c:dPt>
            <c:idx val="77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C4-F2A4-406A-A7DA-6B5418467181}"/>
              </c:ext>
            </c:extLst>
          </c:dPt>
          <c:dPt>
            <c:idx val="77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C5-F2A4-406A-A7DA-6B5418467181}"/>
              </c:ext>
            </c:extLst>
          </c:dPt>
          <c:dPt>
            <c:idx val="78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C7-F2A4-406A-A7DA-6B5418467181}"/>
              </c:ext>
            </c:extLst>
          </c:dPt>
          <c:dPt>
            <c:idx val="78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CA-F2A4-406A-A7DA-6B5418467181}"/>
              </c:ext>
            </c:extLst>
          </c:dPt>
          <c:dPt>
            <c:idx val="78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CB-F2A4-406A-A7DA-6B5418467181}"/>
              </c:ext>
            </c:extLst>
          </c:dPt>
          <c:dPt>
            <c:idx val="78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CC-F2A4-406A-A7DA-6B5418467181}"/>
              </c:ext>
            </c:extLst>
          </c:dPt>
          <c:dPt>
            <c:idx val="78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CE-F2A4-406A-A7DA-6B5418467181}"/>
              </c:ext>
            </c:extLst>
          </c:dPt>
          <c:dPt>
            <c:idx val="78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CF-F2A4-406A-A7DA-6B5418467181}"/>
              </c:ext>
            </c:extLst>
          </c:dPt>
          <c:dPt>
            <c:idx val="78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D0-F2A4-406A-A7DA-6B5418467181}"/>
              </c:ext>
            </c:extLst>
          </c:dPt>
          <c:dPt>
            <c:idx val="79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D1-F2A4-406A-A7DA-6B5418467181}"/>
              </c:ext>
            </c:extLst>
          </c:dPt>
          <c:dPt>
            <c:idx val="79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D2-F2A4-406A-A7DA-6B5418467181}"/>
              </c:ext>
            </c:extLst>
          </c:dPt>
          <c:dPt>
            <c:idx val="79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D6-F2A4-406A-A7DA-6B5418467181}"/>
              </c:ext>
            </c:extLst>
          </c:dPt>
          <c:dPt>
            <c:idx val="79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D8-F2A4-406A-A7DA-6B5418467181}"/>
              </c:ext>
            </c:extLst>
          </c:dPt>
          <c:dPt>
            <c:idx val="79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D9-F2A4-406A-A7DA-6B5418467181}"/>
              </c:ext>
            </c:extLst>
          </c:dPt>
          <c:dPt>
            <c:idx val="79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DA-F2A4-406A-A7DA-6B5418467181}"/>
              </c:ext>
            </c:extLst>
          </c:dPt>
          <c:dPt>
            <c:idx val="80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DB-F2A4-406A-A7DA-6B5418467181}"/>
              </c:ext>
            </c:extLst>
          </c:dPt>
          <c:dPt>
            <c:idx val="80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DD-F2A4-406A-A7DA-6B5418467181}"/>
              </c:ext>
            </c:extLst>
          </c:dPt>
          <c:dPt>
            <c:idx val="80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DE-F2A4-406A-A7DA-6B5418467181}"/>
              </c:ext>
            </c:extLst>
          </c:dPt>
          <c:dPt>
            <c:idx val="80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DF-F2A4-406A-A7DA-6B5418467181}"/>
              </c:ext>
            </c:extLst>
          </c:dPt>
          <c:dPt>
            <c:idx val="80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E4-F2A4-406A-A7DA-6B5418467181}"/>
              </c:ext>
            </c:extLst>
          </c:dPt>
          <c:dPt>
            <c:idx val="81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E6-F2A4-406A-A7DA-6B5418467181}"/>
              </c:ext>
            </c:extLst>
          </c:dPt>
          <c:dPt>
            <c:idx val="81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E8-F2A4-406A-A7DA-6B5418467181}"/>
              </c:ext>
            </c:extLst>
          </c:dPt>
          <c:dPt>
            <c:idx val="81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EB-F2A4-406A-A7DA-6B5418467181}"/>
              </c:ext>
            </c:extLst>
          </c:dPt>
          <c:dPt>
            <c:idx val="81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EC-F2A4-406A-A7DA-6B5418467181}"/>
              </c:ext>
            </c:extLst>
          </c:dPt>
          <c:dPt>
            <c:idx val="82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EF-F2A4-406A-A7DA-6B5418467181}"/>
              </c:ext>
            </c:extLst>
          </c:dPt>
          <c:dPt>
            <c:idx val="82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F0-F2A4-406A-A7DA-6B5418467181}"/>
              </c:ext>
            </c:extLst>
          </c:dPt>
          <c:dPt>
            <c:idx val="82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F2-F2A4-406A-A7DA-6B5418467181}"/>
              </c:ext>
            </c:extLst>
          </c:dPt>
          <c:dPt>
            <c:idx val="82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F3-F2A4-406A-A7DA-6B5418467181}"/>
              </c:ext>
            </c:extLst>
          </c:dPt>
          <c:dPt>
            <c:idx val="82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F4-F2A4-406A-A7DA-6B5418467181}"/>
              </c:ext>
            </c:extLst>
          </c:dPt>
          <c:dPt>
            <c:idx val="82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F6-F2A4-406A-A7DA-6B5418467181}"/>
              </c:ext>
            </c:extLst>
          </c:dPt>
          <c:dPt>
            <c:idx val="83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F9-F2A4-406A-A7DA-6B5418467181}"/>
              </c:ext>
            </c:extLst>
          </c:dPt>
          <c:dPt>
            <c:idx val="83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FA-F2A4-406A-A7DA-6B5418467181}"/>
              </c:ext>
            </c:extLst>
          </c:dPt>
          <c:dPt>
            <c:idx val="83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FB-F2A4-406A-A7DA-6B5418467181}"/>
              </c:ext>
            </c:extLst>
          </c:dPt>
          <c:dPt>
            <c:idx val="83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FC-F2A4-406A-A7DA-6B5418467181}"/>
              </c:ext>
            </c:extLst>
          </c:dPt>
          <c:dPt>
            <c:idx val="83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FD-F2A4-406A-A7DA-6B5418467181}"/>
              </c:ext>
            </c:extLst>
          </c:dPt>
          <c:dPt>
            <c:idx val="83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1FF-F2A4-406A-A7DA-6B5418467181}"/>
              </c:ext>
            </c:extLst>
          </c:dPt>
          <c:dPt>
            <c:idx val="83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00-F2A4-406A-A7DA-6B5418467181}"/>
              </c:ext>
            </c:extLst>
          </c:dPt>
          <c:dPt>
            <c:idx val="83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02-F2A4-406A-A7DA-6B5418467181}"/>
              </c:ext>
            </c:extLst>
          </c:dPt>
          <c:dPt>
            <c:idx val="84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04-F2A4-406A-A7DA-6B5418467181}"/>
              </c:ext>
            </c:extLst>
          </c:dPt>
          <c:dPt>
            <c:idx val="84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05-F2A4-406A-A7DA-6B5418467181}"/>
              </c:ext>
            </c:extLst>
          </c:dPt>
          <c:dPt>
            <c:idx val="84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06-F2A4-406A-A7DA-6B5418467181}"/>
              </c:ext>
            </c:extLst>
          </c:dPt>
          <c:dPt>
            <c:idx val="84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08-F2A4-406A-A7DA-6B5418467181}"/>
              </c:ext>
            </c:extLst>
          </c:dPt>
          <c:dPt>
            <c:idx val="84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09-F2A4-406A-A7DA-6B5418467181}"/>
              </c:ext>
            </c:extLst>
          </c:dPt>
          <c:dPt>
            <c:idx val="84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0B-F2A4-406A-A7DA-6B5418467181}"/>
              </c:ext>
            </c:extLst>
          </c:dPt>
          <c:dPt>
            <c:idx val="85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0D-F2A4-406A-A7DA-6B5418467181}"/>
              </c:ext>
            </c:extLst>
          </c:dPt>
          <c:dPt>
            <c:idx val="85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0E-F2A4-406A-A7DA-6B5418467181}"/>
              </c:ext>
            </c:extLst>
          </c:dPt>
          <c:dPt>
            <c:idx val="85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0F-F2A4-406A-A7DA-6B5418467181}"/>
              </c:ext>
            </c:extLst>
          </c:dPt>
          <c:dPt>
            <c:idx val="85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11-F2A4-406A-A7DA-6B5418467181}"/>
              </c:ext>
            </c:extLst>
          </c:dPt>
          <c:dPt>
            <c:idx val="85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15-F2A4-406A-A7DA-6B5418467181}"/>
              </c:ext>
            </c:extLst>
          </c:dPt>
          <c:dPt>
            <c:idx val="85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16-F2A4-406A-A7DA-6B5418467181}"/>
              </c:ext>
            </c:extLst>
          </c:dPt>
          <c:dPt>
            <c:idx val="86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18-F2A4-406A-A7DA-6B5418467181}"/>
              </c:ext>
            </c:extLst>
          </c:dPt>
          <c:dPt>
            <c:idx val="86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19-F2A4-406A-A7DA-6B5418467181}"/>
              </c:ext>
            </c:extLst>
          </c:dPt>
          <c:dPt>
            <c:idx val="86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1B-F2A4-406A-A7DA-6B5418467181}"/>
              </c:ext>
            </c:extLst>
          </c:dPt>
          <c:dPt>
            <c:idx val="86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1C-F2A4-406A-A7DA-6B5418467181}"/>
              </c:ext>
            </c:extLst>
          </c:dPt>
          <c:dPt>
            <c:idx val="86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1D-F2A4-406A-A7DA-6B5418467181}"/>
              </c:ext>
            </c:extLst>
          </c:dPt>
          <c:dPt>
            <c:idx val="86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1E-F2A4-406A-A7DA-6B5418467181}"/>
              </c:ext>
            </c:extLst>
          </c:dPt>
          <c:dPt>
            <c:idx val="87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21-F2A4-406A-A7DA-6B5418467181}"/>
              </c:ext>
            </c:extLst>
          </c:dPt>
          <c:dPt>
            <c:idx val="87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24-F2A4-406A-A7DA-6B5418467181}"/>
              </c:ext>
            </c:extLst>
          </c:dPt>
          <c:dPt>
            <c:idx val="87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25-F2A4-406A-A7DA-6B5418467181}"/>
              </c:ext>
            </c:extLst>
          </c:dPt>
          <c:dPt>
            <c:idx val="87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27-F2A4-406A-A7DA-6B5418467181}"/>
              </c:ext>
            </c:extLst>
          </c:dPt>
          <c:dPt>
            <c:idx val="87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28-F2A4-406A-A7DA-6B5418467181}"/>
              </c:ext>
            </c:extLst>
          </c:dPt>
          <c:dPt>
            <c:idx val="87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29-F2A4-406A-A7DA-6B5418467181}"/>
              </c:ext>
            </c:extLst>
          </c:dPt>
          <c:dPt>
            <c:idx val="87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2A-F2A4-406A-A7DA-6B5418467181}"/>
              </c:ext>
            </c:extLst>
          </c:dPt>
          <c:dPt>
            <c:idx val="88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2D-F2A4-406A-A7DA-6B5418467181}"/>
              </c:ext>
            </c:extLst>
          </c:dPt>
          <c:dPt>
            <c:idx val="88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2F-F2A4-406A-A7DA-6B5418467181}"/>
              </c:ext>
            </c:extLst>
          </c:dPt>
          <c:dPt>
            <c:idx val="88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30-F2A4-406A-A7DA-6B5418467181}"/>
              </c:ext>
            </c:extLst>
          </c:dPt>
          <c:dPt>
            <c:idx val="88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31-F2A4-406A-A7DA-6B5418467181}"/>
              </c:ext>
            </c:extLst>
          </c:dPt>
          <c:dPt>
            <c:idx val="88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32-F2A4-406A-A7DA-6B5418467181}"/>
              </c:ext>
            </c:extLst>
          </c:dPt>
          <c:dPt>
            <c:idx val="89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35-F2A4-406A-A7DA-6B5418467181}"/>
              </c:ext>
            </c:extLst>
          </c:dPt>
          <c:dPt>
            <c:idx val="89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39-F2A4-406A-A7DA-6B5418467181}"/>
              </c:ext>
            </c:extLst>
          </c:dPt>
          <c:dPt>
            <c:idx val="89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3A-F2A4-406A-A7DA-6B5418467181}"/>
              </c:ext>
            </c:extLst>
          </c:dPt>
          <c:dPt>
            <c:idx val="89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3B-F2A4-406A-A7DA-6B5418467181}"/>
              </c:ext>
            </c:extLst>
          </c:dPt>
          <c:dPt>
            <c:idx val="90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3F-F2A4-406A-A7DA-6B5418467181}"/>
              </c:ext>
            </c:extLst>
          </c:dPt>
          <c:dPt>
            <c:idx val="90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40-F2A4-406A-A7DA-6B5418467181}"/>
              </c:ext>
            </c:extLst>
          </c:dPt>
          <c:dPt>
            <c:idx val="90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43-F2A4-406A-A7DA-6B5418467181}"/>
              </c:ext>
            </c:extLst>
          </c:dPt>
          <c:dPt>
            <c:idx val="90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44-F2A4-406A-A7DA-6B5418467181}"/>
              </c:ext>
            </c:extLst>
          </c:dPt>
          <c:dPt>
            <c:idx val="90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45-F2A4-406A-A7DA-6B5418467181}"/>
              </c:ext>
            </c:extLst>
          </c:dPt>
          <c:dPt>
            <c:idx val="90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47-F2A4-406A-A7DA-6B5418467181}"/>
              </c:ext>
            </c:extLst>
          </c:dPt>
          <c:dPt>
            <c:idx val="91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4A-F2A4-406A-A7DA-6B5418467181}"/>
              </c:ext>
            </c:extLst>
          </c:dPt>
          <c:dPt>
            <c:idx val="91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4B-F2A4-406A-A7DA-6B5418467181}"/>
              </c:ext>
            </c:extLst>
          </c:dPt>
          <c:dPt>
            <c:idx val="91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4C-F2A4-406A-A7DA-6B5418467181}"/>
              </c:ext>
            </c:extLst>
          </c:dPt>
          <c:dPt>
            <c:idx val="91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4D-F2A4-406A-A7DA-6B5418467181}"/>
              </c:ext>
            </c:extLst>
          </c:dPt>
          <c:dPt>
            <c:idx val="91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4E-F2A4-406A-A7DA-6B5418467181}"/>
              </c:ext>
            </c:extLst>
          </c:dPt>
          <c:dPt>
            <c:idx val="91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4F-F2A4-406A-A7DA-6B5418467181}"/>
              </c:ext>
            </c:extLst>
          </c:dPt>
          <c:dPt>
            <c:idx val="91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50-F2A4-406A-A7DA-6B5418467181}"/>
              </c:ext>
            </c:extLst>
          </c:dPt>
          <c:dPt>
            <c:idx val="91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51-F2A4-406A-A7DA-6B5418467181}"/>
              </c:ext>
            </c:extLst>
          </c:dPt>
          <c:dPt>
            <c:idx val="91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52-F2A4-406A-A7DA-6B5418467181}"/>
              </c:ext>
            </c:extLst>
          </c:dPt>
          <c:dPt>
            <c:idx val="92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53-F2A4-406A-A7DA-6B5418467181}"/>
              </c:ext>
            </c:extLst>
          </c:dPt>
          <c:dPt>
            <c:idx val="92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54-F2A4-406A-A7DA-6B5418467181}"/>
              </c:ext>
            </c:extLst>
          </c:dPt>
          <c:dPt>
            <c:idx val="92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55-F2A4-406A-A7DA-6B5418467181}"/>
              </c:ext>
            </c:extLst>
          </c:dPt>
          <c:dPt>
            <c:idx val="92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56-F2A4-406A-A7DA-6B5418467181}"/>
              </c:ext>
            </c:extLst>
          </c:dPt>
          <c:dPt>
            <c:idx val="92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57-F2A4-406A-A7DA-6B5418467181}"/>
              </c:ext>
            </c:extLst>
          </c:dPt>
          <c:dPt>
            <c:idx val="92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58-F2A4-406A-A7DA-6B5418467181}"/>
              </c:ext>
            </c:extLst>
          </c:dPt>
          <c:dPt>
            <c:idx val="93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5D-F2A4-406A-A7DA-6B5418467181}"/>
              </c:ext>
            </c:extLst>
          </c:dPt>
          <c:dPt>
            <c:idx val="93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5F-F2A4-406A-A7DA-6B5418467181}"/>
              </c:ext>
            </c:extLst>
          </c:dPt>
          <c:dPt>
            <c:idx val="93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60-F2A4-406A-A7DA-6B5418467181}"/>
              </c:ext>
            </c:extLst>
          </c:dPt>
          <c:dPt>
            <c:idx val="93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61-F2A4-406A-A7DA-6B5418467181}"/>
              </c:ext>
            </c:extLst>
          </c:dPt>
          <c:dPt>
            <c:idx val="93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62-F2A4-406A-A7DA-6B5418467181}"/>
              </c:ext>
            </c:extLst>
          </c:dPt>
          <c:dPt>
            <c:idx val="93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63-F2A4-406A-A7DA-6B5418467181}"/>
              </c:ext>
            </c:extLst>
          </c:dPt>
          <c:dPt>
            <c:idx val="93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64-F2A4-406A-A7DA-6B5418467181}"/>
              </c:ext>
            </c:extLst>
          </c:dPt>
          <c:dPt>
            <c:idx val="93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65-F2A4-406A-A7DA-6B5418467181}"/>
              </c:ext>
            </c:extLst>
          </c:dPt>
          <c:dPt>
            <c:idx val="93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66-F2A4-406A-A7DA-6B5418467181}"/>
              </c:ext>
            </c:extLst>
          </c:dPt>
          <c:dPt>
            <c:idx val="94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67-F2A4-406A-A7DA-6B5418467181}"/>
              </c:ext>
            </c:extLst>
          </c:dPt>
          <c:dPt>
            <c:idx val="94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69-F2A4-406A-A7DA-6B5418467181}"/>
              </c:ext>
            </c:extLst>
          </c:dPt>
          <c:dPt>
            <c:idx val="94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6A-F2A4-406A-A7DA-6B5418467181}"/>
              </c:ext>
            </c:extLst>
          </c:dPt>
          <c:dPt>
            <c:idx val="94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6B-F2A4-406A-A7DA-6B5418467181}"/>
              </c:ext>
            </c:extLst>
          </c:dPt>
          <c:dPt>
            <c:idx val="94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6D-F2A4-406A-A7DA-6B5418467181}"/>
              </c:ext>
            </c:extLst>
          </c:dPt>
          <c:dPt>
            <c:idx val="94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6E-F2A4-406A-A7DA-6B5418467181}"/>
              </c:ext>
            </c:extLst>
          </c:dPt>
          <c:dPt>
            <c:idx val="94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6F-F2A4-406A-A7DA-6B5418467181}"/>
              </c:ext>
            </c:extLst>
          </c:dPt>
          <c:dPt>
            <c:idx val="94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70-F2A4-406A-A7DA-6B5418467181}"/>
              </c:ext>
            </c:extLst>
          </c:dPt>
          <c:dPt>
            <c:idx val="95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71-F2A4-406A-A7DA-6B5418467181}"/>
              </c:ext>
            </c:extLst>
          </c:dPt>
          <c:dPt>
            <c:idx val="95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74-F2A4-406A-A7DA-6B5418467181}"/>
              </c:ext>
            </c:extLst>
          </c:dPt>
          <c:dPt>
            <c:idx val="95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77-F2A4-406A-A7DA-6B5418467181}"/>
              </c:ext>
            </c:extLst>
          </c:dPt>
          <c:dPt>
            <c:idx val="95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78-F2A4-406A-A7DA-6B5418467181}"/>
              </c:ext>
            </c:extLst>
          </c:dPt>
          <c:dPt>
            <c:idx val="95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7A-F2A4-406A-A7DA-6B5418467181}"/>
              </c:ext>
            </c:extLst>
          </c:dPt>
          <c:dPt>
            <c:idx val="96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7C-F2A4-406A-A7DA-6B5418467181}"/>
              </c:ext>
            </c:extLst>
          </c:dPt>
          <c:dPt>
            <c:idx val="96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7D-F2A4-406A-A7DA-6B5418467181}"/>
              </c:ext>
            </c:extLst>
          </c:dPt>
          <c:dPt>
            <c:idx val="96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7F-F2A4-406A-A7DA-6B5418467181}"/>
              </c:ext>
            </c:extLst>
          </c:dPt>
          <c:dPt>
            <c:idx val="96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80-F2A4-406A-A7DA-6B5418467181}"/>
              </c:ext>
            </c:extLst>
          </c:dPt>
          <c:dPt>
            <c:idx val="96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81-F2A4-406A-A7DA-6B5418467181}"/>
              </c:ext>
            </c:extLst>
          </c:dPt>
          <c:dPt>
            <c:idx val="96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82-F2A4-406A-A7DA-6B5418467181}"/>
              </c:ext>
            </c:extLst>
          </c:dPt>
          <c:dPt>
            <c:idx val="96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83-F2A4-406A-A7DA-6B5418467181}"/>
              </c:ext>
            </c:extLst>
          </c:dPt>
          <c:dPt>
            <c:idx val="96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84-F2A4-406A-A7DA-6B5418467181}"/>
              </c:ext>
            </c:extLst>
          </c:dPt>
          <c:dPt>
            <c:idx val="97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85-F2A4-406A-A7DA-6B5418467181}"/>
              </c:ext>
            </c:extLst>
          </c:dPt>
          <c:dPt>
            <c:idx val="97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86-F2A4-406A-A7DA-6B5418467181}"/>
              </c:ext>
            </c:extLst>
          </c:dPt>
          <c:dPt>
            <c:idx val="97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89-F2A4-406A-A7DA-6B5418467181}"/>
              </c:ext>
            </c:extLst>
          </c:dPt>
          <c:dPt>
            <c:idx val="97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8B-F2A4-406A-A7DA-6B5418467181}"/>
              </c:ext>
            </c:extLst>
          </c:dPt>
          <c:dPt>
            <c:idx val="97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8C-F2A4-406A-A7DA-6B5418467181}"/>
              </c:ext>
            </c:extLst>
          </c:dPt>
          <c:dPt>
            <c:idx val="97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8D-F2A4-406A-A7DA-6B5418467181}"/>
              </c:ext>
            </c:extLst>
          </c:dPt>
          <c:dPt>
            <c:idx val="97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8E-F2A4-406A-A7DA-6B5418467181}"/>
              </c:ext>
            </c:extLst>
          </c:dPt>
          <c:dPt>
            <c:idx val="98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91-F2A4-406A-A7DA-6B5418467181}"/>
              </c:ext>
            </c:extLst>
          </c:dPt>
          <c:dPt>
            <c:idx val="98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92-F2A4-406A-A7DA-6B5418467181}"/>
              </c:ext>
            </c:extLst>
          </c:dPt>
          <c:dPt>
            <c:idx val="98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93-F2A4-406A-A7DA-6B5418467181}"/>
              </c:ext>
            </c:extLst>
          </c:dPt>
          <c:dPt>
            <c:idx val="98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95-F2A4-406A-A7DA-6B5418467181}"/>
              </c:ext>
            </c:extLst>
          </c:dPt>
          <c:dPt>
            <c:idx val="98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97-F2A4-406A-A7DA-6B5418467181}"/>
              </c:ext>
            </c:extLst>
          </c:dPt>
          <c:dPt>
            <c:idx val="98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98-F2A4-406A-A7DA-6B5418467181}"/>
              </c:ext>
            </c:extLst>
          </c:dPt>
          <c:dPt>
            <c:idx val="99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99-F2A4-406A-A7DA-6B5418467181}"/>
              </c:ext>
            </c:extLst>
          </c:dPt>
          <c:dPt>
            <c:idx val="99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9A-F2A4-406A-A7DA-6B5418467181}"/>
              </c:ext>
            </c:extLst>
          </c:dPt>
          <c:dPt>
            <c:idx val="99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9B-F2A4-406A-A7DA-6B5418467181}"/>
              </c:ext>
            </c:extLst>
          </c:dPt>
          <c:dPt>
            <c:idx val="99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9C-F2A4-406A-A7DA-6B5418467181}"/>
              </c:ext>
            </c:extLst>
          </c:dPt>
          <c:dPt>
            <c:idx val="99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9D-F2A4-406A-A7DA-6B5418467181}"/>
              </c:ext>
            </c:extLst>
          </c:dPt>
          <c:dPt>
            <c:idx val="99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9E-F2A4-406A-A7DA-6B5418467181}"/>
              </c:ext>
            </c:extLst>
          </c:dPt>
          <c:dPt>
            <c:idx val="99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9F-F2A4-406A-A7DA-6B5418467181}"/>
              </c:ext>
            </c:extLst>
          </c:dPt>
          <c:dPt>
            <c:idx val="99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A0-F2A4-406A-A7DA-6B5418467181}"/>
              </c:ext>
            </c:extLst>
          </c:dPt>
          <c:dPt>
            <c:idx val="99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A1-F2A4-406A-A7DA-6B5418467181}"/>
              </c:ext>
            </c:extLst>
          </c:dPt>
          <c:dPt>
            <c:idx val="99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A2-F2A4-406A-A7DA-6B5418467181}"/>
              </c:ext>
            </c:extLst>
          </c:dPt>
          <c:dPt>
            <c:idx val="100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A3-F2A4-406A-A7DA-6B5418467181}"/>
              </c:ext>
            </c:extLst>
          </c:dPt>
          <c:dPt>
            <c:idx val="100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A4-F2A4-406A-A7DA-6B5418467181}"/>
              </c:ext>
            </c:extLst>
          </c:dPt>
          <c:dPt>
            <c:idx val="100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A5-F2A4-406A-A7DA-6B5418467181}"/>
              </c:ext>
            </c:extLst>
          </c:dPt>
          <c:dPt>
            <c:idx val="100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A6-F2A4-406A-A7DA-6B5418467181}"/>
              </c:ext>
            </c:extLst>
          </c:dPt>
          <c:dPt>
            <c:idx val="100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A7-F2A4-406A-A7DA-6B5418467181}"/>
              </c:ext>
            </c:extLst>
          </c:dPt>
          <c:dPt>
            <c:idx val="100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A9-F2A4-406A-A7DA-6B5418467181}"/>
              </c:ext>
            </c:extLst>
          </c:dPt>
          <c:dPt>
            <c:idx val="100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AA-F2A4-406A-A7DA-6B5418467181}"/>
              </c:ext>
            </c:extLst>
          </c:dPt>
          <c:dPt>
            <c:idx val="100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AB-F2A4-406A-A7DA-6B5418467181}"/>
              </c:ext>
            </c:extLst>
          </c:dPt>
          <c:dPt>
            <c:idx val="100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AC-F2A4-406A-A7DA-6B5418467181}"/>
              </c:ext>
            </c:extLst>
          </c:dPt>
          <c:dPt>
            <c:idx val="101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AF-F2A4-406A-A7DA-6B5418467181}"/>
              </c:ext>
            </c:extLst>
          </c:dPt>
          <c:dPt>
            <c:idx val="101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B2-F2A4-406A-A7DA-6B5418467181}"/>
              </c:ext>
            </c:extLst>
          </c:dPt>
          <c:dPt>
            <c:idx val="101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B4-F2A4-406A-A7DA-6B5418467181}"/>
              </c:ext>
            </c:extLst>
          </c:dPt>
          <c:dPt>
            <c:idx val="101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B5-F2A4-406A-A7DA-6B5418467181}"/>
              </c:ext>
            </c:extLst>
          </c:dPt>
          <c:dPt>
            <c:idx val="102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B8-F2A4-406A-A7DA-6B5418467181}"/>
              </c:ext>
            </c:extLst>
          </c:dPt>
          <c:dPt>
            <c:idx val="102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B9-F2A4-406A-A7DA-6B5418467181}"/>
              </c:ext>
            </c:extLst>
          </c:dPt>
          <c:dPt>
            <c:idx val="102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BC-F2A4-406A-A7DA-6B5418467181}"/>
              </c:ext>
            </c:extLst>
          </c:dPt>
          <c:dPt>
            <c:idx val="102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C0-F2A4-406A-A7DA-6B5418467181}"/>
              </c:ext>
            </c:extLst>
          </c:dPt>
          <c:dPt>
            <c:idx val="103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C1-F2A4-406A-A7DA-6B5418467181}"/>
              </c:ext>
            </c:extLst>
          </c:dPt>
          <c:dPt>
            <c:idx val="103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C3-F2A4-406A-A7DA-6B5418467181}"/>
              </c:ext>
            </c:extLst>
          </c:dPt>
          <c:dPt>
            <c:idx val="103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C4-F2A4-406A-A7DA-6B5418467181}"/>
              </c:ext>
            </c:extLst>
          </c:dPt>
          <c:dPt>
            <c:idx val="103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C5-F2A4-406A-A7DA-6B5418467181}"/>
              </c:ext>
            </c:extLst>
          </c:dPt>
          <c:dPt>
            <c:idx val="103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C6-F2A4-406A-A7DA-6B5418467181}"/>
              </c:ext>
            </c:extLst>
          </c:dPt>
          <c:dPt>
            <c:idx val="103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C8-F2A4-406A-A7DA-6B5418467181}"/>
              </c:ext>
            </c:extLst>
          </c:dPt>
          <c:dPt>
            <c:idx val="103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C9-F2A4-406A-A7DA-6B5418467181}"/>
              </c:ext>
            </c:extLst>
          </c:dPt>
          <c:dPt>
            <c:idx val="103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CA-F2A4-406A-A7DA-6B5418467181}"/>
              </c:ext>
            </c:extLst>
          </c:dPt>
          <c:dPt>
            <c:idx val="104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CB-F2A4-406A-A7DA-6B5418467181}"/>
              </c:ext>
            </c:extLst>
          </c:dPt>
          <c:dPt>
            <c:idx val="104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CC-F2A4-406A-A7DA-6B5418467181}"/>
              </c:ext>
            </c:extLst>
          </c:dPt>
          <c:dPt>
            <c:idx val="104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CE-F2A4-406A-A7DA-6B5418467181}"/>
              </c:ext>
            </c:extLst>
          </c:dPt>
          <c:dPt>
            <c:idx val="104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D0-F2A4-406A-A7DA-6B5418467181}"/>
              </c:ext>
            </c:extLst>
          </c:dPt>
          <c:dPt>
            <c:idx val="104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D1-F2A4-406A-A7DA-6B5418467181}"/>
              </c:ext>
            </c:extLst>
          </c:dPt>
          <c:dPt>
            <c:idx val="104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D2-F2A4-406A-A7DA-6B5418467181}"/>
              </c:ext>
            </c:extLst>
          </c:dPt>
          <c:dPt>
            <c:idx val="104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D4-F2A4-406A-A7DA-6B5418467181}"/>
              </c:ext>
            </c:extLst>
          </c:dPt>
          <c:dPt>
            <c:idx val="105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D5-F2A4-406A-A7DA-6B5418467181}"/>
              </c:ext>
            </c:extLst>
          </c:dPt>
          <c:dPt>
            <c:idx val="105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D6-F2A4-406A-A7DA-6B5418467181}"/>
              </c:ext>
            </c:extLst>
          </c:dPt>
          <c:dPt>
            <c:idx val="105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D7-F2A4-406A-A7DA-6B5418467181}"/>
              </c:ext>
            </c:extLst>
          </c:dPt>
          <c:dPt>
            <c:idx val="105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D8-F2A4-406A-A7DA-6B5418467181}"/>
              </c:ext>
            </c:extLst>
          </c:dPt>
          <c:dPt>
            <c:idx val="105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DB-F2A4-406A-A7DA-6B5418467181}"/>
              </c:ext>
            </c:extLst>
          </c:dPt>
          <c:dPt>
            <c:idx val="105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DD-F2A4-406A-A7DA-6B5418467181}"/>
              </c:ext>
            </c:extLst>
          </c:dPt>
          <c:dPt>
            <c:idx val="105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DE-F2A4-406A-A7DA-6B5418467181}"/>
              </c:ext>
            </c:extLst>
          </c:dPt>
          <c:dPt>
            <c:idx val="106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E0-F2A4-406A-A7DA-6B5418467181}"/>
              </c:ext>
            </c:extLst>
          </c:dPt>
          <c:dPt>
            <c:idx val="106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E2-F2A4-406A-A7DA-6B5418467181}"/>
              </c:ext>
            </c:extLst>
          </c:dPt>
          <c:dPt>
            <c:idx val="106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E3-F2A4-406A-A7DA-6B5418467181}"/>
              </c:ext>
            </c:extLst>
          </c:dPt>
          <c:dPt>
            <c:idx val="106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E4-F2A4-406A-A7DA-6B5418467181}"/>
              </c:ext>
            </c:extLst>
          </c:dPt>
          <c:dPt>
            <c:idx val="106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E8-F2A4-406A-A7DA-6B5418467181}"/>
              </c:ext>
            </c:extLst>
          </c:dPt>
          <c:dPt>
            <c:idx val="107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E9-F2A4-406A-A7DA-6B5418467181}"/>
              </c:ext>
            </c:extLst>
          </c:dPt>
          <c:dPt>
            <c:idx val="107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EA-F2A4-406A-A7DA-6B5418467181}"/>
              </c:ext>
            </c:extLst>
          </c:dPt>
          <c:dPt>
            <c:idx val="107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EB-F2A4-406A-A7DA-6B5418467181}"/>
              </c:ext>
            </c:extLst>
          </c:dPt>
          <c:dPt>
            <c:idx val="107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EC-F2A4-406A-A7DA-6B5418467181}"/>
              </c:ext>
            </c:extLst>
          </c:dPt>
          <c:dPt>
            <c:idx val="107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ED-F2A4-406A-A7DA-6B5418467181}"/>
              </c:ext>
            </c:extLst>
          </c:dPt>
          <c:dPt>
            <c:idx val="107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EE-F2A4-406A-A7DA-6B5418467181}"/>
              </c:ext>
            </c:extLst>
          </c:dPt>
          <c:dPt>
            <c:idx val="107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F0-F2A4-406A-A7DA-6B5418467181}"/>
              </c:ext>
            </c:extLst>
          </c:dPt>
          <c:dPt>
            <c:idx val="107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F2-F2A4-406A-A7DA-6B5418467181}"/>
              </c:ext>
            </c:extLst>
          </c:dPt>
          <c:dPt>
            <c:idx val="108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F3-F2A4-406A-A7DA-6B5418467181}"/>
              </c:ext>
            </c:extLst>
          </c:dPt>
          <c:dPt>
            <c:idx val="108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F4-F2A4-406A-A7DA-6B5418467181}"/>
              </c:ext>
            </c:extLst>
          </c:dPt>
          <c:dPt>
            <c:idx val="108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F5-F2A4-406A-A7DA-6B5418467181}"/>
              </c:ext>
            </c:extLst>
          </c:dPt>
          <c:dPt>
            <c:idx val="108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F6-F2A4-406A-A7DA-6B5418467181}"/>
              </c:ext>
            </c:extLst>
          </c:dPt>
          <c:dPt>
            <c:idx val="108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F7-F2A4-406A-A7DA-6B5418467181}"/>
              </c:ext>
            </c:extLst>
          </c:dPt>
          <c:dPt>
            <c:idx val="108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F8-F2A4-406A-A7DA-6B5418467181}"/>
              </c:ext>
            </c:extLst>
          </c:dPt>
          <c:dPt>
            <c:idx val="108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FB-F2A4-406A-A7DA-6B5418467181}"/>
              </c:ext>
            </c:extLst>
          </c:dPt>
          <c:dPt>
            <c:idx val="108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FC-F2A4-406A-A7DA-6B5418467181}"/>
              </c:ext>
            </c:extLst>
          </c:dPt>
          <c:dPt>
            <c:idx val="109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2FD-F2A4-406A-A7DA-6B5418467181}"/>
              </c:ext>
            </c:extLst>
          </c:dPt>
          <c:dPt>
            <c:idx val="109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00-F2A4-406A-A7DA-6B5418467181}"/>
              </c:ext>
            </c:extLst>
          </c:dPt>
          <c:dPt>
            <c:idx val="109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01-F2A4-406A-A7DA-6B5418467181}"/>
              </c:ext>
            </c:extLst>
          </c:dPt>
          <c:dPt>
            <c:idx val="109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02-F2A4-406A-A7DA-6B5418467181}"/>
              </c:ext>
            </c:extLst>
          </c:dPt>
          <c:dPt>
            <c:idx val="109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03-F2A4-406A-A7DA-6B5418467181}"/>
              </c:ext>
            </c:extLst>
          </c:dPt>
          <c:dPt>
            <c:idx val="109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04-F2A4-406A-A7DA-6B5418467181}"/>
              </c:ext>
            </c:extLst>
          </c:dPt>
          <c:dPt>
            <c:idx val="109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05-F2A4-406A-A7DA-6B5418467181}"/>
              </c:ext>
            </c:extLst>
          </c:dPt>
          <c:dPt>
            <c:idx val="110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09-F2A4-406A-A7DA-6B5418467181}"/>
              </c:ext>
            </c:extLst>
          </c:dPt>
          <c:dPt>
            <c:idx val="110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0B-F2A4-406A-A7DA-6B5418467181}"/>
              </c:ext>
            </c:extLst>
          </c:dPt>
          <c:dPt>
            <c:idx val="110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0C-F2A4-406A-A7DA-6B5418467181}"/>
              </c:ext>
            </c:extLst>
          </c:dPt>
          <c:dPt>
            <c:idx val="110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0F-F2A4-406A-A7DA-6B5418467181}"/>
              </c:ext>
            </c:extLst>
          </c:dPt>
          <c:dPt>
            <c:idx val="110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10-F2A4-406A-A7DA-6B5418467181}"/>
              </c:ext>
            </c:extLst>
          </c:dPt>
          <c:dPt>
            <c:idx val="111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14-F2A4-406A-A7DA-6B5418467181}"/>
              </c:ext>
            </c:extLst>
          </c:dPt>
          <c:dPt>
            <c:idx val="111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15-F2A4-406A-A7DA-6B5418467181}"/>
              </c:ext>
            </c:extLst>
          </c:dPt>
          <c:dPt>
            <c:idx val="111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1A-F2A4-406A-A7DA-6B5418467181}"/>
              </c:ext>
            </c:extLst>
          </c:dPt>
          <c:dPt>
            <c:idx val="112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1B-F2A4-406A-A7DA-6B5418467181}"/>
              </c:ext>
            </c:extLst>
          </c:dPt>
          <c:dPt>
            <c:idx val="112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1C-F2A4-406A-A7DA-6B5418467181}"/>
              </c:ext>
            </c:extLst>
          </c:dPt>
          <c:dPt>
            <c:idx val="112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1D-F2A4-406A-A7DA-6B5418467181}"/>
              </c:ext>
            </c:extLst>
          </c:dPt>
          <c:dPt>
            <c:idx val="112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1E-F2A4-406A-A7DA-6B5418467181}"/>
              </c:ext>
            </c:extLst>
          </c:dPt>
          <c:dPt>
            <c:idx val="112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20-F2A4-406A-A7DA-6B5418467181}"/>
              </c:ext>
            </c:extLst>
          </c:dPt>
          <c:dPt>
            <c:idx val="112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21-F2A4-406A-A7DA-6B5418467181}"/>
              </c:ext>
            </c:extLst>
          </c:dPt>
          <c:dPt>
            <c:idx val="112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24-F2A4-406A-A7DA-6B5418467181}"/>
              </c:ext>
            </c:extLst>
          </c:dPt>
          <c:dPt>
            <c:idx val="113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26-F2A4-406A-A7DA-6B5418467181}"/>
              </c:ext>
            </c:extLst>
          </c:dPt>
          <c:dPt>
            <c:idx val="113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28-F2A4-406A-A7DA-6B5418467181}"/>
              </c:ext>
            </c:extLst>
          </c:dPt>
          <c:dPt>
            <c:idx val="113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29-F2A4-406A-A7DA-6B5418467181}"/>
              </c:ext>
            </c:extLst>
          </c:dPt>
          <c:dPt>
            <c:idx val="113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2A-F2A4-406A-A7DA-6B5418467181}"/>
              </c:ext>
            </c:extLst>
          </c:dPt>
          <c:dPt>
            <c:idx val="114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31-F2A4-406A-A7DA-6B5418467181}"/>
              </c:ext>
            </c:extLst>
          </c:dPt>
          <c:dPt>
            <c:idx val="114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32-F2A4-406A-A7DA-6B5418467181}"/>
              </c:ext>
            </c:extLst>
          </c:dPt>
          <c:dPt>
            <c:idx val="114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33-F2A4-406A-A7DA-6B5418467181}"/>
              </c:ext>
            </c:extLst>
          </c:dPt>
          <c:dPt>
            <c:idx val="114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35-F2A4-406A-A7DA-6B5418467181}"/>
              </c:ext>
            </c:extLst>
          </c:dPt>
          <c:dPt>
            <c:idx val="114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36-F2A4-406A-A7DA-6B5418467181}"/>
              </c:ext>
            </c:extLst>
          </c:dPt>
          <c:dPt>
            <c:idx val="114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37-F2A4-406A-A7DA-6B5418467181}"/>
              </c:ext>
            </c:extLst>
          </c:dPt>
          <c:dPt>
            <c:idx val="115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39-F2A4-406A-A7DA-6B5418467181}"/>
              </c:ext>
            </c:extLst>
          </c:dPt>
          <c:dPt>
            <c:idx val="115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3A-F2A4-406A-A7DA-6B5418467181}"/>
              </c:ext>
            </c:extLst>
          </c:dPt>
          <c:dPt>
            <c:idx val="115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3B-F2A4-406A-A7DA-6B5418467181}"/>
              </c:ext>
            </c:extLst>
          </c:dPt>
          <c:dPt>
            <c:idx val="115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3C-F2A4-406A-A7DA-6B5418467181}"/>
              </c:ext>
            </c:extLst>
          </c:dPt>
          <c:dPt>
            <c:idx val="115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3D-F2A4-406A-A7DA-6B5418467181}"/>
              </c:ext>
            </c:extLst>
          </c:dPt>
          <c:dPt>
            <c:idx val="115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3E-F2A4-406A-A7DA-6B5418467181}"/>
              </c:ext>
            </c:extLst>
          </c:dPt>
          <c:dPt>
            <c:idx val="115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3F-F2A4-406A-A7DA-6B5418467181}"/>
              </c:ext>
            </c:extLst>
          </c:dPt>
          <c:dPt>
            <c:idx val="115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40-F2A4-406A-A7DA-6B5418467181}"/>
              </c:ext>
            </c:extLst>
          </c:dPt>
          <c:dPt>
            <c:idx val="115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42-F2A4-406A-A7DA-6B5418467181}"/>
              </c:ext>
            </c:extLst>
          </c:dPt>
          <c:dPt>
            <c:idx val="116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43-F2A4-406A-A7DA-6B5418467181}"/>
              </c:ext>
            </c:extLst>
          </c:dPt>
          <c:dPt>
            <c:idx val="116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44-F2A4-406A-A7DA-6B5418467181}"/>
              </c:ext>
            </c:extLst>
          </c:dPt>
          <c:dPt>
            <c:idx val="116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45-F2A4-406A-A7DA-6B5418467181}"/>
              </c:ext>
            </c:extLst>
          </c:dPt>
          <c:dPt>
            <c:idx val="116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46-F2A4-406A-A7DA-6B5418467181}"/>
              </c:ext>
            </c:extLst>
          </c:dPt>
          <c:dPt>
            <c:idx val="116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47-F2A4-406A-A7DA-6B5418467181}"/>
              </c:ext>
            </c:extLst>
          </c:dPt>
          <c:dPt>
            <c:idx val="116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4B-F2A4-406A-A7DA-6B5418467181}"/>
              </c:ext>
            </c:extLst>
          </c:dPt>
          <c:dPt>
            <c:idx val="117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4F-F2A4-406A-A7DA-6B5418467181}"/>
              </c:ext>
            </c:extLst>
          </c:dPt>
          <c:dPt>
            <c:idx val="117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50-F2A4-406A-A7DA-6B5418467181}"/>
              </c:ext>
            </c:extLst>
          </c:dPt>
          <c:dPt>
            <c:idx val="117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51-F2A4-406A-A7DA-6B5418467181}"/>
              </c:ext>
            </c:extLst>
          </c:dPt>
          <c:dPt>
            <c:idx val="117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53-F2A4-406A-A7DA-6B5418467181}"/>
              </c:ext>
            </c:extLst>
          </c:dPt>
          <c:dPt>
            <c:idx val="117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54-F2A4-406A-A7DA-6B5418467181}"/>
              </c:ext>
            </c:extLst>
          </c:dPt>
          <c:dPt>
            <c:idx val="117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55-F2A4-406A-A7DA-6B5418467181}"/>
              </c:ext>
            </c:extLst>
          </c:dPt>
          <c:dPt>
            <c:idx val="118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57-F2A4-406A-A7DA-6B5418467181}"/>
              </c:ext>
            </c:extLst>
          </c:dPt>
          <c:dPt>
            <c:idx val="118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5A-F2A4-406A-A7DA-6B5418467181}"/>
              </c:ext>
            </c:extLst>
          </c:dPt>
          <c:dPt>
            <c:idx val="118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5B-F2A4-406A-A7DA-6B5418467181}"/>
              </c:ext>
            </c:extLst>
          </c:dPt>
          <c:dPt>
            <c:idx val="118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5C-F2A4-406A-A7DA-6B5418467181}"/>
              </c:ext>
            </c:extLst>
          </c:dPt>
          <c:dPt>
            <c:idx val="118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5D-F2A4-406A-A7DA-6B5418467181}"/>
              </c:ext>
            </c:extLst>
          </c:dPt>
          <c:dPt>
            <c:idx val="118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5E-F2A4-406A-A7DA-6B5418467181}"/>
              </c:ext>
            </c:extLst>
          </c:dPt>
          <c:dPt>
            <c:idx val="118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5F-F2A4-406A-A7DA-6B5418467181}"/>
              </c:ext>
            </c:extLst>
          </c:dPt>
          <c:dPt>
            <c:idx val="119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61-F2A4-406A-A7DA-6B5418467181}"/>
              </c:ext>
            </c:extLst>
          </c:dPt>
          <c:dPt>
            <c:idx val="119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62-F2A4-406A-A7DA-6B5418467181}"/>
              </c:ext>
            </c:extLst>
          </c:dPt>
          <c:dPt>
            <c:idx val="119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66-F2A4-406A-A7DA-6B5418467181}"/>
              </c:ext>
            </c:extLst>
          </c:dPt>
          <c:dPt>
            <c:idx val="119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68-F2A4-406A-A7DA-6B5418467181}"/>
              </c:ext>
            </c:extLst>
          </c:dPt>
          <c:dPt>
            <c:idx val="119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6A-F2A4-406A-A7DA-6B5418467181}"/>
              </c:ext>
            </c:extLst>
          </c:dPt>
          <c:dPt>
            <c:idx val="120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6B-F2A4-406A-A7DA-6B5418467181}"/>
              </c:ext>
            </c:extLst>
          </c:dPt>
          <c:dPt>
            <c:idx val="120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6C-F2A4-406A-A7DA-6B5418467181}"/>
              </c:ext>
            </c:extLst>
          </c:dPt>
          <c:dPt>
            <c:idx val="120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6D-F2A4-406A-A7DA-6B5418467181}"/>
              </c:ext>
            </c:extLst>
          </c:dPt>
          <c:dPt>
            <c:idx val="120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6E-F2A4-406A-A7DA-6B5418467181}"/>
              </c:ext>
            </c:extLst>
          </c:dPt>
          <c:dPt>
            <c:idx val="120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70-F2A4-406A-A7DA-6B5418467181}"/>
              </c:ext>
            </c:extLst>
          </c:dPt>
          <c:dPt>
            <c:idx val="120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71-F2A4-406A-A7DA-6B5418467181}"/>
              </c:ext>
            </c:extLst>
          </c:dPt>
          <c:dPt>
            <c:idx val="120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72-F2A4-406A-A7DA-6B5418467181}"/>
              </c:ext>
            </c:extLst>
          </c:dPt>
          <c:dPt>
            <c:idx val="120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73-F2A4-406A-A7DA-6B5418467181}"/>
              </c:ext>
            </c:extLst>
          </c:dPt>
          <c:dPt>
            <c:idx val="121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76-F2A4-406A-A7DA-6B5418467181}"/>
              </c:ext>
            </c:extLst>
          </c:dPt>
          <c:dPt>
            <c:idx val="121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77-F2A4-406A-A7DA-6B5418467181}"/>
              </c:ext>
            </c:extLst>
          </c:dPt>
          <c:dPt>
            <c:idx val="121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79-F2A4-406A-A7DA-6B5418467181}"/>
              </c:ext>
            </c:extLst>
          </c:dPt>
          <c:dPt>
            <c:idx val="1219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7E-F2A4-406A-A7DA-6B5418467181}"/>
              </c:ext>
            </c:extLst>
          </c:dPt>
          <c:dPt>
            <c:idx val="122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80-F2A4-406A-A7DA-6B5418467181}"/>
              </c:ext>
            </c:extLst>
          </c:dPt>
          <c:dPt>
            <c:idx val="122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81-F2A4-406A-A7DA-6B5418467181}"/>
              </c:ext>
            </c:extLst>
          </c:dPt>
          <c:dPt>
            <c:idx val="122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83-F2A4-406A-A7DA-6B5418467181}"/>
              </c:ext>
            </c:extLst>
          </c:dPt>
          <c:dPt>
            <c:idx val="122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85-F2A4-406A-A7DA-6B5418467181}"/>
              </c:ext>
            </c:extLst>
          </c:dPt>
          <c:dPt>
            <c:idx val="122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86-F2A4-406A-A7DA-6B5418467181}"/>
              </c:ext>
            </c:extLst>
          </c:dPt>
          <c:dPt>
            <c:idx val="122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87-F2A4-406A-A7DA-6B5418467181}"/>
              </c:ext>
            </c:extLst>
          </c:dPt>
          <c:dPt>
            <c:idx val="123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89-F2A4-406A-A7DA-6B5418467181}"/>
              </c:ext>
            </c:extLst>
          </c:dPt>
          <c:dPt>
            <c:idx val="1231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8A-F2A4-406A-A7DA-6B5418467181}"/>
              </c:ext>
            </c:extLst>
          </c:dPt>
          <c:dPt>
            <c:idx val="123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8B-F2A4-406A-A7DA-6B5418467181}"/>
              </c:ext>
            </c:extLst>
          </c:dPt>
          <c:dPt>
            <c:idx val="123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8E-F2A4-406A-A7DA-6B5418467181}"/>
              </c:ext>
            </c:extLst>
          </c:dPt>
          <c:dPt>
            <c:idx val="123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8F-F2A4-406A-A7DA-6B5418467181}"/>
              </c:ext>
            </c:extLst>
          </c:dPt>
          <c:dPt>
            <c:idx val="1237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90-F2A4-406A-A7DA-6B5418467181}"/>
              </c:ext>
            </c:extLst>
          </c:dPt>
          <c:dPt>
            <c:idx val="123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91-F2A4-406A-A7DA-6B5418467181}"/>
              </c:ext>
            </c:extLst>
          </c:dPt>
          <c:dPt>
            <c:idx val="124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93-F2A4-406A-A7DA-6B5418467181}"/>
              </c:ext>
            </c:extLst>
          </c:dPt>
          <c:dPt>
            <c:idx val="1243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96-F2A4-406A-A7DA-6B5418467181}"/>
              </c:ext>
            </c:extLst>
          </c:dPt>
          <c:dPt>
            <c:idx val="124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97-F2A4-406A-A7DA-6B5418467181}"/>
              </c:ext>
            </c:extLst>
          </c:dPt>
          <c:dPt>
            <c:idx val="124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98-F2A4-406A-A7DA-6B5418467181}"/>
              </c:ext>
            </c:extLst>
          </c:dPt>
          <c:dPt>
            <c:idx val="124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99-F2A4-406A-A7DA-6B5418467181}"/>
              </c:ext>
            </c:extLst>
          </c:dPt>
          <c:dPt>
            <c:idx val="1248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9B-F2A4-406A-A7DA-6B5418467181}"/>
              </c:ext>
            </c:extLst>
          </c:dPt>
          <c:dPt>
            <c:idx val="1250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9D-F2A4-406A-A7DA-6B5418467181}"/>
              </c:ext>
            </c:extLst>
          </c:dPt>
          <c:dPt>
            <c:idx val="1252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9F-F2A4-406A-A7DA-6B5418467181}"/>
              </c:ext>
            </c:extLst>
          </c:dPt>
          <c:dPt>
            <c:idx val="1254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A1-F2A4-406A-A7DA-6B5418467181}"/>
              </c:ext>
            </c:extLst>
          </c:dPt>
          <c:dPt>
            <c:idx val="1255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A2-F2A4-406A-A7DA-6B5418467181}"/>
              </c:ext>
            </c:extLst>
          </c:dPt>
          <c:dPt>
            <c:idx val="1256"/>
            <c:marker>
              <c:symbol val="circle"/>
              <c:size val="2"/>
              <c:spPr>
                <a:noFill/>
                <a:ln w="9525">
                  <a:noFill/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0F9ED5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13A3-F2A4-406A-A7DA-6B5418467181}"/>
              </c:ext>
            </c:extLst>
          </c:dPt>
          <c:xVal>
            <c:numRef>
              <c:f>'TSLA, MSFT'!$O$5:$O$1261</c:f>
              <c:numCache>
                <c:formatCode>General</c:formatCode>
                <c:ptCount val="1257"/>
                <c:pt idx="0">
                  <c:v>0</c:v>
                </c:pt>
                <c:pt idx="1">
                  <c:v>5.6094293574344763E-2</c:v>
                </c:pt>
                <c:pt idx="2">
                  <c:v>5.2935087832015351E-2</c:v>
                </c:pt>
                <c:pt idx="3">
                  <c:v>1.163640817498655E-3</c:v>
                </c:pt>
                <c:pt idx="4">
                  <c:v>9.4379077226967659E-3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2.9553010515436993E-2</c:v>
                </c:pt>
                <c:pt idx="9">
                  <c:v>4.6923965140420066E-3</c:v>
                </c:pt>
                <c:pt idx="10">
                  <c:v>3.6344364087915713E-3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1.8792566680364282E-2</c:v>
                </c:pt>
                <c:pt idx="16">
                  <c:v>0</c:v>
                </c:pt>
                <c:pt idx="17">
                  <c:v>0</c:v>
                </c:pt>
                <c:pt idx="18">
                  <c:v>3.7316900392010265E-2</c:v>
                </c:pt>
                <c:pt idx="19">
                  <c:v>0</c:v>
                </c:pt>
                <c:pt idx="20">
                  <c:v>0</c:v>
                </c:pt>
                <c:pt idx="21">
                  <c:v>2.1756848184237431E-3</c:v>
                </c:pt>
                <c:pt idx="22">
                  <c:v>2.6679134488142332E-2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1.3439260777283475E-2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1.1878489189551016E-2</c:v>
                </c:pt>
                <c:pt idx="35">
                  <c:v>1.3682191390669266E-2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2.6930844831026295E-2</c:v>
                </c:pt>
                <c:pt idx="45">
                  <c:v>2.3581240432304976E-2</c:v>
                </c:pt>
                <c:pt idx="46">
                  <c:v>0</c:v>
                </c:pt>
                <c:pt idx="47">
                  <c:v>1.9570078548699115E-2</c:v>
                </c:pt>
                <c:pt idx="48">
                  <c:v>3.4547294478140351E-3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1.5339106765672897E-3</c:v>
                </c:pt>
                <c:pt idx="54">
                  <c:v>0</c:v>
                </c:pt>
                <c:pt idx="55">
                  <c:v>0</c:v>
                </c:pt>
                <c:pt idx="56">
                  <c:v>2.7832689728887351E-2</c:v>
                </c:pt>
                <c:pt idx="57">
                  <c:v>0</c:v>
                </c:pt>
                <c:pt idx="58">
                  <c:v>1.3696084949247901E-2</c:v>
                </c:pt>
                <c:pt idx="59">
                  <c:v>4.4405960378236667E-3</c:v>
                </c:pt>
                <c:pt idx="60">
                  <c:v>3.2759888628757748E-2</c:v>
                </c:pt>
                <c:pt idx="61">
                  <c:v>0</c:v>
                </c:pt>
                <c:pt idx="62">
                  <c:v>2.0530798177393131E-2</c:v>
                </c:pt>
                <c:pt idx="63">
                  <c:v>0</c:v>
                </c:pt>
                <c:pt idx="64">
                  <c:v>2.6459958872942051E-2</c:v>
                </c:pt>
                <c:pt idx="65">
                  <c:v>0</c:v>
                </c:pt>
                <c:pt idx="66">
                  <c:v>0</c:v>
                </c:pt>
                <c:pt idx="67">
                  <c:v>1.3677110937051817E-2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7.4564798917494826E-3</c:v>
                </c:pt>
                <c:pt idx="74">
                  <c:v>0</c:v>
                </c:pt>
                <c:pt idx="75">
                  <c:v>4.3671960249243667E-3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4.3803287198479368E-2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2.3078595735368208E-2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7.857603457724914E-2</c:v>
                </c:pt>
                <c:pt idx="105">
                  <c:v>1.5326141050592507E-2</c:v>
                </c:pt>
                <c:pt idx="106">
                  <c:v>4.6513079162574654E-2</c:v>
                </c:pt>
                <c:pt idx="107">
                  <c:v>0</c:v>
                </c:pt>
                <c:pt idx="108">
                  <c:v>4.0160675636455333E-2</c:v>
                </c:pt>
                <c:pt idx="109">
                  <c:v>0</c:v>
                </c:pt>
                <c:pt idx="110">
                  <c:v>0</c:v>
                </c:pt>
                <c:pt idx="111">
                  <c:v>2.1977867341408233E-2</c:v>
                </c:pt>
                <c:pt idx="112">
                  <c:v>4.7104766725908779E-3</c:v>
                </c:pt>
                <c:pt idx="113">
                  <c:v>4.5967860789033976E-2</c:v>
                </c:pt>
                <c:pt idx="114">
                  <c:v>0</c:v>
                </c:pt>
                <c:pt idx="115">
                  <c:v>7.4916235748632683E-3</c:v>
                </c:pt>
                <c:pt idx="116">
                  <c:v>0</c:v>
                </c:pt>
                <c:pt idx="117">
                  <c:v>1.0147817444278102E-2</c:v>
                </c:pt>
                <c:pt idx="118">
                  <c:v>7.9910189538362104E-3</c:v>
                </c:pt>
                <c:pt idx="119">
                  <c:v>0</c:v>
                </c:pt>
                <c:pt idx="120">
                  <c:v>0</c:v>
                </c:pt>
                <c:pt idx="121">
                  <c:v>1.6150177992204622E-2</c:v>
                </c:pt>
                <c:pt idx="122">
                  <c:v>0</c:v>
                </c:pt>
                <c:pt idx="123">
                  <c:v>1.6466253141255164E-2</c:v>
                </c:pt>
                <c:pt idx="124">
                  <c:v>0</c:v>
                </c:pt>
                <c:pt idx="125">
                  <c:v>4.5061492131119991E-2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3.7788645129702175E-2</c:v>
                </c:pt>
                <c:pt idx="130">
                  <c:v>0</c:v>
                </c:pt>
                <c:pt idx="131">
                  <c:v>2.6796177639565422E-2</c:v>
                </c:pt>
                <c:pt idx="132">
                  <c:v>3.3779114772282473E-2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1.8135454009491674E-2</c:v>
                </c:pt>
                <c:pt idx="137">
                  <c:v>0</c:v>
                </c:pt>
                <c:pt idx="138">
                  <c:v>1.7408581034013163E-2</c:v>
                </c:pt>
                <c:pt idx="139">
                  <c:v>1.7941629392151597E-2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1.0586719885051908E-2</c:v>
                </c:pt>
                <c:pt idx="149">
                  <c:v>1.1504532849103299E-2</c:v>
                </c:pt>
                <c:pt idx="150">
                  <c:v>2.0691020523059434E-2</c:v>
                </c:pt>
                <c:pt idx="151">
                  <c:v>0</c:v>
                </c:pt>
                <c:pt idx="152">
                  <c:v>0</c:v>
                </c:pt>
                <c:pt idx="153">
                  <c:v>2.581988653077677E-2</c:v>
                </c:pt>
                <c:pt idx="154">
                  <c:v>0</c:v>
                </c:pt>
                <c:pt idx="155">
                  <c:v>0</c:v>
                </c:pt>
                <c:pt idx="156">
                  <c:v>1.9744454032792926E-2</c:v>
                </c:pt>
                <c:pt idx="157">
                  <c:v>3.0846033622027164E-2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1.6885955087556505E-2</c:v>
                </c:pt>
                <c:pt idx="163">
                  <c:v>0</c:v>
                </c:pt>
                <c:pt idx="164">
                  <c:v>0</c:v>
                </c:pt>
                <c:pt idx="165">
                  <c:v>2.7991765194014868E-2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3.9537842454219888E-2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4.791232111862239E-2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8.1214562981779276E-3</c:v>
                </c:pt>
                <c:pt idx="178">
                  <c:v>0</c:v>
                </c:pt>
                <c:pt idx="179">
                  <c:v>1.2691695501065251E-2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2.4298068120086613E-2</c:v>
                </c:pt>
                <c:pt idx="184">
                  <c:v>5.8838062016391857E-2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1.8490849113505708E-2</c:v>
                </c:pt>
                <c:pt idx="194">
                  <c:v>8.5842178304638918E-4</c:v>
                </c:pt>
                <c:pt idx="195">
                  <c:v>1.2788616312968289E-2</c:v>
                </c:pt>
                <c:pt idx="196">
                  <c:v>0</c:v>
                </c:pt>
                <c:pt idx="197">
                  <c:v>3.6127065880898774E-3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0.16270738944298707</c:v>
                </c:pt>
                <c:pt idx="205">
                  <c:v>9.0694696473902228E-2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1.3190241649686621E-2</c:v>
                </c:pt>
                <c:pt idx="212">
                  <c:v>0</c:v>
                </c:pt>
                <c:pt idx="213">
                  <c:v>0</c:v>
                </c:pt>
                <c:pt idx="214">
                  <c:v>2.7066263697291766E-2</c:v>
                </c:pt>
                <c:pt idx="215">
                  <c:v>4.7571149112603838E-3</c:v>
                </c:pt>
                <c:pt idx="216">
                  <c:v>2.3307021690787522E-2</c:v>
                </c:pt>
                <c:pt idx="217">
                  <c:v>1.3927852726414766E-2</c:v>
                </c:pt>
                <c:pt idx="218">
                  <c:v>0</c:v>
                </c:pt>
                <c:pt idx="219">
                  <c:v>9.3177276668574855E-3</c:v>
                </c:pt>
                <c:pt idx="220">
                  <c:v>8.0397282162637997E-3</c:v>
                </c:pt>
                <c:pt idx="221">
                  <c:v>0</c:v>
                </c:pt>
                <c:pt idx="222">
                  <c:v>2.6865254362547393E-2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9.8599500605818062E-3</c:v>
                </c:pt>
                <c:pt idx="227">
                  <c:v>0</c:v>
                </c:pt>
                <c:pt idx="228">
                  <c:v>7.1796102282495611E-3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1.6570485922234552E-2</c:v>
                </c:pt>
                <c:pt idx="235">
                  <c:v>0</c:v>
                </c:pt>
                <c:pt idx="236">
                  <c:v>0</c:v>
                </c:pt>
                <c:pt idx="237">
                  <c:v>1.1004373178149309E-2</c:v>
                </c:pt>
                <c:pt idx="238">
                  <c:v>1.9596938926190875E-2</c:v>
                </c:pt>
                <c:pt idx="239">
                  <c:v>0</c:v>
                </c:pt>
                <c:pt idx="240">
                  <c:v>6.2488963568944629E-2</c:v>
                </c:pt>
                <c:pt idx="241">
                  <c:v>0</c:v>
                </c:pt>
                <c:pt idx="242">
                  <c:v>0</c:v>
                </c:pt>
                <c:pt idx="243">
                  <c:v>2.7322739801872251E-2</c:v>
                </c:pt>
                <c:pt idx="244">
                  <c:v>3.8288647269506719E-3</c:v>
                </c:pt>
                <c:pt idx="245">
                  <c:v>3.3053056979443621E-2</c:v>
                </c:pt>
                <c:pt idx="246">
                  <c:v>0</c:v>
                </c:pt>
                <c:pt idx="247">
                  <c:v>1.3291661205202258E-2</c:v>
                </c:pt>
                <c:pt idx="248">
                  <c:v>0</c:v>
                </c:pt>
                <c:pt idx="249">
                  <c:v>0</c:v>
                </c:pt>
                <c:pt idx="250">
                  <c:v>8.7151915247214249E-3</c:v>
                </c:pt>
                <c:pt idx="251">
                  <c:v>2.8119106288572868E-2</c:v>
                </c:pt>
                <c:pt idx="252">
                  <c:v>0</c:v>
                </c:pt>
                <c:pt idx="253">
                  <c:v>1.9071630429250377E-2</c:v>
                </c:pt>
                <c:pt idx="254">
                  <c:v>0</c:v>
                </c:pt>
                <c:pt idx="255">
                  <c:v>4.8032578465578568E-2</c:v>
                </c:pt>
                <c:pt idx="256">
                  <c:v>0</c:v>
                </c:pt>
                <c:pt idx="257">
                  <c:v>0</c:v>
                </c:pt>
                <c:pt idx="258">
                  <c:v>9.3207011478807486E-2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4.6243949904766031E-3</c:v>
                </c:pt>
                <c:pt idx="266">
                  <c:v>0</c:v>
                </c:pt>
                <c:pt idx="267">
                  <c:v>0</c:v>
                </c:pt>
                <c:pt idx="268">
                  <c:v>1.5788091399084134E-2</c:v>
                </c:pt>
                <c:pt idx="269">
                  <c:v>2.4550668196856716E-2</c:v>
                </c:pt>
                <c:pt idx="270">
                  <c:v>9.7999527956061594E-2</c:v>
                </c:pt>
                <c:pt idx="271">
                  <c:v>0</c:v>
                </c:pt>
                <c:pt idx="272">
                  <c:v>0.18144500261830182</c:v>
                </c:pt>
                <c:pt idx="273">
                  <c:v>0.12861869844456375</c:v>
                </c:pt>
                <c:pt idx="274">
                  <c:v>0</c:v>
                </c:pt>
                <c:pt idx="275">
                  <c:v>1.9223351629224113E-2</c:v>
                </c:pt>
                <c:pt idx="276">
                  <c:v>0</c:v>
                </c:pt>
                <c:pt idx="277">
                  <c:v>3.0554908987549569E-2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7.0420903978889171E-2</c:v>
                </c:pt>
                <c:pt idx="283">
                  <c:v>6.6495182323661209E-2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0.10725703279438244</c:v>
                </c:pt>
                <c:pt idx="292">
                  <c:v>0</c:v>
                </c:pt>
                <c:pt idx="293">
                  <c:v>5.3377494554348506E-3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5.9586916879411554E-2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0.16879453129968422</c:v>
                </c:pt>
                <c:pt idx="305">
                  <c:v>0</c:v>
                </c:pt>
                <c:pt idx="306">
                  <c:v>0</c:v>
                </c:pt>
                <c:pt idx="307">
                  <c:v>0.15084594364896106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7.2764794943527458E-2</c:v>
                </c:pt>
                <c:pt idx="317">
                  <c:v>0</c:v>
                </c:pt>
                <c:pt idx="318">
                  <c:v>6.1957630653713966E-3</c:v>
                </c:pt>
                <c:pt idx="319">
                  <c:v>4.3078791949898339E-2</c:v>
                </c:pt>
                <c:pt idx="320">
                  <c:v>0.1275470991317379</c:v>
                </c:pt>
                <c:pt idx="321">
                  <c:v>8.6677186430582073E-2</c:v>
                </c:pt>
                <c:pt idx="322">
                  <c:v>0</c:v>
                </c:pt>
                <c:pt idx="323">
                  <c:v>2.0854440679849449E-2</c:v>
                </c:pt>
                <c:pt idx="324">
                  <c:v>1.1580417240565235E-2</c:v>
                </c:pt>
                <c:pt idx="325">
                  <c:v>0</c:v>
                </c:pt>
                <c:pt idx="326">
                  <c:v>0</c:v>
                </c:pt>
                <c:pt idx="327">
                  <c:v>6.400415547908414E-2</c:v>
                </c:pt>
                <c:pt idx="328">
                  <c:v>0</c:v>
                </c:pt>
                <c:pt idx="329">
                  <c:v>2.7287523000947264E-2</c:v>
                </c:pt>
                <c:pt idx="330">
                  <c:v>0</c:v>
                </c:pt>
                <c:pt idx="331">
                  <c:v>0</c:v>
                </c:pt>
                <c:pt idx="332">
                  <c:v>4.0002008423270972E-2</c:v>
                </c:pt>
                <c:pt idx="333">
                  <c:v>0</c:v>
                </c:pt>
                <c:pt idx="334">
                  <c:v>0</c:v>
                </c:pt>
                <c:pt idx="335">
                  <c:v>8.1918720817000246E-2</c:v>
                </c:pt>
                <c:pt idx="336">
                  <c:v>9.1801940245014538E-3</c:v>
                </c:pt>
                <c:pt idx="337">
                  <c:v>1.853301998125283E-2</c:v>
                </c:pt>
                <c:pt idx="338">
                  <c:v>0</c:v>
                </c:pt>
                <c:pt idx="339">
                  <c:v>4.9251548706941331E-2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1.551815962371008E-2</c:v>
                </c:pt>
                <c:pt idx="344">
                  <c:v>0</c:v>
                </c:pt>
                <c:pt idx="345">
                  <c:v>1.7932046554537395E-2</c:v>
                </c:pt>
                <c:pt idx="346">
                  <c:v>0</c:v>
                </c:pt>
                <c:pt idx="347">
                  <c:v>9.3005900495653354E-3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1.6594720927266449E-3</c:v>
                </c:pt>
                <c:pt idx="352">
                  <c:v>0</c:v>
                </c:pt>
                <c:pt idx="353">
                  <c:v>3.5583722660850289E-2</c:v>
                </c:pt>
                <c:pt idx="354">
                  <c:v>0</c:v>
                </c:pt>
                <c:pt idx="355">
                  <c:v>0</c:v>
                </c:pt>
                <c:pt idx="356">
                  <c:v>1.5867774824586838E-3</c:v>
                </c:pt>
                <c:pt idx="357">
                  <c:v>0</c:v>
                </c:pt>
                <c:pt idx="358">
                  <c:v>2.432064904972614E-2</c:v>
                </c:pt>
                <c:pt idx="359">
                  <c:v>7.0044641891123471E-2</c:v>
                </c:pt>
                <c:pt idx="360">
                  <c:v>0</c:v>
                </c:pt>
                <c:pt idx="361">
                  <c:v>8.5904321693490493E-2</c:v>
                </c:pt>
                <c:pt idx="362">
                  <c:v>0</c:v>
                </c:pt>
                <c:pt idx="363">
                  <c:v>0</c:v>
                </c:pt>
                <c:pt idx="364">
                  <c:v>5.776762505280475E-2</c:v>
                </c:pt>
                <c:pt idx="365">
                  <c:v>0</c:v>
                </c:pt>
                <c:pt idx="366">
                  <c:v>9.7876633698818476E-3</c:v>
                </c:pt>
                <c:pt idx="367">
                  <c:v>1.2196062941824969E-2</c:v>
                </c:pt>
                <c:pt idx="368">
                  <c:v>0</c:v>
                </c:pt>
                <c:pt idx="369">
                  <c:v>0</c:v>
                </c:pt>
                <c:pt idx="370">
                  <c:v>7.4745600864557227E-3</c:v>
                </c:pt>
                <c:pt idx="371">
                  <c:v>0</c:v>
                </c:pt>
                <c:pt idx="372">
                  <c:v>2.5817833099205365E-2</c:v>
                </c:pt>
                <c:pt idx="373">
                  <c:v>0</c:v>
                </c:pt>
                <c:pt idx="374">
                  <c:v>5.0399449136396358E-2</c:v>
                </c:pt>
                <c:pt idx="375">
                  <c:v>6.7478548704293609E-2</c:v>
                </c:pt>
                <c:pt idx="376">
                  <c:v>3.6213123903995323E-2</c:v>
                </c:pt>
                <c:pt idx="377">
                  <c:v>7.651404459264799E-2</c:v>
                </c:pt>
                <c:pt idx="378">
                  <c:v>0.1264510722528176</c:v>
                </c:pt>
                <c:pt idx="379">
                  <c:v>0</c:v>
                </c:pt>
                <c:pt idx="380">
                  <c:v>0</c:v>
                </c:pt>
                <c:pt idx="381">
                  <c:v>2.0579239109759225E-2</c:v>
                </c:pt>
                <c:pt idx="382">
                  <c:v>0</c:v>
                </c:pt>
                <c:pt idx="383">
                  <c:v>0</c:v>
                </c:pt>
                <c:pt idx="384">
                  <c:v>1.3099687372079191E-2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9.0498884645238878E-2</c:v>
                </c:pt>
                <c:pt idx="389">
                  <c:v>0</c:v>
                </c:pt>
                <c:pt idx="390">
                  <c:v>1.5167855300597211E-2</c:v>
                </c:pt>
                <c:pt idx="391">
                  <c:v>0</c:v>
                </c:pt>
                <c:pt idx="392">
                  <c:v>0</c:v>
                </c:pt>
                <c:pt idx="393">
                  <c:v>8.2980668447538708E-2</c:v>
                </c:pt>
                <c:pt idx="394">
                  <c:v>0</c:v>
                </c:pt>
                <c:pt idx="395">
                  <c:v>1.5203898583547823E-2</c:v>
                </c:pt>
                <c:pt idx="396">
                  <c:v>0</c:v>
                </c:pt>
                <c:pt idx="397">
                  <c:v>0</c:v>
                </c:pt>
                <c:pt idx="398">
                  <c:v>3.7208969178943674E-2</c:v>
                </c:pt>
                <c:pt idx="399">
                  <c:v>0</c:v>
                </c:pt>
                <c:pt idx="400">
                  <c:v>0</c:v>
                </c:pt>
                <c:pt idx="401">
                  <c:v>3.0659708683079649E-3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0.12331119139852026</c:v>
                </c:pt>
                <c:pt idx="406">
                  <c:v>0</c:v>
                </c:pt>
                <c:pt idx="407">
                  <c:v>1.816225877548595E-2</c:v>
                </c:pt>
                <c:pt idx="408">
                  <c:v>0.10618769100950687</c:v>
                </c:pt>
                <c:pt idx="409">
                  <c:v>2.7642773633131237E-2</c:v>
                </c:pt>
                <c:pt idx="410">
                  <c:v>0</c:v>
                </c:pt>
                <c:pt idx="411">
                  <c:v>6.3572219784037473E-2</c:v>
                </c:pt>
                <c:pt idx="412">
                  <c:v>0</c:v>
                </c:pt>
                <c:pt idx="413">
                  <c:v>0</c:v>
                </c:pt>
                <c:pt idx="414">
                  <c:v>4.527484967417901E-3</c:v>
                </c:pt>
                <c:pt idx="415">
                  <c:v>6.2191570593943493E-2</c:v>
                </c:pt>
                <c:pt idx="416">
                  <c:v>3.8976532046641532E-2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0.10366922523460292</c:v>
                </c:pt>
                <c:pt idx="425">
                  <c:v>0</c:v>
                </c:pt>
                <c:pt idx="426">
                  <c:v>0</c:v>
                </c:pt>
                <c:pt idx="427">
                  <c:v>0.1185221146320819</c:v>
                </c:pt>
                <c:pt idx="428">
                  <c:v>6.9364527775025331E-2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1.6241894593170568E-2</c:v>
                </c:pt>
                <c:pt idx="433">
                  <c:v>0</c:v>
                </c:pt>
                <c:pt idx="434">
                  <c:v>0</c:v>
                </c:pt>
                <c:pt idx="435">
                  <c:v>1.9345801317584347E-2</c:v>
                </c:pt>
                <c:pt idx="436">
                  <c:v>4.9184233558839711E-2</c:v>
                </c:pt>
                <c:pt idx="437">
                  <c:v>3.3459527348020983E-2</c:v>
                </c:pt>
                <c:pt idx="438">
                  <c:v>0</c:v>
                </c:pt>
                <c:pt idx="439">
                  <c:v>2.3442192673809176E-2</c:v>
                </c:pt>
                <c:pt idx="440">
                  <c:v>4.3670176508575229E-2</c:v>
                </c:pt>
                <c:pt idx="441">
                  <c:v>0</c:v>
                </c:pt>
                <c:pt idx="442">
                  <c:v>2.5192520191077272E-2</c:v>
                </c:pt>
                <c:pt idx="443">
                  <c:v>0</c:v>
                </c:pt>
                <c:pt idx="444">
                  <c:v>2.697712257814959E-2</c:v>
                </c:pt>
                <c:pt idx="445">
                  <c:v>1.4567212455146065E-3</c:v>
                </c:pt>
                <c:pt idx="446">
                  <c:v>1.8793073325757564E-2</c:v>
                </c:pt>
                <c:pt idx="447">
                  <c:v>1.8943818429335256E-2</c:v>
                </c:pt>
                <c:pt idx="448">
                  <c:v>9.7868850795224324E-3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1.6576621445754365E-3</c:v>
                </c:pt>
                <c:pt idx="455">
                  <c:v>7.4254293119295533E-3</c:v>
                </c:pt>
                <c:pt idx="456">
                  <c:v>0</c:v>
                </c:pt>
                <c:pt idx="457">
                  <c:v>0</c:v>
                </c:pt>
                <c:pt idx="458">
                  <c:v>1.0414740885387738E-2</c:v>
                </c:pt>
                <c:pt idx="459">
                  <c:v>0</c:v>
                </c:pt>
                <c:pt idx="460">
                  <c:v>1.1777082065302697E-2</c:v>
                </c:pt>
                <c:pt idx="461">
                  <c:v>0</c:v>
                </c:pt>
                <c:pt idx="462">
                  <c:v>0</c:v>
                </c:pt>
                <c:pt idx="463">
                  <c:v>5.6758919534266934E-2</c:v>
                </c:pt>
                <c:pt idx="464">
                  <c:v>0</c:v>
                </c:pt>
                <c:pt idx="465">
                  <c:v>3.9839082765081767E-2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1.6363110144475113E-2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2.5622443684617652E-2</c:v>
                </c:pt>
                <c:pt idx="476">
                  <c:v>0</c:v>
                </c:pt>
                <c:pt idx="477">
                  <c:v>0</c:v>
                </c:pt>
                <c:pt idx="478">
                  <c:v>6.2272371315512998E-2</c:v>
                </c:pt>
                <c:pt idx="479">
                  <c:v>3.297682410976311E-2</c:v>
                </c:pt>
                <c:pt idx="480">
                  <c:v>2.0280743368879559E-2</c:v>
                </c:pt>
                <c:pt idx="481">
                  <c:v>0</c:v>
                </c:pt>
                <c:pt idx="482">
                  <c:v>2.9784566953144534E-2</c:v>
                </c:pt>
                <c:pt idx="483">
                  <c:v>0</c:v>
                </c:pt>
                <c:pt idx="484">
                  <c:v>0</c:v>
                </c:pt>
                <c:pt idx="485">
                  <c:v>9.4933271562458836E-3</c:v>
                </c:pt>
                <c:pt idx="486">
                  <c:v>0</c:v>
                </c:pt>
                <c:pt idx="487">
                  <c:v>1.2573320862894456E-2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4.7759967649203927E-2</c:v>
                </c:pt>
                <c:pt idx="492">
                  <c:v>0</c:v>
                </c:pt>
                <c:pt idx="493">
                  <c:v>0</c:v>
                </c:pt>
                <c:pt idx="494">
                  <c:v>5.1831077653269338E-2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2.4149532820856488E-2</c:v>
                </c:pt>
                <c:pt idx="500">
                  <c:v>2.8971094981123623E-3</c:v>
                </c:pt>
                <c:pt idx="501">
                  <c:v>0</c:v>
                </c:pt>
                <c:pt idx="502">
                  <c:v>0</c:v>
                </c:pt>
                <c:pt idx="503">
                  <c:v>1.5552414606712113E-2</c:v>
                </c:pt>
                <c:pt idx="504">
                  <c:v>0</c:v>
                </c:pt>
                <c:pt idx="505">
                  <c:v>7.290727753243265E-3</c:v>
                </c:pt>
                <c:pt idx="506">
                  <c:v>0</c:v>
                </c:pt>
                <c:pt idx="507">
                  <c:v>7.6448467661976993E-2</c:v>
                </c:pt>
                <c:pt idx="508">
                  <c:v>7.5481237676695678E-2</c:v>
                </c:pt>
                <c:pt idx="509">
                  <c:v>0</c:v>
                </c:pt>
                <c:pt idx="510">
                  <c:v>0</c:v>
                </c:pt>
                <c:pt idx="511">
                  <c:v>5.8339032086195414E-3</c:v>
                </c:pt>
                <c:pt idx="512">
                  <c:v>0</c:v>
                </c:pt>
                <c:pt idx="513">
                  <c:v>0</c:v>
                </c:pt>
                <c:pt idx="514">
                  <c:v>2.201550020941969E-2</c:v>
                </c:pt>
                <c:pt idx="515">
                  <c:v>6.9617059927633545E-3</c:v>
                </c:pt>
                <c:pt idx="516">
                  <c:v>0</c:v>
                </c:pt>
                <c:pt idx="517">
                  <c:v>1.9507393198863682E-3</c:v>
                </c:pt>
                <c:pt idx="518">
                  <c:v>3.9555085391389619E-2</c:v>
                </c:pt>
                <c:pt idx="519">
                  <c:v>2.5965442623823243E-3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5.6684324876210515E-2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2.6318811559654081E-3</c:v>
                </c:pt>
                <c:pt idx="528">
                  <c:v>1.304484216156928E-2</c:v>
                </c:pt>
                <c:pt idx="529">
                  <c:v>0</c:v>
                </c:pt>
                <c:pt idx="530">
                  <c:v>0</c:v>
                </c:pt>
                <c:pt idx="531">
                  <c:v>8.462879237136893E-3</c:v>
                </c:pt>
                <c:pt idx="532">
                  <c:v>5.4798596749264916E-3</c:v>
                </c:pt>
                <c:pt idx="533">
                  <c:v>0</c:v>
                </c:pt>
                <c:pt idx="534">
                  <c:v>2.4209361047344015E-3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5.9954344601451062E-2</c:v>
                </c:pt>
                <c:pt idx="540">
                  <c:v>0</c:v>
                </c:pt>
                <c:pt idx="541">
                  <c:v>0</c:v>
                </c:pt>
                <c:pt idx="542">
                  <c:v>6.1615104238622993E-2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0.17932713847072396</c:v>
                </c:pt>
                <c:pt idx="549">
                  <c:v>0</c:v>
                </c:pt>
                <c:pt idx="550">
                  <c:v>4.6130765864449121E-2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2.2840977917467326E-2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4.9582426884531135E-2</c:v>
                </c:pt>
                <c:pt idx="565">
                  <c:v>0</c:v>
                </c:pt>
                <c:pt idx="566">
                  <c:v>4.3324389168459411E-2</c:v>
                </c:pt>
                <c:pt idx="567">
                  <c:v>0</c:v>
                </c:pt>
                <c:pt idx="568">
                  <c:v>0</c:v>
                </c:pt>
                <c:pt idx="569">
                  <c:v>1.8941074412131609E-2</c:v>
                </c:pt>
                <c:pt idx="570">
                  <c:v>0</c:v>
                </c:pt>
                <c:pt idx="571">
                  <c:v>3.6204063778675438E-2</c:v>
                </c:pt>
                <c:pt idx="572">
                  <c:v>8.2461536005899505E-2</c:v>
                </c:pt>
                <c:pt idx="573">
                  <c:v>0</c:v>
                </c:pt>
                <c:pt idx="574">
                  <c:v>9.0003054738601977E-3</c:v>
                </c:pt>
                <c:pt idx="575">
                  <c:v>1.2579132051240979E-3</c:v>
                </c:pt>
                <c:pt idx="576">
                  <c:v>0</c:v>
                </c:pt>
                <c:pt idx="577">
                  <c:v>0</c:v>
                </c:pt>
                <c:pt idx="578">
                  <c:v>3.4354848418446084E-2</c:v>
                </c:pt>
                <c:pt idx="579">
                  <c:v>0</c:v>
                </c:pt>
                <c:pt idx="580">
                  <c:v>1.3401703649275098E-2</c:v>
                </c:pt>
                <c:pt idx="581">
                  <c:v>1.1992519108954549E-2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1.3219693932450011E-2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3.1084855818675126E-2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4.0553603069788911E-2</c:v>
                </c:pt>
                <c:pt idx="600">
                  <c:v>0</c:v>
                </c:pt>
                <c:pt idx="601">
                  <c:v>4.3061620727143049E-2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4.4738602120079907E-2</c:v>
                </c:pt>
                <c:pt idx="610">
                  <c:v>1.0098275260109766E-2</c:v>
                </c:pt>
                <c:pt idx="611">
                  <c:v>0</c:v>
                </c:pt>
                <c:pt idx="612">
                  <c:v>0</c:v>
                </c:pt>
                <c:pt idx="613">
                  <c:v>1.8761401926022287E-2</c:v>
                </c:pt>
                <c:pt idx="614">
                  <c:v>0</c:v>
                </c:pt>
                <c:pt idx="615">
                  <c:v>1.2708129937589395E-2</c:v>
                </c:pt>
                <c:pt idx="616">
                  <c:v>0</c:v>
                </c:pt>
                <c:pt idx="617">
                  <c:v>0</c:v>
                </c:pt>
                <c:pt idx="618">
                  <c:v>1.9206970793641712E-2</c:v>
                </c:pt>
                <c:pt idx="619">
                  <c:v>0</c:v>
                </c:pt>
                <c:pt idx="620">
                  <c:v>0</c:v>
                </c:pt>
                <c:pt idx="621">
                  <c:v>4.6282580754201316E-3</c:v>
                </c:pt>
                <c:pt idx="622">
                  <c:v>0</c:v>
                </c:pt>
                <c:pt idx="623">
                  <c:v>3.4798741995132366E-2</c:v>
                </c:pt>
                <c:pt idx="624">
                  <c:v>0</c:v>
                </c:pt>
                <c:pt idx="625">
                  <c:v>2.4769943267680984E-2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1.4445912876961439E-3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6.3218082036955092E-3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2.1857166769224157E-2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4.5872754883827853E-2</c:v>
                </c:pt>
                <c:pt idx="648">
                  <c:v>0</c:v>
                </c:pt>
                <c:pt idx="649">
                  <c:v>0</c:v>
                </c:pt>
                <c:pt idx="650">
                  <c:v>9.8622665924349008E-5</c:v>
                </c:pt>
                <c:pt idx="651">
                  <c:v>0</c:v>
                </c:pt>
                <c:pt idx="652">
                  <c:v>5.2050722363305556E-3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2.0181506787807252E-2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1.0031571991300677E-2</c:v>
                </c:pt>
                <c:pt idx="664">
                  <c:v>3.7565033554040478E-2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1.5229453176115317E-2</c:v>
                </c:pt>
                <c:pt idx="669">
                  <c:v>2.6324795340869525E-2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1.2609522882444503E-3</c:v>
                </c:pt>
                <c:pt idx="676">
                  <c:v>0</c:v>
                </c:pt>
                <c:pt idx="677">
                  <c:v>0</c:v>
                </c:pt>
                <c:pt idx="678">
                  <c:v>9.0991398053803813E-3</c:v>
                </c:pt>
                <c:pt idx="679">
                  <c:v>2.003340516317348E-3</c:v>
                </c:pt>
                <c:pt idx="680">
                  <c:v>1.511705920009598E-2</c:v>
                </c:pt>
                <c:pt idx="681">
                  <c:v>1.5335852682010485E-3</c:v>
                </c:pt>
                <c:pt idx="682">
                  <c:v>0</c:v>
                </c:pt>
                <c:pt idx="683">
                  <c:v>0</c:v>
                </c:pt>
                <c:pt idx="684">
                  <c:v>1.2534645945700381E-2</c:v>
                </c:pt>
                <c:pt idx="685">
                  <c:v>1.6844509282258811E-2</c:v>
                </c:pt>
                <c:pt idx="686">
                  <c:v>2.2582642203863947E-3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4.8111864348949181E-3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2.7633201568971178E-3</c:v>
                </c:pt>
                <c:pt idx="696">
                  <c:v>1.3778895335696104E-2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6.6303473262063033E-3</c:v>
                </c:pt>
                <c:pt idx="701">
                  <c:v>8.8868671666713171E-3</c:v>
                </c:pt>
                <c:pt idx="702">
                  <c:v>2.9749075557827596E-2</c:v>
                </c:pt>
                <c:pt idx="703">
                  <c:v>3.1617113161479575E-2</c:v>
                </c:pt>
                <c:pt idx="704">
                  <c:v>0</c:v>
                </c:pt>
                <c:pt idx="705">
                  <c:v>0</c:v>
                </c:pt>
                <c:pt idx="706">
                  <c:v>3.2051819375613334E-2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1.8898728779845803E-2</c:v>
                </c:pt>
                <c:pt idx="711">
                  <c:v>3.7055627848622395E-2</c:v>
                </c:pt>
                <c:pt idx="712">
                  <c:v>3.3740625113798842E-2</c:v>
                </c:pt>
                <c:pt idx="713">
                  <c:v>0</c:v>
                </c:pt>
                <c:pt idx="714">
                  <c:v>0</c:v>
                </c:pt>
                <c:pt idx="715">
                  <c:v>3.5093688526900528E-2</c:v>
                </c:pt>
                <c:pt idx="716">
                  <c:v>1.3135646036746289E-2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3.9983661577285098E-2</c:v>
                </c:pt>
                <c:pt idx="725">
                  <c:v>0</c:v>
                </c:pt>
                <c:pt idx="726">
                  <c:v>6.7448126926395553E-3</c:v>
                </c:pt>
                <c:pt idx="727">
                  <c:v>3.6432135666498597E-2</c:v>
                </c:pt>
                <c:pt idx="728">
                  <c:v>0</c:v>
                </c:pt>
                <c:pt idx="729">
                  <c:v>0</c:v>
                </c:pt>
                <c:pt idx="730">
                  <c:v>6.2651063624939189E-3</c:v>
                </c:pt>
                <c:pt idx="731">
                  <c:v>0</c:v>
                </c:pt>
                <c:pt idx="732">
                  <c:v>4.9647156874191009E-2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4.1485811878134292E-2</c:v>
                </c:pt>
                <c:pt idx="739">
                  <c:v>1.6230758926318489E-2</c:v>
                </c:pt>
                <c:pt idx="740">
                  <c:v>0</c:v>
                </c:pt>
                <c:pt idx="741">
                  <c:v>1.3093828483523253E-2</c:v>
                </c:pt>
                <c:pt idx="742">
                  <c:v>0</c:v>
                </c:pt>
                <c:pt idx="743">
                  <c:v>0</c:v>
                </c:pt>
                <c:pt idx="744">
                  <c:v>1.8072328052372195E-2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4.1986657283890269E-2</c:v>
                </c:pt>
                <c:pt idx="749">
                  <c:v>7.2271409991183005E-2</c:v>
                </c:pt>
                <c:pt idx="750">
                  <c:v>5.6020022931617945E-2</c:v>
                </c:pt>
                <c:pt idx="751">
                  <c:v>2.4934916473960886E-2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2.989074158586566E-2</c:v>
                </c:pt>
                <c:pt idx="762">
                  <c:v>5.9174824704225897E-3</c:v>
                </c:pt>
                <c:pt idx="763">
                  <c:v>3.8537544909312368E-2</c:v>
                </c:pt>
                <c:pt idx="764">
                  <c:v>0</c:v>
                </c:pt>
                <c:pt idx="765">
                  <c:v>1.734643372529876E-2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2.0487738493227527E-2</c:v>
                </c:pt>
                <c:pt idx="773">
                  <c:v>0</c:v>
                </c:pt>
                <c:pt idx="774">
                  <c:v>2.0592210340853276E-2</c:v>
                </c:pt>
                <c:pt idx="775">
                  <c:v>0.10145138560790636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3.547438825683772E-2</c:v>
                </c:pt>
                <c:pt idx="780">
                  <c:v>0</c:v>
                </c:pt>
                <c:pt idx="781">
                  <c:v>1.6028054783163145E-2</c:v>
                </c:pt>
                <c:pt idx="782">
                  <c:v>1.0787522087074921E-2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5.1919325752196044E-2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4.6953673406308211E-2</c:v>
                </c:pt>
                <c:pt idx="793">
                  <c:v>1.1299945047210847E-2</c:v>
                </c:pt>
                <c:pt idx="794">
                  <c:v>7.2113634058212778E-2</c:v>
                </c:pt>
                <c:pt idx="795">
                  <c:v>0</c:v>
                </c:pt>
                <c:pt idx="796">
                  <c:v>1.7796001797611403E-2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4.1078194023959014E-2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4.530634483633654E-2</c:v>
                </c:pt>
                <c:pt idx="806">
                  <c:v>4.6704219926704996E-2</c:v>
                </c:pt>
                <c:pt idx="807">
                  <c:v>3.6654934308406495E-2</c:v>
                </c:pt>
                <c:pt idx="808">
                  <c:v>3.8035196934783251E-2</c:v>
                </c:pt>
                <c:pt idx="809">
                  <c:v>0</c:v>
                </c:pt>
                <c:pt idx="810">
                  <c:v>7.608328223328864E-2</c:v>
                </c:pt>
                <c:pt idx="811">
                  <c:v>0</c:v>
                </c:pt>
                <c:pt idx="812">
                  <c:v>1.4714341056903278E-2</c:v>
                </c:pt>
                <c:pt idx="813">
                  <c:v>0</c:v>
                </c:pt>
                <c:pt idx="814">
                  <c:v>7.7280506003363364E-2</c:v>
                </c:pt>
                <c:pt idx="815">
                  <c:v>7.0549144624145873E-3</c:v>
                </c:pt>
                <c:pt idx="816">
                  <c:v>0</c:v>
                </c:pt>
                <c:pt idx="817">
                  <c:v>0</c:v>
                </c:pt>
                <c:pt idx="818">
                  <c:v>6.4656531057715834E-3</c:v>
                </c:pt>
                <c:pt idx="819">
                  <c:v>5.4595577809690203E-2</c:v>
                </c:pt>
                <c:pt idx="820">
                  <c:v>0</c:v>
                </c:pt>
                <c:pt idx="821">
                  <c:v>0</c:v>
                </c:pt>
                <c:pt idx="822">
                  <c:v>1.0936789342545543E-2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3.5259376144540319E-2</c:v>
                </c:pt>
                <c:pt idx="827">
                  <c:v>0</c:v>
                </c:pt>
                <c:pt idx="828">
                  <c:v>1.9394437472040373E-2</c:v>
                </c:pt>
                <c:pt idx="829">
                  <c:v>2.3480262951606969E-2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5.7908779812209108E-3</c:v>
                </c:pt>
                <c:pt idx="836">
                  <c:v>0</c:v>
                </c:pt>
                <c:pt idx="837">
                  <c:v>0</c:v>
                </c:pt>
                <c:pt idx="838">
                  <c:v>3.6289774306510571E-2</c:v>
                </c:pt>
                <c:pt idx="839">
                  <c:v>0</c:v>
                </c:pt>
                <c:pt idx="840">
                  <c:v>4.6595992599421827E-2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1.6293709292676033E-2</c:v>
                </c:pt>
                <c:pt idx="845">
                  <c:v>0</c:v>
                </c:pt>
                <c:pt idx="846">
                  <c:v>0</c:v>
                </c:pt>
                <c:pt idx="847">
                  <c:v>5.5556831431195872E-2</c:v>
                </c:pt>
                <c:pt idx="848">
                  <c:v>0</c:v>
                </c:pt>
                <c:pt idx="849">
                  <c:v>5.0132289282448721E-2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1.6432952833968367E-2</c:v>
                </c:pt>
                <c:pt idx="854">
                  <c:v>0</c:v>
                </c:pt>
                <c:pt idx="855">
                  <c:v>4.7625084290722708E-2</c:v>
                </c:pt>
                <c:pt idx="856">
                  <c:v>7.164265635657964E-2</c:v>
                </c:pt>
                <c:pt idx="857">
                  <c:v>7.0768818291587307E-2</c:v>
                </c:pt>
                <c:pt idx="858">
                  <c:v>0</c:v>
                </c:pt>
                <c:pt idx="859">
                  <c:v>0</c:v>
                </c:pt>
                <c:pt idx="860">
                  <c:v>4.5713037767998954E-2</c:v>
                </c:pt>
                <c:pt idx="861">
                  <c:v>0</c:v>
                </c:pt>
                <c:pt idx="862">
                  <c:v>0</c:v>
                </c:pt>
                <c:pt idx="863">
                  <c:v>2.5428193647716335E-3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2.360631975125024E-2</c:v>
                </c:pt>
                <c:pt idx="869">
                  <c:v>5.3373618044105627E-2</c:v>
                </c:pt>
                <c:pt idx="870">
                  <c:v>0</c:v>
                </c:pt>
                <c:pt idx="871">
                  <c:v>1.7029160370560268E-2</c:v>
                </c:pt>
                <c:pt idx="872">
                  <c:v>8.9424114617538936E-2</c:v>
                </c:pt>
                <c:pt idx="873">
                  <c:v>0</c:v>
                </c:pt>
                <c:pt idx="874">
                  <c:v>0</c:v>
                </c:pt>
                <c:pt idx="875">
                  <c:v>4.425503382855072E-2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1.2352521715951815E-2</c:v>
                </c:pt>
                <c:pt idx="881">
                  <c:v>2.5215117208643337E-2</c:v>
                </c:pt>
                <c:pt idx="882">
                  <c:v>0</c:v>
                </c:pt>
                <c:pt idx="883">
                  <c:v>5.3805231367850585E-2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5.3574844646207221E-3</c:v>
                </c:pt>
                <c:pt idx="889">
                  <c:v>7.3303015706094711E-3</c:v>
                </c:pt>
                <c:pt idx="890">
                  <c:v>0</c:v>
                </c:pt>
                <c:pt idx="891">
                  <c:v>2.050504792961929E-2</c:v>
                </c:pt>
                <c:pt idx="892">
                  <c:v>7.9914467200856796E-3</c:v>
                </c:pt>
                <c:pt idx="893">
                  <c:v>9.3312464855109065E-2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5.98290463069353E-2</c:v>
                </c:pt>
                <c:pt idx="898">
                  <c:v>2.1882349375437801E-2</c:v>
                </c:pt>
                <c:pt idx="899">
                  <c:v>5.6238328870564021E-2</c:v>
                </c:pt>
                <c:pt idx="900">
                  <c:v>0</c:v>
                </c:pt>
                <c:pt idx="901">
                  <c:v>0</c:v>
                </c:pt>
                <c:pt idx="902">
                  <c:v>2.2402856803715537E-2</c:v>
                </c:pt>
                <c:pt idx="903">
                  <c:v>4.0149527303883362E-3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3.8168059483114539E-2</c:v>
                </c:pt>
                <c:pt idx="908">
                  <c:v>0</c:v>
                </c:pt>
                <c:pt idx="909">
                  <c:v>4.569026345753819E-2</c:v>
                </c:pt>
                <c:pt idx="910">
                  <c:v>3.0493896047585865E-2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3.3257557247338643E-2</c:v>
                </c:pt>
                <c:pt idx="927">
                  <c:v>1.9408588103552549E-2</c:v>
                </c:pt>
                <c:pt idx="928">
                  <c:v>3.5389243120969804E-2</c:v>
                </c:pt>
                <c:pt idx="929">
                  <c:v>1.5693154218149024E-2</c:v>
                </c:pt>
                <c:pt idx="930">
                  <c:v>0</c:v>
                </c:pt>
                <c:pt idx="931">
                  <c:v>3.5245872377254198E-2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1.7065665152806508E-2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2.8629183884742816E-2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3.4122087401188324E-3</c:v>
                </c:pt>
                <c:pt idx="952">
                  <c:v>2.0412572879133523E-2</c:v>
                </c:pt>
                <c:pt idx="953">
                  <c:v>0</c:v>
                </c:pt>
                <c:pt idx="954">
                  <c:v>6.7707433113537233E-2</c:v>
                </c:pt>
                <c:pt idx="955">
                  <c:v>3.8221641139914355E-3</c:v>
                </c:pt>
                <c:pt idx="956">
                  <c:v>0</c:v>
                </c:pt>
                <c:pt idx="957">
                  <c:v>0</c:v>
                </c:pt>
                <c:pt idx="958">
                  <c:v>3.3959456856492737E-2</c:v>
                </c:pt>
                <c:pt idx="959">
                  <c:v>0</c:v>
                </c:pt>
                <c:pt idx="960">
                  <c:v>5.1525211161415403E-2</c:v>
                </c:pt>
                <c:pt idx="961">
                  <c:v>0</c:v>
                </c:pt>
                <c:pt idx="962">
                  <c:v>0</c:v>
                </c:pt>
                <c:pt idx="963">
                  <c:v>1.5123446905122516E-2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7.1328888977560637E-2</c:v>
                </c:pt>
                <c:pt idx="973">
                  <c:v>2.7155202273511203E-2</c:v>
                </c:pt>
                <c:pt idx="974">
                  <c:v>0</c:v>
                </c:pt>
                <c:pt idx="975">
                  <c:v>1.8009159145309359E-2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1.2079068090172666E-2</c:v>
                </c:pt>
                <c:pt idx="981">
                  <c:v>7.5309527224941816E-2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7.3902522512833316E-2</c:v>
                </c:pt>
                <c:pt idx="986">
                  <c:v>0</c:v>
                </c:pt>
                <c:pt idx="987">
                  <c:v>8.2146015925148232E-4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7.772640602667856E-2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2.4352161964724256E-2</c:v>
                </c:pt>
                <c:pt idx="1011">
                  <c:v>5.765457835398418E-2</c:v>
                </c:pt>
                <c:pt idx="1012">
                  <c:v>0</c:v>
                </c:pt>
                <c:pt idx="1013">
                  <c:v>3.6109206723721761E-2</c:v>
                </c:pt>
                <c:pt idx="1014">
                  <c:v>2.755468161922377E-3</c:v>
                </c:pt>
                <c:pt idx="1015">
                  <c:v>0</c:v>
                </c:pt>
                <c:pt idx="1016">
                  <c:v>7.1636454706437272E-2</c:v>
                </c:pt>
                <c:pt idx="1017">
                  <c:v>0</c:v>
                </c:pt>
                <c:pt idx="1018">
                  <c:v>0</c:v>
                </c:pt>
                <c:pt idx="1019">
                  <c:v>4.7977273985437038E-2</c:v>
                </c:pt>
                <c:pt idx="1020">
                  <c:v>7.4573647386346933E-2</c:v>
                </c:pt>
                <c:pt idx="1021">
                  <c:v>0</c:v>
                </c:pt>
                <c:pt idx="1022">
                  <c:v>0</c:v>
                </c:pt>
                <c:pt idx="1023">
                  <c:v>0.10406500531667821</c:v>
                </c:pt>
                <c:pt idx="1024">
                  <c:v>0.10436164298160873</c:v>
                </c:pt>
                <c:pt idx="1025">
                  <c:v>0</c:v>
                </c:pt>
                <c:pt idx="1026">
                  <c:v>3.8606635720883797E-2</c:v>
                </c:pt>
                <c:pt idx="1027">
                  <c:v>4.6197216326827988E-2</c:v>
                </c:pt>
                <c:pt idx="1028">
                  <c:v>3.7117438979971044E-2</c:v>
                </c:pt>
                <c:pt idx="1029">
                  <c:v>0</c:v>
                </c:pt>
                <c:pt idx="1030">
                  <c:v>0</c:v>
                </c:pt>
                <c:pt idx="1031">
                  <c:v>1.047078053138349E-2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7.237801603200765E-2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6.0060537230800853E-3</c:v>
                </c:pt>
                <c:pt idx="1043">
                  <c:v>0</c:v>
                </c:pt>
                <c:pt idx="1044">
                  <c:v>5.3163242124199359E-2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3.5456127100612751E-2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5.9783691854632063E-3</c:v>
                </c:pt>
                <c:pt idx="1055">
                  <c:v>4.9095783285316358E-2</c:v>
                </c:pt>
                <c:pt idx="1056">
                  <c:v>0</c:v>
                </c:pt>
                <c:pt idx="1057">
                  <c:v>2.0188342570162467E-2</c:v>
                </c:pt>
                <c:pt idx="1058">
                  <c:v>0</c:v>
                </c:pt>
                <c:pt idx="1059">
                  <c:v>0</c:v>
                </c:pt>
                <c:pt idx="1060">
                  <c:v>7.5292234972049024E-2</c:v>
                </c:pt>
                <c:pt idx="1061">
                  <c:v>0</c:v>
                </c:pt>
                <c:pt idx="1062">
                  <c:v>5.5821258440507731E-3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2.4487625096611801E-2</c:v>
                </c:pt>
                <c:pt idx="1067">
                  <c:v>7.1949841975297267E-3</c:v>
                </c:pt>
                <c:pt idx="1068">
                  <c:v>6.0504162781272915E-2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2.9256541354543853E-2</c:v>
                </c:pt>
                <c:pt idx="1077">
                  <c:v>0</c:v>
                </c:pt>
                <c:pt idx="1078">
                  <c:v>1.0966635220283079E-2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4.1032716511938641E-2</c:v>
                </c:pt>
                <c:pt idx="1087">
                  <c:v>2.5394252093060059E-2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3.6667391610375553E-3</c:v>
                </c:pt>
                <c:pt idx="1092">
                  <c:v>5.3505492734985498E-2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1.0214078148977621E-3</c:v>
                </c:pt>
                <c:pt idx="1100">
                  <c:v>4.3134937054759619E-2</c:v>
                </c:pt>
                <c:pt idx="1101">
                  <c:v>1.72776813995126E-2</c:v>
                </c:pt>
                <c:pt idx="1102">
                  <c:v>0</c:v>
                </c:pt>
                <c:pt idx="1103">
                  <c:v>4.7324600430160034E-2</c:v>
                </c:pt>
                <c:pt idx="1104">
                  <c:v>0</c:v>
                </c:pt>
                <c:pt idx="1105">
                  <c:v>0</c:v>
                </c:pt>
                <c:pt idx="1106">
                  <c:v>8.5473314624155538E-3</c:v>
                </c:pt>
                <c:pt idx="1107">
                  <c:v>4.6083765810203514E-2</c:v>
                </c:pt>
                <c:pt idx="1108">
                  <c:v>0</c:v>
                </c:pt>
                <c:pt idx="1109">
                  <c:v>0</c:v>
                </c:pt>
                <c:pt idx="1110">
                  <c:v>1.7450976464632895E-2</c:v>
                </c:pt>
                <c:pt idx="1111">
                  <c:v>3.0608083109027639E-2</c:v>
                </c:pt>
                <c:pt idx="1112">
                  <c:v>1.6868651451166512E-2</c:v>
                </c:pt>
                <c:pt idx="1113">
                  <c:v>0</c:v>
                </c:pt>
                <c:pt idx="1114">
                  <c:v>0</c:v>
                </c:pt>
                <c:pt idx="1115">
                  <c:v>4.4802102433659591E-2</c:v>
                </c:pt>
                <c:pt idx="1116">
                  <c:v>3.9816606552730789E-2</c:v>
                </c:pt>
                <c:pt idx="1117">
                  <c:v>2.1974491815304326E-2</c:v>
                </c:pt>
                <c:pt idx="1118">
                  <c:v>3.4927013906616421E-2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1.9654473719017893E-2</c:v>
                </c:pt>
                <c:pt idx="1125">
                  <c:v>0</c:v>
                </c:pt>
                <c:pt idx="1126">
                  <c:v>0</c:v>
                </c:pt>
                <c:pt idx="1127">
                  <c:v>3.7296199939007318E-2</c:v>
                </c:pt>
                <c:pt idx="1128">
                  <c:v>2.3813873038799348E-2</c:v>
                </c:pt>
                <c:pt idx="1129">
                  <c:v>0</c:v>
                </c:pt>
                <c:pt idx="1130">
                  <c:v>1.6446493493240396E-2</c:v>
                </c:pt>
                <c:pt idx="1131">
                  <c:v>0</c:v>
                </c:pt>
                <c:pt idx="1132">
                  <c:v>9.461226239718892E-3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6.6749725134110079E-4</c:v>
                </c:pt>
                <c:pt idx="1137">
                  <c:v>8.1213521944056028E-3</c:v>
                </c:pt>
                <c:pt idx="1138">
                  <c:v>2.1496051009739423E-2</c:v>
                </c:pt>
                <c:pt idx="1139">
                  <c:v>1.2444771560673551E-2</c:v>
                </c:pt>
                <c:pt idx="1140">
                  <c:v>3.1484340555726874E-2</c:v>
                </c:pt>
                <c:pt idx="1141">
                  <c:v>1.0141904908197137E-2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3.4175886794526891E-2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4.1105067814094551E-2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1.2922436967688078E-2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7.071456542657463E-2</c:v>
                </c:pt>
                <c:pt idx="1166">
                  <c:v>8.2244871026078501E-3</c:v>
                </c:pt>
                <c:pt idx="1167">
                  <c:v>1.561567302831726E-2</c:v>
                </c:pt>
                <c:pt idx="1168">
                  <c:v>0</c:v>
                </c:pt>
                <c:pt idx="1169">
                  <c:v>3.6493404455929003E-2</c:v>
                </c:pt>
                <c:pt idx="1170">
                  <c:v>9.6357854402476695E-4</c:v>
                </c:pt>
                <c:pt idx="1171">
                  <c:v>7.4066042207985752E-2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4.5790632877221592E-2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9.6151190606520415E-2</c:v>
                </c:pt>
                <c:pt idx="1180">
                  <c:v>0</c:v>
                </c:pt>
                <c:pt idx="1181">
                  <c:v>1.4180337123059968E-2</c:v>
                </c:pt>
                <c:pt idx="1182">
                  <c:v>1.7320639922964055E-2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8.5795551668578409E-3</c:v>
                </c:pt>
                <c:pt idx="1190">
                  <c:v>0</c:v>
                </c:pt>
                <c:pt idx="1191">
                  <c:v>0</c:v>
                </c:pt>
                <c:pt idx="1192">
                  <c:v>2.4154990281867027E-2</c:v>
                </c:pt>
                <c:pt idx="1193">
                  <c:v>1.5465455058054019E-2</c:v>
                </c:pt>
                <c:pt idx="1194">
                  <c:v>5.5000137879249456E-3</c:v>
                </c:pt>
                <c:pt idx="1195">
                  <c:v>0</c:v>
                </c:pt>
                <c:pt idx="1196">
                  <c:v>5.7649575759628438E-2</c:v>
                </c:pt>
                <c:pt idx="1197">
                  <c:v>0</c:v>
                </c:pt>
                <c:pt idx="1198">
                  <c:v>1.8441397980102023E-3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1.1088356278704052E-2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4.2444407699458058E-4</c:v>
                </c:pt>
                <c:pt idx="1210">
                  <c:v>2.0719368991647211E-2</c:v>
                </c:pt>
                <c:pt idx="1211">
                  <c:v>0</c:v>
                </c:pt>
                <c:pt idx="1212">
                  <c:v>0</c:v>
                </c:pt>
                <c:pt idx="1213">
                  <c:v>7.4566171644151157E-3</c:v>
                </c:pt>
                <c:pt idx="1214">
                  <c:v>0</c:v>
                </c:pt>
                <c:pt idx="1215">
                  <c:v>1.7479073962169144E-2</c:v>
                </c:pt>
                <c:pt idx="1216">
                  <c:v>2.3715788000468047E-2</c:v>
                </c:pt>
                <c:pt idx="1217">
                  <c:v>6.0607417945905934E-2</c:v>
                </c:pt>
                <c:pt idx="1218">
                  <c:v>6.613986267054223E-3</c:v>
                </c:pt>
                <c:pt idx="1219">
                  <c:v>0</c:v>
                </c:pt>
                <c:pt idx="1220">
                  <c:v>1.3183967244830275E-2</c:v>
                </c:pt>
                <c:pt idx="1221">
                  <c:v>0</c:v>
                </c:pt>
                <c:pt idx="1222">
                  <c:v>0</c:v>
                </c:pt>
                <c:pt idx="1223">
                  <c:v>2.1996497680726607E-2</c:v>
                </c:pt>
                <c:pt idx="1224">
                  <c:v>0</c:v>
                </c:pt>
                <c:pt idx="1225">
                  <c:v>5.9438019621743644E-2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5.5331189264771269E-3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2.6721751583836839E-3</c:v>
                </c:pt>
                <c:pt idx="1234">
                  <c:v>4.4083355321753788E-2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1.3240754184080489E-2</c:v>
                </c:pt>
                <c:pt idx="1240">
                  <c:v>0</c:v>
                </c:pt>
                <c:pt idx="1241">
                  <c:v>1.3568408158859331E-2</c:v>
                </c:pt>
                <c:pt idx="1242">
                  <c:v>4.9333968350883601E-3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9.7116886007126944E-3</c:v>
                </c:pt>
                <c:pt idx="1248">
                  <c:v>0</c:v>
                </c:pt>
                <c:pt idx="1249">
                  <c:v>2.0185248342655011E-2</c:v>
                </c:pt>
                <c:pt idx="1250">
                  <c:v>0</c:v>
                </c:pt>
                <c:pt idx="1251">
                  <c:v>2.9345862360822577E-2</c:v>
                </c:pt>
                <c:pt idx="1252">
                  <c:v>0</c:v>
                </c:pt>
                <c:pt idx="1253">
                  <c:v>1.5987739836902336E-2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</c:numCache>
            </c:numRef>
          </c:xVal>
          <c:yVal>
            <c:numRef>
              <c:f>'TSLA, MSFT'!$P$5:$P$1261</c:f>
              <c:numCache>
                <c:formatCode>General</c:formatCode>
                <c:ptCount val="1257"/>
                <c:pt idx="0">
                  <c:v>0</c:v>
                </c:pt>
                <c:pt idx="1">
                  <c:v>4.5460092531832107E-2</c:v>
                </c:pt>
                <c:pt idx="2">
                  <c:v>1.2745724555038496E-3</c:v>
                </c:pt>
                <c:pt idx="3">
                  <c:v>7.2244773852393317E-3</c:v>
                </c:pt>
                <c:pt idx="4">
                  <c:v>1.4198335780436973E-2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2.8592694462048342E-2</c:v>
                </c:pt>
                <c:pt idx="9">
                  <c:v>3.5172810632375802E-3</c:v>
                </c:pt>
                <c:pt idx="10">
                  <c:v>6.9976644883991872E-3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9.0922499170673163E-3</c:v>
                </c:pt>
                <c:pt idx="16">
                  <c:v>0</c:v>
                </c:pt>
                <c:pt idx="17">
                  <c:v>0</c:v>
                </c:pt>
                <c:pt idx="18">
                  <c:v>3.2871295089563053E-2</c:v>
                </c:pt>
                <c:pt idx="19">
                  <c:v>0</c:v>
                </c:pt>
                <c:pt idx="20">
                  <c:v>0</c:v>
                </c:pt>
                <c:pt idx="21">
                  <c:v>2.8392469243220642E-2</c:v>
                </c:pt>
                <c:pt idx="22">
                  <c:v>1.3899547592087521E-2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1.2272374183589681E-2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1.4157601023773687E-2</c:v>
                </c:pt>
                <c:pt idx="35">
                  <c:v>5.571545685137588E-3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1.0864645704306802E-3</c:v>
                </c:pt>
                <c:pt idx="45">
                  <c:v>2.0776246549663899E-2</c:v>
                </c:pt>
                <c:pt idx="46">
                  <c:v>0</c:v>
                </c:pt>
                <c:pt idx="47">
                  <c:v>7.7152758653134014E-3</c:v>
                </c:pt>
                <c:pt idx="48">
                  <c:v>7.857174440625631E-4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2.2714865745394237E-2</c:v>
                </c:pt>
                <c:pt idx="54">
                  <c:v>0</c:v>
                </c:pt>
                <c:pt idx="55">
                  <c:v>0</c:v>
                </c:pt>
                <c:pt idx="56">
                  <c:v>2.1225121522719546E-3</c:v>
                </c:pt>
                <c:pt idx="57">
                  <c:v>0</c:v>
                </c:pt>
                <c:pt idx="58">
                  <c:v>1.3692770646037157E-3</c:v>
                </c:pt>
                <c:pt idx="59">
                  <c:v>8.6005554201309554E-3</c:v>
                </c:pt>
                <c:pt idx="60">
                  <c:v>9.1155256443480187E-3</c:v>
                </c:pt>
                <c:pt idx="61">
                  <c:v>0</c:v>
                </c:pt>
                <c:pt idx="62">
                  <c:v>6.5228530322194106E-3</c:v>
                </c:pt>
                <c:pt idx="63">
                  <c:v>0</c:v>
                </c:pt>
                <c:pt idx="64">
                  <c:v>4.4305192641115113E-3</c:v>
                </c:pt>
                <c:pt idx="65">
                  <c:v>0</c:v>
                </c:pt>
                <c:pt idx="66">
                  <c:v>0</c:v>
                </c:pt>
                <c:pt idx="67">
                  <c:v>7.6001535082143518E-3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1.3053950564457243E-2</c:v>
                </c:pt>
                <c:pt idx="74">
                  <c:v>0</c:v>
                </c:pt>
                <c:pt idx="75">
                  <c:v>1.3483350337286988E-2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2.1089723674602632E-2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1.1125558162252035E-2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2.7326803287390275E-2</c:v>
                </c:pt>
                <c:pt idx="105">
                  <c:v>2.1447466547576923E-2</c:v>
                </c:pt>
                <c:pt idx="106">
                  <c:v>1.569123461825921E-2</c:v>
                </c:pt>
                <c:pt idx="107">
                  <c:v>0</c:v>
                </c:pt>
                <c:pt idx="108">
                  <c:v>9.0909717012518845E-3</c:v>
                </c:pt>
                <c:pt idx="109">
                  <c:v>0</c:v>
                </c:pt>
                <c:pt idx="110">
                  <c:v>0</c:v>
                </c:pt>
                <c:pt idx="111">
                  <c:v>6.2924281765535123E-3</c:v>
                </c:pt>
                <c:pt idx="112">
                  <c:v>9.8198444269751361E-4</c:v>
                </c:pt>
                <c:pt idx="113">
                  <c:v>3.01545648774378E-3</c:v>
                </c:pt>
                <c:pt idx="114">
                  <c:v>0</c:v>
                </c:pt>
                <c:pt idx="115">
                  <c:v>3.9136103117723489E-3</c:v>
                </c:pt>
                <c:pt idx="116">
                  <c:v>0</c:v>
                </c:pt>
                <c:pt idx="117">
                  <c:v>1.460280376427502E-4</c:v>
                </c:pt>
                <c:pt idx="118">
                  <c:v>5.8962864183199504E-3</c:v>
                </c:pt>
                <c:pt idx="119">
                  <c:v>0</c:v>
                </c:pt>
                <c:pt idx="120">
                  <c:v>0</c:v>
                </c:pt>
                <c:pt idx="121">
                  <c:v>1.641301472602438E-3</c:v>
                </c:pt>
                <c:pt idx="122">
                  <c:v>0</c:v>
                </c:pt>
                <c:pt idx="123">
                  <c:v>1.2757924117589161E-2</c:v>
                </c:pt>
                <c:pt idx="124">
                  <c:v>0</c:v>
                </c:pt>
                <c:pt idx="125">
                  <c:v>6.4224421605160098E-3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1.0134606082528044E-2</c:v>
                </c:pt>
                <c:pt idx="130">
                  <c:v>0</c:v>
                </c:pt>
                <c:pt idx="131">
                  <c:v>3.6062065767288954E-3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1.4649870771300472E-3</c:v>
                </c:pt>
                <c:pt idx="137">
                  <c:v>0</c:v>
                </c:pt>
                <c:pt idx="138">
                  <c:v>6.1933080002964025E-3</c:v>
                </c:pt>
                <c:pt idx="139">
                  <c:v>1.0214009729362747E-2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1.858427408871802E-2</c:v>
                </c:pt>
                <c:pt idx="149">
                  <c:v>4.3708629796014691E-3</c:v>
                </c:pt>
                <c:pt idx="150">
                  <c:v>2.6335548337802557E-2</c:v>
                </c:pt>
                <c:pt idx="151">
                  <c:v>0</c:v>
                </c:pt>
                <c:pt idx="152">
                  <c:v>0</c:v>
                </c:pt>
                <c:pt idx="153">
                  <c:v>2.0482512045099547E-2</c:v>
                </c:pt>
                <c:pt idx="154">
                  <c:v>0</c:v>
                </c:pt>
                <c:pt idx="155">
                  <c:v>0</c:v>
                </c:pt>
                <c:pt idx="156">
                  <c:v>1.8161427237243288E-2</c:v>
                </c:pt>
                <c:pt idx="157">
                  <c:v>1.6609983384228841E-2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1.5325400378151378E-2</c:v>
                </c:pt>
                <c:pt idx="163">
                  <c:v>0</c:v>
                </c:pt>
                <c:pt idx="164">
                  <c:v>0</c:v>
                </c:pt>
                <c:pt idx="165">
                  <c:v>1.8708525782940907E-2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1.7430576714676384E-2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2.9390154509864656E-4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7.7451797378183503E-3</c:v>
                </c:pt>
                <c:pt idx="178">
                  <c:v>0</c:v>
                </c:pt>
                <c:pt idx="179">
                  <c:v>1.82415015521897E-2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1.4309704318457149E-2</c:v>
                </c:pt>
                <c:pt idx="184">
                  <c:v>1.2907854068976072E-3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1.8765838558528449E-2</c:v>
                </c:pt>
                <c:pt idx="194">
                  <c:v>6.2017938736515787E-3</c:v>
                </c:pt>
                <c:pt idx="195">
                  <c:v>4.160993161894882E-3</c:v>
                </c:pt>
                <c:pt idx="196">
                  <c:v>0</c:v>
                </c:pt>
                <c:pt idx="197">
                  <c:v>1.4371334424074459E-2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1.9482541327501542E-2</c:v>
                </c:pt>
                <c:pt idx="205">
                  <c:v>5.6294016907256408E-3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5.7585062170372753E-3</c:v>
                </c:pt>
                <c:pt idx="212">
                  <c:v>0</c:v>
                </c:pt>
                <c:pt idx="213">
                  <c:v>0</c:v>
                </c:pt>
                <c:pt idx="214">
                  <c:v>1.3873476143095435E-3</c:v>
                </c:pt>
                <c:pt idx="215">
                  <c:v>1.1715384492720448E-2</c:v>
                </c:pt>
                <c:pt idx="216">
                  <c:v>1.0271511157462668E-3</c:v>
                </c:pt>
                <c:pt idx="217">
                  <c:v>6.5489012282290609E-3</c:v>
                </c:pt>
                <c:pt idx="218">
                  <c:v>0</c:v>
                </c:pt>
                <c:pt idx="219">
                  <c:v>5.0783871881053969E-3</c:v>
                </c:pt>
                <c:pt idx="220">
                  <c:v>1.2817677078636368E-2</c:v>
                </c:pt>
                <c:pt idx="221">
                  <c:v>0</c:v>
                </c:pt>
                <c:pt idx="222">
                  <c:v>3.3252419419886126E-4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1.0903638376279516E-2</c:v>
                </c:pt>
                <c:pt idx="227">
                  <c:v>0</c:v>
                </c:pt>
                <c:pt idx="228">
                  <c:v>1.9057012503106029E-3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1.206591143279578E-2</c:v>
                </c:pt>
                <c:pt idx="235">
                  <c:v>0</c:v>
                </c:pt>
                <c:pt idx="236">
                  <c:v>0</c:v>
                </c:pt>
                <c:pt idx="237">
                  <c:v>3.7644927724571611E-3</c:v>
                </c:pt>
                <c:pt idx="238">
                  <c:v>1.0100433477961744E-2</c:v>
                </c:pt>
                <c:pt idx="239">
                  <c:v>0</c:v>
                </c:pt>
                <c:pt idx="240">
                  <c:v>6.450386810865281E-3</c:v>
                </c:pt>
                <c:pt idx="241">
                  <c:v>0</c:v>
                </c:pt>
                <c:pt idx="242">
                  <c:v>0</c:v>
                </c:pt>
                <c:pt idx="243">
                  <c:v>8.6429846595833144E-3</c:v>
                </c:pt>
                <c:pt idx="244">
                  <c:v>1.0858563513396636E-2</c:v>
                </c:pt>
                <c:pt idx="245">
                  <c:v>0</c:v>
                </c:pt>
                <c:pt idx="246">
                  <c:v>0</c:v>
                </c:pt>
                <c:pt idx="247">
                  <c:v>8.1633106391608354E-3</c:v>
                </c:pt>
                <c:pt idx="248">
                  <c:v>0</c:v>
                </c:pt>
                <c:pt idx="249">
                  <c:v>0</c:v>
                </c:pt>
                <c:pt idx="250">
                  <c:v>6.97770335012758E-4</c:v>
                </c:pt>
                <c:pt idx="251">
                  <c:v>1.8346832791323531E-2</c:v>
                </c:pt>
                <c:pt idx="252">
                  <c:v>0</c:v>
                </c:pt>
                <c:pt idx="253">
                  <c:v>2.5814590126507489E-3</c:v>
                </c:pt>
                <c:pt idx="254">
                  <c:v>0</c:v>
                </c:pt>
                <c:pt idx="255">
                  <c:v>1.5802891272460911E-2</c:v>
                </c:pt>
                <c:pt idx="256">
                  <c:v>0</c:v>
                </c:pt>
                <c:pt idx="257">
                  <c:v>0</c:v>
                </c:pt>
                <c:pt idx="258">
                  <c:v>1.1952578992760993E-2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6.136834132484956E-3</c:v>
                </c:pt>
                <c:pt idx="266">
                  <c:v>0</c:v>
                </c:pt>
                <c:pt idx="267">
                  <c:v>0</c:v>
                </c:pt>
                <c:pt idx="268">
                  <c:v>1.9406235423790313E-2</c:v>
                </c:pt>
                <c:pt idx="269">
                  <c:v>1.5472572539144282E-2</c:v>
                </c:pt>
                <c:pt idx="270">
                  <c:v>2.781706262955691E-2</c:v>
                </c:pt>
                <c:pt idx="271">
                  <c:v>0</c:v>
                </c:pt>
                <c:pt idx="272">
                  <c:v>2.408636217318981E-2</c:v>
                </c:pt>
                <c:pt idx="273">
                  <c:v>3.2386469433702061E-2</c:v>
                </c:pt>
                <c:pt idx="274">
                  <c:v>0</c:v>
                </c:pt>
                <c:pt idx="275">
                  <c:v>2.0521722574600672E-2</c:v>
                </c:pt>
                <c:pt idx="276">
                  <c:v>0</c:v>
                </c:pt>
                <c:pt idx="277">
                  <c:v>2.5820699621742788E-2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1.009187801732012E-2</c:v>
                </c:pt>
                <c:pt idx="283">
                  <c:v>2.6701556859407845E-4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6.4418922602703474E-2</c:v>
                </c:pt>
                <c:pt idx="292">
                  <c:v>0</c:v>
                </c:pt>
                <c:pt idx="293">
                  <c:v>3.6057150233325855E-2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6.6147238408381687E-2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1.6319107520589002E-2</c:v>
                </c:pt>
                <c:pt idx="305">
                  <c:v>0</c:v>
                </c:pt>
                <c:pt idx="306">
                  <c:v>0</c:v>
                </c:pt>
                <c:pt idx="307">
                  <c:v>8.6999120210098577E-2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7.1732403585075155E-2</c:v>
                </c:pt>
                <c:pt idx="317">
                  <c:v>0</c:v>
                </c:pt>
                <c:pt idx="318">
                  <c:v>9.9812160875757169E-3</c:v>
                </c:pt>
                <c:pt idx="319">
                  <c:v>6.055651438552479E-5</c:v>
                </c:pt>
                <c:pt idx="320">
                  <c:v>2.2380169631665472E-3</c:v>
                </c:pt>
                <c:pt idx="321">
                  <c:v>4.8298057294610182E-2</c:v>
                </c:pt>
                <c:pt idx="322">
                  <c:v>0</c:v>
                </c:pt>
                <c:pt idx="323">
                  <c:v>2.9579136835999865E-2</c:v>
                </c:pt>
                <c:pt idx="324">
                  <c:v>8.7729726996044911E-3</c:v>
                </c:pt>
                <c:pt idx="325">
                  <c:v>0</c:v>
                </c:pt>
                <c:pt idx="326">
                  <c:v>0</c:v>
                </c:pt>
                <c:pt idx="327">
                  <c:v>3.3400890076695666E-2</c:v>
                </c:pt>
                <c:pt idx="328">
                  <c:v>0</c:v>
                </c:pt>
                <c:pt idx="329">
                  <c:v>1.809454808030856E-2</c:v>
                </c:pt>
                <c:pt idx="330">
                  <c:v>0</c:v>
                </c:pt>
                <c:pt idx="331">
                  <c:v>0</c:v>
                </c:pt>
                <c:pt idx="332">
                  <c:v>4.3895999977278416E-2</c:v>
                </c:pt>
                <c:pt idx="333">
                  <c:v>0</c:v>
                </c:pt>
                <c:pt idx="334">
                  <c:v>0</c:v>
                </c:pt>
                <c:pt idx="335">
                  <c:v>2.416574402909161E-2</c:v>
                </c:pt>
                <c:pt idx="336">
                  <c:v>1.0678633177299092E-2</c:v>
                </c:pt>
                <c:pt idx="337">
                  <c:v>9.7991425456522216E-3</c:v>
                </c:pt>
                <c:pt idx="338">
                  <c:v>0</c:v>
                </c:pt>
                <c:pt idx="339">
                  <c:v>5.8651194523980576E-3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4.3299723474105817E-3</c:v>
                </c:pt>
                <c:pt idx="344">
                  <c:v>0</c:v>
                </c:pt>
                <c:pt idx="345">
                  <c:v>9.5091324299999853E-3</c:v>
                </c:pt>
                <c:pt idx="346">
                  <c:v>0</c:v>
                </c:pt>
                <c:pt idx="347">
                  <c:v>1.0994180440698302E-2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1.3209314486057953E-3</c:v>
                </c:pt>
                <c:pt idx="352">
                  <c:v>0</c:v>
                </c:pt>
                <c:pt idx="353">
                  <c:v>1.0146803085724552E-2</c:v>
                </c:pt>
                <c:pt idx="354">
                  <c:v>0</c:v>
                </c:pt>
                <c:pt idx="355">
                  <c:v>0</c:v>
                </c:pt>
                <c:pt idx="356">
                  <c:v>2.4306599052261297E-3</c:v>
                </c:pt>
                <c:pt idx="357">
                  <c:v>0</c:v>
                </c:pt>
                <c:pt idx="358">
                  <c:v>2.3128665253637163E-2</c:v>
                </c:pt>
                <c:pt idx="359">
                  <c:v>6.1774613318623574E-3</c:v>
                </c:pt>
                <c:pt idx="360">
                  <c:v>0</c:v>
                </c:pt>
                <c:pt idx="361">
                  <c:v>3.6420329821950002E-2</c:v>
                </c:pt>
                <c:pt idx="362">
                  <c:v>0</c:v>
                </c:pt>
                <c:pt idx="363">
                  <c:v>0</c:v>
                </c:pt>
                <c:pt idx="364">
                  <c:v>6.3714774321423839E-3</c:v>
                </c:pt>
                <c:pt idx="365">
                  <c:v>0</c:v>
                </c:pt>
                <c:pt idx="366">
                  <c:v>3.4553037136792319E-3</c:v>
                </c:pt>
                <c:pt idx="367">
                  <c:v>1.0651473091467795E-2</c:v>
                </c:pt>
                <c:pt idx="368">
                  <c:v>0</c:v>
                </c:pt>
                <c:pt idx="369">
                  <c:v>0</c:v>
                </c:pt>
                <c:pt idx="370">
                  <c:v>6.6587405643273902E-3</c:v>
                </c:pt>
                <c:pt idx="371">
                  <c:v>0</c:v>
                </c:pt>
                <c:pt idx="372">
                  <c:v>1.2557299970457349E-2</c:v>
                </c:pt>
                <c:pt idx="373">
                  <c:v>0</c:v>
                </c:pt>
                <c:pt idx="374">
                  <c:v>1.0689870522190522E-2</c:v>
                </c:pt>
                <c:pt idx="375">
                  <c:v>2.5228356291608842E-2</c:v>
                </c:pt>
                <c:pt idx="376">
                  <c:v>5.8303489427867471E-3</c:v>
                </c:pt>
                <c:pt idx="377">
                  <c:v>7.5920162206791044E-3</c:v>
                </c:pt>
                <c:pt idx="378">
                  <c:v>2.1297811922220342E-2</c:v>
                </c:pt>
                <c:pt idx="379">
                  <c:v>0</c:v>
                </c:pt>
                <c:pt idx="380">
                  <c:v>0</c:v>
                </c:pt>
                <c:pt idx="381">
                  <c:v>6.9765002616409182E-3</c:v>
                </c:pt>
                <c:pt idx="382">
                  <c:v>0</c:v>
                </c:pt>
                <c:pt idx="383">
                  <c:v>0</c:v>
                </c:pt>
                <c:pt idx="384">
                  <c:v>6.1624575165289694E-3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4.208302873528328E-2</c:v>
                </c:pt>
                <c:pt idx="389">
                  <c:v>0</c:v>
                </c:pt>
                <c:pt idx="390">
                  <c:v>1.4268969801198848E-2</c:v>
                </c:pt>
                <c:pt idx="391">
                  <c:v>0</c:v>
                </c:pt>
                <c:pt idx="392">
                  <c:v>0</c:v>
                </c:pt>
                <c:pt idx="393">
                  <c:v>1.2588096619516534E-2</c:v>
                </c:pt>
                <c:pt idx="394">
                  <c:v>0</c:v>
                </c:pt>
                <c:pt idx="395">
                  <c:v>1.0047365846121018E-2</c:v>
                </c:pt>
                <c:pt idx="396">
                  <c:v>0</c:v>
                </c:pt>
                <c:pt idx="397">
                  <c:v>0</c:v>
                </c:pt>
                <c:pt idx="398">
                  <c:v>5.4716529446268529E-2</c:v>
                </c:pt>
                <c:pt idx="399">
                  <c:v>0</c:v>
                </c:pt>
                <c:pt idx="400">
                  <c:v>0</c:v>
                </c:pt>
                <c:pt idx="401">
                  <c:v>1.5887030784433653E-2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2.816677953803761E-2</c:v>
                </c:pt>
                <c:pt idx="406">
                  <c:v>0</c:v>
                </c:pt>
                <c:pt idx="407">
                  <c:v>9.5785447936517771E-4</c:v>
                </c:pt>
                <c:pt idx="408">
                  <c:v>6.5843073887271956E-3</c:v>
                </c:pt>
                <c:pt idx="409">
                  <c:v>5.7377400934112812E-3</c:v>
                </c:pt>
                <c:pt idx="410">
                  <c:v>0</c:v>
                </c:pt>
                <c:pt idx="411">
                  <c:v>2.3004691300725917E-2</c:v>
                </c:pt>
                <c:pt idx="412">
                  <c:v>0</c:v>
                </c:pt>
                <c:pt idx="413">
                  <c:v>0</c:v>
                </c:pt>
                <c:pt idx="414">
                  <c:v>1.2925603053391906E-2</c:v>
                </c:pt>
                <c:pt idx="415">
                  <c:v>2.1389234602571739E-2</c:v>
                </c:pt>
                <c:pt idx="416">
                  <c:v>2.4256879131006829E-2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4.1701899405257085E-2</c:v>
                </c:pt>
                <c:pt idx="425">
                  <c:v>0</c:v>
                </c:pt>
                <c:pt idx="426">
                  <c:v>0</c:v>
                </c:pt>
                <c:pt idx="427">
                  <c:v>6.7409399454240971E-3</c:v>
                </c:pt>
                <c:pt idx="428">
                  <c:v>1.6273084179071147E-2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1.0671930138086332E-2</c:v>
                </c:pt>
                <c:pt idx="433">
                  <c:v>0</c:v>
                </c:pt>
                <c:pt idx="434">
                  <c:v>0</c:v>
                </c:pt>
                <c:pt idx="435">
                  <c:v>1.2878478058315712E-2</c:v>
                </c:pt>
                <c:pt idx="436">
                  <c:v>2.253081852957867E-2</c:v>
                </c:pt>
                <c:pt idx="437">
                  <c:v>7.7649817370891534E-3</c:v>
                </c:pt>
                <c:pt idx="438">
                  <c:v>0</c:v>
                </c:pt>
                <c:pt idx="439">
                  <c:v>1.4703682130914639E-2</c:v>
                </c:pt>
                <c:pt idx="440">
                  <c:v>1.0076009464881375E-2</c:v>
                </c:pt>
                <c:pt idx="441">
                  <c:v>0</c:v>
                </c:pt>
                <c:pt idx="442">
                  <c:v>2.0117345509504433E-2</c:v>
                </c:pt>
                <c:pt idx="443">
                  <c:v>0</c:v>
                </c:pt>
                <c:pt idx="444">
                  <c:v>1.8858498946548348E-2</c:v>
                </c:pt>
                <c:pt idx="445">
                  <c:v>3.5679493620096731E-3</c:v>
                </c:pt>
                <c:pt idx="446">
                  <c:v>2.4532762524758965E-2</c:v>
                </c:pt>
                <c:pt idx="447">
                  <c:v>2.5572629321164317E-2</c:v>
                </c:pt>
                <c:pt idx="448">
                  <c:v>6.5727513443713352E-3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6.9856796414006529E-4</c:v>
                </c:pt>
                <c:pt idx="455">
                  <c:v>4.1890665975975039E-4</c:v>
                </c:pt>
                <c:pt idx="456">
                  <c:v>0</c:v>
                </c:pt>
                <c:pt idx="457">
                  <c:v>0</c:v>
                </c:pt>
                <c:pt idx="458">
                  <c:v>1.4976775817302418E-2</c:v>
                </c:pt>
                <c:pt idx="459">
                  <c:v>0</c:v>
                </c:pt>
                <c:pt idx="460">
                  <c:v>1.0014811243824301E-2</c:v>
                </c:pt>
                <c:pt idx="461">
                  <c:v>0</c:v>
                </c:pt>
                <c:pt idx="462">
                  <c:v>0</c:v>
                </c:pt>
                <c:pt idx="463">
                  <c:v>2.0061344091395067E-2</c:v>
                </c:pt>
                <c:pt idx="464">
                  <c:v>0</c:v>
                </c:pt>
                <c:pt idx="465">
                  <c:v>3.1389039856238025E-2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2.5915941942670408E-2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6.3282383559263968E-3</c:v>
                </c:pt>
                <c:pt idx="476">
                  <c:v>0</c:v>
                </c:pt>
                <c:pt idx="477">
                  <c:v>0</c:v>
                </c:pt>
                <c:pt idx="478">
                  <c:v>1.7690392227552754E-2</c:v>
                </c:pt>
                <c:pt idx="479">
                  <c:v>4.6758469136099666E-5</c:v>
                </c:pt>
                <c:pt idx="480">
                  <c:v>6.3388699784408574E-3</c:v>
                </c:pt>
                <c:pt idx="481">
                  <c:v>0</c:v>
                </c:pt>
                <c:pt idx="482">
                  <c:v>9.9470932653283953E-3</c:v>
                </c:pt>
                <c:pt idx="483">
                  <c:v>0</c:v>
                </c:pt>
                <c:pt idx="484">
                  <c:v>0</c:v>
                </c:pt>
                <c:pt idx="485">
                  <c:v>5.599626837870875E-4</c:v>
                </c:pt>
                <c:pt idx="486">
                  <c:v>0</c:v>
                </c:pt>
                <c:pt idx="487">
                  <c:v>7.9944650738299934E-3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4.3980794236148577E-3</c:v>
                </c:pt>
                <c:pt idx="492">
                  <c:v>0</c:v>
                </c:pt>
                <c:pt idx="493">
                  <c:v>0</c:v>
                </c:pt>
                <c:pt idx="494">
                  <c:v>6.3824939481452528E-4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7.7968711902824386E-3</c:v>
                </c:pt>
                <c:pt idx="500">
                  <c:v>9.872542271381431E-3</c:v>
                </c:pt>
                <c:pt idx="501">
                  <c:v>0</c:v>
                </c:pt>
                <c:pt idx="502">
                  <c:v>0</c:v>
                </c:pt>
                <c:pt idx="503">
                  <c:v>3.332585835972862E-3</c:v>
                </c:pt>
                <c:pt idx="504">
                  <c:v>0</c:v>
                </c:pt>
                <c:pt idx="505">
                  <c:v>9.6420953772923174E-4</c:v>
                </c:pt>
                <c:pt idx="506">
                  <c:v>0</c:v>
                </c:pt>
                <c:pt idx="507">
                  <c:v>2.8059628794814277E-2</c:v>
                </c:pt>
                <c:pt idx="508">
                  <c:v>6.0743261832960837E-3</c:v>
                </c:pt>
                <c:pt idx="509">
                  <c:v>0</c:v>
                </c:pt>
                <c:pt idx="510">
                  <c:v>0</c:v>
                </c:pt>
                <c:pt idx="511">
                  <c:v>6.538850482959005E-3</c:v>
                </c:pt>
                <c:pt idx="512">
                  <c:v>0</c:v>
                </c:pt>
                <c:pt idx="513">
                  <c:v>0</c:v>
                </c:pt>
                <c:pt idx="514">
                  <c:v>1.7665751074891912E-2</c:v>
                </c:pt>
                <c:pt idx="515">
                  <c:v>3.5849385442542785E-2</c:v>
                </c:pt>
                <c:pt idx="516">
                  <c:v>0</c:v>
                </c:pt>
                <c:pt idx="517">
                  <c:v>4.3466758758810339E-3</c:v>
                </c:pt>
                <c:pt idx="518">
                  <c:v>1.5720004054581484E-2</c:v>
                </c:pt>
                <c:pt idx="519">
                  <c:v>1.2125034875326434E-2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3.2614582597400396E-2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7.8478350199910401E-4</c:v>
                </c:pt>
                <c:pt idx="528">
                  <c:v>1.1141602654608418E-3</c:v>
                </c:pt>
                <c:pt idx="529">
                  <c:v>0</c:v>
                </c:pt>
                <c:pt idx="530">
                  <c:v>0</c:v>
                </c:pt>
                <c:pt idx="531">
                  <c:v>6.8539801671770222E-3</c:v>
                </c:pt>
                <c:pt idx="532">
                  <c:v>2.0429851021811331E-3</c:v>
                </c:pt>
                <c:pt idx="533">
                  <c:v>0</c:v>
                </c:pt>
                <c:pt idx="534">
                  <c:v>2.0496010454437901E-3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5.47220381400237E-3</c:v>
                </c:pt>
                <c:pt idx="540">
                  <c:v>0</c:v>
                </c:pt>
                <c:pt idx="541">
                  <c:v>0</c:v>
                </c:pt>
                <c:pt idx="542">
                  <c:v>1.9432981771897336E-2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2.7713897203924476E-2</c:v>
                </c:pt>
                <c:pt idx="549">
                  <c:v>0</c:v>
                </c:pt>
                <c:pt idx="550">
                  <c:v>2.0062434163290697E-2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2.4189539864572236E-2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1.6766142708723539E-2</c:v>
                </c:pt>
                <c:pt idx="565">
                  <c:v>0</c:v>
                </c:pt>
                <c:pt idx="566">
                  <c:v>2.7351019163227245E-2</c:v>
                </c:pt>
                <c:pt idx="567">
                  <c:v>0</c:v>
                </c:pt>
                <c:pt idx="568">
                  <c:v>0</c:v>
                </c:pt>
                <c:pt idx="569">
                  <c:v>1.3316305287886111E-2</c:v>
                </c:pt>
                <c:pt idx="570">
                  <c:v>0</c:v>
                </c:pt>
                <c:pt idx="571">
                  <c:v>2.3448491587822789E-4</c:v>
                </c:pt>
                <c:pt idx="572">
                  <c:v>1.0031188313696083E-2</c:v>
                </c:pt>
                <c:pt idx="573">
                  <c:v>0</c:v>
                </c:pt>
                <c:pt idx="574">
                  <c:v>1.5182104498585642E-2</c:v>
                </c:pt>
                <c:pt idx="575">
                  <c:v>4.7670396286894172E-3</c:v>
                </c:pt>
                <c:pt idx="576">
                  <c:v>0</c:v>
                </c:pt>
                <c:pt idx="577">
                  <c:v>0</c:v>
                </c:pt>
                <c:pt idx="578">
                  <c:v>8.9430863562799407E-3</c:v>
                </c:pt>
                <c:pt idx="579">
                  <c:v>0</c:v>
                </c:pt>
                <c:pt idx="580">
                  <c:v>1.5357610068404972E-2</c:v>
                </c:pt>
                <c:pt idx="581">
                  <c:v>1.5305149343124748E-3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1.087248608271364E-2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2.0848509522940189E-2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1.3725705679874824E-2</c:v>
                </c:pt>
                <c:pt idx="600">
                  <c:v>0</c:v>
                </c:pt>
                <c:pt idx="601">
                  <c:v>2.2624213288370842E-2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2.0463956815937118E-2</c:v>
                </c:pt>
                <c:pt idx="610">
                  <c:v>1.1970020051768568E-2</c:v>
                </c:pt>
                <c:pt idx="611">
                  <c:v>0</c:v>
                </c:pt>
                <c:pt idx="612">
                  <c:v>0</c:v>
                </c:pt>
                <c:pt idx="613">
                  <c:v>1.4290711657716349E-2</c:v>
                </c:pt>
                <c:pt idx="614">
                  <c:v>0</c:v>
                </c:pt>
                <c:pt idx="615">
                  <c:v>7.7253271535015671E-3</c:v>
                </c:pt>
                <c:pt idx="616">
                  <c:v>0</c:v>
                </c:pt>
                <c:pt idx="617">
                  <c:v>0</c:v>
                </c:pt>
                <c:pt idx="618">
                  <c:v>1.3583600077163881E-2</c:v>
                </c:pt>
                <c:pt idx="619">
                  <c:v>0</c:v>
                </c:pt>
                <c:pt idx="620">
                  <c:v>0</c:v>
                </c:pt>
                <c:pt idx="621">
                  <c:v>1.0906307219117407E-2</c:v>
                </c:pt>
                <c:pt idx="622">
                  <c:v>0</c:v>
                </c:pt>
                <c:pt idx="623">
                  <c:v>5.3387599547988921E-3</c:v>
                </c:pt>
                <c:pt idx="624">
                  <c:v>0</c:v>
                </c:pt>
                <c:pt idx="625">
                  <c:v>1.3864650467547403E-2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2.2030932003075064E-2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1.8726597232918325E-3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8.3044713590919531E-3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9.7779027206441036E-4</c:v>
                </c:pt>
                <c:pt idx="648">
                  <c:v>0</c:v>
                </c:pt>
                <c:pt idx="649">
                  <c:v>0</c:v>
                </c:pt>
                <c:pt idx="650">
                  <c:v>8.042845048070138E-3</c:v>
                </c:pt>
                <c:pt idx="651">
                  <c:v>0</c:v>
                </c:pt>
                <c:pt idx="652">
                  <c:v>1.0450939695861921E-2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9.9175512931185383E-3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2.5253783290954908E-2</c:v>
                </c:pt>
                <c:pt idx="664">
                  <c:v>9.5236538618125304E-4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2.1041740533601877E-3</c:v>
                </c:pt>
                <c:pt idx="669">
                  <c:v>1.2829401406478015E-2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9.9935042305554416E-5</c:v>
                </c:pt>
                <c:pt idx="676">
                  <c:v>0</c:v>
                </c:pt>
                <c:pt idx="677">
                  <c:v>0</c:v>
                </c:pt>
                <c:pt idx="678">
                  <c:v>4.3192238567239753E-3</c:v>
                </c:pt>
                <c:pt idx="679">
                  <c:v>9.3837613396264494E-3</c:v>
                </c:pt>
                <c:pt idx="680">
                  <c:v>1.6639208915895796E-2</c:v>
                </c:pt>
                <c:pt idx="681">
                  <c:v>1.3113896050253094E-3</c:v>
                </c:pt>
                <c:pt idx="682">
                  <c:v>0</c:v>
                </c:pt>
                <c:pt idx="683">
                  <c:v>0</c:v>
                </c:pt>
                <c:pt idx="684">
                  <c:v>1.6975050757543722E-3</c:v>
                </c:pt>
                <c:pt idx="685">
                  <c:v>1.2740743310262558E-2</c:v>
                </c:pt>
                <c:pt idx="686">
                  <c:v>3.276827755722403E-3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1.6915707444900548E-3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1.4952071912326807E-2</c:v>
                </c:pt>
                <c:pt idx="696">
                  <c:v>5.918787263226275E-3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1.1643234776164984E-2</c:v>
                </c:pt>
                <c:pt idx="701">
                  <c:v>2.1501178845056035E-2</c:v>
                </c:pt>
                <c:pt idx="702">
                  <c:v>4.8108699614781512E-3</c:v>
                </c:pt>
                <c:pt idx="703">
                  <c:v>1.0073674721873132E-2</c:v>
                </c:pt>
                <c:pt idx="704">
                  <c:v>0</c:v>
                </c:pt>
                <c:pt idx="705">
                  <c:v>0</c:v>
                </c:pt>
                <c:pt idx="706">
                  <c:v>1.0838548602483721E-2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4.1251427308050703E-2</c:v>
                </c:pt>
                <c:pt idx="711">
                  <c:v>3.6446791025106511E-3</c:v>
                </c:pt>
                <c:pt idx="712">
                  <c:v>2.216655541416216E-2</c:v>
                </c:pt>
                <c:pt idx="713">
                  <c:v>0</c:v>
                </c:pt>
                <c:pt idx="714">
                  <c:v>0</c:v>
                </c:pt>
                <c:pt idx="715">
                  <c:v>2.6081887883680709E-3</c:v>
                </c:pt>
                <c:pt idx="716">
                  <c:v>7.2788341175361281E-3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1.0183930047797688E-2</c:v>
                </c:pt>
                <c:pt idx="725">
                  <c:v>0</c:v>
                </c:pt>
                <c:pt idx="726">
                  <c:v>6.3199257960105931E-3</c:v>
                </c:pt>
                <c:pt idx="727">
                  <c:v>5.3771426208427649E-3</c:v>
                </c:pt>
                <c:pt idx="728">
                  <c:v>0</c:v>
                </c:pt>
                <c:pt idx="729">
                  <c:v>0</c:v>
                </c:pt>
                <c:pt idx="730">
                  <c:v>6.8088636269270748E-4</c:v>
                </c:pt>
                <c:pt idx="731">
                  <c:v>0</c:v>
                </c:pt>
                <c:pt idx="732">
                  <c:v>2.0861917314322551E-2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2.6411663658463407E-2</c:v>
                </c:pt>
                <c:pt idx="739">
                  <c:v>1.4927823998831251E-4</c:v>
                </c:pt>
                <c:pt idx="740">
                  <c:v>0</c:v>
                </c:pt>
                <c:pt idx="741">
                  <c:v>2.7945694004588788E-2</c:v>
                </c:pt>
                <c:pt idx="742">
                  <c:v>0</c:v>
                </c:pt>
                <c:pt idx="743">
                  <c:v>0</c:v>
                </c:pt>
                <c:pt idx="744">
                  <c:v>1.9035552680279125E-2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2.2806921795337061E-2</c:v>
                </c:pt>
                <c:pt idx="749">
                  <c:v>1.7896282261776791E-2</c:v>
                </c:pt>
                <c:pt idx="750">
                  <c:v>4.4618199760109801E-3</c:v>
                </c:pt>
                <c:pt idx="751">
                  <c:v>2.2920931375215555E-2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7.321227109972463E-4</c:v>
                </c:pt>
                <c:pt idx="762">
                  <c:v>2.2566557053825685E-3</c:v>
                </c:pt>
                <c:pt idx="763">
                  <c:v>1.0390934392855156E-2</c:v>
                </c:pt>
                <c:pt idx="764">
                  <c:v>0</c:v>
                </c:pt>
                <c:pt idx="765">
                  <c:v>1.7561426929947208E-2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2.8094807504648826E-2</c:v>
                </c:pt>
                <c:pt idx="773">
                  <c:v>0</c:v>
                </c:pt>
                <c:pt idx="774">
                  <c:v>2.7694583668516487E-2</c:v>
                </c:pt>
                <c:pt idx="775">
                  <c:v>8.7850187110964633E-3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1.5448519490254661E-2</c:v>
                </c:pt>
                <c:pt idx="780">
                  <c:v>0</c:v>
                </c:pt>
                <c:pt idx="781">
                  <c:v>1.1923974080462123E-2</c:v>
                </c:pt>
                <c:pt idx="782">
                  <c:v>2.1599813389811613E-2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1.8372559041087061E-2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4.9831134862382054E-2</c:v>
                </c:pt>
                <c:pt idx="793">
                  <c:v>9.1908063751153218E-3</c:v>
                </c:pt>
                <c:pt idx="794">
                  <c:v>4.9656200002545885E-3</c:v>
                </c:pt>
                <c:pt idx="795">
                  <c:v>0</c:v>
                </c:pt>
                <c:pt idx="796">
                  <c:v>1.7609757069533404E-2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4.4837846229714276E-2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3.8010928087111762E-2</c:v>
                </c:pt>
                <c:pt idx="806">
                  <c:v>2.4900691576206536E-2</c:v>
                </c:pt>
                <c:pt idx="807">
                  <c:v>2.8154222223389742E-3</c:v>
                </c:pt>
                <c:pt idx="808">
                  <c:v>1.7493940638975265E-2</c:v>
                </c:pt>
                <c:pt idx="809">
                  <c:v>0</c:v>
                </c:pt>
                <c:pt idx="810">
                  <c:v>1.6246503029222991E-2</c:v>
                </c:pt>
                <c:pt idx="811">
                  <c:v>0</c:v>
                </c:pt>
                <c:pt idx="812">
                  <c:v>1.5275566666875382E-2</c:v>
                </c:pt>
                <c:pt idx="813">
                  <c:v>0</c:v>
                </c:pt>
                <c:pt idx="814">
                  <c:v>2.2853300977438682E-2</c:v>
                </c:pt>
                <c:pt idx="815">
                  <c:v>1.5045563397769236E-2</c:v>
                </c:pt>
                <c:pt idx="816">
                  <c:v>0</c:v>
                </c:pt>
                <c:pt idx="817">
                  <c:v>0</c:v>
                </c:pt>
                <c:pt idx="818">
                  <c:v>3.593806985831277E-3</c:v>
                </c:pt>
                <c:pt idx="819">
                  <c:v>1.7777818904037113E-2</c:v>
                </c:pt>
                <c:pt idx="820">
                  <c:v>0</c:v>
                </c:pt>
                <c:pt idx="821">
                  <c:v>0</c:v>
                </c:pt>
                <c:pt idx="822">
                  <c:v>6.2243281819088902E-3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1.9520350194139325E-2</c:v>
                </c:pt>
                <c:pt idx="827">
                  <c:v>0</c:v>
                </c:pt>
                <c:pt idx="828">
                  <c:v>2.4627477424636591E-3</c:v>
                </c:pt>
                <c:pt idx="829">
                  <c:v>1.6896234550744696E-2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4.6987538763099565E-2</c:v>
                </c:pt>
                <c:pt idx="836">
                  <c:v>0</c:v>
                </c:pt>
                <c:pt idx="837">
                  <c:v>0</c:v>
                </c:pt>
                <c:pt idx="838">
                  <c:v>2.4734797190186706E-2</c:v>
                </c:pt>
                <c:pt idx="839">
                  <c:v>0</c:v>
                </c:pt>
                <c:pt idx="840">
                  <c:v>2.8685330459917238E-2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1.8424727314817872E-2</c:v>
                </c:pt>
                <c:pt idx="845">
                  <c:v>0</c:v>
                </c:pt>
                <c:pt idx="846">
                  <c:v>0</c:v>
                </c:pt>
                <c:pt idx="847">
                  <c:v>2.23449186820893E-2</c:v>
                </c:pt>
                <c:pt idx="848">
                  <c:v>0</c:v>
                </c:pt>
                <c:pt idx="849">
                  <c:v>2.0139990245682513E-2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3.15296669643787E-2</c:v>
                </c:pt>
                <c:pt idx="854">
                  <c:v>0</c:v>
                </c:pt>
                <c:pt idx="855">
                  <c:v>1.1108246140673522E-2</c:v>
                </c:pt>
                <c:pt idx="856">
                  <c:v>1.2793028643452147E-2</c:v>
                </c:pt>
                <c:pt idx="857">
                  <c:v>2.7230231614674538E-2</c:v>
                </c:pt>
                <c:pt idx="858">
                  <c:v>0</c:v>
                </c:pt>
                <c:pt idx="859">
                  <c:v>0</c:v>
                </c:pt>
                <c:pt idx="860">
                  <c:v>7.8976644502631813E-3</c:v>
                </c:pt>
                <c:pt idx="861">
                  <c:v>0</c:v>
                </c:pt>
                <c:pt idx="862">
                  <c:v>0</c:v>
                </c:pt>
                <c:pt idx="863">
                  <c:v>1.3857034661426281E-2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9.1628786943501132E-3</c:v>
                </c:pt>
                <c:pt idx="869">
                  <c:v>2.9301844473145128E-2</c:v>
                </c:pt>
                <c:pt idx="870">
                  <c:v>0</c:v>
                </c:pt>
                <c:pt idx="871">
                  <c:v>1.0880704966600031E-2</c:v>
                </c:pt>
                <c:pt idx="872">
                  <c:v>2.4293661678205607E-2</c:v>
                </c:pt>
                <c:pt idx="873">
                  <c:v>0</c:v>
                </c:pt>
                <c:pt idx="874">
                  <c:v>0</c:v>
                </c:pt>
                <c:pt idx="875">
                  <c:v>3.3579575512014549E-2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1.0650552837108888E-2</c:v>
                </c:pt>
                <c:pt idx="881">
                  <c:v>1.2518587005844331E-2</c:v>
                </c:pt>
                <c:pt idx="882">
                  <c:v>0</c:v>
                </c:pt>
                <c:pt idx="883">
                  <c:v>8.192934102045038E-3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5.3670215649412687E-3</c:v>
                </c:pt>
                <c:pt idx="889">
                  <c:v>1.0336818742830604E-2</c:v>
                </c:pt>
                <c:pt idx="890">
                  <c:v>0</c:v>
                </c:pt>
                <c:pt idx="891">
                  <c:v>2.0554267931723158E-2</c:v>
                </c:pt>
                <c:pt idx="892">
                  <c:v>1.050220461585271E-2</c:v>
                </c:pt>
                <c:pt idx="893">
                  <c:v>9.7513625803999828E-3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6.4712186088699289E-2</c:v>
                </c:pt>
                <c:pt idx="898">
                  <c:v>2.8140901241863057E-2</c:v>
                </c:pt>
                <c:pt idx="899">
                  <c:v>1.5543703417053157E-2</c:v>
                </c:pt>
                <c:pt idx="900">
                  <c:v>0</c:v>
                </c:pt>
                <c:pt idx="901">
                  <c:v>0</c:v>
                </c:pt>
                <c:pt idx="902">
                  <c:v>2.7456012353546548E-2</c:v>
                </c:pt>
                <c:pt idx="903">
                  <c:v>4.1687335154011835E-3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2.4009832872652865E-2</c:v>
                </c:pt>
                <c:pt idx="908">
                  <c:v>0</c:v>
                </c:pt>
                <c:pt idx="909">
                  <c:v>1.6893635838120518E-2</c:v>
                </c:pt>
                <c:pt idx="910">
                  <c:v>5.3298838122049679E-3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1.8931218172573695E-2</c:v>
                </c:pt>
                <c:pt idx="927">
                  <c:v>1.6646990933283736E-3</c:v>
                </c:pt>
                <c:pt idx="928">
                  <c:v>2.2716950733982184E-2</c:v>
                </c:pt>
                <c:pt idx="929">
                  <c:v>8.2469259179344546E-3</c:v>
                </c:pt>
                <c:pt idx="930">
                  <c:v>0</c:v>
                </c:pt>
                <c:pt idx="931">
                  <c:v>9.1231834336034001E-4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1.9519761926180764E-2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3.3253339637792853E-2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1.5072261032259987E-3</c:v>
                </c:pt>
                <c:pt idx="952">
                  <c:v>3.6918038475852032E-2</c:v>
                </c:pt>
                <c:pt idx="953">
                  <c:v>0</c:v>
                </c:pt>
                <c:pt idx="954">
                  <c:v>3.8495173364484332E-2</c:v>
                </c:pt>
                <c:pt idx="955">
                  <c:v>4.0753790413938515E-3</c:v>
                </c:pt>
                <c:pt idx="956">
                  <c:v>0</c:v>
                </c:pt>
                <c:pt idx="957">
                  <c:v>0</c:v>
                </c:pt>
                <c:pt idx="958">
                  <c:v>2.4966274681360284E-2</c:v>
                </c:pt>
                <c:pt idx="959">
                  <c:v>0</c:v>
                </c:pt>
                <c:pt idx="960">
                  <c:v>1.369746868055479E-2</c:v>
                </c:pt>
                <c:pt idx="961">
                  <c:v>0</c:v>
                </c:pt>
                <c:pt idx="962">
                  <c:v>0</c:v>
                </c:pt>
                <c:pt idx="963">
                  <c:v>3.9432716800538108E-2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7.905888580647201E-2</c:v>
                </c:pt>
                <c:pt idx="973">
                  <c:v>1.6854446194671049E-2</c:v>
                </c:pt>
                <c:pt idx="974">
                  <c:v>0</c:v>
                </c:pt>
                <c:pt idx="975">
                  <c:v>1.7372605295854192E-3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1.2236335642351118E-2</c:v>
                </c:pt>
                <c:pt idx="981">
                  <c:v>1.0353110075609758E-2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5.9799435215008703E-2</c:v>
                </c:pt>
                <c:pt idx="986">
                  <c:v>0</c:v>
                </c:pt>
                <c:pt idx="987">
                  <c:v>1.2948541174699357E-3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2.7254914932259726E-2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1.1716438474307396E-2</c:v>
                </c:pt>
                <c:pt idx="1011">
                  <c:v>9.6892694765081978E-3</c:v>
                </c:pt>
                <c:pt idx="1012">
                  <c:v>0</c:v>
                </c:pt>
                <c:pt idx="1013">
                  <c:v>2.9789986446542193E-2</c:v>
                </c:pt>
                <c:pt idx="1014">
                  <c:v>1.1554484624392328E-2</c:v>
                </c:pt>
                <c:pt idx="1015">
                  <c:v>0</c:v>
                </c:pt>
                <c:pt idx="1016">
                  <c:v>4.6707620674798335E-3</c:v>
                </c:pt>
                <c:pt idx="1017">
                  <c:v>0</c:v>
                </c:pt>
                <c:pt idx="1018">
                  <c:v>0</c:v>
                </c:pt>
                <c:pt idx="1019">
                  <c:v>3.5119568125851125E-2</c:v>
                </c:pt>
                <c:pt idx="1020">
                  <c:v>9.7763827543904096E-3</c:v>
                </c:pt>
                <c:pt idx="1021">
                  <c:v>0</c:v>
                </c:pt>
                <c:pt idx="1022">
                  <c:v>0</c:v>
                </c:pt>
                <c:pt idx="1023">
                  <c:v>3.0251380728343848E-2</c:v>
                </c:pt>
                <c:pt idx="1024">
                  <c:v>6.4495326324659702E-4</c:v>
                </c:pt>
                <c:pt idx="1025">
                  <c:v>0</c:v>
                </c:pt>
                <c:pt idx="1026">
                  <c:v>2.0795008490728822E-2</c:v>
                </c:pt>
                <c:pt idx="1027">
                  <c:v>1.9738534394683961E-2</c:v>
                </c:pt>
                <c:pt idx="1028">
                  <c:v>4.5818393780274552E-2</c:v>
                </c:pt>
                <c:pt idx="1029">
                  <c:v>0</c:v>
                </c:pt>
                <c:pt idx="1030">
                  <c:v>0</c:v>
                </c:pt>
                <c:pt idx="1031">
                  <c:v>4.1163097688579321E-2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3.1279349869607629E-3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1.2878427181986334E-2</c:v>
                </c:pt>
                <c:pt idx="1043">
                  <c:v>0</c:v>
                </c:pt>
                <c:pt idx="1044">
                  <c:v>3.7646726348642369E-3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1.6509063734340322E-2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2.1214303772009845E-2</c:v>
                </c:pt>
                <c:pt idx="1055">
                  <c:v>2.6696228980983869E-2</c:v>
                </c:pt>
                <c:pt idx="1056">
                  <c:v>0</c:v>
                </c:pt>
                <c:pt idx="1057">
                  <c:v>3.9736414533057297E-2</c:v>
                </c:pt>
                <c:pt idx="1058">
                  <c:v>0</c:v>
                </c:pt>
                <c:pt idx="1059">
                  <c:v>0</c:v>
                </c:pt>
                <c:pt idx="1060">
                  <c:v>5.6775669443967433E-3</c:v>
                </c:pt>
                <c:pt idx="1061">
                  <c:v>0</c:v>
                </c:pt>
                <c:pt idx="1062">
                  <c:v>1.9529668802541002E-2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1.9002263205408682E-2</c:v>
                </c:pt>
                <c:pt idx="1067">
                  <c:v>1.2540904051967446E-2</c:v>
                </c:pt>
                <c:pt idx="1068">
                  <c:v>1.4851325641220549E-2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2.2152197409741545E-2</c:v>
                </c:pt>
                <c:pt idx="1077">
                  <c:v>0</c:v>
                </c:pt>
                <c:pt idx="1078">
                  <c:v>9.2532054804831763E-3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3.1525436436464785E-2</c:v>
                </c:pt>
                <c:pt idx="1087">
                  <c:v>7.9400505366142172E-3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3.3125102033008634E-3</c:v>
                </c:pt>
                <c:pt idx="1092">
                  <c:v>1.7011740318871246E-2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7.3406639993783473E-3</c:v>
                </c:pt>
                <c:pt idx="1100">
                  <c:v>7.22347884734838E-3</c:v>
                </c:pt>
                <c:pt idx="1101">
                  <c:v>1.4292281480990708E-2</c:v>
                </c:pt>
                <c:pt idx="1102">
                  <c:v>0</c:v>
                </c:pt>
                <c:pt idx="1103">
                  <c:v>8.8817196316366316E-3</c:v>
                </c:pt>
                <c:pt idx="1104">
                  <c:v>0</c:v>
                </c:pt>
                <c:pt idx="1105">
                  <c:v>0</c:v>
                </c:pt>
                <c:pt idx="1106">
                  <c:v>3.7736787714955033E-2</c:v>
                </c:pt>
                <c:pt idx="1107">
                  <c:v>2.1160152600536181E-2</c:v>
                </c:pt>
                <c:pt idx="1108">
                  <c:v>0</c:v>
                </c:pt>
                <c:pt idx="1109">
                  <c:v>0</c:v>
                </c:pt>
                <c:pt idx="1110">
                  <c:v>1.2678506215040986E-2</c:v>
                </c:pt>
                <c:pt idx="1111">
                  <c:v>8.4434167293400992E-3</c:v>
                </c:pt>
                <c:pt idx="1112">
                  <c:v>1.6087231997484429E-3</c:v>
                </c:pt>
                <c:pt idx="1113">
                  <c:v>0</c:v>
                </c:pt>
                <c:pt idx="1114">
                  <c:v>0</c:v>
                </c:pt>
                <c:pt idx="1115">
                  <c:v>5.7967601886333578E-3</c:v>
                </c:pt>
                <c:pt idx="1116">
                  <c:v>4.6929002621620723E-3</c:v>
                </c:pt>
                <c:pt idx="1117">
                  <c:v>1.5365296829470129E-2</c:v>
                </c:pt>
                <c:pt idx="1118">
                  <c:v>7.3258201351381813E-3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1.8269553253653467E-2</c:v>
                </c:pt>
                <c:pt idx="1125">
                  <c:v>0</c:v>
                </c:pt>
                <c:pt idx="1126">
                  <c:v>0</c:v>
                </c:pt>
                <c:pt idx="1127">
                  <c:v>1.800491963524076E-2</c:v>
                </c:pt>
                <c:pt idx="1128">
                  <c:v>3.8185064744649735E-3</c:v>
                </c:pt>
                <c:pt idx="1129">
                  <c:v>0</c:v>
                </c:pt>
                <c:pt idx="1130">
                  <c:v>1.6252818573318145E-2</c:v>
                </c:pt>
                <c:pt idx="1131">
                  <c:v>0</c:v>
                </c:pt>
                <c:pt idx="1132">
                  <c:v>4.73274774414948E-4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1.9268408791557165E-3</c:v>
                </c:pt>
                <c:pt idx="1137">
                  <c:v>1.4126595666272364E-2</c:v>
                </c:pt>
                <c:pt idx="1138">
                  <c:v>1.6062475777126363E-2</c:v>
                </c:pt>
                <c:pt idx="1139">
                  <c:v>7.5011254466303343E-3</c:v>
                </c:pt>
                <c:pt idx="1140">
                  <c:v>1.4182962563899833E-3</c:v>
                </c:pt>
                <c:pt idx="1141">
                  <c:v>3.9028236754688229E-2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3.890377685747539E-3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2.2867875386476975E-2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2.1700051915404103E-3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1.691875684358473E-2</c:v>
                </c:pt>
                <c:pt idx="1166">
                  <c:v>1.8002922576615002E-3</c:v>
                </c:pt>
                <c:pt idx="1167">
                  <c:v>1.3981073361659753E-2</c:v>
                </c:pt>
                <c:pt idx="1168">
                  <c:v>0</c:v>
                </c:pt>
                <c:pt idx="1169">
                  <c:v>9.3631604019545449E-3</c:v>
                </c:pt>
                <c:pt idx="1170">
                  <c:v>2.2267591312775583E-3</c:v>
                </c:pt>
                <c:pt idx="1171">
                  <c:v>1.4445666852377205E-2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1.4768997402380548E-2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1.0919315288014902E-2</c:v>
                </c:pt>
                <c:pt idx="1180">
                  <c:v>0</c:v>
                </c:pt>
                <c:pt idx="1181">
                  <c:v>1.2847757694417709E-2</c:v>
                </c:pt>
                <c:pt idx="1182">
                  <c:v>7.8250443739301158E-3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1.6704755283163902E-3</c:v>
                </c:pt>
                <c:pt idx="1190">
                  <c:v>0</c:v>
                </c:pt>
                <c:pt idx="1191">
                  <c:v>0</c:v>
                </c:pt>
                <c:pt idx="1192">
                  <c:v>2.7137925120572226E-3</c:v>
                </c:pt>
                <c:pt idx="1193">
                  <c:v>6.7049298678793943E-3</c:v>
                </c:pt>
                <c:pt idx="1194">
                  <c:v>1.8979473327682392E-2</c:v>
                </c:pt>
                <c:pt idx="1195">
                  <c:v>0</c:v>
                </c:pt>
                <c:pt idx="1196">
                  <c:v>1.7617281764912004E-2</c:v>
                </c:pt>
                <c:pt idx="1197">
                  <c:v>0</c:v>
                </c:pt>
                <c:pt idx="1198">
                  <c:v>2.4435968877650305E-2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1.4870725448337537E-2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8.0794354041459956E-3</c:v>
                </c:pt>
                <c:pt idx="1210">
                  <c:v>3.6675043002721191E-3</c:v>
                </c:pt>
                <c:pt idx="1211">
                  <c:v>0</c:v>
                </c:pt>
                <c:pt idx="1212">
                  <c:v>0</c:v>
                </c:pt>
                <c:pt idx="1213">
                  <c:v>5.8385447899460706E-3</c:v>
                </c:pt>
                <c:pt idx="1214">
                  <c:v>0</c:v>
                </c:pt>
                <c:pt idx="1215">
                  <c:v>2.3688974981838635E-3</c:v>
                </c:pt>
                <c:pt idx="1216">
                  <c:v>2.3269780409453062E-2</c:v>
                </c:pt>
                <c:pt idx="1217">
                  <c:v>6.4805307521256872E-3</c:v>
                </c:pt>
                <c:pt idx="1218">
                  <c:v>1.2779726646399021E-2</c:v>
                </c:pt>
                <c:pt idx="1219">
                  <c:v>0</c:v>
                </c:pt>
                <c:pt idx="1220">
                  <c:v>1.1156783229254433E-2</c:v>
                </c:pt>
                <c:pt idx="1221">
                  <c:v>0</c:v>
                </c:pt>
                <c:pt idx="1222">
                  <c:v>0</c:v>
                </c:pt>
                <c:pt idx="1223">
                  <c:v>2.4591852119227733E-2</c:v>
                </c:pt>
                <c:pt idx="1224">
                  <c:v>0</c:v>
                </c:pt>
                <c:pt idx="1225">
                  <c:v>9.7429361511432062E-3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2.031409762548813E-2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3.1215304961516202E-3</c:v>
                </c:pt>
                <c:pt idx="1234">
                  <c:v>1.0744740904355694E-2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9.1147517743119574E-3</c:v>
                </c:pt>
                <c:pt idx="1240">
                  <c:v>0</c:v>
                </c:pt>
                <c:pt idx="1241">
                  <c:v>5.812790953096037E-3</c:v>
                </c:pt>
                <c:pt idx="1242">
                  <c:v>8.8032990224628949E-3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1.3031976577452559E-2</c:v>
                </c:pt>
                <c:pt idx="1248">
                  <c:v>0</c:v>
                </c:pt>
                <c:pt idx="1249">
                  <c:v>1.6355864272807094E-3</c:v>
                </c:pt>
                <c:pt idx="1250">
                  <c:v>0</c:v>
                </c:pt>
                <c:pt idx="1251">
                  <c:v>7.8478149495983095E-3</c:v>
                </c:pt>
                <c:pt idx="1252">
                  <c:v>0</c:v>
                </c:pt>
                <c:pt idx="1253">
                  <c:v>2.1354973120517738E-4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E35-42A5-AAAA-A8B28234B6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5039200"/>
        <c:axId val="1490698176"/>
      </c:scatterChart>
      <c:valAx>
        <c:axId val="1705039200"/>
        <c:scaling>
          <c:orientation val="minMax"/>
          <c:max val="0.2"/>
          <c:min val="-0.2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hu-HU">
                    <a:solidFill>
                      <a:sysClr val="windowText" lastClr="000000"/>
                    </a:solidFill>
                  </a:rPr>
                  <a:t>TSLA loghozam</a:t>
                </a:r>
              </a:p>
            </c:rich>
          </c:tx>
          <c:layout>
            <c:manualLayout>
              <c:xMode val="edge"/>
              <c:yMode val="edge"/>
              <c:x val="0.44077070350626923"/>
              <c:y val="0.943521587760664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hu-H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2">
                <a:lumMod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1490698176"/>
        <c:crosses val="autoZero"/>
        <c:crossBetween val="midCat"/>
        <c:majorUnit val="0.2"/>
      </c:valAx>
      <c:valAx>
        <c:axId val="1490698176"/>
        <c:scaling>
          <c:orientation val="minMax"/>
          <c:max val="0.2"/>
          <c:min val="-0.2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hu-HU">
                    <a:solidFill>
                      <a:sysClr val="windowText" lastClr="000000"/>
                    </a:solidFill>
                  </a:rPr>
                  <a:t>MSFT loghozam</a:t>
                </a:r>
              </a:p>
            </c:rich>
          </c:tx>
          <c:layout>
            <c:manualLayout>
              <c:xMode val="edge"/>
              <c:yMode val="edge"/>
              <c:x val="8.3642547317313472E-3"/>
              <c:y val="0.4274280514109530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hu-H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2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1705039200"/>
        <c:crosses val="autoZero"/>
        <c:crossBetween val="midCat"/>
        <c:majorUnit val="0.2"/>
      </c:valAx>
      <c:spPr>
        <a:noFill/>
        <a:ln>
          <a:solidFill>
            <a:schemeClr val="bg2">
              <a:lumMod val="50000"/>
              <a:alpha val="68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hu-H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checked="Checked" fmlaLink="$K$1:$L$1" lockText="1" noThreeD="1"/>
</file>

<file path=xl/ctrlProps/ctrlProp2.xml><?xml version="1.0" encoding="utf-8"?>
<formControlPr xmlns="http://schemas.microsoft.com/office/spreadsheetml/2009/9/main" objectType="CheckBox" checked="Checked" fmlaLink="$O$1" lockText="1" noThreeD="1"/>
</file>

<file path=xl/ctrlProps/ctrlProp3.xml><?xml version="1.0" encoding="utf-8"?>
<formControlPr xmlns="http://schemas.microsoft.com/office/spreadsheetml/2009/9/main" objectType="CheckBox" checked="Checked" fmlaLink="$I$1" lockText="1" noThreeD="1"/>
</file>

<file path=xl/ctrlProps/ctrlProp4.xml><?xml version="1.0" encoding="utf-8"?>
<formControlPr xmlns="http://schemas.microsoft.com/office/spreadsheetml/2009/9/main" objectType="CheckBox" checked="Checked" fmlaLink="$M$1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14515</xdr:colOff>
      <xdr:row>11</xdr:row>
      <xdr:rowOff>24062</xdr:rowOff>
    </xdr:from>
    <xdr:to>
      <xdr:col>26</xdr:col>
      <xdr:colOff>601579</xdr:colOff>
      <xdr:row>37</xdr:row>
      <xdr:rowOff>123264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190500</xdr:colOff>
          <xdr:row>9</xdr:row>
          <xdr:rowOff>30480</xdr:rowOff>
        </xdr:from>
        <xdr:to>
          <xdr:col>21</xdr:col>
          <xdr:colOff>403860</xdr:colOff>
          <xdr:row>10</xdr:row>
          <xdr:rowOff>167640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205740</xdr:colOff>
          <xdr:row>7</xdr:row>
          <xdr:rowOff>30480</xdr:rowOff>
        </xdr:from>
        <xdr:to>
          <xdr:col>21</xdr:col>
          <xdr:colOff>396240</xdr:colOff>
          <xdr:row>8</xdr:row>
          <xdr:rowOff>167640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205740</xdr:colOff>
          <xdr:row>9</xdr:row>
          <xdr:rowOff>30480</xdr:rowOff>
        </xdr:from>
        <xdr:to>
          <xdr:col>20</xdr:col>
          <xdr:colOff>388620</xdr:colOff>
          <xdr:row>10</xdr:row>
          <xdr:rowOff>167640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205740</xdr:colOff>
          <xdr:row>7</xdr:row>
          <xdr:rowOff>22860</xdr:rowOff>
        </xdr:from>
        <xdr:to>
          <xdr:col>20</xdr:col>
          <xdr:colOff>449580</xdr:colOff>
          <xdr:row>8</xdr:row>
          <xdr:rowOff>167640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18161-F530-446B-A2C3-D6119F501E34}">
  <sheetPr codeName="Munka1"/>
  <dimension ref="A1:V1275"/>
  <sheetViews>
    <sheetView showGridLines="0" tabSelected="1" topLeftCell="E1" zoomScale="61" zoomScaleNormal="85" workbookViewId="0">
      <selection activeCell="M8" sqref="M8"/>
    </sheetView>
  </sheetViews>
  <sheetFormatPr defaultRowHeight="14.4" x14ac:dyDescent="0.3"/>
  <cols>
    <col min="1" max="3" width="11.6640625" customWidth="1"/>
    <col min="6" max="8" width="13" customWidth="1"/>
    <col min="9" max="9" width="9.6640625" bestFit="1" customWidth="1"/>
    <col min="11" max="11" width="9.5546875" bestFit="1" customWidth="1"/>
    <col min="12" max="12" width="10.88671875" customWidth="1"/>
    <col min="13" max="13" width="9.5546875" bestFit="1" customWidth="1"/>
    <col min="15" max="15" width="9.5546875" bestFit="1" customWidth="1"/>
    <col min="17" max="17" width="9" bestFit="1" customWidth="1"/>
  </cols>
  <sheetData>
    <row r="1" spans="1:22" x14ac:dyDescent="0.3">
      <c r="I1" s="30" t="b">
        <v>1</v>
      </c>
      <c r="J1" s="30"/>
      <c r="K1" s="30" t="b">
        <v>1</v>
      </c>
      <c r="L1" s="30"/>
      <c r="M1" s="30" t="b">
        <v>1</v>
      </c>
      <c r="N1" s="30"/>
      <c r="O1" s="30" t="b">
        <v>1</v>
      </c>
      <c r="P1" s="30"/>
      <c r="Q1" s="10" t="b">
        <v>1</v>
      </c>
    </row>
    <row r="2" spans="1:22" x14ac:dyDescent="0.3">
      <c r="A2" s="31" t="s">
        <v>3</v>
      </c>
      <c r="B2" s="31"/>
      <c r="C2" s="31"/>
      <c r="F2" s="23" t="s">
        <v>4</v>
      </c>
      <c r="G2" s="24"/>
      <c r="H2" s="25"/>
      <c r="I2" s="9"/>
      <c r="J2" s="9"/>
      <c r="K2" s="9"/>
      <c r="L2" s="9"/>
      <c r="M2" s="9"/>
      <c r="N2" s="9"/>
      <c r="O2" s="9"/>
      <c r="P2" s="9"/>
    </row>
    <row r="3" spans="1:22" ht="15" thickBot="1" x14ac:dyDescent="0.35">
      <c r="A3" s="5" t="s">
        <v>2</v>
      </c>
      <c r="B3" s="5" t="s">
        <v>0</v>
      </c>
      <c r="C3" s="5" t="s">
        <v>1</v>
      </c>
      <c r="F3" s="5" t="s">
        <v>2</v>
      </c>
      <c r="G3" s="5" t="s">
        <v>0</v>
      </c>
      <c r="H3" s="5" t="s">
        <v>1</v>
      </c>
      <c r="I3" s="5" t="s">
        <v>0</v>
      </c>
      <c r="J3" s="5" t="s">
        <v>1</v>
      </c>
      <c r="K3" s="5" t="s">
        <v>0</v>
      </c>
      <c r="L3" s="5" t="s">
        <v>1</v>
      </c>
      <c r="M3" s="5" t="s">
        <v>0</v>
      </c>
      <c r="N3" s="5" t="s">
        <v>1</v>
      </c>
      <c r="O3" s="5" t="s">
        <v>0</v>
      </c>
      <c r="P3" s="5" t="s">
        <v>1</v>
      </c>
    </row>
    <row r="4" spans="1:22" x14ac:dyDescent="0.3">
      <c r="A4" s="3">
        <v>43467</v>
      </c>
      <c r="B4" s="4">
        <v>20.674666999999999</v>
      </c>
      <c r="C4" s="4">
        <v>101.12</v>
      </c>
      <c r="F4" s="3"/>
      <c r="G4" s="11"/>
      <c r="H4" s="12"/>
      <c r="I4" s="8" t="s">
        <v>7</v>
      </c>
      <c r="J4" s="8" t="s">
        <v>7</v>
      </c>
      <c r="K4" s="8" t="s">
        <v>6</v>
      </c>
      <c r="L4" s="8" t="s">
        <v>7</v>
      </c>
      <c r="M4" s="8" t="s">
        <v>7</v>
      </c>
      <c r="N4" s="8" t="s">
        <v>6</v>
      </c>
      <c r="O4" s="8" t="s">
        <v>6</v>
      </c>
      <c r="P4" s="8" t="s">
        <v>6</v>
      </c>
      <c r="R4" s="13"/>
      <c r="S4" s="14"/>
      <c r="T4" s="17" t="s">
        <v>5</v>
      </c>
      <c r="U4" s="26"/>
      <c r="V4" s="18"/>
    </row>
    <row r="5" spans="1:22" x14ac:dyDescent="0.3">
      <c r="A5" s="1">
        <v>43468</v>
      </c>
      <c r="B5" s="2">
        <v>20.024000000000001</v>
      </c>
      <c r="C5" s="2">
        <v>97.4</v>
      </c>
      <c r="F5" s="1">
        <v>43468</v>
      </c>
      <c r="G5" s="2">
        <f>LN(B5/B4)</f>
        <v>-3.1977580241866081E-2</v>
      </c>
      <c r="H5" s="2">
        <f>LN(C5/C4)</f>
        <v>-3.7481719750057908E-2</v>
      </c>
      <c r="I5" s="8" cm="1">
        <f t="array" ref="I5:J1261">IF($I$1=$Q$1,kivalogatas(G5:H1261),NA())</f>
        <v>-3.1977580241866081E-2</v>
      </c>
      <c r="J5" s="8">
        <v>-3.7481719750057908E-2</v>
      </c>
      <c r="K5" s="8" cm="1">
        <f t="array" ref="K5:L1261">IF($K$1=$Q$1,kivalogatas(G5:H1261,1,0),NA())</f>
        <v>0</v>
      </c>
      <c r="L5" s="8">
        <v>0</v>
      </c>
      <c r="M5" s="8" cm="1">
        <f t="array" ref="M5:N1261">IF($M$1=$Q$1,kivalogatas(G5:H1261,0,1),NA())</f>
        <v>0</v>
      </c>
      <c r="N5" s="8">
        <v>0</v>
      </c>
      <c r="O5" s="8" cm="1">
        <f t="array" ref="O5:P1261">IF($O$1=$Q$1,kivalogatas(G5:H1261,1,1),NA())</f>
        <v>0</v>
      </c>
      <c r="P5" s="8">
        <v>0</v>
      </c>
      <c r="R5" s="15"/>
      <c r="S5" s="16"/>
      <c r="T5" s="21"/>
      <c r="U5" s="27"/>
      <c r="V5" s="22"/>
    </row>
    <row r="6" spans="1:22" x14ac:dyDescent="0.3">
      <c r="A6" s="1">
        <v>43469</v>
      </c>
      <c r="B6" s="2">
        <v>21.179333</v>
      </c>
      <c r="C6" s="2">
        <v>101.93</v>
      </c>
      <c r="F6" s="1">
        <v>43469</v>
      </c>
      <c r="G6" s="2">
        <f t="shared" ref="G6:G69" si="0">LN(B6/B5)</f>
        <v>5.6094293574344763E-2</v>
      </c>
      <c r="H6" s="2">
        <f t="shared" ref="H6:H69" si="1">LN(C6/C5)</f>
        <v>4.5460092531832107E-2</v>
      </c>
      <c r="I6" s="7">
        <v>0</v>
      </c>
      <c r="J6" s="7">
        <v>0</v>
      </c>
      <c r="K6" s="7">
        <v>0</v>
      </c>
      <c r="L6" s="7">
        <v>0</v>
      </c>
      <c r="M6" s="7">
        <v>0</v>
      </c>
      <c r="N6" s="7">
        <v>0</v>
      </c>
      <c r="O6" s="7">
        <v>5.6094293574344763E-2</v>
      </c>
      <c r="P6" s="7">
        <v>4.5460092531832107E-2</v>
      </c>
      <c r="R6" s="17" t="s">
        <v>8</v>
      </c>
      <c r="S6" s="18"/>
      <c r="T6" s="28"/>
      <c r="U6" s="28" t="s">
        <v>7</v>
      </c>
      <c r="V6" s="28" t="s">
        <v>6</v>
      </c>
    </row>
    <row r="7" spans="1:22" x14ac:dyDescent="0.3">
      <c r="A7" s="1">
        <v>43472</v>
      </c>
      <c r="B7" s="2">
        <v>22.330666999999998</v>
      </c>
      <c r="C7" s="2">
        <v>102.06</v>
      </c>
      <c r="F7" s="1">
        <v>43472</v>
      </c>
      <c r="G7" s="2">
        <f t="shared" si="0"/>
        <v>5.2935087832015351E-2</v>
      </c>
      <c r="H7" s="2">
        <f t="shared" si="1"/>
        <v>1.2745724555038496E-3</v>
      </c>
      <c r="I7" s="7">
        <v>0</v>
      </c>
      <c r="J7" s="7">
        <v>0</v>
      </c>
      <c r="K7" s="7">
        <v>0</v>
      </c>
      <c r="L7" s="7">
        <v>0</v>
      </c>
      <c r="M7" s="7">
        <v>0</v>
      </c>
      <c r="N7" s="7">
        <v>0</v>
      </c>
      <c r="O7" s="7">
        <v>5.2935087832015351E-2</v>
      </c>
      <c r="P7" s="7">
        <v>1.2745724555038496E-3</v>
      </c>
      <c r="R7" s="19"/>
      <c r="S7" s="20"/>
      <c r="T7" s="29"/>
      <c r="U7" s="29"/>
      <c r="V7" s="29"/>
    </row>
    <row r="8" spans="1:22" x14ac:dyDescent="0.3">
      <c r="A8" s="1">
        <v>43473</v>
      </c>
      <c r="B8" s="2">
        <v>22.356667000000002</v>
      </c>
      <c r="C8" s="2">
        <v>102.8</v>
      </c>
      <c r="F8" s="1">
        <v>43473</v>
      </c>
      <c r="G8" s="2">
        <f t="shared" si="0"/>
        <v>1.163640817498655E-3</v>
      </c>
      <c r="H8" s="2">
        <f t="shared" si="1"/>
        <v>7.2244773852393317E-3</v>
      </c>
      <c r="I8" s="7">
        <v>0</v>
      </c>
      <c r="J8" s="7">
        <v>0</v>
      </c>
      <c r="K8" s="7">
        <v>0</v>
      </c>
      <c r="L8" s="7">
        <v>0</v>
      </c>
      <c r="M8" s="7">
        <v>0</v>
      </c>
      <c r="N8" s="7">
        <v>0</v>
      </c>
      <c r="O8" s="7">
        <v>1.163640817498655E-3</v>
      </c>
      <c r="P8" s="7">
        <v>7.2244773852393317E-3</v>
      </c>
      <c r="R8" s="19"/>
      <c r="S8" s="20"/>
      <c r="T8" s="28" t="s">
        <v>6</v>
      </c>
      <c r="U8" s="28"/>
      <c r="V8" s="28"/>
    </row>
    <row r="9" spans="1:22" x14ac:dyDescent="0.3">
      <c r="A9" s="1">
        <v>43474</v>
      </c>
      <c r="B9" s="2">
        <v>22.568666</v>
      </c>
      <c r="C9" s="2">
        <v>104.27</v>
      </c>
      <c r="F9" s="1">
        <v>43474</v>
      </c>
      <c r="G9" s="2">
        <f t="shared" si="0"/>
        <v>9.4379077226967659E-3</v>
      </c>
      <c r="H9" s="2">
        <f t="shared" si="1"/>
        <v>1.4198335780436973E-2</v>
      </c>
      <c r="I9" s="7">
        <v>0</v>
      </c>
      <c r="J9" s="7">
        <v>0</v>
      </c>
      <c r="K9" s="7">
        <v>0</v>
      </c>
      <c r="L9" s="7">
        <v>0</v>
      </c>
      <c r="M9" s="7">
        <v>0</v>
      </c>
      <c r="N9" s="7">
        <v>0</v>
      </c>
      <c r="O9" s="7">
        <v>9.4379077226967659E-3</v>
      </c>
      <c r="P9" s="7">
        <v>1.4198335780436973E-2</v>
      </c>
      <c r="R9" s="19"/>
      <c r="S9" s="20"/>
      <c r="T9" s="29"/>
      <c r="U9" s="29"/>
      <c r="V9" s="29"/>
    </row>
    <row r="10" spans="1:22" x14ac:dyDescent="0.3">
      <c r="A10" s="1">
        <v>43475</v>
      </c>
      <c r="B10" s="2">
        <v>22.997999</v>
      </c>
      <c r="C10" s="2">
        <v>103.6</v>
      </c>
      <c r="F10" s="1">
        <v>43475</v>
      </c>
      <c r="G10" s="2">
        <f t="shared" si="0"/>
        <v>1.884472806840146E-2</v>
      </c>
      <c r="H10" s="2">
        <f t="shared" si="1"/>
        <v>-6.446358976119072E-3</v>
      </c>
      <c r="I10" s="7">
        <v>0</v>
      </c>
      <c r="J10" s="7">
        <v>0</v>
      </c>
      <c r="K10" s="7">
        <v>1.884472806840146E-2</v>
      </c>
      <c r="L10" s="7">
        <v>-6.446358976119072E-3</v>
      </c>
      <c r="M10" s="7">
        <v>0</v>
      </c>
      <c r="N10" s="7">
        <v>0</v>
      </c>
      <c r="O10" s="7">
        <v>0</v>
      </c>
      <c r="P10" s="7">
        <v>0</v>
      </c>
      <c r="R10" s="19"/>
      <c r="S10" s="20"/>
      <c r="T10" s="28" t="s">
        <v>7</v>
      </c>
      <c r="U10" s="28"/>
      <c r="V10" s="28"/>
    </row>
    <row r="11" spans="1:22" x14ac:dyDescent="0.3">
      <c r="A11" s="1">
        <v>43476</v>
      </c>
      <c r="B11" s="2">
        <v>23.150666999999999</v>
      </c>
      <c r="C11" s="2">
        <v>102.8</v>
      </c>
      <c r="F11" s="1">
        <v>43476</v>
      </c>
      <c r="G11" s="2">
        <f t="shared" si="0"/>
        <v>6.6163800677848271E-3</v>
      </c>
      <c r="H11" s="2">
        <f t="shared" si="1"/>
        <v>-7.7519768043179359E-3</v>
      </c>
      <c r="I11" s="7">
        <v>0</v>
      </c>
      <c r="J11" s="7">
        <v>0</v>
      </c>
      <c r="K11" s="7">
        <v>6.6163800677848271E-3</v>
      </c>
      <c r="L11" s="7">
        <v>-7.7519768043179359E-3</v>
      </c>
      <c r="M11" s="7">
        <v>0</v>
      </c>
      <c r="N11" s="7">
        <v>0</v>
      </c>
      <c r="O11" s="7">
        <v>0</v>
      </c>
      <c r="P11" s="7">
        <v>0</v>
      </c>
      <c r="R11" s="21"/>
      <c r="S11" s="22"/>
      <c r="T11" s="29"/>
      <c r="U11" s="29"/>
      <c r="V11" s="29"/>
    </row>
    <row r="12" spans="1:22" x14ac:dyDescent="0.3">
      <c r="A12" s="1">
        <v>43479</v>
      </c>
      <c r="B12" s="2">
        <v>22.293333000000001</v>
      </c>
      <c r="C12" s="2">
        <v>102.05</v>
      </c>
      <c r="F12" s="1">
        <v>43479</v>
      </c>
      <c r="G12" s="2">
        <f t="shared" si="0"/>
        <v>-3.773592705603164E-2</v>
      </c>
      <c r="H12" s="2">
        <f t="shared" si="1"/>
        <v>-7.3224637652109072E-3</v>
      </c>
      <c r="I12" s="7">
        <v>-3.773592705603164E-2</v>
      </c>
      <c r="J12" s="7">
        <v>-7.3224637652109072E-3</v>
      </c>
      <c r="K12" s="7">
        <v>0</v>
      </c>
      <c r="L12" s="7">
        <v>0</v>
      </c>
      <c r="M12" s="7">
        <v>0</v>
      </c>
      <c r="N12" s="7">
        <v>0</v>
      </c>
      <c r="O12" s="7">
        <v>0</v>
      </c>
      <c r="P12" s="7">
        <v>0</v>
      </c>
    </row>
    <row r="13" spans="1:22" x14ac:dyDescent="0.3">
      <c r="A13" s="1">
        <v>43480</v>
      </c>
      <c r="B13" s="2">
        <v>22.962</v>
      </c>
      <c r="C13" s="2">
        <v>105.01</v>
      </c>
      <c r="F13" s="1">
        <v>43480</v>
      </c>
      <c r="G13" s="2">
        <f t="shared" si="0"/>
        <v>2.9553010515436993E-2</v>
      </c>
      <c r="H13" s="2">
        <f t="shared" si="1"/>
        <v>2.8592694462048342E-2</v>
      </c>
      <c r="I13" s="7">
        <v>0</v>
      </c>
      <c r="J13" s="7">
        <v>0</v>
      </c>
      <c r="K13" s="7">
        <v>0</v>
      </c>
      <c r="L13" s="7">
        <v>0</v>
      </c>
      <c r="M13" s="7">
        <v>0</v>
      </c>
      <c r="N13" s="7">
        <v>0</v>
      </c>
      <c r="O13" s="7">
        <v>2.9553010515436993E-2</v>
      </c>
      <c r="P13" s="7">
        <v>2.8592694462048342E-2</v>
      </c>
    </row>
    <row r="14" spans="1:22" x14ac:dyDescent="0.3">
      <c r="A14" s="1">
        <v>43481</v>
      </c>
      <c r="B14" s="2">
        <v>23.07</v>
      </c>
      <c r="C14" s="2">
        <v>105.38</v>
      </c>
      <c r="F14" s="1">
        <v>43481</v>
      </c>
      <c r="G14" s="2">
        <f t="shared" si="0"/>
        <v>4.6923965140420066E-3</v>
      </c>
      <c r="H14" s="2">
        <f t="shared" si="1"/>
        <v>3.5172810632375802E-3</v>
      </c>
      <c r="I14" s="7">
        <v>0</v>
      </c>
      <c r="J14" s="7">
        <v>0</v>
      </c>
      <c r="K14" s="7">
        <v>0</v>
      </c>
      <c r="L14" s="7">
        <v>0</v>
      </c>
      <c r="M14" s="7">
        <v>0</v>
      </c>
      <c r="N14" s="7">
        <v>0</v>
      </c>
      <c r="O14" s="7">
        <v>4.6923965140420066E-3</v>
      </c>
      <c r="P14" s="7">
        <v>3.5172810632375802E-3</v>
      </c>
    </row>
    <row r="15" spans="1:22" x14ac:dyDescent="0.3">
      <c r="A15" s="1">
        <v>43482</v>
      </c>
      <c r="B15" s="2">
        <v>23.153998999999999</v>
      </c>
      <c r="C15" s="2">
        <v>106.12</v>
      </c>
      <c r="F15" s="1">
        <v>43482</v>
      </c>
      <c r="G15" s="2">
        <f t="shared" si="0"/>
        <v>3.6344364087915713E-3</v>
      </c>
      <c r="H15" s="2">
        <f t="shared" si="1"/>
        <v>6.9976644883991872E-3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3.6344364087915713E-3</v>
      </c>
      <c r="P15" s="7">
        <v>6.9976644883991872E-3</v>
      </c>
    </row>
    <row r="16" spans="1:22" x14ac:dyDescent="0.3">
      <c r="A16" s="1">
        <v>43483</v>
      </c>
      <c r="B16" s="2">
        <v>20.150666999999999</v>
      </c>
      <c r="C16" s="2">
        <v>107.71</v>
      </c>
      <c r="F16" s="1">
        <v>43483</v>
      </c>
      <c r="G16" s="2">
        <f t="shared" si="0"/>
        <v>-0.13893011901263974</v>
      </c>
      <c r="H16" s="2">
        <f t="shared" si="1"/>
        <v>1.4871901093139874E-2</v>
      </c>
      <c r="I16" s="7">
        <v>0</v>
      </c>
      <c r="J16" s="7">
        <v>0</v>
      </c>
      <c r="K16" s="7">
        <v>0</v>
      </c>
      <c r="L16" s="7">
        <v>0</v>
      </c>
      <c r="M16" s="7">
        <v>-0.13893011901263974</v>
      </c>
      <c r="N16" s="7">
        <v>1.4871901093139874E-2</v>
      </c>
      <c r="O16" s="7">
        <v>0</v>
      </c>
      <c r="P16" s="7">
        <v>0</v>
      </c>
    </row>
    <row r="17" spans="1:16" x14ac:dyDescent="0.3">
      <c r="A17" s="1">
        <v>43487</v>
      </c>
      <c r="B17" s="2">
        <v>19.927999</v>
      </c>
      <c r="C17" s="2">
        <v>105.68</v>
      </c>
      <c r="F17" s="1">
        <v>43487</v>
      </c>
      <c r="G17" s="2">
        <f t="shared" si="0"/>
        <v>-1.1111661802586499E-2</v>
      </c>
      <c r="H17" s="2">
        <f t="shared" si="1"/>
        <v>-1.902677014860887E-2</v>
      </c>
      <c r="I17" s="7">
        <v>-1.1111661802586499E-2</v>
      </c>
      <c r="J17" s="7">
        <v>-1.902677014860887E-2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</row>
    <row r="18" spans="1:16" x14ac:dyDescent="0.3">
      <c r="A18" s="1">
        <v>43488</v>
      </c>
      <c r="B18" s="2">
        <v>19.172667000000001</v>
      </c>
      <c r="C18" s="2">
        <v>106.71</v>
      </c>
      <c r="F18" s="1">
        <v>43488</v>
      </c>
      <c r="G18" s="2">
        <f t="shared" si="0"/>
        <v>-3.8640056767796374E-2</v>
      </c>
      <c r="H18" s="2">
        <f t="shared" si="1"/>
        <v>9.6992144144035074E-3</v>
      </c>
      <c r="I18" s="7">
        <v>0</v>
      </c>
      <c r="J18" s="7">
        <v>0</v>
      </c>
      <c r="K18" s="7">
        <v>0</v>
      </c>
      <c r="L18" s="7">
        <v>0</v>
      </c>
      <c r="M18" s="7">
        <v>-3.8640056767796374E-2</v>
      </c>
      <c r="N18" s="7">
        <v>9.6992144144035074E-3</v>
      </c>
      <c r="O18" s="7">
        <v>0</v>
      </c>
      <c r="P18" s="7">
        <v>0</v>
      </c>
    </row>
    <row r="19" spans="1:16" x14ac:dyDescent="0.3">
      <c r="A19" s="1">
        <v>43489</v>
      </c>
      <c r="B19" s="2">
        <v>19.434000000000001</v>
      </c>
      <c r="C19" s="2">
        <v>106.2</v>
      </c>
      <c r="F19" s="1">
        <v>43489</v>
      </c>
      <c r="G19" s="2">
        <f t="shared" si="0"/>
        <v>1.3538438405816084E-2</v>
      </c>
      <c r="H19" s="2">
        <f t="shared" si="1"/>
        <v>-4.7907658206349539E-3</v>
      </c>
      <c r="I19" s="7">
        <v>0</v>
      </c>
      <c r="J19" s="7">
        <v>0</v>
      </c>
      <c r="K19" s="7">
        <v>1.3538438405816084E-2</v>
      </c>
      <c r="L19" s="7">
        <v>-4.7907658206349539E-3</v>
      </c>
      <c r="M19" s="7">
        <v>0</v>
      </c>
      <c r="N19" s="7">
        <v>0</v>
      </c>
      <c r="O19" s="7">
        <v>0</v>
      </c>
      <c r="P19" s="7">
        <v>0</v>
      </c>
    </row>
    <row r="20" spans="1:16" x14ac:dyDescent="0.3">
      <c r="A20" s="1">
        <v>43490</v>
      </c>
      <c r="B20" s="2">
        <v>19.802668000000001</v>
      </c>
      <c r="C20" s="2">
        <v>107.17</v>
      </c>
      <c r="F20" s="1">
        <v>43490</v>
      </c>
      <c r="G20" s="2">
        <f t="shared" si="0"/>
        <v>1.8792566680364282E-2</v>
      </c>
      <c r="H20" s="2">
        <f t="shared" si="1"/>
        <v>9.0922499170673163E-3</v>
      </c>
      <c r="I20" s="7">
        <v>0</v>
      </c>
      <c r="J20" s="7">
        <v>0</v>
      </c>
      <c r="K20" s="7">
        <v>0</v>
      </c>
      <c r="L20" s="7">
        <v>0</v>
      </c>
      <c r="M20" s="7">
        <v>0</v>
      </c>
      <c r="N20" s="7">
        <v>0</v>
      </c>
      <c r="O20" s="7">
        <v>1.8792566680364282E-2</v>
      </c>
      <c r="P20" s="7">
        <v>9.0922499170673163E-3</v>
      </c>
    </row>
    <row r="21" spans="1:16" x14ac:dyDescent="0.3">
      <c r="A21" s="1">
        <v>43493</v>
      </c>
      <c r="B21" s="2">
        <v>19.758666999999999</v>
      </c>
      <c r="C21" s="2">
        <v>105.08</v>
      </c>
      <c r="F21" s="1">
        <v>43493</v>
      </c>
      <c r="G21" s="2">
        <f t="shared" si="0"/>
        <v>-2.2244455675552227E-3</v>
      </c>
      <c r="H21" s="2">
        <f t="shared" si="1"/>
        <v>-1.9694393907566655E-2</v>
      </c>
      <c r="I21" s="7">
        <v>-2.2244455675552227E-3</v>
      </c>
      <c r="J21" s="7">
        <v>-1.9694393907566655E-2</v>
      </c>
      <c r="K21" s="7">
        <v>0</v>
      </c>
      <c r="L21" s="7">
        <v>0</v>
      </c>
      <c r="M21" s="7">
        <v>0</v>
      </c>
      <c r="N21" s="7">
        <v>0</v>
      </c>
      <c r="O21" s="7">
        <v>0</v>
      </c>
      <c r="P21" s="7">
        <v>0</v>
      </c>
    </row>
    <row r="22" spans="1:16" x14ac:dyDescent="0.3">
      <c r="A22" s="1">
        <v>43494</v>
      </c>
      <c r="B22" s="2">
        <v>19.830666999999998</v>
      </c>
      <c r="C22" s="2">
        <v>102.94</v>
      </c>
      <c r="F22" s="1">
        <v>43494</v>
      </c>
      <c r="G22" s="2">
        <f t="shared" si="0"/>
        <v>3.6373473411679992E-3</v>
      </c>
      <c r="H22" s="2">
        <f t="shared" si="1"/>
        <v>-2.0575670592730608E-2</v>
      </c>
      <c r="I22" s="7">
        <v>0</v>
      </c>
      <c r="J22" s="7">
        <v>0</v>
      </c>
      <c r="K22" s="7">
        <v>3.6373473411679992E-3</v>
      </c>
      <c r="L22" s="7">
        <v>-2.0575670592730608E-2</v>
      </c>
      <c r="M22" s="7">
        <v>0</v>
      </c>
      <c r="N22" s="7">
        <v>0</v>
      </c>
      <c r="O22" s="7">
        <v>0</v>
      </c>
      <c r="P22" s="7">
        <v>0</v>
      </c>
    </row>
    <row r="23" spans="1:16" x14ac:dyDescent="0.3">
      <c r="A23" s="1">
        <v>43495</v>
      </c>
      <c r="B23" s="2">
        <v>20.584667</v>
      </c>
      <c r="C23" s="2">
        <v>106.38</v>
      </c>
      <c r="F23" s="1">
        <v>43495</v>
      </c>
      <c r="G23" s="2">
        <f t="shared" si="0"/>
        <v>3.7316900392010265E-2</v>
      </c>
      <c r="H23" s="2">
        <f t="shared" si="1"/>
        <v>3.2871295089563053E-2</v>
      </c>
      <c r="I23" s="7">
        <v>0</v>
      </c>
      <c r="J23" s="7">
        <v>0</v>
      </c>
      <c r="K23" s="7">
        <v>0</v>
      </c>
      <c r="L23" s="7">
        <v>0</v>
      </c>
      <c r="M23" s="7">
        <v>0</v>
      </c>
      <c r="N23" s="7">
        <v>0</v>
      </c>
      <c r="O23" s="7">
        <v>3.7316900392010265E-2</v>
      </c>
      <c r="P23" s="7">
        <v>3.2871295089563053E-2</v>
      </c>
    </row>
    <row r="24" spans="1:16" x14ac:dyDescent="0.3">
      <c r="A24" s="1">
        <v>43496</v>
      </c>
      <c r="B24" s="2">
        <v>20.468</v>
      </c>
      <c r="C24" s="2">
        <v>104.43</v>
      </c>
      <c r="F24" s="1">
        <v>43496</v>
      </c>
      <c r="G24" s="2">
        <f t="shared" si="0"/>
        <v>-5.6837873203891276E-3</v>
      </c>
      <c r="H24" s="2">
        <f t="shared" si="1"/>
        <v>-1.8500598822714133E-2</v>
      </c>
      <c r="I24" s="7">
        <v>-5.6837873203891276E-3</v>
      </c>
      <c r="J24" s="7">
        <v>-1.8500598822714133E-2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</row>
    <row r="25" spans="1:16" x14ac:dyDescent="0.3">
      <c r="A25" s="1">
        <v>43497</v>
      </c>
      <c r="B25" s="2">
        <v>20.813998999999999</v>
      </c>
      <c r="C25" s="2">
        <v>102.78</v>
      </c>
      <c r="F25" s="1">
        <v>43497</v>
      </c>
      <c r="G25" s="2">
        <f t="shared" si="0"/>
        <v>1.6763098228235802E-2</v>
      </c>
      <c r="H25" s="2">
        <f t="shared" si="1"/>
        <v>-1.5926208927373738E-2</v>
      </c>
      <c r="I25" s="7">
        <v>0</v>
      </c>
      <c r="J25" s="7">
        <v>0</v>
      </c>
      <c r="K25" s="7">
        <v>1.6763098228235802E-2</v>
      </c>
      <c r="L25" s="7">
        <v>-1.5926208927373738E-2</v>
      </c>
      <c r="M25" s="7">
        <v>0</v>
      </c>
      <c r="N25" s="7">
        <v>0</v>
      </c>
      <c r="O25" s="7">
        <v>0</v>
      </c>
      <c r="P25" s="7">
        <v>0</v>
      </c>
    </row>
    <row r="26" spans="1:16" x14ac:dyDescent="0.3">
      <c r="A26" s="1">
        <v>43500</v>
      </c>
      <c r="B26" s="2">
        <v>20.859332999999999</v>
      </c>
      <c r="C26" s="2">
        <v>105.74</v>
      </c>
      <c r="F26" s="1">
        <v>43500</v>
      </c>
      <c r="G26" s="2">
        <f t="shared" si="0"/>
        <v>2.1756848184237431E-3</v>
      </c>
      <c r="H26" s="2">
        <f t="shared" si="1"/>
        <v>2.8392469243220642E-2</v>
      </c>
      <c r="I26" s="7">
        <v>0</v>
      </c>
      <c r="J26" s="7">
        <v>0</v>
      </c>
      <c r="K26" s="7">
        <v>0</v>
      </c>
      <c r="L26" s="7">
        <v>0</v>
      </c>
      <c r="M26" s="7">
        <v>0</v>
      </c>
      <c r="N26" s="7">
        <v>0</v>
      </c>
      <c r="O26" s="7">
        <v>2.1756848184237431E-3</v>
      </c>
      <c r="P26" s="7">
        <v>2.8392469243220642E-2</v>
      </c>
    </row>
    <row r="27" spans="1:16" x14ac:dyDescent="0.3">
      <c r="A27" s="1">
        <v>43501</v>
      </c>
      <c r="B27" s="2">
        <v>21.423331999999998</v>
      </c>
      <c r="C27" s="2">
        <v>107.22</v>
      </c>
      <c r="F27" s="1">
        <v>43501</v>
      </c>
      <c r="G27" s="2">
        <f t="shared" si="0"/>
        <v>2.6679134488142332E-2</v>
      </c>
      <c r="H27" s="2">
        <f t="shared" si="1"/>
        <v>1.3899547592087521E-2</v>
      </c>
      <c r="I27" s="7">
        <v>0</v>
      </c>
      <c r="J27" s="7">
        <v>0</v>
      </c>
      <c r="K27" s="7">
        <v>0</v>
      </c>
      <c r="L27" s="7">
        <v>0</v>
      </c>
      <c r="M27" s="7">
        <v>0</v>
      </c>
      <c r="N27" s="7">
        <v>0</v>
      </c>
      <c r="O27" s="7">
        <v>2.6679134488142332E-2</v>
      </c>
      <c r="P27" s="7">
        <v>1.3899547592087521E-2</v>
      </c>
    </row>
    <row r="28" spans="1:16" x14ac:dyDescent="0.3">
      <c r="A28" s="1">
        <v>43502</v>
      </c>
      <c r="B28" s="2">
        <v>21.148001000000001</v>
      </c>
      <c r="C28" s="2">
        <v>106.03</v>
      </c>
      <c r="F28" s="1">
        <v>43502</v>
      </c>
      <c r="G28" s="2">
        <f t="shared" si="0"/>
        <v>-1.2935222818649228E-2</v>
      </c>
      <c r="H28" s="2">
        <f t="shared" si="1"/>
        <v>-1.1160725461684768E-2</v>
      </c>
      <c r="I28" s="7">
        <v>-1.2935222818649228E-2</v>
      </c>
      <c r="J28" s="7">
        <v>-1.1160725461684768E-2</v>
      </c>
      <c r="K28" s="7">
        <v>0</v>
      </c>
      <c r="L28" s="7">
        <v>0</v>
      </c>
      <c r="M28" s="7">
        <v>0</v>
      </c>
      <c r="N28" s="7">
        <v>0</v>
      </c>
      <c r="O28" s="7">
        <v>0</v>
      </c>
      <c r="P28" s="7">
        <v>0</v>
      </c>
    </row>
    <row r="29" spans="1:16" x14ac:dyDescent="0.3">
      <c r="A29" s="1">
        <v>43503</v>
      </c>
      <c r="B29" s="2">
        <v>20.500668000000001</v>
      </c>
      <c r="C29" s="2">
        <v>105.27</v>
      </c>
      <c r="F29" s="1">
        <v>43503</v>
      </c>
      <c r="G29" s="2">
        <f t="shared" si="0"/>
        <v>-3.108791467967335E-2</v>
      </c>
      <c r="H29" s="2">
        <f t="shared" si="1"/>
        <v>-7.1935946744734833E-3</v>
      </c>
      <c r="I29" s="7">
        <v>-3.108791467967335E-2</v>
      </c>
      <c r="J29" s="7">
        <v>-7.1935946744734833E-3</v>
      </c>
      <c r="K29" s="7">
        <v>0</v>
      </c>
      <c r="L29" s="7">
        <v>0</v>
      </c>
      <c r="M29" s="7">
        <v>0</v>
      </c>
      <c r="N29" s="7">
        <v>0</v>
      </c>
      <c r="O29" s="7">
        <v>0</v>
      </c>
      <c r="P29" s="7">
        <v>0</v>
      </c>
    </row>
    <row r="30" spans="1:16" x14ac:dyDescent="0.3">
      <c r="A30" s="1">
        <v>43504</v>
      </c>
      <c r="B30" s="2">
        <v>20.386666999999999</v>
      </c>
      <c r="C30" s="2">
        <v>105.67</v>
      </c>
      <c r="F30" s="1">
        <v>43504</v>
      </c>
      <c r="G30" s="2">
        <f t="shared" si="0"/>
        <v>-5.5763622360170562E-3</v>
      </c>
      <c r="H30" s="2">
        <f t="shared" si="1"/>
        <v>3.7925521897060779E-3</v>
      </c>
      <c r="I30" s="7">
        <v>0</v>
      </c>
      <c r="J30" s="7">
        <v>0</v>
      </c>
      <c r="K30" s="7">
        <v>0</v>
      </c>
      <c r="L30" s="7">
        <v>0</v>
      </c>
      <c r="M30" s="7">
        <v>-5.5763622360170562E-3</v>
      </c>
      <c r="N30" s="7">
        <v>3.7925521897060779E-3</v>
      </c>
      <c r="O30" s="7">
        <v>0</v>
      </c>
      <c r="P30" s="7">
        <v>0</v>
      </c>
    </row>
    <row r="31" spans="1:16" x14ac:dyDescent="0.3">
      <c r="A31" s="1">
        <v>43507</v>
      </c>
      <c r="B31" s="2">
        <v>20.856000999999999</v>
      </c>
      <c r="C31" s="2">
        <v>105.25</v>
      </c>
      <c r="F31" s="1">
        <v>43507</v>
      </c>
      <c r="G31" s="2">
        <f t="shared" si="0"/>
        <v>2.2760615835724512E-2</v>
      </c>
      <c r="H31" s="2">
        <f t="shared" si="1"/>
        <v>-3.9825578904485945E-3</v>
      </c>
      <c r="I31" s="7">
        <v>0</v>
      </c>
      <c r="J31" s="7">
        <v>0</v>
      </c>
      <c r="K31" s="7">
        <v>2.2760615835724512E-2</v>
      </c>
      <c r="L31" s="7">
        <v>-3.9825578904485945E-3</v>
      </c>
      <c r="M31" s="7">
        <v>0</v>
      </c>
      <c r="N31" s="7">
        <v>0</v>
      </c>
      <c r="O31" s="7">
        <v>0</v>
      </c>
      <c r="P31" s="7">
        <v>0</v>
      </c>
    </row>
    <row r="32" spans="1:16" x14ac:dyDescent="0.3">
      <c r="A32" s="1">
        <v>43508</v>
      </c>
      <c r="B32" s="2">
        <v>20.787333</v>
      </c>
      <c r="C32" s="2">
        <v>106.89</v>
      </c>
      <c r="F32" s="1">
        <v>43508</v>
      </c>
      <c r="G32" s="2">
        <f t="shared" si="0"/>
        <v>-3.297913766339239E-3</v>
      </c>
      <c r="H32" s="2">
        <f t="shared" si="1"/>
        <v>1.5461795723363632E-2</v>
      </c>
      <c r="I32" s="7">
        <v>0</v>
      </c>
      <c r="J32" s="7">
        <v>0</v>
      </c>
      <c r="K32" s="7">
        <v>0</v>
      </c>
      <c r="L32" s="7">
        <v>0</v>
      </c>
      <c r="M32" s="7">
        <v>-3.297913766339239E-3</v>
      </c>
      <c r="N32" s="7">
        <v>1.5461795723363632E-2</v>
      </c>
      <c r="O32" s="7">
        <v>0</v>
      </c>
      <c r="P32" s="7">
        <v>0</v>
      </c>
    </row>
    <row r="33" spans="1:16" x14ac:dyDescent="0.3">
      <c r="A33" s="1">
        <v>43509</v>
      </c>
      <c r="B33" s="2">
        <v>20.544665999999999</v>
      </c>
      <c r="C33" s="2">
        <v>106.81</v>
      </c>
      <c r="F33" s="1">
        <v>43509</v>
      </c>
      <c r="G33" s="2">
        <f t="shared" si="0"/>
        <v>-1.1742465606302516E-2</v>
      </c>
      <c r="H33" s="2">
        <f t="shared" si="1"/>
        <v>-7.4871318425029072E-4</v>
      </c>
      <c r="I33" s="7">
        <v>-1.1742465606302516E-2</v>
      </c>
      <c r="J33" s="7">
        <v>-7.4871318425029072E-4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</row>
    <row r="34" spans="1:16" x14ac:dyDescent="0.3">
      <c r="A34" s="1">
        <v>43510</v>
      </c>
      <c r="B34" s="2">
        <v>20.251332999999999</v>
      </c>
      <c r="C34" s="2">
        <v>106.9</v>
      </c>
      <c r="F34" s="1">
        <v>43510</v>
      </c>
      <c r="G34" s="2">
        <f t="shared" si="0"/>
        <v>-1.4380726659860957E-2</v>
      </c>
      <c r="H34" s="2">
        <f t="shared" si="1"/>
        <v>8.4226292939550921E-4</v>
      </c>
      <c r="I34" s="7">
        <v>0</v>
      </c>
      <c r="J34" s="7">
        <v>0</v>
      </c>
      <c r="K34" s="7">
        <v>0</v>
      </c>
      <c r="L34" s="7">
        <v>0</v>
      </c>
      <c r="M34" s="7">
        <v>-1.4380726659860957E-2</v>
      </c>
      <c r="N34" s="7">
        <v>8.4226292939550921E-4</v>
      </c>
      <c r="O34" s="7">
        <v>0</v>
      </c>
      <c r="P34" s="7">
        <v>0</v>
      </c>
    </row>
    <row r="35" spans="1:16" x14ac:dyDescent="0.3">
      <c r="A35" s="1">
        <v>43511</v>
      </c>
      <c r="B35" s="2">
        <v>20.525333</v>
      </c>
      <c r="C35" s="2">
        <v>108.22</v>
      </c>
      <c r="F35" s="1">
        <v>43511</v>
      </c>
      <c r="G35" s="2">
        <f t="shared" si="0"/>
        <v>1.3439260777283475E-2</v>
      </c>
      <c r="H35" s="2">
        <f t="shared" si="1"/>
        <v>1.2272374183589681E-2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1.3439260777283475E-2</v>
      </c>
      <c r="P35" s="7">
        <v>1.2272374183589681E-2</v>
      </c>
    </row>
    <row r="36" spans="1:16" x14ac:dyDescent="0.3">
      <c r="A36" s="1">
        <v>43515</v>
      </c>
      <c r="B36" s="2">
        <v>20.375999</v>
      </c>
      <c r="C36" s="2">
        <v>108.17</v>
      </c>
      <c r="F36" s="1">
        <v>43515</v>
      </c>
      <c r="G36" s="2">
        <f t="shared" si="0"/>
        <v>-7.3021907240041596E-3</v>
      </c>
      <c r="H36" s="2">
        <f t="shared" si="1"/>
        <v>-4.6212857239096619E-4</v>
      </c>
      <c r="I36" s="7">
        <v>-7.3021907240041596E-3</v>
      </c>
      <c r="J36" s="7">
        <v>-4.6212857239096619E-4</v>
      </c>
      <c r="K36" s="7">
        <v>0</v>
      </c>
      <c r="L36" s="7">
        <v>0</v>
      </c>
      <c r="M36" s="7">
        <v>0</v>
      </c>
      <c r="N36" s="7">
        <v>0</v>
      </c>
      <c r="O36" s="7">
        <v>0</v>
      </c>
      <c r="P36" s="7">
        <v>0</v>
      </c>
    </row>
    <row r="37" spans="1:16" x14ac:dyDescent="0.3">
      <c r="A37" s="1">
        <v>43516</v>
      </c>
      <c r="B37" s="2">
        <v>20.170667999999999</v>
      </c>
      <c r="C37" s="2">
        <v>107.15</v>
      </c>
      <c r="F37" s="1">
        <v>43516</v>
      </c>
      <c r="G37" s="2">
        <f t="shared" si="0"/>
        <v>-1.012821868928252E-2</v>
      </c>
      <c r="H37" s="2">
        <f t="shared" si="1"/>
        <v>-9.4743417226121202E-3</v>
      </c>
      <c r="I37" s="7">
        <v>-1.012821868928252E-2</v>
      </c>
      <c r="J37" s="7">
        <v>-9.4743417226121202E-3</v>
      </c>
      <c r="K37" s="7">
        <v>0</v>
      </c>
      <c r="L37" s="7">
        <v>0</v>
      </c>
      <c r="M37" s="7">
        <v>0</v>
      </c>
      <c r="N37" s="7">
        <v>0</v>
      </c>
      <c r="O37" s="7">
        <v>0</v>
      </c>
      <c r="P37" s="7">
        <v>0</v>
      </c>
    </row>
    <row r="38" spans="1:16" x14ac:dyDescent="0.3">
      <c r="A38" s="1">
        <v>43517</v>
      </c>
      <c r="B38" s="2">
        <v>19.415333</v>
      </c>
      <c r="C38" s="2">
        <v>109.41</v>
      </c>
      <c r="F38" s="1">
        <v>43517</v>
      </c>
      <c r="G38" s="2">
        <f t="shared" si="0"/>
        <v>-3.8166355187144119E-2</v>
      </c>
      <c r="H38" s="2">
        <f t="shared" si="1"/>
        <v>2.0872571569112382E-2</v>
      </c>
      <c r="I38" s="7">
        <v>0</v>
      </c>
      <c r="J38" s="7">
        <v>0</v>
      </c>
      <c r="K38" s="7">
        <v>0</v>
      </c>
      <c r="L38" s="7">
        <v>0</v>
      </c>
      <c r="M38" s="7">
        <v>-3.8166355187144119E-2</v>
      </c>
      <c r="N38" s="7">
        <v>2.0872571569112382E-2</v>
      </c>
      <c r="O38" s="7">
        <v>0</v>
      </c>
      <c r="P38" s="7">
        <v>0</v>
      </c>
    </row>
    <row r="39" spans="1:16" x14ac:dyDescent="0.3">
      <c r="A39" s="1">
        <v>43518</v>
      </c>
      <c r="B39" s="2">
        <v>19.647333</v>
      </c>
      <c r="C39" s="2">
        <v>110.97</v>
      </c>
      <c r="F39" s="1">
        <v>43518</v>
      </c>
      <c r="G39" s="2">
        <f t="shared" si="0"/>
        <v>1.1878489189551016E-2</v>
      </c>
      <c r="H39" s="2">
        <f t="shared" si="1"/>
        <v>1.4157601023773687E-2</v>
      </c>
      <c r="I39" s="7">
        <v>0</v>
      </c>
      <c r="J39" s="7">
        <v>0</v>
      </c>
      <c r="K39" s="7">
        <v>0</v>
      </c>
      <c r="L39" s="7">
        <v>0</v>
      </c>
      <c r="M39" s="7">
        <v>0</v>
      </c>
      <c r="N39" s="7">
        <v>0</v>
      </c>
      <c r="O39" s="7">
        <v>1.1878489189551016E-2</v>
      </c>
      <c r="P39" s="7">
        <v>1.4157601023773687E-2</v>
      </c>
    </row>
    <row r="40" spans="1:16" x14ac:dyDescent="0.3">
      <c r="A40" s="1">
        <v>43521</v>
      </c>
      <c r="B40" s="2">
        <v>19.917998999999998</v>
      </c>
      <c r="C40" s="2">
        <v>111.59</v>
      </c>
      <c r="F40" s="1">
        <v>43521</v>
      </c>
      <c r="G40" s="2">
        <f t="shared" si="0"/>
        <v>1.3682191390669266E-2</v>
      </c>
      <c r="H40" s="2">
        <f t="shared" si="1"/>
        <v>5.571545685137588E-3</v>
      </c>
      <c r="I40" s="7">
        <v>0</v>
      </c>
      <c r="J40" s="7">
        <v>0</v>
      </c>
      <c r="K40" s="7">
        <v>0</v>
      </c>
      <c r="L40" s="7">
        <v>0</v>
      </c>
      <c r="M40" s="7">
        <v>0</v>
      </c>
      <c r="N40" s="7">
        <v>0</v>
      </c>
      <c r="O40" s="7">
        <v>1.3682191390669266E-2</v>
      </c>
      <c r="P40" s="7">
        <v>5.571545685137588E-3</v>
      </c>
    </row>
    <row r="41" spans="1:16" x14ac:dyDescent="0.3">
      <c r="A41" s="1">
        <v>43522</v>
      </c>
      <c r="B41" s="2">
        <v>19.857332</v>
      </c>
      <c r="C41" s="2">
        <v>112.36</v>
      </c>
      <c r="F41" s="1">
        <v>43522</v>
      </c>
      <c r="G41" s="2">
        <f t="shared" si="0"/>
        <v>-3.0504860937321651E-3</v>
      </c>
      <c r="H41" s="2">
        <f t="shared" si="1"/>
        <v>6.876562038433006E-3</v>
      </c>
      <c r="I41" s="7">
        <v>0</v>
      </c>
      <c r="J41" s="7">
        <v>0</v>
      </c>
      <c r="K41" s="7">
        <v>0</v>
      </c>
      <c r="L41" s="7">
        <v>0</v>
      </c>
      <c r="M41" s="7">
        <v>-3.0504860937321651E-3</v>
      </c>
      <c r="N41" s="7">
        <v>6.876562038433006E-3</v>
      </c>
      <c r="O41" s="7">
        <v>0</v>
      </c>
      <c r="P41" s="7">
        <v>0</v>
      </c>
    </row>
    <row r="42" spans="1:16" x14ac:dyDescent="0.3">
      <c r="A42" s="1">
        <v>43523</v>
      </c>
      <c r="B42" s="2">
        <v>20.982668</v>
      </c>
      <c r="C42" s="2">
        <v>112.17</v>
      </c>
      <c r="F42" s="1">
        <v>43523</v>
      </c>
      <c r="G42" s="2">
        <f t="shared" si="0"/>
        <v>5.5123454405148958E-2</v>
      </c>
      <c r="H42" s="2">
        <f t="shared" si="1"/>
        <v>-1.692424578910882E-3</v>
      </c>
      <c r="I42" s="7">
        <v>0</v>
      </c>
      <c r="J42" s="7">
        <v>0</v>
      </c>
      <c r="K42" s="7">
        <v>5.5123454405148958E-2</v>
      </c>
      <c r="L42" s="7">
        <v>-1.692424578910882E-3</v>
      </c>
      <c r="M42" s="7">
        <v>0</v>
      </c>
      <c r="N42" s="7">
        <v>0</v>
      </c>
      <c r="O42" s="7">
        <v>0</v>
      </c>
      <c r="P42" s="7">
        <v>0</v>
      </c>
    </row>
    <row r="43" spans="1:16" x14ac:dyDescent="0.3">
      <c r="A43" s="1">
        <v>43524</v>
      </c>
      <c r="B43" s="2">
        <v>21.325333000000001</v>
      </c>
      <c r="C43" s="2">
        <v>112.03</v>
      </c>
      <c r="F43" s="1">
        <v>43524</v>
      </c>
      <c r="G43" s="2">
        <f t="shared" si="0"/>
        <v>1.6198945115598318E-2</v>
      </c>
      <c r="H43" s="2">
        <f t="shared" si="1"/>
        <v>-1.2488850865001288E-3</v>
      </c>
      <c r="I43" s="7">
        <v>0</v>
      </c>
      <c r="J43" s="7">
        <v>0</v>
      </c>
      <c r="K43" s="7">
        <v>1.6198945115598318E-2</v>
      </c>
      <c r="L43" s="7">
        <v>-1.2488850865001288E-3</v>
      </c>
      <c r="M43" s="7">
        <v>0</v>
      </c>
      <c r="N43" s="7">
        <v>0</v>
      </c>
      <c r="O43" s="7">
        <v>0</v>
      </c>
      <c r="P43" s="7">
        <v>0</v>
      </c>
    </row>
    <row r="44" spans="1:16" x14ac:dyDescent="0.3">
      <c r="A44" s="1">
        <v>43525</v>
      </c>
      <c r="B44" s="2">
        <v>19.652666</v>
      </c>
      <c r="C44" s="2">
        <v>112.53</v>
      </c>
      <c r="F44" s="1">
        <v>43525</v>
      </c>
      <c r="G44" s="2">
        <f t="shared" si="0"/>
        <v>-8.1682705318018273E-2</v>
      </c>
      <c r="H44" s="2">
        <f t="shared" si="1"/>
        <v>4.45316019127363E-3</v>
      </c>
      <c r="I44" s="7">
        <v>0</v>
      </c>
      <c r="J44" s="7">
        <v>0</v>
      </c>
      <c r="K44" s="7">
        <v>0</v>
      </c>
      <c r="L44" s="7">
        <v>0</v>
      </c>
      <c r="M44" s="7">
        <v>-8.1682705318018273E-2</v>
      </c>
      <c r="N44" s="7">
        <v>4.45316019127363E-3</v>
      </c>
      <c r="O44" s="7">
        <v>0</v>
      </c>
      <c r="P44" s="7">
        <v>0</v>
      </c>
    </row>
    <row r="45" spans="1:16" x14ac:dyDescent="0.3">
      <c r="A45" s="1">
        <v>43528</v>
      </c>
      <c r="B45" s="2">
        <v>19.024000000000001</v>
      </c>
      <c r="C45" s="2">
        <v>112.26</v>
      </c>
      <c r="F45" s="1">
        <v>43528</v>
      </c>
      <c r="G45" s="2">
        <f t="shared" si="0"/>
        <v>-3.2511663464173106E-2</v>
      </c>
      <c r="H45" s="2">
        <f t="shared" si="1"/>
        <v>-2.4022432478523867E-3</v>
      </c>
      <c r="I45" s="7">
        <v>-3.2511663464173106E-2</v>
      </c>
      <c r="J45" s="7">
        <v>-2.4022432478523867E-3</v>
      </c>
      <c r="K45" s="7">
        <v>0</v>
      </c>
      <c r="L45" s="7">
        <v>0</v>
      </c>
      <c r="M45" s="7">
        <v>0</v>
      </c>
      <c r="N45" s="7">
        <v>0</v>
      </c>
      <c r="O45" s="7">
        <v>0</v>
      </c>
      <c r="P45" s="7">
        <v>0</v>
      </c>
    </row>
    <row r="46" spans="1:16" x14ac:dyDescent="0.3">
      <c r="A46" s="1">
        <v>43529</v>
      </c>
      <c r="B46" s="2">
        <v>18.436001000000001</v>
      </c>
      <c r="C46" s="2">
        <v>111.7</v>
      </c>
      <c r="F46" s="1">
        <v>43529</v>
      </c>
      <c r="G46" s="2">
        <f t="shared" si="0"/>
        <v>-3.1396010848464592E-2</v>
      </c>
      <c r="H46" s="2">
        <f t="shared" si="1"/>
        <v>-5.000903438898298E-3</v>
      </c>
      <c r="I46" s="7">
        <v>-3.1396010848464592E-2</v>
      </c>
      <c r="J46" s="7">
        <v>-5.000903438898298E-3</v>
      </c>
      <c r="K46" s="7">
        <v>0</v>
      </c>
      <c r="L46" s="7">
        <v>0</v>
      </c>
      <c r="M46" s="7">
        <v>0</v>
      </c>
      <c r="N46" s="7">
        <v>0</v>
      </c>
      <c r="O46" s="7">
        <v>0</v>
      </c>
      <c r="P46" s="7">
        <v>0</v>
      </c>
    </row>
    <row r="47" spans="1:16" x14ac:dyDescent="0.3">
      <c r="A47" s="1">
        <v>43530</v>
      </c>
      <c r="B47" s="2">
        <v>18.416</v>
      </c>
      <c r="C47" s="2">
        <v>111.75</v>
      </c>
      <c r="F47" s="1">
        <v>43530</v>
      </c>
      <c r="G47" s="2">
        <f t="shared" si="0"/>
        <v>-1.0854771204345441E-3</v>
      </c>
      <c r="H47" s="2">
        <f t="shared" si="1"/>
        <v>4.4752741852316158E-4</v>
      </c>
      <c r="I47" s="7">
        <v>0</v>
      </c>
      <c r="J47" s="7">
        <v>0</v>
      </c>
      <c r="K47" s="7">
        <v>0</v>
      </c>
      <c r="L47" s="7">
        <v>0</v>
      </c>
      <c r="M47" s="7">
        <v>-1.0854771204345441E-3</v>
      </c>
      <c r="N47" s="7">
        <v>4.4752741852316158E-4</v>
      </c>
      <c r="O47" s="7">
        <v>0</v>
      </c>
      <c r="P47" s="7">
        <v>0</v>
      </c>
    </row>
    <row r="48" spans="1:16" x14ac:dyDescent="0.3">
      <c r="A48" s="1">
        <v>43531</v>
      </c>
      <c r="B48" s="2">
        <v>18.439333000000001</v>
      </c>
      <c r="C48" s="2">
        <v>110.39</v>
      </c>
      <c r="F48" s="1">
        <v>43531</v>
      </c>
      <c r="G48" s="2">
        <f t="shared" si="0"/>
        <v>1.2661941281268986E-3</v>
      </c>
      <c r="H48" s="2">
        <f t="shared" si="1"/>
        <v>-1.2244683463417904E-2</v>
      </c>
      <c r="I48" s="7">
        <v>0</v>
      </c>
      <c r="J48" s="7">
        <v>0</v>
      </c>
      <c r="K48" s="7">
        <v>1.2661941281268986E-3</v>
      </c>
      <c r="L48" s="7">
        <v>-1.2244683463417904E-2</v>
      </c>
      <c r="M48" s="7">
        <v>0</v>
      </c>
      <c r="N48" s="7">
        <v>0</v>
      </c>
      <c r="O48" s="7">
        <v>0</v>
      </c>
      <c r="P48" s="7">
        <v>0</v>
      </c>
    </row>
    <row r="49" spans="1:16" x14ac:dyDescent="0.3">
      <c r="A49" s="1">
        <v>43532</v>
      </c>
      <c r="B49" s="2">
        <v>18.942667</v>
      </c>
      <c r="C49" s="2">
        <v>110.51</v>
      </c>
      <c r="F49" s="1">
        <v>43532</v>
      </c>
      <c r="G49" s="2">
        <f t="shared" si="0"/>
        <v>2.6930844831026295E-2</v>
      </c>
      <c r="H49" s="2">
        <f t="shared" si="1"/>
        <v>1.0864645704306802E-3</v>
      </c>
      <c r="I49" s="7">
        <v>0</v>
      </c>
      <c r="J49" s="7">
        <v>0</v>
      </c>
      <c r="K49" s="7">
        <v>0</v>
      </c>
      <c r="L49" s="7">
        <v>0</v>
      </c>
      <c r="M49" s="7">
        <v>0</v>
      </c>
      <c r="N49" s="7">
        <v>0</v>
      </c>
      <c r="O49" s="7">
        <v>2.6930844831026295E-2</v>
      </c>
      <c r="P49" s="7">
        <v>1.0864645704306802E-3</v>
      </c>
    </row>
    <row r="50" spans="1:16" x14ac:dyDescent="0.3">
      <c r="A50" s="1">
        <v>43535</v>
      </c>
      <c r="B50" s="2">
        <v>19.394666999999998</v>
      </c>
      <c r="C50" s="2">
        <v>112.83</v>
      </c>
      <c r="F50" s="1">
        <v>43535</v>
      </c>
      <c r="G50" s="2">
        <f t="shared" si="0"/>
        <v>2.3581240432304976E-2</v>
      </c>
      <c r="H50" s="2">
        <f t="shared" si="1"/>
        <v>2.0776246549663899E-2</v>
      </c>
      <c r="I50" s="7">
        <v>0</v>
      </c>
      <c r="J50" s="7">
        <v>0</v>
      </c>
      <c r="K50" s="7">
        <v>0</v>
      </c>
      <c r="L50" s="7">
        <v>0</v>
      </c>
      <c r="M50" s="7">
        <v>0</v>
      </c>
      <c r="N50" s="7">
        <v>0</v>
      </c>
      <c r="O50" s="7">
        <v>2.3581240432304976E-2</v>
      </c>
      <c r="P50" s="7">
        <v>2.0776246549663899E-2</v>
      </c>
    </row>
    <row r="51" spans="1:16" x14ac:dyDescent="0.3">
      <c r="A51" s="1">
        <v>43536</v>
      </c>
      <c r="B51" s="2">
        <v>18.890667000000001</v>
      </c>
      <c r="C51" s="2">
        <v>113.62</v>
      </c>
      <c r="F51" s="1">
        <v>43536</v>
      </c>
      <c r="G51" s="2">
        <f t="shared" si="0"/>
        <v>-2.6330140793273889E-2</v>
      </c>
      <c r="H51" s="2">
        <f t="shared" si="1"/>
        <v>6.9772859786261885E-3</v>
      </c>
      <c r="I51" s="7">
        <v>0</v>
      </c>
      <c r="J51" s="7">
        <v>0</v>
      </c>
      <c r="K51" s="7">
        <v>0</v>
      </c>
      <c r="L51" s="7">
        <v>0</v>
      </c>
      <c r="M51" s="7">
        <v>-2.6330140793273889E-2</v>
      </c>
      <c r="N51" s="7">
        <v>6.9772859786261885E-3</v>
      </c>
      <c r="O51" s="7">
        <v>0</v>
      </c>
      <c r="P51" s="7">
        <v>0</v>
      </c>
    </row>
    <row r="52" spans="1:16" x14ac:dyDescent="0.3">
      <c r="A52" s="1">
        <v>43537</v>
      </c>
      <c r="B52" s="2">
        <v>19.263999999999999</v>
      </c>
      <c r="C52" s="2">
        <v>114.5</v>
      </c>
      <c r="F52" s="1">
        <v>43537</v>
      </c>
      <c r="G52" s="2">
        <f t="shared" si="0"/>
        <v>1.9570078548699115E-2</v>
      </c>
      <c r="H52" s="2">
        <f t="shared" si="1"/>
        <v>7.7152758653134014E-3</v>
      </c>
      <c r="I52" s="7">
        <v>0</v>
      </c>
      <c r="J52" s="7">
        <v>0</v>
      </c>
      <c r="K52" s="7">
        <v>0</v>
      </c>
      <c r="L52" s="7">
        <v>0</v>
      </c>
      <c r="M52" s="7">
        <v>0</v>
      </c>
      <c r="N52" s="7">
        <v>0</v>
      </c>
      <c r="O52" s="7">
        <v>1.9570078548699115E-2</v>
      </c>
      <c r="P52" s="7">
        <v>7.7152758653134014E-3</v>
      </c>
    </row>
    <row r="53" spans="1:16" x14ac:dyDescent="0.3">
      <c r="A53" s="1">
        <v>43538</v>
      </c>
      <c r="B53" s="2">
        <v>19.330666999999998</v>
      </c>
      <c r="C53" s="2">
        <v>114.59</v>
      </c>
      <c r="F53" s="1">
        <v>43538</v>
      </c>
      <c r="G53" s="2">
        <f t="shared" si="0"/>
        <v>3.4547294478140351E-3</v>
      </c>
      <c r="H53" s="2">
        <f t="shared" si="1"/>
        <v>7.857174440625631E-4</v>
      </c>
      <c r="I53" s="7">
        <v>0</v>
      </c>
      <c r="J53" s="7">
        <v>0</v>
      </c>
      <c r="K53" s="7">
        <v>0</v>
      </c>
      <c r="L53" s="7">
        <v>0</v>
      </c>
      <c r="M53" s="7">
        <v>0</v>
      </c>
      <c r="N53" s="7">
        <v>0</v>
      </c>
      <c r="O53" s="7">
        <v>3.4547294478140351E-3</v>
      </c>
      <c r="P53" s="7">
        <v>7.857174440625631E-4</v>
      </c>
    </row>
    <row r="54" spans="1:16" x14ac:dyDescent="0.3">
      <c r="A54" s="1">
        <v>43539</v>
      </c>
      <c r="B54" s="2">
        <v>18.361999999999998</v>
      </c>
      <c r="C54" s="2">
        <v>115.91</v>
      </c>
      <c r="F54" s="1">
        <v>43539</v>
      </c>
      <c r="G54" s="2">
        <f t="shared" si="0"/>
        <v>-5.1409486852716298E-2</v>
      </c>
      <c r="H54" s="2">
        <f t="shared" si="1"/>
        <v>1.145348746229681E-2</v>
      </c>
      <c r="I54" s="7">
        <v>0</v>
      </c>
      <c r="J54" s="7">
        <v>0</v>
      </c>
      <c r="K54" s="7">
        <v>0</v>
      </c>
      <c r="L54" s="7">
        <v>0</v>
      </c>
      <c r="M54" s="7">
        <v>-5.1409486852716298E-2</v>
      </c>
      <c r="N54" s="7">
        <v>1.145348746229681E-2</v>
      </c>
      <c r="O54" s="7">
        <v>0</v>
      </c>
      <c r="P54" s="7">
        <v>0</v>
      </c>
    </row>
    <row r="55" spans="1:16" x14ac:dyDescent="0.3">
      <c r="A55" s="1">
        <v>43542</v>
      </c>
      <c r="B55" s="2">
        <v>17.966000000000001</v>
      </c>
      <c r="C55" s="2">
        <v>117.57</v>
      </c>
      <c r="F55" s="1">
        <v>43542</v>
      </c>
      <c r="G55" s="2">
        <f t="shared" si="0"/>
        <v>-2.1802228914493255E-2</v>
      </c>
      <c r="H55" s="2">
        <f t="shared" si="1"/>
        <v>1.4219872978996158E-2</v>
      </c>
      <c r="I55" s="7">
        <v>0</v>
      </c>
      <c r="J55" s="7">
        <v>0</v>
      </c>
      <c r="K55" s="7">
        <v>0</v>
      </c>
      <c r="L55" s="7">
        <v>0</v>
      </c>
      <c r="M55" s="7">
        <v>-2.1802228914493255E-2</v>
      </c>
      <c r="N55" s="7">
        <v>1.4219872978996158E-2</v>
      </c>
      <c r="O55" s="7">
        <v>0</v>
      </c>
      <c r="P55" s="7">
        <v>0</v>
      </c>
    </row>
    <row r="56" spans="1:16" x14ac:dyDescent="0.3">
      <c r="A56" s="1">
        <v>43543</v>
      </c>
      <c r="B56" s="2">
        <v>17.831333000000001</v>
      </c>
      <c r="C56" s="2">
        <v>117.65</v>
      </c>
      <c r="F56" s="1">
        <v>43543</v>
      </c>
      <c r="G56" s="2">
        <f t="shared" si="0"/>
        <v>-7.5238920887885164E-3</v>
      </c>
      <c r="H56" s="2">
        <f t="shared" si="1"/>
        <v>6.8021429372175975E-4</v>
      </c>
      <c r="I56" s="7">
        <v>0</v>
      </c>
      <c r="J56" s="7">
        <v>0</v>
      </c>
      <c r="K56" s="7">
        <v>0</v>
      </c>
      <c r="L56" s="7">
        <v>0</v>
      </c>
      <c r="M56" s="7">
        <v>-7.5238920887885164E-3</v>
      </c>
      <c r="N56" s="7">
        <v>6.8021429372175975E-4</v>
      </c>
      <c r="O56" s="7">
        <v>0</v>
      </c>
      <c r="P56" s="7">
        <v>0</v>
      </c>
    </row>
    <row r="57" spans="1:16" x14ac:dyDescent="0.3">
      <c r="A57" s="1">
        <v>43544</v>
      </c>
      <c r="B57" s="2">
        <v>18.239999999999998</v>
      </c>
      <c r="C57" s="2">
        <v>117.52</v>
      </c>
      <c r="F57" s="1">
        <v>43544</v>
      </c>
      <c r="G57" s="2">
        <f t="shared" si="0"/>
        <v>2.2659793927958829E-2</v>
      </c>
      <c r="H57" s="2">
        <f t="shared" si="1"/>
        <v>-1.1055833077497552E-3</v>
      </c>
      <c r="I57" s="7">
        <v>0</v>
      </c>
      <c r="J57" s="7">
        <v>0</v>
      </c>
      <c r="K57" s="7">
        <v>2.2659793927958829E-2</v>
      </c>
      <c r="L57" s="7">
        <v>-1.1055833077497552E-3</v>
      </c>
      <c r="M57" s="7">
        <v>0</v>
      </c>
      <c r="N57" s="7">
        <v>0</v>
      </c>
      <c r="O57" s="7">
        <v>0</v>
      </c>
      <c r="P57" s="7">
        <v>0</v>
      </c>
    </row>
    <row r="58" spans="1:16" x14ac:dyDescent="0.3">
      <c r="A58" s="1">
        <v>43545</v>
      </c>
      <c r="B58" s="2">
        <v>18.268000000000001</v>
      </c>
      <c r="C58" s="2">
        <v>120.22</v>
      </c>
      <c r="F58" s="1">
        <v>43545</v>
      </c>
      <c r="G58" s="2">
        <f t="shared" si="0"/>
        <v>1.5339106765672897E-3</v>
      </c>
      <c r="H58" s="2">
        <f t="shared" si="1"/>
        <v>2.2714865745394237E-2</v>
      </c>
      <c r="I58" s="7">
        <v>0</v>
      </c>
      <c r="J58" s="7">
        <v>0</v>
      </c>
      <c r="K58" s="7">
        <v>0</v>
      </c>
      <c r="L58" s="7">
        <v>0</v>
      </c>
      <c r="M58" s="7">
        <v>0</v>
      </c>
      <c r="N58" s="7">
        <v>0</v>
      </c>
      <c r="O58" s="7">
        <v>1.5339106765672897E-3</v>
      </c>
      <c r="P58" s="7">
        <v>2.2714865745394237E-2</v>
      </c>
    </row>
    <row r="59" spans="1:16" x14ac:dyDescent="0.3">
      <c r="A59" s="1">
        <v>43546</v>
      </c>
      <c r="B59" s="2">
        <v>17.635331999999998</v>
      </c>
      <c r="C59" s="2">
        <v>117.05</v>
      </c>
      <c r="F59" s="1">
        <v>43546</v>
      </c>
      <c r="G59" s="2">
        <f t="shared" si="0"/>
        <v>-3.5246505614046089E-2</v>
      </c>
      <c r="H59" s="2">
        <f t="shared" si="1"/>
        <v>-2.6722203674096185E-2</v>
      </c>
      <c r="I59" s="7">
        <v>-3.5246505614046089E-2</v>
      </c>
      <c r="J59" s="7">
        <v>-2.6722203674096185E-2</v>
      </c>
      <c r="K59" s="7">
        <v>0</v>
      </c>
      <c r="L59" s="7">
        <v>0</v>
      </c>
      <c r="M59" s="7">
        <v>0</v>
      </c>
      <c r="N59" s="7">
        <v>0</v>
      </c>
      <c r="O59" s="7">
        <v>0</v>
      </c>
      <c r="P59" s="7">
        <v>0</v>
      </c>
    </row>
    <row r="60" spans="1:16" x14ac:dyDescent="0.3">
      <c r="A60" s="1">
        <v>43549</v>
      </c>
      <c r="B60" s="2">
        <v>17.361333999999999</v>
      </c>
      <c r="C60" s="2">
        <v>117.66</v>
      </c>
      <c r="F60" s="1">
        <v>43549</v>
      </c>
      <c r="G60" s="2">
        <f t="shared" si="0"/>
        <v>-1.5658840110826595E-2</v>
      </c>
      <c r="H60" s="2">
        <f t="shared" si="1"/>
        <v>5.1979154993902019E-3</v>
      </c>
      <c r="I60" s="7">
        <v>0</v>
      </c>
      <c r="J60" s="7">
        <v>0</v>
      </c>
      <c r="K60" s="7">
        <v>0</v>
      </c>
      <c r="L60" s="7">
        <v>0</v>
      </c>
      <c r="M60" s="7">
        <v>-1.5658840110826595E-2</v>
      </c>
      <c r="N60" s="7">
        <v>5.1979154993902019E-3</v>
      </c>
      <c r="O60" s="7">
        <v>0</v>
      </c>
      <c r="P60" s="7">
        <v>0</v>
      </c>
    </row>
    <row r="61" spans="1:16" x14ac:dyDescent="0.3">
      <c r="A61" s="1">
        <v>43550</v>
      </c>
      <c r="B61" s="2">
        <v>17.851334000000001</v>
      </c>
      <c r="C61" s="2">
        <v>117.91</v>
      </c>
      <c r="F61" s="1">
        <v>43550</v>
      </c>
      <c r="G61" s="2">
        <f t="shared" si="0"/>
        <v>2.7832689728887351E-2</v>
      </c>
      <c r="H61" s="2">
        <f t="shared" si="1"/>
        <v>2.1225121522719546E-3</v>
      </c>
      <c r="I61" s="7">
        <v>0</v>
      </c>
      <c r="J61" s="7">
        <v>0</v>
      </c>
      <c r="K61" s="7">
        <v>0</v>
      </c>
      <c r="L61" s="7">
        <v>0</v>
      </c>
      <c r="M61" s="7">
        <v>0</v>
      </c>
      <c r="N61" s="7">
        <v>0</v>
      </c>
      <c r="O61" s="7">
        <v>2.7832689728887351E-2</v>
      </c>
      <c r="P61" s="7">
        <v>2.1225121522719546E-3</v>
      </c>
    </row>
    <row r="62" spans="1:16" x14ac:dyDescent="0.3">
      <c r="A62" s="1">
        <v>43551</v>
      </c>
      <c r="B62" s="2">
        <v>18.322001</v>
      </c>
      <c r="C62" s="2">
        <v>116.77</v>
      </c>
      <c r="F62" s="1">
        <v>43551</v>
      </c>
      <c r="G62" s="2">
        <f t="shared" si="0"/>
        <v>2.6024338845442498E-2</v>
      </c>
      <c r="H62" s="2">
        <f t="shared" si="1"/>
        <v>-9.7154335009584977E-3</v>
      </c>
      <c r="I62" s="7">
        <v>0</v>
      </c>
      <c r="J62" s="7">
        <v>0</v>
      </c>
      <c r="K62" s="7">
        <v>2.6024338845442498E-2</v>
      </c>
      <c r="L62" s="7">
        <v>-9.7154335009584977E-3</v>
      </c>
      <c r="M62" s="7">
        <v>0</v>
      </c>
      <c r="N62" s="7">
        <v>0</v>
      </c>
      <c r="O62" s="7">
        <v>0</v>
      </c>
      <c r="P62" s="7">
        <v>0</v>
      </c>
    </row>
    <row r="63" spans="1:16" x14ac:dyDescent="0.3">
      <c r="A63" s="1">
        <v>43552</v>
      </c>
      <c r="B63" s="2">
        <v>18.574667000000002</v>
      </c>
      <c r="C63" s="2">
        <v>116.93</v>
      </c>
      <c r="F63" s="1">
        <v>43552</v>
      </c>
      <c r="G63" s="2">
        <f t="shared" si="0"/>
        <v>1.3696084949247901E-2</v>
      </c>
      <c r="H63" s="2">
        <f t="shared" si="1"/>
        <v>1.3692770646037157E-3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1.3696084949247901E-2</v>
      </c>
      <c r="P63" s="7">
        <v>1.3692770646037157E-3</v>
      </c>
    </row>
    <row r="64" spans="1:16" x14ac:dyDescent="0.3">
      <c r="A64" s="1">
        <v>43553</v>
      </c>
      <c r="B64" s="2">
        <v>18.657333000000001</v>
      </c>
      <c r="C64" s="2">
        <v>117.94</v>
      </c>
      <c r="F64" s="1">
        <v>43553</v>
      </c>
      <c r="G64" s="2">
        <f t="shared" si="0"/>
        <v>4.4405960378236667E-3</v>
      </c>
      <c r="H64" s="2">
        <f t="shared" si="1"/>
        <v>8.6005554201309554E-3</v>
      </c>
      <c r="I64" s="7">
        <v>0</v>
      </c>
      <c r="J64" s="7">
        <v>0</v>
      </c>
      <c r="K64" s="7">
        <v>0</v>
      </c>
      <c r="L64" s="7">
        <v>0</v>
      </c>
      <c r="M64" s="7">
        <v>0</v>
      </c>
      <c r="N64" s="7">
        <v>0</v>
      </c>
      <c r="O64" s="7">
        <v>4.4405960378236667E-3</v>
      </c>
      <c r="P64" s="7">
        <v>8.6005554201309554E-3</v>
      </c>
    </row>
    <row r="65" spans="1:16" x14ac:dyDescent="0.3">
      <c r="A65" s="1">
        <v>43556</v>
      </c>
      <c r="B65" s="2">
        <v>19.278666999999999</v>
      </c>
      <c r="C65" s="2">
        <v>119.02</v>
      </c>
      <c r="F65" s="1">
        <v>43556</v>
      </c>
      <c r="G65" s="2">
        <f t="shared" si="0"/>
        <v>3.2759888628757748E-2</v>
      </c>
      <c r="H65" s="2">
        <f t="shared" si="1"/>
        <v>9.1155256443480187E-3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3.2759888628757748E-2</v>
      </c>
      <c r="P65" s="7">
        <v>9.1155256443480187E-3</v>
      </c>
    </row>
    <row r="66" spans="1:16" x14ac:dyDescent="0.3">
      <c r="A66" s="1">
        <v>43557</v>
      </c>
      <c r="B66" s="2">
        <v>19.058665999999999</v>
      </c>
      <c r="C66" s="2">
        <v>119.19</v>
      </c>
      <c r="F66" s="1">
        <v>43557</v>
      </c>
      <c r="G66" s="2">
        <f t="shared" si="0"/>
        <v>-1.1477241518183351E-2</v>
      </c>
      <c r="H66" s="2">
        <f t="shared" si="1"/>
        <v>1.4273122779112064E-3</v>
      </c>
      <c r="I66" s="7">
        <v>0</v>
      </c>
      <c r="J66" s="7">
        <v>0</v>
      </c>
      <c r="K66" s="7">
        <v>0</v>
      </c>
      <c r="L66" s="7">
        <v>0</v>
      </c>
      <c r="M66" s="7">
        <v>-1.1477241518183351E-2</v>
      </c>
      <c r="N66" s="7">
        <v>1.4273122779112064E-3</v>
      </c>
      <c r="O66" s="7">
        <v>0</v>
      </c>
      <c r="P66" s="7">
        <v>0</v>
      </c>
    </row>
    <row r="67" spans="1:16" x14ac:dyDescent="0.3">
      <c r="A67" s="1">
        <v>43558</v>
      </c>
      <c r="B67" s="2">
        <v>19.454000000000001</v>
      </c>
      <c r="C67" s="2">
        <v>119.97</v>
      </c>
      <c r="F67" s="1">
        <v>43558</v>
      </c>
      <c r="G67" s="2">
        <f t="shared" si="0"/>
        <v>2.0530798177393131E-2</v>
      </c>
      <c r="H67" s="2">
        <f t="shared" si="1"/>
        <v>6.5228530322194106E-3</v>
      </c>
      <c r="I67" s="7">
        <v>0</v>
      </c>
      <c r="J67" s="7">
        <v>0</v>
      </c>
      <c r="K67" s="7">
        <v>0</v>
      </c>
      <c r="L67" s="7">
        <v>0</v>
      </c>
      <c r="M67" s="7">
        <v>0</v>
      </c>
      <c r="N67" s="7">
        <v>0</v>
      </c>
      <c r="O67" s="7">
        <v>2.0530798177393131E-2</v>
      </c>
      <c r="P67" s="7">
        <v>6.5228530322194106E-3</v>
      </c>
    </row>
    <row r="68" spans="1:16" x14ac:dyDescent="0.3">
      <c r="A68" s="1">
        <v>43559</v>
      </c>
      <c r="B68" s="2">
        <v>17.851998999999999</v>
      </c>
      <c r="C68" s="2">
        <v>119.36</v>
      </c>
      <c r="F68" s="1">
        <v>43559</v>
      </c>
      <c r="G68" s="2">
        <f t="shared" si="0"/>
        <v>-8.5937213696359371E-2</v>
      </c>
      <c r="H68" s="2">
        <f t="shared" si="1"/>
        <v>-5.0975750713859857E-3</v>
      </c>
      <c r="I68" s="7">
        <v>-8.5937213696359371E-2</v>
      </c>
      <c r="J68" s="7">
        <v>-5.0975750713859857E-3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</row>
    <row r="69" spans="1:16" x14ac:dyDescent="0.3">
      <c r="A69" s="1">
        <v>43560</v>
      </c>
      <c r="B69" s="2">
        <v>18.330666999999998</v>
      </c>
      <c r="C69" s="2">
        <v>119.89</v>
      </c>
      <c r="F69" s="1">
        <v>43560</v>
      </c>
      <c r="G69" s="2">
        <f t="shared" si="0"/>
        <v>2.6459958872942051E-2</v>
      </c>
      <c r="H69" s="2">
        <f t="shared" si="1"/>
        <v>4.4305192641115113E-3</v>
      </c>
      <c r="I69" s="7">
        <v>0</v>
      </c>
      <c r="J69" s="7">
        <v>0</v>
      </c>
      <c r="K69" s="7">
        <v>0</v>
      </c>
      <c r="L69" s="7">
        <v>0</v>
      </c>
      <c r="M69" s="7">
        <v>0</v>
      </c>
      <c r="N69" s="7">
        <v>0</v>
      </c>
      <c r="O69" s="7">
        <v>2.6459958872942051E-2</v>
      </c>
      <c r="P69" s="7">
        <v>4.4305192641115113E-3</v>
      </c>
    </row>
    <row r="70" spans="1:16" x14ac:dyDescent="0.3">
      <c r="A70" s="1">
        <v>43563</v>
      </c>
      <c r="B70" s="2">
        <v>18.213332999999999</v>
      </c>
      <c r="C70" s="2">
        <v>119.93</v>
      </c>
      <c r="F70" s="1">
        <v>43563</v>
      </c>
      <c r="G70" s="2">
        <f t="shared" ref="G70:G133" si="2">LN(B70/B69)</f>
        <v>-6.421541331017141E-3</v>
      </c>
      <c r="H70" s="2">
        <f t="shared" ref="H70:H133" si="3">LN(C70/C69)</f>
        <v>3.3358352406753425E-4</v>
      </c>
      <c r="I70" s="7">
        <v>0</v>
      </c>
      <c r="J70" s="7">
        <v>0</v>
      </c>
      <c r="K70" s="7">
        <v>0</v>
      </c>
      <c r="L70" s="7">
        <v>0</v>
      </c>
      <c r="M70" s="7">
        <v>-6.421541331017141E-3</v>
      </c>
      <c r="N70" s="7">
        <v>3.3358352406753425E-4</v>
      </c>
      <c r="O70" s="7">
        <v>0</v>
      </c>
      <c r="P70" s="7">
        <v>0</v>
      </c>
    </row>
    <row r="71" spans="1:16" x14ac:dyDescent="0.3">
      <c r="A71" s="1">
        <v>43564</v>
      </c>
      <c r="B71" s="2">
        <v>18.153998999999999</v>
      </c>
      <c r="C71" s="2">
        <v>119.28</v>
      </c>
      <c r="F71" s="1">
        <v>43564</v>
      </c>
      <c r="G71" s="2">
        <f t="shared" si="2"/>
        <v>-3.2630412726592059E-3</v>
      </c>
      <c r="H71" s="2">
        <f t="shared" si="3"/>
        <v>-5.43456878714674E-3</v>
      </c>
      <c r="I71" s="7">
        <v>-3.2630412726592059E-3</v>
      </c>
      <c r="J71" s="7">
        <v>-5.43456878714674E-3</v>
      </c>
      <c r="K71" s="7">
        <v>0</v>
      </c>
      <c r="L71" s="7">
        <v>0</v>
      </c>
      <c r="M71" s="7">
        <v>0</v>
      </c>
      <c r="N71" s="7">
        <v>0</v>
      </c>
      <c r="O71" s="7">
        <v>0</v>
      </c>
      <c r="P71" s="7">
        <v>0</v>
      </c>
    </row>
    <row r="72" spans="1:16" x14ac:dyDescent="0.3">
      <c r="A72" s="1">
        <v>43565</v>
      </c>
      <c r="B72" s="2">
        <v>18.403998999999999</v>
      </c>
      <c r="C72" s="2">
        <v>120.19</v>
      </c>
      <c r="F72" s="1">
        <v>43565</v>
      </c>
      <c r="G72" s="2">
        <f t="shared" si="2"/>
        <v>1.3677110937051817E-2</v>
      </c>
      <c r="H72" s="2">
        <f t="shared" si="3"/>
        <v>7.6001535082143518E-3</v>
      </c>
      <c r="I72" s="7">
        <v>0</v>
      </c>
      <c r="J72" s="7">
        <v>0</v>
      </c>
      <c r="K72" s="7">
        <v>0</v>
      </c>
      <c r="L72" s="7">
        <v>0</v>
      </c>
      <c r="M72" s="7">
        <v>0</v>
      </c>
      <c r="N72" s="7">
        <v>0</v>
      </c>
      <c r="O72" s="7">
        <v>1.3677110937051817E-2</v>
      </c>
      <c r="P72" s="7">
        <v>7.6001535082143518E-3</v>
      </c>
    </row>
    <row r="73" spans="1:16" x14ac:dyDescent="0.3">
      <c r="A73" s="1">
        <v>43566</v>
      </c>
      <c r="B73" s="2">
        <v>17.894666999999998</v>
      </c>
      <c r="C73" s="2">
        <v>120.33</v>
      </c>
      <c r="F73" s="1">
        <v>43566</v>
      </c>
      <c r="G73" s="2">
        <f t="shared" si="2"/>
        <v>-2.8065242462233131E-2</v>
      </c>
      <c r="H73" s="2">
        <f t="shared" si="3"/>
        <v>1.1641444853738039E-3</v>
      </c>
      <c r="I73" s="7">
        <v>0</v>
      </c>
      <c r="J73" s="7">
        <v>0</v>
      </c>
      <c r="K73" s="7">
        <v>0</v>
      </c>
      <c r="L73" s="7">
        <v>0</v>
      </c>
      <c r="M73" s="7">
        <v>-2.8065242462233131E-2</v>
      </c>
      <c r="N73" s="7">
        <v>1.1641444853738039E-3</v>
      </c>
      <c r="O73" s="7">
        <v>0</v>
      </c>
      <c r="P73" s="7">
        <v>0</v>
      </c>
    </row>
    <row r="74" spans="1:16" x14ac:dyDescent="0.3">
      <c r="A74" s="1">
        <v>43567</v>
      </c>
      <c r="B74" s="2">
        <v>17.846665999999999</v>
      </c>
      <c r="C74" s="2">
        <v>120.95</v>
      </c>
      <c r="F74" s="1">
        <v>43567</v>
      </c>
      <c r="G74" s="2">
        <f t="shared" si="2"/>
        <v>-2.6860234261259436E-3</v>
      </c>
      <c r="H74" s="2">
        <f t="shared" si="3"/>
        <v>5.1392686059650826E-3</v>
      </c>
      <c r="I74" s="7">
        <v>0</v>
      </c>
      <c r="J74" s="7">
        <v>0</v>
      </c>
      <c r="K74" s="7">
        <v>0</v>
      </c>
      <c r="L74" s="7">
        <v>0</v>
      </c>
      <c r="M74" s="7">
        <v>-2.6860234261259436E-3</v>
      </c>
      <c r="N74" s="7">
        <v>5.1392686059650826E-3</v>
      </c>
      <c r="O74" s="7">
        <v>0</v>
      </c>
      <c r="P74" s="7">
        <v>0</v>
      </c>
    </row>
    <row r="75" spans="1:16" x14ac:dyDescent="0.3">
      <c r="A75" s="1">
        <v>43570</v>
      </c>
      <c r="B75" s="2">
        <v>17.758666999999999</v>
      </c>
      <c r="C75" s="2">
        <v>121.05</v>
      </c>
      <c r="F75" s="1">
        <v>43570</v>
      </c>
      <c r="G75" s="2">
        <f t="shared" si="2"/>
        <v>-4.943033627995491E-3</v>
      </c>
      <c r="H75" s="2">
        <f t="shared" si="3"/>
        <v>8.2644632803111865E-4</v>
      </c>
      <c r="I75" s="7">
        <v>0</v>
      </c>
      <c r="J75" s="7">
        <v>0</v>
      </c>
      <c r="K75" s="7">
        <v>0</v>
      </c>
      <c r="L75" s="7">
        <v>0</v>
      </c>
      <c r="M75" s="7">
        <v>-4.943033627995491E-3</v>
      </c>
      <c r="N75" s="7">
        <v>8.2644632803111865E-4</v>
      </c>
      <c r="O75" s="7">
        <v>0</v>
      </c>
      <c r="P75" s="7">
        <v>0</v>
      </c>
    </row>
    <row r="76" spans="1:16" x14ac:dyDescent="0.3">
      <c r="A76" s="1">
        <v>43571</v>
      </c>
      <c r="B76" s="2">
        <v>18.224001000000001</v>
      </c>
      <c r="C76" s="2">
        <v>120.77</v>
      </c>
      <c r="F76" s="1">
        <v>43571</v>
      </c>
      <c r="G76" s="2">
        <f t="shared" si="2"/>
        <v>2.5865783136668E-2</v>
      </c>
      <c r="H76" s="2">
        <f t="shared" si="3"/>
        <v>-2.3157730967836129E-3</v>
      </c>
      <c r="I76" s="7">
        <v>0</v>
      </c>
      <c r="J76" s="7">
        <v>0</v>
      </c>
      <c r="K76" s="7">
        <v>2.5865783136668E-2</v>
      </c>
      <c r="L76" s="7">
        <v>-2.3157730967836129E-3</v>
      </c>
      <c r="M76" s="7">
        <v>0</v>
      </c>
      <c r="N76" s="7">
        <v>0</v>
      </c>
      <c r="O76" s="7">
        <v>0</v>
      </c>
      <c r="P76" s="7">
        <v>0</v>
      </c>
    </row>
    <row r="77" spans="1:16" x14ac:dyDescent="0.3">
      <c r="A77" s="1">
        <v>43572</v>
      </c>
      <c r="B77" s="2">
        <v>18.082001000000002</v>
      </c>
      <c r="C77" s="2">
        <v>121.77</v>
      </c>
      <c r="F77" s="1">
        <v>43572</v>
      </c>
      <c r="G77" s="2">
        <f t="shared" si="2"/>
        <v>-7.822437958730109E-3</v>
      </c>
      <c r="H77" s="2">
        <f t="shared" si="3"/>
        <v>8.2461092316321628E-3</v>
      </c>
      <c r="I77" s="7">
        <v>0</v>
      </c>
      <c r="J77" s="7">
        <v>0</v>
      </c>
      <c r="K77" s="7">
        <v>0</v>
      </c>
      <c r="L77" s="7">
        <v>0</v>
      </c>
      <c r="M77" s="7">
        <v>-7.822437958730109E-3</v>
      </c>
      <c r="N77" s="7">
        <v>8.2461092316321628E-3</v>
      </c>
      <c r="O77" s="7">
        <v>0</v>
      </c>
      <c r="P77" s="7">
        <v>0</v>
      </c>
    </row>
    <row r="78" spans="1:16" x14ac:dyDescent="0.3">
      <c r="A78" s="1">
        <v>43573</v>
      </c>
      <c r="B78" s="2">
        <v>18.217333</v>
      </c>
      <c r="C78" s="2">
        <v>123.37</v>
      </c>
      <c r="F78" s="1">
        <v>43573</v>
      </c>
      <c r="G78" s="2">
        <f t="shared" si="2"/>
        <v>7.4564798917494826E-3</v>
      </c>
      <c r="H78" s="2">
        <f t="shared" si="3"/>
        <v>1.3053950564457243E-2</v>
      </c>
      <c r="I78" s="7">
        <v>0</v>
      </c>
      <c r="J78" s="7">
        <v>0</v>
      </c>
      <c r="K78" s="7">
        <v>0</v>
      </c>
      <c r="L78" s="7">
        <v>0</v>
      </c>
      <c r="M78" s="7">
        <v>0</v>
      </c>
      <c r="N78" s="7">
        <v>0</v>
      </c>
      <c r="O78" s="7">
        <v>7.4564798917494826E-3</v>
      </c>
      <c r="P78" s="7">
        <v>1.3053950564457243E-2</v>
      </c>
    </row>
    <row r="79" spans="1:16" x14ac:dyDescent="0.3">
      <c r="A79" s="1">
        <v>43577</v>
      </c>
      <c r="B79" s="2">
        <v>17.516666000000001</v>
      </c>
      <c r="C79" s="2">
        <v>123.76</v>
      </c>
      <c r="F79" s="1">
        <v>43577</v>
      </c>
      <c r="G79" s="2">
        <f t="shared" si="2"/>
        <v>-3.9220732914681242E-2</v>
      </c>
      <c r="H79" s="2">
        <f t="shared" si="3"/>
        <v>3.15623618143741E-3</v>
      </c>
      <c r="I79" s="7">
        <v>0</v>
      </c>
      <c r="J79" s="7">
        <v>0</v>
      </c>
      <c r="K79" s="7">
        <v>0</v>
      </c>
      <c r="L79" s="7">
        <v>0</v>
      </c>
      <c r="M79" s="7">
        <v>-3.9220732914681242E-2</v>
      </c>
      <c r="N79" s="7">
        <v>3.15623618143741E-3</v>
      </c>
      <c r="O79" s="7">
        <v>0</v>
      </c>
      <c r="P79" s="7">
        <v>0</v>
      </c>
    </row>
    <row r="80" spans="1:16" x14ac:dyDescent="0.3">
      <c r="A80" s="1">
        <v>43578</v>
      </c>
      <c r="B80" s="2">
        <v>17.593332</v>
      </c>
      <c r="C80" s="2">
        <v>125.44</v>
      </c>
      <c r="F80" s="1">
        <v>43578</v>
      </c>
      <c r="G80" s="2">
        <f t="shared" si="2"/>
        <v>4.3671960249243667E-3</v>
      </c>
      <c r="H80" s="2">
        <f t="shared" si="3"/>
        <v>1.3483350337286988E-2</v>
      </c>
      <c r="I80" s="7">
        <v>0</v>
      </c>
      <c r="J80" s="7">
        <v>0</v>
      </c>
      <c r="K80" s="7">
        <v>0</v>
      </c>
      <c r="L80" s="7">
        <v>0</v>
      </c>
      <c r="M80" s="7">
        <v>0</v>
      </c>
      <c r="N80" s="7">
        <v>0</v>
      </c>
      <c r="O80" s="7">
        <v>4.3671960249243667E-3</v>
      </c>
      <c r="P80" s="7">
        <v>1.3483350337286988E-2</v>
      </c>
    </row>
    <row r="81" spans="1:16" x14ac:dyDescent="0.3">
      <c r="A81" s="1">
        <v>43579</v>
      </c>
      <c r="B81" s="2">
        <v>17.243998999999999</v>
      </c>
      <c r="C81" s="2">
        <v>125.01</v>
      </c>
      <c r="F81" s="1">
        <v>43579</v>
      </c>
      <c r="G81" s="2">
        <f t="shared" si="2"/>
        <v>-2.0055767727081664E-2</v>
      </c>
      <c r="H81" s="2">
        <f t="shared" si="3"/>
        <v>-3.4338224996258238E-3</v>
      </c>
      <c r="I81" s="7">
        <v>-2.0055767727081664E-2</v>
      </c>
      <c r="J81" s="7">
        <v>-3.4338224996258238E-3</v>
      </c>
      <c r="K81" s="7">
        <v>0</v>
      </c>
      <c r="L81" s="7">
        <v>0</v>
      </c>
      <c r="M81" s="7">
        <v>0</v>
      </c>
      <c r="N81" s="7">
        <v>0</v>
      </c>
      <c r="O81" s="7">
        <v>0</v>
      </c>
      <c r="P81" s="7">
        <v>0</v>
      </c>
    </row>
    <row r="82" spans="1:16" x14ac:dyDescent="0.3">
      <c r="A82" s="1">
        <v>43580</v>
      </c>
      <c r="B82" s="2">
        <v>16.508666999999999</v>
      </c>
      <c r="C82" s="2">
        <v>129.15</v>
      </c>
      <c r="F82" s="1">
        <v>43580</v>
      </c>
      <c r="G82" s="2">
        <f t="shared" si="2"/>
        <v>-4.3578683167321997E-2</v>
      </c>
      <c r="H82" s="2">
        <f t="shared" si="3"/>
        <v>3.2580785439377764E-2</v>
      </c>
      <c r="I82" s="7">
        <v>0</v>
      </c>
      <c r="J82" s="7">
        <v>0</v>
      </c>
      <c r="K82" s="7">
        <v>0</v>
      </c>
      <c r="L82" s="7">
        <v>0</v>
      </c>
      <c r="M82" s="7">
        <v>-4.3578683167321997E-2</v>
      </c>
      <c r="N82" s="7">
        <v>3.2580785439377764E-2</v>
      </c>
      <c r="O82" s="7">
        <v>0</v>
      </c>
      <c r="P82" s="7">
        <v>0</v>
      </c>
    </row>
    <row r="83" spans="1:16" x14ac:dyDescent="0.3">
      <c r="A83" s="1">
        <v>43581</v>
      </c>
      <c r="B83" s="2">
        <v>15.676</v>
      </c>
      <c r="C83" s="2">
        <v>129.88999999999999</v>
      </c>
      <c r="F83" s="1">
        <v>43581</v>
      </c>
      <c r="G83" s="2">
        <f t="shared" si="2"/>
        <v>-5.1754635388994094E-2</v>
      </c>
      <c r="H83" s="2">
        <f t="shared" si="3"/>
        <v>5.7134188773429019E-3</v>
      </c>
      <c r="I83" s="7">
        <v>0</v>
      </c>
      <c r="J83" s="7">
        <v>0</v>
      </c>
      <c r="K83" s="7">
        <v>0</v>
      </c>
      <c r="L83" s="7">
        <v>0</v>
      </c>
      <c r="M83" s="7">
        <v>-5.1754635388994094E-2</v>
      </c>
      <c r="N83" s="7">
        <v>5.7134188773429019E-3</v>
      </c>
      <c r="O83" s="7">
        <v>0</v>
      </c>
      <c r="P83" s="7">
        <v>0</v>
      </c>
    </row>
    <row r="84" spans="1:16" x14ac:dyDescent="0.3">
      <c r="A84" s="1">
        <v>43584</v>
      </c>
      <c r="B84" s="2">
        <v>16.097999999999999</v>
      </c>
      <c r="C84" s="2">
        <v>129.77000000000001</v>
      </c>
      <c r="F84" s="1">
        <v>43584</v>
      </c>
      <c r="G84" s="2">
        <f t="shared" si="2"/>
        <v>2.6564160334157094E-2</v>
      </c>
      <c r="H84" s="2">
        <f t="shared" si="3"/>
        <v>-9.2428567005325415E-4</v>
      </c>
      <c r="I84" s="7">
        <v>0</v>
      </c>
      <c r="J84" s="7">
        <v>0</v>
      </c>
      <c r="K84" s="7">
        <v>2.6564160334157094E-2</v>
      </c>
      <c r="L84" s="7">
        <v>-9.2428567005325415E-4</v>
      </c>
      <c r="M84" s="7">
        <v>0</v>
      </c>
      <c r="N84" s="7">
        <v>0</v>
      </c>
      <c r="O84" s="7">
        <v>0</v>
      </c>
      <c r="P84" s="7">
        <v>0</v>
      </c>
    </row>
    <row r="85" spans="1:16" x14ac:dyDescent="0.3">
      <c r="A85" s="1">
        <v>43585</v>
      </c>
      <c r="B85" s="2">
        <v>15.912667000000001</v>
      </c>
      <c r="C85" s="2">
        <v>130.6</v>
      </c>
      <c r="F85" s="1">
        <v>43585</v>
      </c>
      <c r="G85" s="2">
        <f t="shared" si="2"/>
        <v>-1.1579581949136825E-2</v>
      </c>
      <c r="H85" s="2">
        <f t="shared" si="3"/>
        <v>6.3755640931915068E-3</v>
      </c>
      <c r="I85" s="7">
        <v>0</v>
      </c>
      <c r="J85" s="7">
        <v>0</v>
      </c>
      <c r="K85" s="7">
        <v>0</v>
      </c>
      <c r="L85" s="7">
        <v>0</v>
      </c>
      <c r="M85" s="7">
        <v>-1.1579581949136825E-2</v>
      </c>
      <c r="N85" s="7">
        <v>6.3755640931915068E-3</v>
      </c>
      <c r="O85" s="7">
        <v>0</v>
      </c>
      <c r="P85" s="7">
        <v>0</v>
      </c>
    </row>
    <row r="86" spans="1:16" x14ac:dyDescent="0.3">
      <c r="A86" s="1">
        <v>43586</v>
      </c>
      <c r="B86" s="2">
        <v>15.600667</v>
      </c>
      <c r="C86" s="2">
        <v>127.88</v>
      </c>
      <c r="F86" s="1">
        <v>43586</v>
      </c>
      <c r="G86" s="2">
        <f t="shared" si="2"/>
        <v>-1.9801788970686792E-2</v>
      </c>
      <c r="H86" s="2">
        <f t="shared" si="3"/>
        <v>-2.1046892650689937E-2</v>
      </c>
      <c r="I86" s="7">
        <v>-1.9801788970686792E-2</v>
      </c>
      <c r="J86" s="7">
        <v>-2.1046892650689937E-2</v>
      </c>
      <c r="K86" s="7">
        <v>0</v>
      </c>
      <c r="L86" s="7">
        <v>0</v>
      </c>
      <c r="M86" s="7">
        <v>0</v>
      </c>
      <c r="N86" s="7">
        <v>0</v>
      </c>
      <c r="O86" s="7">
        <v>0</v>
      </c>
      <c r="P86" s="7">
        <v>0</v>
      </c>
    </row>
    <row r="87" spans="1:16" x14ac:dyDescent="0.3">
      <c r="A87" s="1">
        <v>43587</v>
      </c>
      <c r="B87" s="2">
        <v>16.273333000000001</v>
      </c>
      <c r="C87" s="2">
        <v>126.21</v>
      </c>
      <c r="F87" s="1">
        <v>43587</v>
      </c>
      <c r="G87" s="2">
        <f t="shared" si="2"/>
        <v>4.2214086061577283E-2</v>
      </c>
      <c r="H87" s="2">
        <f t="shared" si="3"/>
        <v>-1.314513792110155E-2</v>
      </c>
      <c r="I87" s="7">
        <v>0</v>
      </c>
      <c r="J87" s="7">
        <v>0</v>
      </c>
      <c r="K87" s="7">
        <v>4.2214086061577283E-2</v>
      </c>
      <c r="L87" s="7">
        <v>-1.314513792110155E-2</v>
      </c>
      <c r="M87" s="7">
        <v>0</v>
      </c>
      <c r="N87" s="7">
        <v>0</v>
      </c>
      <c r="O87" s="7">
        <v>0</v>
      </c>
      <c r="P87" s="7">
        <v>0</v>
      </c>
    </row>
    <row r="88" spans="1:16" x14ac:dyDescent="0.3">
      <c r="A88" s="1">
        <v>43588</v>
      </c>
      <c r="B88" s="2">
        <v>17.002001</v>
      </c>
      <c r="C88" s="2">
        <v>128.9</v>
      </c>
      <c r="F88" s="1">
        <v>43588</v>
      </c>
      <c r="G88" s="2">
        <f t="shared" si="2"/>
        <v>4.3803287198479368E-2</v>
      </c>
      <c r="H88" s="2">
        <f t="shared" si="3"/>
        <v>2.1089723674602632E-2</v>
      </c>
      <c r="I88" s="7">
        <v>0</v>
      </c>
      <c r="J88" s="7">
        <v>0</v>
      </c>
      <c r="K88" s="7">
        <v>0</v>
      </c>
      <c r="L88" s="7">
        <v>0</v>
      </c>
      <c r="M88" s="7">
        <v>0</v>
      </c>
      <c r="N88" s="7">
        <v>0</v>
      </c>
      <c r="O88" s="7">
        <v>4.3803287198479368E-2</v>
      </c>
      <c r="P88" s="7">
        <v>2.1089723674602632E-2</v>
      </c>
    </row>
    <row r="89" spans="1:16" x14ac:dyDescent="0.3">
      <c r="A89" s="1">
        <v>43591</v>
      </c>
      <c r="B89" s="2">
        <v>17.022666999999998</v>
      </c>
      <c r="C89" s="2">
        <v>128.15</v>
      </c>
      <c r="F89" s="1">
        <v>43591</v>
      </c>
      <c r="G89" s="2">
        <f t="shared" si="2"/>
        <v>1.214765859953434E-3</v>
      </c>
      <c r="H89" s="2">
        <f t="shared" si="3"/>
        <v>-5.8354571350615796E-3</v>
      </c>
      <c r="I89" s="7">
        <v>0</v>
      </c>
      <c r="J89" s="7">
        <v>0</v>
      </c>
      <c r="K89" s="7">
        <v>1.214765859953434E-3</v>
      </c>
      <c r="L89" s="7">
        <v>-5.8354571350615796E-3</v>
      </c>
      <c r="M89" s="7">
        <v>0</v>
      </c>
      <c r="N89" s="7">
        <v>0</v>
      </c>
      <c r="O89" s="7">
        <v>0</v>
      </c>
      <c r="P89" s="7">
        <v>0</v>
      </c>
    </row>
    <row r="90" spans="1:16" x14ac:dyDescent="0.3">
      <c r="A90" s="1">
        <v>43592</v>
      </c>
      <c r="B90" s="2">
        <v>16.470666999999999</v>
      </c>
      <c r="C90" s="2">
        <v>125.52</v>
      </c>
      <c r="F90" s="1">
        <v>43592</v>
      </c>
      <c r="G90" s="2">
        <f t="shared" si="2"/>
        <v>-3.2964767627272337E-2</v>
      </c>
      <c r="H90" s="2">
        <f t="shared" si="3"/>
        <v>-2.073634438530304E-2</v>
      </c>
      <c r="I90" s="7">
        <v>-3.2964767627272337E-2</v>
      </c>
      <c r="J90" s="7">
        <v>-2.073634438530304E-2</v>
      </c>
      <c r="K90" s="7">
        <v>0</v>
      </c>
      <c r="L90" s="7">
        <v>0</v>
      </c>
      <c r="M90" s="7">
        <v>0</v>
      </c>
      <c r="N90" s="7">
        <v>0</v>
      </c>
      <c r="O90" s="7">
        <v>0</v>
      </c>
      <c r="P90" s="7">
        <v>0</v>
      </c>
    </row>
    <row r="91" spans="1:16" x14ac:dyDescent="0.3">
      <c r="A91" s="1">
        <v>43593</v>
      </c>
      <c r="B91" s="2">
        <v>16.322666000000002</v>
      </c>
      <c r="C91" s="2">
        <v>125.51</v>
      </c>
      <c r="F91" s="1">
        <v>43593</v>
      </c>
      <c r="G91" s="2">
        <f t="shared" si="2"/>
        <v>-9.0263472067974096E-3</v>
      </c>
      <c r="H91" s="2">
        <f t="shared" si="3"/>
        <v>-7.9671752422225481E-5</v>
      </c>
      <c r="I91" s="7">
        <v>-9.0263472067974096E-3</v>
      </c>
      <c r="J91" s="7">
        <v>-7.9671752422225481E-5</v>
      </c>
      <c r="K91" s="7">
        <v>0</v>
      </c>
      <c r="L91" s="7">
        <v>0</v>
      </c>
      <c r="M91" s="7">
        <v>0</v>
      </c>
      <c r="N91" s="7">
        <v>0</v>
      </c>
      <c r="O91" s="7">
        <v>0</v>
      </c>
      <c r="P91" s="7">
        <v>0</v>
      </c>
    </row>
    <row r="92" spans="1:16" x14ac:dyDescent="0.3">
      <c r="A92" s="1">
        <v>43594</v>
      </c>
      <c r="B92" s="2">
        <v>16.132000000000001</v>
      </c>
      <c r="C92" s="2">
        <v>125.5</v>
      </c>
      <c r="F92" s="1">
        <v>43594</v>
      </c>
      <c r="G92" s="2">
        <f t="shared" si="2"/>
        <v>-1.174981702653702E-2</v>
      </c>
      <c r="H92" s="2">
        <f t="shared" si="3"/>
        <v>-7.9678100516333109E-5</v>
      </c>
      <c r="I92" s="7">
        <v>-1.174981702653702E-2</v>
      </c>
      <c r="J92" s="7">
        <v>-7.9678100516333109E-5</v>
      </c>
      <c r="K92" s="7">
        <v>0</v>
      </c>
      <c r="L92" s="7">
        <v>0</v>
      </c>
      <c r="M92" s="7">
        <v>0</v>
      </c>
      <c r="N92" s="7">
        <v>0</v>
      </c>
      <c r="O92" s="7">
        <v>0</v>
      </c>
      <c r="P92" s="7">
        <v>0</v>
      </c>
    </row>
    <row r="93" spans="1:16" x14ac:dyDescent="0.3">
      <c r="A93" s="1">
        <v>43595</v>
      </c>
      <c r="B93" s="2">
        <v>15.968</v>
      </c>
      <c r="C93" s="2">
        <v>127.13</v>
      </c>
      <c r="F93" s="1">
        <v>43595</v>
      </c>
      <c r="G93" s="2">
        <f t="shared" si="2"/>
        <v>-1.0218157442013608E-2</v>
      </c>
      <c r="H93" s="2">
        <f t="shared" si="3"/>
        <v>1.2904426390192522E-2</v>
      </c>
      <c r="I93" s="7">
        <v>0</v>
      </c>
      <c r="J93" s="7">
        <v>0</v>
      </c>
      <c r="K93" s="7">
        <v>0</v>
      </c>
      <c r="L93" s="7">
        <v>0</v>
      </c>
      <c r="M93" s="7">
        <v>-1.0218157442013608E-2</v>
      </c>
      <c r="N93" s="7">
        <v>1.2904426390192522E-2</v>
      </c>
      <c r="O93" s="7">
        <v>0</v>
      </c>
      <c r="P93" s="7">
        <v>0</v>
      </c>
    </row>
    <row r="94" spans="1:16" x14ac:dyDescent="0.3">
      <c r="A94" s="1">
        <v>43598</v>
      </c>
      <c r="B94" s="2">
        <v>15.134</v>
      </c>
      <c r="C94" s="2">
        <v>123.35</v>
      </c>
      <c r="F94" s="1">
        <v>43598</v>
      </c>
      <c r="G94" s="2">
        <f t="shared" si="2"/>
        <v>-5.364285129677835E-2</v>
      </c>
      <c r="H94" s="2">
        <f t="shared" si="3"/>
        <v>-3.018434198666543E-2</v>
      </c>
      <c r="I94" s="7">
        <v>-5.364285129677835E-2</v>
      </c>
      <c r="J94" s="7">
        <v>-3.018434198666543E-2</v>
      </c>
      <c r="K94" s="7">
        <v>0</v>
      </c>
      <c r="L94" s="7">
        <v>0</v>
      </c>
      <c r="M94" s="7">
        <v>0</v>
      </c>
      <c r="N94" s="7">
        <v>0</v>
      </c>
      <c r="O94" s="7">
        <v>0</v>
      </c>
      <c r="P94" s="7">
        <v>0</v>
      </c>
    </row>
    <row r="95" spans="1:16" x14ac:dyDescent="0.3">
      <c r="A95" s="1">
        <v>43599</v>
      </c>
      <c r="B95" s="2">
        <v>15.487333</v>
      </c>
      <c r="C95" s="2">
        <v>124.73</v>
      </c>
      <c r="F95" s="1">
        <v>43599</v>
      </c>
      <c r="G95" s="2">
        <f t="shared" si="2"/>
        <v>2.3078595735368208E-2</v>
      </c>
      <c r="H95" s="2">
        <f t="shared" si="3"/>
        <v>1.1125558162252035E-2</v>
      </c>
      <c r="I95" s="7">
        <v>0</v>
      </c>
      <c r="J95" s="7">
        <v>0</v>
      </c>
      <c r="K95" s="7">
        <v>0</v>
      </c>
      <c r="L95" s="7">
        <v>0</v>
      </c>
      <c r="M95" s="7">
        <v>0</v>
      </c>
      <c r="N95" s="7">
        <v>0</v>
      </c>
      <c r="O95" s="7">
        <v>2.3078595735368208E-2</v>
      </c>
      <c r="P95" s="7">
        <v>1.1125558162252035E-2</v>
      </c>
    </row>
    <row r="96" spans="1:16" x14ac:dyDescent="0.3">
      <c r="A96" s="1">
        <v>43600</v>
      </c>
      <c r="B96" s="2">
        <v>15.463333</v>
      </c>
      <c r="C96" s="2">
        <v>126.02</v>
      </c>
      <c r="F96" s="1">
        <v>43600</v>
      </c>
      <c r="G96" s="2">
        <f t="shared" si="2"/>
        <v>-1.5508554685256305E-3</v>
      </c>
      <c r="H96" s="2">
        <f t="shared" si="3"/>
        <v>1.0289223376291675E-2</v>
      </c>
      <c r="I96" s="7">
        <v>0</v>
      </c>
      <c r="J96" s="7">
        <v>0</v>
      </c>
      <c r="K96" s="7">
        <v>0</v>
      </c>
      <c r="L96" s="7">
        <v>0</v>
      </c>
      <c r="M96" s="7">
        <v>-1.5508554685256305E-3</v>
      </c>
      <c r="N96" s="7">
        <v>1.0289223376291675E-2</v>
      </c>
      <c r="O96" s="7">
        <v>0</v>
      </c>
      <c r="P96" s="7">
        <v>0</v>
      </c>
    </row>
    <row r="97" spans="1:16" x14ac:dyDescent="0.3">
      <c r="A97" s="1">
        <v>43601</v>
      </c>
      <c r="B97" s="2">
        <v>15.222</v>
      </c>
      <c r="C97" s="2">
        <v>128.93</v>
      </c>
      <c r="F97" s="1">
        <v>43601</v>
      </c>
      <c r="G97" s="2">
        <f t="shared" si="2"/>
        <v>-1.5729858693972663E-2</v>
      </c>
      <c r="H97" s="2">
        <f t="shared" si="3"/>
        <v>2.2828996908836954E-2</v>
      </c>
      <c r="I97" s="7">
        <v>0</v>
      </c>
      <c r="J97" s="7">
        <v>0</v>
      </c>
      <c r="K97" s="7">
        <v>0</v>
      </c>
      <c r="L97" s="7">
        <v>0</v>
      </c>
      <c r="M97" s="7">
        <v>-1.5729858693972663E-2</v>
      </c>
      <c r="N97" s="7">
        <v>2.2828996908836954E-2</v>
      </c>
      <c r="O97" s="7">
        <v>0</v>
      </c>
      <c r="P97" s="7">
        <v>0</v>
      </c>
    </row>
    <row r="98" spans="1:16" x14ac:dyDescent="0.3">
      <c r="A98" s="1">
        <v>43602</v>
      </c>
      <c r="B98" s="2">
        <v>14.068667</v>
      </c>
      <c r="C98" s="2">
        <v>128.07</v>
      </c>
      <c r="F98" s="1">
        <v>43602</v>
      </c>
      <c r="G98" s="2">
        <f t="shared" si="2"/>
        <v>-7.8791623789874934E-2</v>
      </c>
      <c r="H98" s="2">
        <f t="shared" si="3"/>
        <v>-6.6926319847659911E-3</v>
      </c>
      <c r="I98" s="7">
        <v>-7.8791623789874934E-2</v>
      </c>
      <c r="J98" s="7">
        <v>-6.6926319847659911E-3</v>
      </c>
      <c r="K98" s="7">
        <v>0</v>
      </c>
      <c r="L98" s="7">
        <v>0</v>
      </c>
      <c r="M98" s="7">
        <v>0</v>
      </c>
      <c r="N98" s="7">
        <v>0</v>
      </c>
      <c r="O98" s="7">
        <v>0</v>
      </c>
      <c r="P98" s="7">
        <v>0</v>
      </c>
    </row>
    <row r="99" spans="1:16" x14ac:dyDescent="0.3">
      <c r="A99" s="1">
        <v>43605</v>
      </c>
      <c r="B99" s="2">
        <v>13.690666999999999</v>
      </c>
      <c r="C99" s="2">
        <v>126.22</v>
      </c>
      <c r="F99" s="1">
        <v>43605</v>
      </c>
      <c r="G99" s="2">
        <f t="shared" si="2"/>
        <v>-2.7235766247162993E-2</v>
      </c>
      <c r="H99" s="2">
        <f t="shared" si="3"/>
        <v>-1.4550573281886902E-2</v>
      </c>
      <c r="I99" s="7">
        <v>-2.7235766247162993E-2</v>
      </c>
      <c r="J99" s="7">
        <v>-1.4550573281886902E-2</v>
      </c>
      <c r="K99" s="7">
        <v>0</v>
      </c>
      <c r="L99" s="7">
        <v>0</v>
      </c>
      <c r="M99" s="7">
        <v>0</v>
      </c>
      <c r="N99" s="7">
        <v>0</v>
      </c>
      <c r="O99" s="7">
        <v>0</v>
      </c>
      <c r="P99" s="7">
        <v>0</v>
      </c>
    </row>
    <row r="100" spans="1:16" x14ac:dyDescent="0.3">
      <c r="A100" s="1">
        <v>43606</v>
      </c>
      <c r="B100" s="2">
        <v>13.672000000000001</v>
      </c>
      <c r="C100" s="2">
        <v>126.9</v>
      </c>
      <c r="F100" s="1">
        <v>43606</v>
      </c>
      <c r="G100" s="2">
        <f t="shared" si="2"/>
        <v>-1.3644139948721101E-3</v>
      </c>
      <c r="H100" s="2">
        <f t="shared" si="3"/>
        <v>5.3729585642485504E-3</v>
      </c>
      <c r="I100" s="7">
        <v>0</v>
      </c>
      <c r="J100" s="7">
        <v>0</v>
      </c>
      <c r="K100" s="7">
        <v>0</v>
      </c>
      <c r="L100" s="7">
        <v>0</v>
      </c>
      <c r="M100" s="7">
        <v>-1.3644139948721101E-3</v>
      </c>
      <c r="N100" s="7">
        <v>5.3729585642485504E-3</v>
      </c>
      <c r="O100" s="7">
        <v>0</v>
      </c>
      <c r="P100" s="7">
        <v>0</v>
      </c>
    </row>
    <row r="101" spans="1:16" x14ac:dyDescent="0.3">
      <c r="A101" s="1">
        <v>43607</v>
      </c>
      <c r="B101" s="2">
        <v>12.848667000000001</v>
      </c>
      <c r="C101" s="2">
        <v>127.67</v>
      </c>
      <c r="F101" s="1">
        <v>43607</v>
      </c>
      <c r="G101" s="2">
        <f t="shared" si="2"/>
        <v>-6.2109875261510919E-2</v>
      </c>
      <c r="H101" s="2">
        <f t="shared" si="3"/>
        <v>6.0494351119174334E-3</v>
      </c>
      <c r="I101" s="7">
        <v>0</v>
      </c>
      <c r="J101" s="7">
        <v>0</v>
      </c>
      <c r="K101" s="7">
        <v>0</v>
      </c>
      <c r="L101" s="7">
        <v>0</v>
      </c>
      <c r="M101" s="7">
        <v>-6.2109875261510919E-2</v>
      </c>
      <c r="N101" s="7">
        <v>6.0494351119174334E-3</v>
      </c>
      <c r="O101" s="7">
        <v>0</v>
      </c>
      <c r="P101" s="7">
        <v>0</v>
      </c>
    </row>
    <row r="102" spans="1:16" x14ac:dyDescent="0.3">
      <c r="A102" s="1">
        <v>43608</v>
      </c>
      <c r="B102" s="2">
        <v>13.032667</v>
      </c>
      <c r="C102" s="2">
        <v>126.18</v>
      </c>
      <c r="F102" s="1">
        <v>43608</v>
      </c>
      <c r="G102" s="2">
        <f t="shared" si="2"/>
        <v>1.421898114479468E-2</v>
      </c>
      <c r="H102" s="2">
        <f t="shared" si="3"/>
        <v>-1.1739350889595974E-2</v>
      </c>
      <c r="I102" s="7">
        <v>0</v>
      </c>
      <c r="J102" s="7">
        <v>0</v>
      </c>
      <c r="K102" s="7">
        <v>1.421898114479468E-2</v>
      </c>
      <c r="L102" s="7">
        <v>-1.1739350889595974E-2</v>
      </c>
      <c r="M102" s="7">
        <v>0</v>
      </c>
      <c r="N102" s="7">
        <v>0</v>
      </c>
      <c r="O102" s="7">
        <v>0</v>
      </c>
      <c r="P102" s="7">
        <v>0</v>
      </c>
    </row>
    <row r="103" spans="1:16" x14ac:dyDescent="0.3">
      <c r="A103" s="1">
        <v>43609</v>
      </c>
      <c r="B103" s="2">
        <v>12.708667</v>
      </c>
      <c r="C103" s="2">
        <v>126.24</v>
      </c>
      <c r="F103" s="1">
        <v>43609</v>
      </c>
      <c r="G103" s="2">
        <f t="shared" si="2"/>
        <v>-2.5174850044078559E-2</v>
      </c>
      <c r="H103" s="2">
        <f t="shared" si="3"/>
        <v>4.7539815490059602E-4</v>
      </c>
      <c r="I103" s="7">
        <v>0</v>
      </c>
      <c r="J103" s="7">
        <v>0</v>
      </c>
      <c r="K103" s="7">
        <v>0</v>
      </c>
      <c r="L103" s="7">
        <v>0</v>
      </c>
      <c r="M103" s="7">
        <v>-2.5174850044078559E-2</v>
      </c>
      <c r="N103" s="7">
        <v>4.7539815490059602E-4</v>
      </c>
      <c r="O103" s="7">
        <v>0</v>
      </c>
      <c r="P103" s="7">
        <v>0</v>
      </c>
    </row>
    <row r="104" spans="1:16" x14ac:dyDescent="0.3">
      <c r="A104" s="1">
        <v>43613</v>
      </c>
      <c r="B104" s="2">
        <v>12.58</v>
      </c>
      <c r="C104" s="2">
        <v>126.16</v>
      </c>
      <c r="F104" s="1">
        <v>43613</v>
      </c>
      <c r="G104" s="2">
        <f t="shared" si="2"/>
        <v>-1.0175950380200589E-2</v>
      </c>
      <c r="H104" s="2">
        <f t="shared" si="3"/>
        <v>-6.3391444278119232E-4</v>
      </c>
      <c r="I104" s="7">
        <v>-1.0175950380200589E-2</v>
      </c>
      <c r="J104" s="7">
        <v>-6.3391444278119232E-4</v>
      </c>
      <c r="K104" s="7">
        <v>0</v>
      </c>
      <c r="L104" s="7">
        <v>0</v>
      </c>
      <c r="M104" s="7">
        <v>0</v>
      </c>
      <c r="N104" s="7">
        <v>0</v>
      </c>
      <c r="O104" s="7">
        <v>0</v>
      </c>
      <c r="P104" s="7">
        <v>0</v>
      </c>
    </row>
    <row r="105" spans="1:16" x14ac:dyDescent="0.3">
      <c r="A105" s="1">
        <v>43614</v>
      </c>
      <c r="B105" s="2">
        <v>12.657333</v>
      </c>
      <c r="C105" s="2">
        <v>124.94</v>
      </c>
      <c r="F105" s="1">
        <v>43614</v>
      </c>
      <c r="G105" s="2">
        <f t="shared" si="2"/>
        <v>6.1284797439532506E-3</v>
      </c>
      <c r="H105" s="2">
        <f t="shared" si="3"/>
        <v>-9.7173205893590353E-3</v>
      </c>
      <c r="I105" s="7">
        <v>0</v>
      </c>
      <c r="J105" s="7">
        <v>0</v>
      </c>
      <c r="K105" s="7">
        <v>6.1284797439532506E-3</v>
      </c>
      <c r="L105" s="7">
        <v>-9.7173205893590353E-3</v>
      </c>
      <c r="M105" s="7">
        <v>0</v>
      </c>
      <c r="N105" s="7">
        <v>0</v>
      </c>
      <c r="O105" s="7">
        <v>0</v>
      </c>
      <c r="P105" s="7">
        <v>0</v>
      </c>
    </row>
    <row r="106" spans="1:16" x14ac:dyDescent="0.3">
      <c r="A106" s="1">
        <v>43615</v>
      </c>
      <c r="B106" s="2">
        <v>12.548</v>
      </c>
      <c r="C106" s="2">
        <v>125.73</v>
      </c>
      <c r="F106" s="1">
        <v>43615</v>
      </c>
      <c r="G106" s="2">
        <f t="shared" si="2"/>
        <v>-8.6754406878159444E-3</v>
      </c>
      <c r="H106" s="2">
        <f t="shared" si="3"/>
        <v>6.3031285396660044E-3</v>
      </c>
      <c r="I106" s="7">
        <v>0</v>
      </c>
      <c r="J106" s="7">
        <v>0</v>
      </c>
      <c r="K106" s="7">
        <v>0</v>
      </c>
      <c r="L106" s="7">
        <v>0</v>
      </c>
      <c r="M106" s="7">
        <v>-8.6754406878159444E-3</v>
      </c>
      <c r="N106" s="7">
        <v>6.3031285396660044E-3</v>
      </c>
      <c r="O106" s="7">
        <v>0</v>
      </c>
      <c r="P106" s="7">
        <v>0</v>
      </c>
    </row>
    <row r="107" spans="1:16" x14ac:dyDescent="0.3">
      <c r="A107" s="1">
        <v>43616</v>
      </c>
      <c r="B107" s="2">
        <v>12.343999999999999</v>
      </c>
      <c r="C107" s="2">
        <v>123.68</v>
      </c>
      <c r="F107" s="1">
        <v>43616</v>
      </c>
      <c r="G107" s="2">
        <f t="shared" si="2"/>
        <v>-1.6391175267572038E-2</v>
      </c>
      <c r="H107" s="2">
        <f t="shared" si="3"/>
        <v>-1.6439165765977936E-2</v>
      </c>
      <c r="I107" s="7">
        <v>-1.6391175267572038E-2</v>
      </c>
      <c r="J107" s="7">
        <v>-1.6439165765977936E-2</v>
      </c>
      <c r="K107" s="7">
        <v>0</v>
      </c>
      <c r="L107" s="7">
        <v>0</v>
      </c>
      <c r="M107" s="7">
        <v>0</v>
      </c>
      <c r="N107" s="7">
        <v>0</v>
      </c>
      <c r="O107" s="7">
        <v>0</v>
      </c>
      <c r="P107" s="7">
        <v>0</v>
      </c>
    </row>
    <row r="108" spans="1:16" x14ac:dyDescent="0.3">
      <c r="A108" s="1">
        <v>43619</v>
      </c>
      <c r="B108" s="2">
        <v>11.931333</v>
      </c>
      <c r="C108" s="2">
        <v>119.84</v>
      </c>
      <c r="F108" s="1">
        <v>43619</v>
      </c>
      <c r="G108" s="2">
        <f t="shared" si="2"/>
        <v>-3.4002150071396314E-2</v>
      </c>
      <c r="H108" s="2">
        <f t="shared" si="3"/>
        <v>-3.1540065070202565E-2</v>
      </c>
      <c r="I108" s="7">
        <v>-3.4002150071396314E-2</v>
      </c>
      <c r="J108" s="7">
        <v>-3.1540065070202565E-2</v>
      </c>
      <c r="K108" s="7">
        <v>0</v>
      </c>
      <c r="L108" s="7">
        <v>0</v>
      </c>
      <c r="M108" s="7">
        <v>0</v>
      </c>
      <c r="N108" s="7">
        <v>0</v>
      </c>
      <c r="O108" s="7">
        <v>0</v>
      </c>
      <c r="P108" s="7">
        <v>0</v>
      </c>
    </row>
    <row r="109" spans="1:16" x14ac:dyDescent="0.3">
      <c r="A109" s="1">
        <v>43620</v>
      </c>
      <c r="B109" s="2">
        <v>12.906667000000001</v>
      </c>
      <c r="C109" s="2">
        <v>123.16</v>
      </c>
      <c r="F109" s="1">
        <v>43620</v>
      </c>
      <c r="G109" s="2">
        <f t="shared" si="2"/>
        <v>7.857603457724914E-2</v>
      </c>
      <c r="H109" s="2">
        <f t="shared" si="3"/>
        <v>2.7326803287390275E-2</v>
      </c>
      <c r="I109" s="7">
        <v>0</v>
      </c>
      <c r="J109" s="7">
        <v>0</v>
      </c>
      <c r="K109" s="7">
        <v>0</v>
      </c>
      <c r="L109" s="7">
        <v>0</v>
      </c>
      <c r="M109" s="7">
        <v>0</v>
      </c>
      <c r="N109" s="7">
        <v>0</v>
      </c>
      <c r="O109" s="7">
        <v>7.857603457724914E-2</v>
      </c>
      <c r="P109" s="7">
        <v>2.7326803287390275E-2</v>
      </c>
    </row>
    <row r="110" spans="1:16" x14ac:dyDescent="0.3">
      <c r="A110" s="1">
        <v>43621</v>
      </c>
      <c r="B110" s="2">
        <v>13.106</v>
      </c>
      <c r="C110" s="2">
        <v>125.83</v>
      </c>
      <c r="F110" s="1">
        <v>43621</v>
      </c>
      <c r="G110" s="2">
        <f t="shared" si="2"/>
        <v>1.5326141050592507E-2</v>
      </c>
      <c r="H110" s="2">
        <f t="shared" si="3"/>
        <v>2.1447466547576923E-2</v>
      </c>
      <c r="I110" s="7">
        <v>0</v>
      </c>
      <c r="J110" s="7">
        <v>0</v>
      </c>
      <c r="K110" s="7">
        <v>0</v>
      </c>
      <c r="L110" s="7">
        <v>0</v>
      </c>
      <c r="M110" s="7">
        <v>0</v>
      </c>
      <c r="N110" s="7">
        <v>0</v>
      </c>
      <c r="O110" s="7">
        <v>1.5326141050592507E-2</v>
      </c>
      <c r="P110" s="7">
        <v>2.1447466547576923E-2</v>
      </c>
    </row>
    <row r="111" spans="1:16" x14ac:dyDescent="0.3">
      <c r="A111" s="1">
        <v>43622</v>
      </c>
      <c r="B111" s="2">
        <v>13.73</v>
      </c>
      <c r="C111" s="2">
        <v>127.82</v>
      </c>
      <c r="F111" s="1">
        <v>43622</v>
      </c>
      <c r="G111" s="2">
        <f t="shared" si="2"/>
        <v>4.6513079162574654E-2</v>
      </c>
      <c r="H111" s="2">
        <f t="shared" si="3"/>
        <v>1.569123461825921E-2</v>
      </c>
      <c r="I111" s="7">
        <v>0</v>
      </c>
      <c r="J111" s="7">
        <v>0</v>
      </c>
      <c r="K111" s="7">
        <v>0</v>
      </c>
      <c r="L111" s="7">
        <v>0</v>
      </c>
      <c r="M111" s="7">
        <v>0</v>
      </c>
      <c r="N111" s="7">
        <v>0</v>
      </c>
      <c r="O111" s="7">
        <v>4.6513079162574654E-2</v>
      </c>
      <c r="P111" s="7">
        <v>1.569123461825921E-2</v>
      </c>
    </row>
    <row r="112" spans="1:16" x14ac:dyDescent="0.3">
      <c r="A112" s="1">
        <v>43623</v>
      </c>
      <c r="B112" s="2">
        <v>13.633333</v>
      </c>
      <c r="C112" s="2">
        <v>131.4</v>
      </c>
      <c r="F112" s="1">
        <v>43623</v>
      </c>
      <c r="G112" s="2">
        <f t="shared" si="2"/>
        <v>-7.0654698491113719E-3</v>
      </c>
      <c r="H112" s="2">
        <f t="shared" si="3"/>
        <v>2.7623081828374432E-2</v>
      </c>
      <c r="I112" s="7">
        <v>0</v>
      </c>
      <c r="J112" s="7">
        <v>0</v>
      </c>
      <c r="K112" s="7">
        <v>0</v>
      </c>
      <c r="L112" s="7">
        <v>0</v>
      </c>
      <c r="M112" s="7">
        <v>-7.0654698491113719E-3</v>
      </c>
      <c r="N112" s="7">
        <v>2.7623081828374432E-2</v>
      </c>
      <c r="O112" s="7">
        <v>0</v>
      </c>
      <c r="P112" s="7">
        <v>0</v>
      </c>
    </row>
    <row r="113" spans="1:16" x14ac:dyDescent="0.3">
      <c r="A113" s="1">
        <v>43626</v>
      </c>
      <c r="B113" s="2">
        <v>14.192</v>
      </c>
      <c r="C113" s="2">
        <v>132.6</v>
      </c>
      <c r="F113" s="1">
        <v>43626</v>
      </c>
      <c r="G113" s="2">
        <f t="shared" si="2"/>
        <v>4.0160675636455333E-2</v>
      </c>
      <c r="H113" s="2">
        <f t="shared" si="3"/>
        <v>9.0909717012518845E-3</v>
      </c>
      <c r="I113" s="7">
        <v>0</v>
      </c>
      <c r="J113" s="7">
        <v>0</v>
      </c>
      <c r="K113" s="7">
        <v>0</v>
      </c>
      <c r="L113" s="7">
        <v>0</v>
      </c>
      <c r="M113" s="7">
        <v>0</v>
      </c>
      <c r="N113" s="7">
        <v>0</v>
      </c>
      <c r="O113" s="7">
        <v>4.0160675636455333E-2</v>
      </c>
      <c r="P113" s="7">
        <v>9.0909717012518845E-3</v>
      </c>
    </row>
    <row r="114" spans="1:16" x14ac:dyDescent="0.3">
      <c r="A114" s="1">
        <v>43627</v>
      </c>
      <c r="B114" s="2">
        <v>14.473333</v>
      </c>
      <c r="C114" s="2">
        <v>132.1</v>
      </c>
      <c r="F114" s="1">
        <v>43627</v>
      </c>
      <c r="G114" s="2">
        <f t="shared" si="2"/>
        <v>1.9629427183950842E-2</v>
      </c>
      <c r="H114" s="2">
        <f t="shared" si="3"/>
        <v>-3.7778662234824846E-3</v>
      </c>
      <c r="I114" s="7">
        <v>0</v>
      </c>
      <c r="J114" s="7">
        <v>0</v>
      </c>
      <c r="K114" s="7">
        <v>1.9629427183950842E-2</v>
      </c>
      <c r="L114" s="7">
        <v>-3.7778662234824846E-3</v>
      </c>
      <c r="M114" s="7">
        <v>0</v>
      </c>
      <c r="N114" s="7">
        <v>0</v>
      </c>
      <c r="O114" s="7">
        <v>0</v>
      </c>
      <c r="P114" s="7">
        <v>0</v>
      </c>
    </row>
    <row r="115" spans="1:16" x14ac:dyDescent="0.3">
      <c r="A115" s="1">
        <v>43628</v>
      </c>
      <c r="B115" s="2">
        <v>13.950666999999999</v>
      </c>
      <c r="C115" s="2">
        <v>131.49</v>
      </c>
      <c r="F115" s="1">
        <v>43628</v>
      </c>
      <c r="G115" s="2">
        <f t="shared" si="2"/>
        <v>-3.6780532006762942E-2</v>
      </c>
      <c r="H115" s="2">
        <f t="shared" si="3"/>
        <v>-4.6284084294520474E-3</v>
      </c>
      <c r="I115" s="7">
        <v>-3.6780532006762942E-2</v>
      </c>
      <c r="J115" s="7">
        <v>-4.6284084294520474E-3</v>
      </c>
      <c r="K115" s="7">
        <v>0</v>
      </c>
      <c r="L115" s="7">
        <v>0</v>
      </c>
      <c r="M115" s="7">
        <v>0</v>
      </c>
      <c r="N115" s="7">
        <v>0</v>
      </c>
      <c r="O115" s="7">
        <v>0</v>
      </c>
      <c r="P115" s="7">
        <v>0</v>
      </c>
    </row>
    <row r="116" spans="1:16" x14ac:dyDescent="0.3">
      <c r="A116" s="1">
        <v>43629</v>
      </c>
      <c r="B116" s="2">
        <v>14.260667</v>
      </c>
      <c r="C116" s="2">
        <v>132.32</v>
      </c>
      <c r="F116" s="1">
        <v>43629</v>
      </c>
      <c r="G116" s="2">
        <f t="shared" si="2"/>
        <v>2.1977867341408233E-2</v>
      </c>
      <c r="H116" s="2">
        <f t="shared" si="3"/>
        <v>6.2924281765535123E-3</v>
      </c>
      <c r="I116" s="7">
        <v>0</v>
      </c>
      <c r="J116" s="7">
        <v>0</v>
      </c>
      <c r="K116" s="7">
        <v>0</v>
      </c>
      <c r="L116" s="7">
        <v>0</v>
      </c>
      <c r="M116" s="7">
        <v>0</v>
      </c>
      <c r="N116" s="7">
        <v>0</v>
      </c>
      <c r="O116" s="7">
        <v>2.1977867341408233E-2</v>
      </c>
      <c r="P116" s="7">
        <v>6.2924281765535123E-3</v>
      </c>
    </row>
    <row r="117" spans="1:16" x14ac:dyDescent="0.3">
      <c r="A117" s="1">
        <v>43630</v>
      </c>
      <c r="B117" s="2">
        <v>14.327999999999999</v>
      </c>
      <c r="C117" s="2">
        <v>132.44999999999999</v>
      </c>
      <c r="F117" s="1">
        <v>43630</v>
      </c>
      <c r="G117" s="2">
        <f t="shared" si="2"/>
        <v>4.7104766725908779E-3</v>
      </c>
      <c r="H117" s="2">
        <f t="shared" si="3"/>
        <v>9.8198444269751361E-4</v>
      </c>
      <c r="I117" s="7">
        <v>0</v>
      </c>
      <c r="J117" s="7">
        <v>0</v>
      </c>
      <c r="K117" s="7">
        <v>0</v>
      </c>
      <c r="L117" s="7">
        <v>0</v>
      </c>
      <c r="M117" s="7">
        <v>0</v>
      </c>
      <c r="N117" s="7">
        <v>0</v>
      </c>
      <c r="O117" s="7">
        <v>4.7104766725908779E-3</v>
      </c>
      <c r="P117" s="7">
        <v>9.8198444269751361E-4</v>
      </c>
    </row>
    <row r="118" spans="1:16" x14ac:dyDescent="0.3">
      <c r="A118" s="1">
        <v>43633</v>
      </c>
      <c r="B118" s="2">
        <v>15.002000000000001</v>
      </c>
      <c r="C118" s="2">
        <v>132.85</v>
      </c>
      <c r="F118" s="1">
        <v>43633</v>
      </c>
      <c r="G118" s="2">
        <f t="shared" si="2"/>
        <v>4.5967860789033976E-2</v>
      </c>
      <c r="H118" s="2">
        <f t="shared" si="3"/>
        <v>3.01545648774378E-3</v>
      </c>
      <c r="I118" s="7">
        <v>0</v>
      </c>
      <c r="J118" s="7">
        <v>0</v>
      </c>
      <c r="K118" s="7">
        <v>0</v>
      </c>
      <c r="L118" s="7">
        <v>0</v>
      </c>
      <c r="M118" s="7">
        <v>0</v>
      </c>
      <c r="N118" s="7">
        <v>0</v>
      </c>
      <c r="O118" s="7">
        <v>4.5967860789033976E-2</v>
      </c>
      <c r="P118" s="7">
        <v>3.01545648774378E-3</v>
      </c>
    </row>
    <row r="119" spans="1:16" x14ac:dyDescent="0.3">
      <c r="A119" s="1">
        <v>43634</v>
      </c>
      <c r="B119" s="2">
        <v>14.982666999999999</v>
      </c>
      <c r="C119" s="2">
        <v>135.16</v>
      </c>
      <c r="F119" s="1">
        <v>43634</v>
      </c>
      <c r="G119" s="2">
        <f t="shared" si="2"/>
        <v>-1.2895259219677642E-3</v>
      </c>
      <c r="H119" s="2">
        <f t="shared" si="3"/>
        <v>1.7238589640266644E-2</v>
      </c>
      <c r="I119" s="7">
        <v>0</v>
      </c>
      <c r="J119" s="7">
        <v>0</v>
      </c>
      <c r="K119" s="7">
        <v>0</v>
      </c>
      <c r="L119" s="7">
        <v>0</v>
      </c>
      <c r="M119" s="7">
        <v>-1.2895259219677642E-3</v>
      </c>
      <c r="N119" s="7">
        <v>1.7238589640266644E-2</v>
      </c>
      <c r="O119" s="7">
        <v>0</v>
      </c>
      <c r="P119" s="7">
        <v>0</v>
      </c>
    </row>
    <row r="120" spans="1:16" x14ac:dyDescent="0.3">
      <c r="A120" s="1">
        <v>43635</v>
      </c>
      <c r="B120" s="2">
        <v>15.095333</v>
      </c>
      <c r="C120" s="2">
        <v>135.69</v>
      </c>
      <c r="F120" s="1">
        <v>43635</v>
      </c>
      <c r="G120" s="2">
        <f t="shared" si="2"/>
        <v>7.4916235748632683E-3</v>
      </c>
      <c r="H120" s="2">
        <f t="shared" si="3"/>
        <v>3.9136103117723489E-3</v>
      </c>
      <c r="I120" s="7">
        <v>0</v>
      </c>
      <c r="J120" s="7">
        <v>0</v>
      </c>
      <c r="K120" s="7">
        <v>0</v>
      </c>
      <c r="L120" s="7">
        <v>0</v>
      </c>
      <c r="M120" s="7">
        <v>0</v>
      </c>
      <c r="N120" s="7">
        <v>0</v>
      </c>
      <c r="O120" s="7">
        <v>7.4916235748632683E-3</v>
      </c>
      <c r="P120" s="7">
        <v>3.9136103117723489E-3</v>
      </c>
    </row>
    <row r="121" spans="1:16" x14ac:dyDescent="0.3">
      <c r="A121" s="1">
        <v>43636</v>
      </c>
      <c r="B121" s="2">
        <v>14.641332999999999</v>
      </c>
      <c r="C121" s="2">
        <v>136.94999999999999</v>
      </c>
      <c r="F121" s="1">
        <v>43636</v>
      </c>
      <c r="G121" s="2">
        <f t="shared" si="2"/>
        <v>-3.0537066899580141E-2</v>
      </c>
      <c r="H121" s="2">
        <f t="shared" si="3"/>
        <v>9.2430235512256757E-3</v>
      </c>
      <c r="I121" s="7">
        <v>0</v>
      </c>
      <c r="J121" s="7">
        <v>0</v>
      </c>
      <c r="K121" s="7">
        <v>0</v>
      </c>
      <c r="L121" s="7">
        <v>0</v>
      </c>
      <c r="M121" s="7">
        <v>-3.0537066899580141E-2</v>
      </c>
      <c r="N121" s="7">
        <v>9.2430235512256757E-3</v>
      </c>
      <c r="O121" s="7">
        <v>0</v>
      </c>
      <c r="P121" s="7">
        <v>0</v>
      </c>
    </row>
    <row r="122" spans="1:16" x14ac:dyDescent="0.3">
      <c r="A122" s="1">
        <v>43637</v>
      </c>
      <c r="B122" s="2">
        <v>14.790666999999999</v>
      </c>
      <c r="C122" s="2">
        <v>136.97</v>
      </c>
      <c r="F122" s="1">
        <v>43637</v>
      </c>
      <c r="G122" s="2">
        <f t="shared" si="2"/>
        <v>1.0147817444278102E-2</v>
      </c>
      <c r="H122" s="2">
        <f t="shared" si="3"/>
        <v>1.460280376427502E-4</v>
      </c>
      <c r="I122" s="7">
        <v>0</v>
      </c>
      <c r="J122" s="7">
        <v>0</v>
      </c>
      <c r="K122" s="7">
        <v>0</v>
      </c>
      <c r="L122" s="7">
        <v>0</v>
      </c>
      <c r="M122" s="7">
        <v>0</v>
      </c>
      <c r="N122" s="7">
        <v>0</v>
      </c>
      <c r="O122" s="7">
        <v>1.0147817444278102E-2</v>
      </c>
      <c r="P122" s="7">
        <v>1.460280376427502E-4</v>
      </c>
    </row>
    <row r="123" spans="1:16" x14ac:dyDescent="0.3">
      <c r="A123" s="1">
        <v>43640</v>
      </c>
      <c r="B123" s="2">
        <v>14.909333</v>
      </c>
      <c r="C123" s="2">
        <v>137.78</v>
      </c>
      <c r="F123" s="1">
        <v>43640</v>
      </c>
      <c r="G123" s="2">
        <f t="shared" si="2"/>
        <v>7.9910189538362104E-3</v>
      </c>
      <c r="H123" s="2">
        <f t="shared" si="3"/>
        <v>5.8962864183199504E-3</v>
      </c>
      <c r="I123" s="7">
        <v>0</v>
      </c>
      <c r="J123" s="7">
        <v>0</v>
      </c>
      <c r="K123" s="7">
        <v>0</v>
      </c>
      <c r="L123" s="7">
        <v>0</v>
      </c>
      <c r="M123" s="7">
        <v>0</v>
      </c>
      <c r="N123" s="7">
        <v>0</v>
      </c>
      <c r="O123" s="7">
        <v>7.9910189538362104E-3</v>
      </c>
      <c r="P123" s="7">
        <v>5.8962864183199504E-3</v>
      </c>
    </row>
    <row r="124" spans="1:16" x14ac:dyDescent="0.3">
      <c r="A124" s="1">
        <v>43641</v>
      </c>
      <c r="B124" s="2">
        <v>14.650667</v>
      </c>
      <c r="C124" s="2">
        <v>133.43</v>
      </c>
      <c r="F124" s="1">
        <v>43641</v>
      </c>
      <c r="G124" s="2">
        <f t="shared" si="2"/>
        <v>-1.7501529261972945E-2</v>
      </c>
      <c r="H124" s="2">
        <f t="shared" si="3"/>
        <v>-3.2081214410720385E-2</v>
      </c>
      <c r="I124" s="7">
        <v>-1.7501529261972945E-2</v>
      </c>
      <c r="J124" s="7">
        <v>-3.2081214410720385E-2</v>
      </c>
      <c r="K124" s="7">
        <v>0</v>
      </c>
      <c r="L124" s="7">
        <v>0</v>
      </c>
      <c r="M124" s="7">
        <v>0</v>
      </c>
      <c r="N124" s="7">
        <v>0</v>
      </c>
      <c r="O124" s="7">
        <v>0</v>
      </c>
      <c r="P124" s="7">
        <v>0</v>
      </c>
    </row>
    <row r="125" spans="1:16" x14ac:dyDescent="0.3">
      <c r="A125" s="1">
        <v>43642</v>
      </c>
      <c r="B125" s="2">
        <v>14.618</v>
      </c>
      <c r="C125" s="2">
        <v>133.93</v>
      </c>
      <c r="F125" s="1">
        <v>43642</v>
      </c>
      <c r="G125" s="2">
        <f t="shared" si="2"/>
        <v>-2.2322173787013583E-3</v>
      </c>
      <c r="H125" s="2">
        <f t="shared" si="3"/>
        <v>3.7402796447013734E-3</v>
      </c>
      <c r="I125" s="7">
        <v>0</v>
      </c>
      <c r="J125" s="7">
        <v>0</v>
      </c>
      <c r="K125" s="7">
        <v>0</v>
      </c>
      <c r="L125" s="7">
        <v>0</v>
      </c>
      <c r="M125" s="7">
        <v>-2.2322173787013583E-3</v>
      </c>
      <c r="N125" s="7">
        <v>3.7402796447013734E-3</v>
      </c>
      <c r="O125" s="7">
        <v>0</v>
      </c>
      <c r="P125" s="7">
        <v>0</v>
      </c>
    </row>
    <row r="126" spans="1:16" x14ac:dyDescent="0.3">
      <c r="A126" s="1">
        <v>43643</v>
      </c>
      <c r="B126" s="2">
        <v>14.856</v>
      </c>
      <c r="C126" s="2">
        <v>134.15</v>
      </c>
      <c r="F126" s="1">
        <v>43643</v>
      </c>
      <c r="G126" s="2">
        <f t="shared" si="2"/>
        <v>1.6150177992204622E-2</v>
      </c>
      <c r="H126" s="2">
        <f t="shared" si="3"/>
        <v>1.641301472602438E-3</v>
      </c>
      <c r="I126" s="7">
        <v>0</v>
      </c>
      <c r="J126" s="7">
        <v>0</v>
      </c>
      <c r="K126" s="7">
        <v>0</v>
      </c>
      <c r="L126" s="7">
        <v>0</v>
      </c>
      <c r="M126" s="7">
        <v>0</v>
      </c>
      <c r="N126" s="7">
        <v>0</v>
      </c>
      <c r="O126" s="7">
        <v>1.6150177992204622E-2</v>
      </c>
      <c r="P126" s="7">
        <v>1.641301472602438E-3</v>
      </c>
    </row>
    <row r="127" spans="1:16" x14ac:dyDescent="0.3">
      <c r="A127" s="1">
        <v>43644</v>
      </c>
      <c r="B127" s="2">
        <v>14.897333</v>
      </c>
      <c r="C127" s="2">
        <v>133.96</v>
      </c>
      <c r="F127" s="1">
        <v>43644</v>
      </c>
      <c r="G127" s="2">
        <f t="shared" si="2"/>
        <v>2.778379591207563E-3</v>
      </c>
      <c r="H127" s="2">
        <f t="shared" si="3"/>
        <v>-1.4173289456292557E-3</v>
      </c>
      <c r="I127" s="7">
        <v>0</v>
      </c>
      <c r="J127" s="7">
        <v>0</v>
      </c>
      <c r="K127" s="7">
        <v>2.778379591207563E-3</v>
      </c>
      <c r="L127" s="7">
        <v>-1.4173289456292557E-3</v>
      </c>
      <c r="M127" s="7">
        <v>0</v>
      </c>
      <c r="N127" s="7">
        <v>0</v>
      </c>
      <c r="O127" s="7">
        <v>0</v>
      </c>
      <c r="P127" s="7">
        <v>0</v>
      </c>
    </row>
    <row r="128" spans="1:16" x14ac:dyDescent="0.3">
      <c r="A128" s="1">
        <v>43647</v>
      </c>
      <c r="B128" s="2">
        <v>15.144667</v>
      </c>
      <c r="C128" s="2">
        <v>135.68</v>
      </c>
      <c r="F128" s="1">
        <v>43647</v>
      </c>
      <c r="G128" s="2">
        <f t="shared" si="2"/>
        <v>1.6466253141255164E-2</v>
      </c>
      <c r="H128" s="2">
        <f t="shared" si="3"/>
        <v>1.2757924117589161E-2</v>
      </c>
      <c r="I128" s="7">
        <v>0</v>
      </c>
      <c r="J128" s="7">
        <v>0</v>
      </c>
      <c r="K128" s="7">
        <v>0</v>
      </c>
      <c r="L128" s="7">
        <v>0</v>
      </c>
      <c r="M128" s="7">
        <v>0</v>
      </c>
      <c r="N128" s="7">
        <v>0</v>
      </c>
      <c r="O128" s="7">
        <v>1.6466253141255164E-2</v>
      </c>
      <c r="P128" s="7">
        <v>1.2757924117589161E-2</v>
      </c>
    </row>
    <row r="129" spans="1:16" x14ac:dyDescent="0.3">
      <c r="A129" s="1">
        <v>43648</v>
      </c>
      <c r="B129" s="2">
        <v>14.97</v>
      </c>
      <c r="C129" s="2">
        <v>136.58000000000001</v>
      </c>
      <c r="F129" s="1">
        <v>43648</v>
      </c>
      <c r="G129" s="2">
        <f t="shared" si="2"/>
        <v>-1.1600258351330469E-2</v>
      </c>
      <c r="H129" s="2">
        <f t="shared" si="3"/>
        <v>6.6113514893502987E-3</v>
      </c>
      <c r="I129" s="7">
        <v>0</v>
      </c>
      <c r="J129" s="7">
        <v>0</v>
      </c>
      <c r="K129" s="7">
        <v>0</v>
      </c>
      <c r="L129" s="7">
        <v>0</v>
      </c>
      <c r="M129" s="7">
        <v>-1.1600258351330469E-2</v>
      </c>
      <c r="N129" s="7">
        <v>6.6113514893502987E-3</v>
      </c>
      <c r="O129" s="7">
        <v>0</v>
      </c>
      <c r="P129" s="7">
        <v>0</v>
      </c>
    </row>
    <row r="130" spans="1:16" x14ac:dyDescent="0.3">
      <c r="A130" s="1">
        <v>43649</v>
      </c>
      <c r="B130" s="2">
        <v>15.66</v>
      </c>
      <c r="C130" s="2">
        <v>137.46</v>
      </c>
      <c r="F130" s="1">
        <v>43649</v>
      </c>
      <c r="G130" s="2">
        <f t="shared" si="2"/>
        <v>4.5061492131119991E-2</v>
      </c>
      <c r="H130" s="2">
        <f t="shared" si="3"/>
        <v>6.4224421605160098E-3</v>
      </c>
      <c r="I130" s="7">
        <v>0</v>
      </c>
      <c r="J130" s="7">
        <v>0</v>
      </c>
      <c r="K130" s="7">
        <v>0</v>
      </c>
      <c r="L130" s="7">
        <v>0</v>
      </c>
      <c r="M130" s="7">
        <v>0</v>
      </c>
      <c r="N130" s="7">
        <v>0</v>
      </c>
      <c r="O130" s="7">
        <v>4.5061492131119991E-2</v>
      </c>
      <c r="P130" s="7">
        <v>6.4224421605160098E-3</v>
      </c>
    </row>
    <row r="131" spans="1:16" x14ac:dyDescent="0.3">
      <c r="A131" s="1">
        <v>43651</v>
      </c>
      <c r="B131" s="2">
        <v>15.54</v>
      </c>
      <c r="C131" s="2">
        <v>137.06</v>
      </c>
      <c r="F131" s="1">
        <v>43651</v>
      </c>
      <c r="G131" s="2">
        <f t="shared" si="2"/>
        <v>-7.6923456231557255E-3</v>
      </c>
      <c r="H131" s="2">
        <f t="shared" si="3"/>
        <v>-2.9141795357815626E-3</v>
      </c>
      <c r="I131" s="7">
        <v>-7.6923456231557255E-3</v>
      </c>
      <c r="J131" s="7">
        <v>-2.9141795357815626E-3</v>
      </c>
      <c r="K131" s="7">
        <v>0</v>
      </c>
      <c r="L131" s="7">
        <v>0</v>
      </c>
      <c r="M131" s="7">
        <v>0</v>
      </c>
      <c r="N131" s="7">
        <v>0</v>
      </c>
      <c r="O131" s="7">
        <v>0</v>
      </c>
      <c r="P131" s="7">
        <v>0</v>
      </c>
    </row>
    <row r="132" spans="1:16" x14ac:dyDescent="0.3">
      <c r="A132" s="1">
        <v>43654</v>
      </c>
      <c r="B132" s="2">
        <v>15.356</v>
      </c>
      <c r="C132" s="2">
        <v>136.96</v>
      </c>
      <c r="F132" s="1">
        <v>43654</v>
      </c>
      <c r="G132" s="2">
        <f t="shared" si="2"/>
        <v>-1.1911067800950114E-2</v>
      </c>
      <c r="H132" s="2">
        <f t="shared" si="3"/>
        <v>-7.2987376424560172E-4</v>
      </c>
      <c r="I132" s="7">
        <v>-1.1911067800950114E-2</v>
      </c>
      <c r="J132" s="7">
        <v>-7.2987376424560172E-4</v>
      </c>
      <c r="K132" s="7">
        <v>0</v>
      </c>
      <c r="L132" s="7">
        <v>0</v>
      </c>
      <c r="M132" s="7">
        <v>0</v>
      </c>
      <c r="N132" s="7">
        <v>0</v>
      </c>
      <c r="O132" s="7">
        <v>0</v>
      </c>
      <c r="P132" s="7">
        <v>0</v>
      </c>
    </row>
    <row r="133" spans="1:16" x14ac:dyDescent="0.3">
      <c r="A133" s="1">
        <v>43655</v>
      </c>
      <c r="B133" s="2">
        <v>15.337332999999999</v>
      </c>
      <c r="C133" s="2">
        <v>136.46</v>
      </c>
      <c r="F133" s="1">
        <v>43655</v>
      </c>
      <c r="G133" s="2">
        <f t="shared" si="2"/>
        <v>-1.2163555063582166E-3</v>
      </c>
      <c r="H133" s="2">
        <f t="shared" si="3"/>
        <v>-3.6573810061543842E-3</v>
      </c>
      <c r="I133" s="7">
        <v>-1.2163555063582166E-3</v>
      </c>
      <c r="J133" s="7">
        <v>-3.6573810061543842E-3</v>
      </c>
      <c r="K133" s="7">
        <v>0</v>
      </c>
      <c r="L133" s="7">
        <v>0</v>
      </c>
      <c r="M133" s="7">
        <v>0</v>
      </c>
      <c r="N133" s="7">
        <v>0</v>
      </c>
      <c r="O133" s="7">
        <v>0</v>
      </c>
      <c r="P133" s="7">
        <v>0</v>
      </c>
    </row>
    <row r="134" spans="1:16" x14ac:dyDescent="0.3">
      <c r="A134" s="1">
        <v>43656</v>
      </c>
      <c r="B134" s="2">
        <v>15.928000000000001</v>
      </c>
      <c r="C134" s="2">
        <v>137.85</v>
      </c>
      <c r="F134" s="1">
        <v>43656</v>
      </c>
      <c r="G134" s="2">
        <f t="shared" ref="G134:G197" si="4">LN(B134/B133)</f>
        <v>3.7788645129702175E-2</v>
      </c>
      <c r="H134" s="2">
        <f t="shared" ref="H134:H197" si="5">LN(C134/C133)</f>
        <v>1.0134606082528044E-2</v>
      </c>
      <c r="I134" s="7">
        <v>0</v>
      </c>
      <c r="J134" s="7">
        <v>0</v>
      </c>
      <c r="K134" s="7">
        <v>0</v>
      </c>
      <c r="L134" s="7">
        <v>0</v>
      </c>
      <c r="M134" s="7">
        <v>0</v>
      </c>
      <c r="N134" s="7">
        <v>0</v>
      </c>
      <c r="O134" s="7">
        <v>3.7788645129702175E-2</v>
      </c>
      <c r="P134" s="7">
        <v>1.0134606082528044E-2</v>
      </c>
    </row>
    <row r="135" spans="1:16" x14ac:dyDescent="0.3">
      <c r="A135" s="1">
        <v>43657</v>
      </c>
      <c r="B135" s="2">
        <v>15.906667000000001</v>
      </c>
      <c r="C135" s="2">
        <v>138.4</v>
      </c>
      <c r="F135" s="1">
        <v>43657</v>
      </c>
      <c r="G135" s="2">
        <f t="shared" si="4"/>
        <v>-1.3402372447155525E-3</v>
      </c>
      <c r="H135" s="2">
        <f t="shared" si="5"/>
        <v>3.9819057137634997E-3</v>
      </c>
      <c r="I135" s="7">
        <v>0</v>
      </c>
      <c r="J135" s="7">
        <v>0</v>
      </c>
      <c r="K135" s="7">
        <v>0</v>
      </c>
      <c r="L135" s="7">
        <v>0</v>
      </c>
      <c r="M135" s="7">
        <v>-1.3402372447155525E-3</v>
      </c>
      <c r="N135" s="7">
        <v>3.9819057137634997E-3</v>
      </c>
      <c r="O135" s="7">
        <v>0</v>
      </c>
      <c r="P135" s="7">
        <v>0</v>
      </c>
    </row>
    <row r="136" spans="1:16" x14ac:dyDescent="0.3">
      <c r="A136" s="1">
        <v>43658</v>
      </c>
      <c r="B136" s="2">
        <v>16.338667000000001</v>
      </c>
      <c r="C136" s="2">
        <v>138.9</v>
      </c>
      <c r="F136" s="1">
        <v>43658</v>
      </c>
      <c r="G136" s="2">
        <f t="shared" si="4"/>
        <v>2.6796177639565422E-2</v>
      </c>
      <c r="H136" s="2">
        <f t="shared" si="5"/>
        <v>3.6062065767288954E-3</v>
      </c>
      <c r="I136" s="7">
        <v>0</v>
      </c>
      <c r="J136" s="7">
        <v>0</v>
      </c>
      <c r="K136" s="7">
        <v>0</v>
      </c>
      <c r="L136" s="7">
        <v>0</v>
      </c>
      <c r="M136" s="7">
        <v>0</v>
      </c>
      <c r="N136" s="7">
        <v>0</v>
      </c>
      <c r="O136" s="7">
        <v>2.6796177639565422E-2</v>
      </c>
      <c r="P136" s="7">
        <v>3.6062065767288954E-3</v>
      </c>
    </row>
    <row r="137" spans="1:16" x14ac:dyDescent="0.3">
      <c r="A137" s="1">
        <v>43661</v>
      </c>
      <c r="B137" s="2">
        <v>16.899999999999999</v>
      </c>
      <c r="C137" s="2">
        <v>138.9</v>
      </c>
      <c r="F137" s="1">
        <v>43661</v>
      </c>
      <c r="G137" s="2">
        <f t="shared" si="4"/>
        <v>3.3779114772282473E-2</v>
      </c>
      <c r="H137" s="2">
        <f t="shared" si="5"/>
        <v>0</v>
      </c>
      <c r="I137" s="7">
        <v>0</v>
      </c>
      <c r="J137" s="7">
        <v>0</v>
      </c>
      <c r="K137" s="7">
        <v>3.3779114772282473E-2</v>
      </c>
      <c r="L137" s="7">
        <v>0</v>
      </c>
      <c r="M137" s="7">
        <v>0</v>
      </c>
      <c r="N137" s="7">
        <v>0</v>
      </c>
      <c r="O137" s="7">
        <v>3.3779114772282473E-2</v>
      </c>
      <c r="P137" s="7">
        <v>0</v>
      </c>
    </row>
    <row r="138" spans="1:16" x14ac:dyDescent="0.3">
      <c r="A138" s="1">
        <v>43662</v>
      </c>
      <c r="B138" s="2">
        <v>16.825333000000001</v>
      </c>
      <c r="C138" s="2">
        <v>137.08000000000001</v>
      </c>
      <c r="F138" s="1">
        <v>43662</v>
      </c>
      <c r="G138" s="2">
        <f t="shared" si="4"/>
        <v>-4.4279546178688988E-3</v>
      </c>
      <c r="H138" s="2">
        <f t="shared" si="5"/>
        <v>-1.3189552753890003E-2</v>
      </c>
      <c r="I138" s="7">
        <v>-4.4279546178688988E-3</v>
      </c>
      <c r="J138" s="7">
        <v>-1.3189552753890003E-2</v>
      </c>
      <c r="K138" s="7">
        <v>0</v>
      </c>
      <c r="L138" s="7">
        <v>0</v>
      </c>
      <c r="M138" s="7">
        <v>0</v>
      </c>
      <c r="N138" s="7">
        <v>0</v>
      </c>
      <c r="O138" s="7">
        <v>0</v>
      </c>
      <c r="P138" s="7">
        <v>0</v>
      </c>
    </row>
    <row r="139" spans="1:16" x14ac:dyDescent="0.3">
      <c r="A139" s="1">
        <v>43663</v>
      </c>
      <c r="B139" s="2">
        <v>16.990666999999998</v>
      </c>
      <c r="C139" s="2">
        <v>136.27000000000001</v>
      </c>
      <c r="F139" s="1">
        <v>43663</v>
      </c>
      <c r="G139" s="2">
        <f t="shared" si="4"/>
        <v>9.7785259893780688E-3</v>
      </c>
      <c r="H139" s="2">
        <f t="shared" si="5"/>
        <v>-5.9264852446786632E-3</v>
      </c>
      <c r="I139" s="7">
        <v>0</v>
      </c>
      <c r="J139" s="7">
        <v>0</v>
      </c>
      <c r="K139" s="7">
        <v>9.7785259893780688E-3</v>
      </c>
      <c r="L139" s="7">
        <v>-5.9264852446786632E-3</v>
      </c>
      <c r="M139" s="7">
        <v>0</v>
      </c>
      <c r="N139" s="7">
        <v>0</v>
      </c>
      <c r="O139" s="7">
        <v>0</v>
      </c>
      <c r="P139" s="7">
        <v>0</v>
      </c>
    </row>
    <row r="140" spans="1:16" x14ac:dyDescent="0.3">
      <c r="A140" s="1">
        <v>43664</v>
      </c>
      <c r="B140" s="2">
        <v>16.902666</v>
      </c>
      <c r="C140" s="2">
        <v>136.41999999999999</v>
      </c>
      <c r="F140" s="1">
        <v>43664</v>
      </c>
      <c r="G140" s="2">
        <f t="shared" si="4"/>
        <v>-5.1928323336753292E-3</v>
      </c>
      <c r="H140" s="2">
        <f t="shared" si="5"/>
        <v>1.1001504648436222E-3</v>
      </c>
      <c r="I140" s="7">
        <v>0</v>
      </c>
      <c r="J140" s="7">
        <v>0</v>
      </c>
      <c r="K140" s="7">
        <v>0</v>
      </c>
      <c r="L140" s="7">
        <v>0</v>
      </c>
      <c r="M140" s="7">
        <v>-5.1928323336753292E-3</v>
      </c>
      <c r="N140" s="7">
        <v>1.1001504648436222E-3</v>
      </c>
      <c r="O140" s="7">
        <v>0</v>
      </c>
      <c r="P140" s="7">
        <v>0</v>
      </c>
    </row>
    <row r="141" spans="1:16" x14ac:dyDescent="0.3">
      <c r="A141" s="1">
        <v>43665</v>
      </c>
      <c r="B141" s="2">
        <v>17.212</v>
      </c>
      <c r="C141" s="2">
        <v>136.62</v>
      </c>
      <c r="F141" s="1">
        <v>43665</v>
      </c>
      <c r="G141" s="2">
        <f t="shared" si="4"/>
        <v>1.8135454009491674E-2</v>
      </c>
      <c r="H141" s="2">
        <f t="shared" si="5"/>
        <v>1.4649870771300472E-3</v>
      </c>
      <c r="I141" s="7">
        <v>0</v>
      </c>
      <c r="J141" s="7">
        <v>0</v>
      </c>
      <c r="K141" s="7">
        <v>0</v>
      </c>
      <c r="L141" s="7">
        <v>0</v>
      </c>
      <c r="M141" s="7">
        <v>0</v>
      </c>
      <c r="N141" s="7">
        <v>0</v>
      </c>
      <c r="O141" s="7">
        <v>1.8135454009491674E-2</v>
      </c>
      <c r="P141" s="7">
        <v>1.4649870771300472E-3</v>
      </c>
    </row>
    <row r="142" spans="1:16" x14ac:dyDescent="0.3">
      <c r="A142" s="1">
        <v>43668</v>
      </c>
      <c r="B142" s="2">
        <v>17.045334</v>
      </c>
      <c r="C142" s="2">
        <v>138.43</v>
      </c>
      <c r="F142" s="1">
        <v>43668</v>
      </c>
      <c r="G142" s="2">
        <f t="shared" si="4"/>
        <v>-9.7303143892648568E-3</v>
      </c>
      <c r="H142" s="2">
        <f t="shared" si="5"/>
        <v>1.3161433395940393E-2</v>
      </c>
      <c r="I142" s="7">
        <v>0</v>
      </c>
      <c r="J142" s="7">
        <v>0</v>
      </c>
      <c r="K142" s="7">
        <v>0</v>
      </c>
      <c r="L142" s="7">
        <v>0</v>
      </c>
      <c r="M142" s="7">
        <v>-9.7303143892648568E-3</v>
      </c>
      <c r="N142" s="7">
        <v>1.3161433395940393E-2</v>
      </c>
      <c r="O142" s="7">
        <v>0</v>
      </c>
      <c r="P142" s="7">
        <v>0</v>
      </c>
    </row>
    <row r="143" spans="1:16" x14ac:dyDescent="0.3">
      <c r="A143" s="1">
        <v>43669</v>
      </c>
      <c r="B143" s="2">
        <v>17.344667000000001</v>
      </c>
      <c r="C143" s="2">
        <v>139.29</v>
      </c>
      <c r="F143" s="1">
        <v>43669</v>
      </c>
      <c r="G143" s="2">
        <f t="shared" si="4"/>
        <v>1.7408581034013163E-2</v>
      </c>
      <c r="H143" s="2">
        <f t="shared" si="5"/>
        <v>6.1933080002964025E-3</v>
      </c>
      <c r="I143" s="7">
        <v>0</v>
      </c>
      <c r="J143" s="7">
        <v>0</v>
      </c>
      <c r="K143" s="7">
        <v>0</v>
      </c>
      <c r="L143" s="7">
        <v>0</v>
      </c>
      <c r="M143" s="7">
        <v>0</v>
      </c>
      <c r="N143" s="7">
        <v>0</v>
      </c>
      <c r="O143" s="7">
        <v>1.7408581034013163E-2</v>
      </c>
      <c r="P143" s="7">
        <v>6.1933080002964025E-3</v>
      </c>
    </row>
    <row r="144" spans="1:16" x14ac:dyDescent="0.3">
      <c r="A144" s="1">
        <v>43670</v>
      </c>
      <c r="B144" s="2">
        <v>17.658667000000001</v>
      </c>
      <c r="C144" s="2">
        <v>140.72</v>
      </c>
      <c r="F144" s="1">
        <v>43670</v>
      </c>
      <c r="G144" s="2">
        <f t="shared" si="4"/>
        <v>1.7941629392151597E-2</v>
      </c>
      <c r="H144" s="2">
        <f t="shared" si="5"/>
        <v>1.0214009729362747E-2</v>
      </c>
      <c r="I144" s="7">
        <v>0</v>
      </c>
      <c r="J144" s="7">
        <v>0</v>
      </c>
      <c r="K144" s="7">
        <v>0</v>
      </c>
      <c r="L144" s="7">
        <v>0</v>
      </c>
      <c r="M144" s="7">
        <v>0</v>
      </c>
      <c r="N144" s="7">
        <v>0</v>
      </c>
      <c r="O144" s="7">
        <v>1.7941629392151597E-2</v>
      </c>
      <c r="P144" s="7">
        <v>1.0214009729362747E-2</v>
      </c>
    </row>
    <row r="145" spans="1:16" x14ac:dyDescent="0.3">
      <c r="A145" s="1">
        <v>43671</v>
      </c>
      <c r="B145" s="2">
        <v>15.254667</v>
      </c>
      <c r="C145" s="2">
        <v>140.19</v>
      </c>
      <c r="F145" s="1">
        <v>43671</v>
      </c>
      <c r="G145" s="2">
        <f t="shared" si="4"/>
        <v>-0.14634122199142882</v>
      </c>
      <c r="H145" s="2">
        <f t="shared" si="5"/>
        <v>-3.7734550488581885E-3</v>
      </c>
      <c r="I145" s="7">
        <v>-0.14634122199142882</v>
      </c>
      <c r="J145" s="7">
        <v>-3.7734550488581885E-3</v>
      </c>
      <c r="K145" s="7">
        <v>0</v>
      </c>
      <c r="L145" s="7">
        <v>0</v>
      </c>
      <c r="M145" s="7">
        <v>0</v>
      </c>
      <c r="N145" s="7">
        <v>0</v>
      </c>
      <c r="O145" s="7">
        <v>0</v>
      </c>
      <c r="P145" s="7">
        <v>0</v>
      </c>
    </row>
    <row r="146" spans="1:16" x14ac:dyDescent="0.3">
      <c r="A146" s="1">
        <v>43672</v>
      </c>
      <c r="B146" s="2">
        <v>15.202667</v>
      </c>
      <c r="C146" s="2">
        <v>141.34</v>
      </c>
      <c r="F146" s="1">
        <v>43672</v>
      </c>
      <c r="G146" s="2">
        <f t="shared" si="4"/>
        <v>-3.4146160346756149E-3</v>
      </c>
      <c r="H146" s="2">
        <f t="shared" si="5"/>
        <v>8.1696898822637698E-3</v>
      </c>
      <c r="I146" s="7">
        <v>0</v>
      </c>
      <c r="J146" s="7">
        <v>0</v>
      </c>
      <c r="K146" s="7">
        <v>0</v>
      </c>
      <c r="L146" s="7">
        <v>0</v>
      </c>
      <c r="M146" s="7">
        <v>-3.4146160346756149E-3</v>
      </c>
      <c r="N146" s="7">
        <v>8.1696898822637698E-3</v>
      </c>
      <c r="O146" s="7">
        <v>0</v>
      </c>
      <c r="P146" s="7">
        <v>0</v>
      </c>
    </row>
    <row r="147" spans="1:16" x14ac:dyDescent="0.3">
      <c r="A147" s="1">
        <v>43675</v>
      </c>
      <c r="B147" s="2">
        <v>15.718</v>
      </c>
      <c r="C147" s="2">
        <v>141.03</v>
      </c>
      <c r="F147" s="1">
        <v>43675</v>
      </c>
      <c r="G147" s="2">
        <f t="shared" si="4"/>
        <v>3.3335679456834473E-2</v>
      </c>
      <c r="H147" s="2">
        <f t="shared" si="5"/>
        <v>-2.195701558559404E-3</v>
      </c>
      <c r="I147" s="7">
        <v>0</v>
      </c>
      <c r="J147" s="7">
        <v>0</v>
      </c>
      <c r="K147" s="7">
        <v>3.3335679456834473E-2</v>
      </c>
      <c r="L147" s="7">
        <v>-2.195701558559404E-3</v>
      </c>
      <c r="M147" s="7">
        <v>0</v>
      </c>
      <c r="N147" s="7">
        <v>0</v>
      </c>
      <c r="O147" s="7">
        <v>0</v>
      </c>
      <c r="P147" s="7">
        <v>0</v>
      </c>
    </row>
    <row r="148" spans="1:16" x14ac:dyDescent="0.3">
      <c r="A148" s="1">
        <v>43676</v>
      </c>
      <c r="B148" s="2">
        <v>16.150666999999999</v>
      </c>
      <c r="C148" s="2">
        <v>140.35</v>
      </c>
      <c r="F148" s="1">
        <v>43676</v>
      </c>
      <c r="G148" s="2">
        <f t="shared" si="4"/>
        <v>2.7154796681445447E-2</v>
      </c>
      <c r="H148" s="2">
        <f t="shared" si="5"/>
        <v>-4.8333308962574088E-3</v>
      </c>
      <c r="I148" s="7">
        <v>0</v>
      </c>
      <c r="J148" s="7">
        <v>0</v>
      </c>
      <c r="K148" s="7">
        <v>2.7154796681445447E-2</v>
      </c>
      <c r="L148" s="7">
        <v>-4.8333308962574088E-3</v>
      </c>
      <c r="M148" s="7">
        <v>0</v>
      </c>
      <c r="N148" s="7">
        <v>0</v>
      </c>
      <c r="O148" s="7">
        <v>0</v>
      </c>
      <c r="P148" s="7">
        <v>0</v>
      </c>
    </row>
    <row r="149" spans="1:16" x14ac:dyDescent="0.3">
      <c r="A149" s="1">
        <v>43677</v>
      </c>
      <c r="B149" s="2">
        <v>16.107332</v>
      </c>
      <c r="C149" s="2">
        <v>136.27000000000001</v>
      </c>
      <c r="F149" s="1">
        <v>43677</v>
      </c>
      <c r="G149" s="2">
        <f t="shared" si="4"/>
        <v>-2.6867770731087599E-3</v>
      </c>
      <c r="H149" s="2">
        <f t="shared" si="5"/>
        <v>-2.9501091046161936E-2</v>
      </c>
      <c r="I149" s="7">
        <v>-2.6867770731087599E-3</v>
      </c>
      <c r="J149" s="7">
        <v>-2.9501091046161936E-2</v>
      </c>
      <c r="K149" s="7">
        <v>0</v>
      </c>
      <c r="L149" s="7">
        <v>0</v>
      </c>
      <c r="M149" s="7">
        <v>0</v>
      </c>
      <c r="N149" s="7">
        <v>0</v>
      </c>
      <c r="O149" s="7">
        <v>0</v>
      </c>
      <c r="P149" s="7">
        <v>0</v>
      </c>
    </row>
    <row r="150" spans="1:16" x14ac:dyDescent="0.3">
      <c r="A150" s="1">
        <v>43678</v>
      </c>
      <c r="B150" s="2">
        <v>15.59</v>
      </c>
      <c r="C150" s="2">
        <v>138.06</v>
      </c>
      <c r="F150" s="1">
        <v>43678</v>
      </c>
      <c r="G150" s="2">
        <f t="shared" si="4"/>
        <v>-3.2644888982634741E-2</v>
      </c>
      <c r="H150" s="2">
        <f t="shared" si="5"/>
        <v>1.3050161513600039E-2</v>
      </c>
      <c r="I150" s="7">
        <v>0</v>
      </c>
      <c r="J150" s="7">
        <v>0</v>
      </c>
      <c r="K150" s="7">
        <v>0</v>
      </c>
      <c r="L150" s="7">
        <v>0</v>
      </c>
      <c r="M150" s="7">
        <v>-3.2644888982634741E-2</v>
      </c>
      <c r="N150" s="7">
        <v>1.3050161513600039E-2</v>
      </c>
      <c r="O150" s="7">
        <v>0</v>
      </c>
      <c r="P150" s="7">
        <v>0</v>
      </c>
    </row>
    <row r="151" spans="1:16" x14ac:dyDescent="0.3">
      <c r="A151" s="1">
        <v>43679</v>
      </c>
      <c r="B151" s="2">
        <v>15.622667</v>
      </c>
      <c r="C151" s="2">
        <v>136.9</v>
      </c>
      <c r="F151" s="1">
        <v>43679</v>
      </c>
      <c r="G151" s="2">
        <f t="shared" si="4"/>
        <v>2.0931894046336348E-3</v>
      </c>
      <c r="H151" s="2">
        <f t="shared" si="5"/>
        <v>-8.4376409809262913E-3</v>
      </c>
      <c r="I151" s="7">
        <v>0</v>
      </c>
      <c r="J151" s="7">
        <v>0</v>
      </c>
      <c r="K151" s="7">
        <v>2.0931894046336348E-3</v>
      </c>
      <c r="L151" s="7">
        <v>-8.4376409809262913E-3</v>
      </c>
      <c r="M151" s="7">
        <v>0</v>
      </c>
      <c r="N151" s="7">
        <v>0</v>
      </c>
      <c r="O151" s="7">
        <v>0</v>
      </c>
      <c r="P151" s="7">
        <v>0</v>
      </c>
    </row>
    <row r="152" spans="1:16" x14ac:dyDescent="0.3">
      <c r="A152" s="1">
        <v>43682</v>
      </c>
      <c r="B152" s="2">
        <v>15.221333</v>
      </c>
      <c r="C152" s="2">
        <v>132.21</v>
      </c>
      <c r="F152" s="1">
        <v>43682</v>
      </c>
      <c r="G152" s="2">
        <f t="shared" si="4"/>
        <v>-2.6024941747091888E-2</v>
      </c>
      <c r="H152" s="2">
        <f t="shared" si="5"/>
        <v>-3.4859164772397824E-2</v>
      </c>
      <c r="I152" s="7">
        <v>-2.6024941747091888E-2</v>
      </c>
      <c r="J152" s="7">
        <v>-3.4859164772397824E-2</v>
      </c>
      <c r="K152" s="7">
        <v>0</v>
      </c>
      <c r="L152" s="7">
        <v>0</v>
      </c>
      <c r="M152" s="7">
        <v>0</v>
      </c>
      <c r="N152" s="7">
        <v>0</v>
      </c>
      <c r="O152" s="7">
        <v>0</v>
      </c>
      <c r="P152" s="7">
        <v>0</v>
      </c>
    </row>
    <row r="153" spans="1:16" x14ac:dyDescent="0.3">
      <c r="A153" s="1">
        <v>43683</v>
      </c>
      <c r="B153" s="2">
        <v>15.383333</v>
      </c>
      <c r="C153" s="2">
        <v>134.69</v>
      </c>
      <c r="F153" s="1">
        <v>43683</v>
      </c>
      <c r="G153" s="2">
        <f t="shared" si="4"/>
        <v>1.0586719885051908E-2</v>
      </c>
      <c r="H153" s="2">
        <f t="shared" si="5"/>
        <v>1.858427408871802E-2</v>
      </c>
      <c r="I153" s="7">
        <v>0</v>
      </c>
      <c r="J153" s="7">
        <v>0</v>
      </c>
      <c r="K153" s="7">
        <v>0</v>
      </c>
      <c r="L153" s="7">
        <v>0</v>
      </c>
      <c r="M153" s="7">
        <v>0</v>
      </c>
      <c r="N153" s="7">
        <v>0</v>
      </c>
      <c r="O153" s="7">
        <v>1.0586719885051908E-2</v>
      </c>
      <c r="P153" s="7">
        <v>1.858427408871802E-2</v>
      </c>
    </row>
    <row r="154" spans="1:16" x14ac:dyDescent="0.3">
      <c r="A154" s="1">
        <v>43684</v>
      </c>
      <c r="B154" s="2">
        <v>15.561332999999999</v>
      </c>
      <c r="C154" s="2">
        <v>135.28</v>
      </c>
      <c r="F154" s="1">
        <v>43684</v>
      </c>
      <c r="G154" s="2">
        <f t="shared" si="4"/>
        <v>1.1504532849103299E-2</v>
      </c>
      <c r="H154" s="2">
        <f t="shared" si="5"/>
        <v>4.3708629796014691E-3</v>
      </c>
      <c r="I154" s="7">
        <v>0</v>
      </c>
      <c r="J154" s="7">
        <v>0</v>
      </c>
      <c r="K154" s="7">
        <v>0</v>
      </c>
      <c r="L154" s="7">
        <v>0</v>
      </c>
      <c r="M154" s="7">
        <v>0</v>
      </c>
      <c r="N154" s="7">
        <v>0</v>
      </c>
      <c r="O154" s="7">
        <v>1.1504532849103299E-2</v>
      </c>
      <c r="P154" s="7">
        <v>4.3708629796014691E-3</v>
      </c>
    </row>
    <row r="155" spans="1:16" x14ac:dyDescent="0.3">
      <c r="A155" s="1">
        <v>43685</v>
      </c>
      <c r="B155" s="2">
        <v>15.886666999999999</v>
      </c>
      <c r="C155" s="2">
        <v>138.88999999999999</v>
      </c>
      <c r="F155" s="1">
        <v>43685</v>
      </c>
      <c r="G155" s="2">
        <f t="shared" si="4"/>
        <v>2.0691020523059434E-2</v>
      </c>
      <c r="H155" s="2">
        <f t="shared" si="5"/>
        <v>2.6335548337802557E-2</v>
      </c>
      <c r="I155" s="7">
        <v>0</v>
      </c>
      <c r="J155" s="7">
        <v>0</v>
      </c>
      <c r="K155" s="7">
        <v>0</v>
      </c>
      <c r="L155" s="7">
        <v>0</v>
      </c>
      <c r="M155" s="7">
        <v>0</v>
      </c>
      <c r="N155" s="7">
        <v>0</v>
      </c>
      <c r="O155" s="7">
        <v>2.0691020523059434E-2</v>
      </c>
      <c r="P155" s="7">
        <v>2.6335548337802557E-2</v>
      </c>
    </row>
    <row r="156" spans="1:16" x14ac:dyDescent="0.3">
      <c r="A156" s="1">
        <v>43686</v>
      </c>
      <c r="B156" s="2">
        <v>15.667332999999999</v>
      </c>
      <c r="C156" s="2">
        <v>137.71</v>
      </c>
      <c r="F156" s="1">
        <v>43686</v>
      </c>
      <c r="G156" s="2">
        <f t="shared" si="4"/>
        <v>-1.3902359932055408E-2</v>
      </c>
      <c r="H156" s="2">
        <f t="shared" si="5"/>
        <v>-8.532228189092949E-3</v>
      </c>
      <c r="I156" s="7">
        <v>-1.3902359932055408E-2</v>
      </c>
      <c r="J156" s="7">
        <v>-8.532228189092949E-3</v>
      </c>
      <c r="K156" s="7">
        <v>0</v>
      </c>
      <c r="L156" s="7">
        <v>0</v>
      </c>
      <c r="M156" s="7">
        <v>0</v>
      </c>
      <c r="N156" s="7">
        <v>0</v>
      </c>
      <c r="O156" s="7">
        <v>0</v>
      </c>
      <c r="P156" s="7">
        <v>0</v>
      </c>
    </row>
    <row r="157" spans="1:16" x14ac:dyDescent="0.3">
      <c r="A157" s="1">
        <v>43689</v>
      </c>
      <c r="B157" s="2">
        <v>15.267333000000001</v>
      </c>
      <c r="C157" s="2">
        <v>135.79</v>
      </c>
      <c r="F157" s="1">
        <v>43689</v>
      </c>
      <c r="G157" s="2">
        <f t="shared" si="4"/>
        <v>-2.5862396264618514E-2</v>
      </c>
      <c r="H157" s="2">
        <f t="shared" si="5"/>
        <v>-1.4040450028331281E-2</v>
      </c>
      <c r="I157" s="7">
        <v>-2.5862396264618514E-2</v>
      </c>
      <c r="J157" s="7">
        <v>-1.4040450028331281E-2</v>
      </c>
      <c r="K157" s="7">
        <v>0</v>
      </c>
      <c r="L157" s="7">
        <v>0</v>
      </c>
      <c r="M157" s="7">
        <v>0</v>
      </c>
      <c r="N157" s="7">
        <v>0</v>
      </c>
      <c r="O157" s="7">
        <v>0</v>
      </c>
      <c r="P157" s="7">
        <v>0</v>
      </c>
    </row>
    <row r="158" spans="1:16" x14ac:dyDescent="0.3">
      <c r="A158" s="1">
        <v>43690</v>
      </c>
      <c r="B158" s="2">
        <v>15.666667</v>
      </c>
      <c r="C158" s="2">
        <v>138.6</v>
      </c>
      <c r="F158" s="1">
        <v>43690</v>
      </c>
      <c r="G158" s="2">
        <f t="shared" si="4"/>
        <v>2.581988653077677E-2</v>
      </c>
      <c r="H158" s="2">
        <f t="shared" si="5"/>
        <v>2.0482512045099547E-2</v>
      </c>
      <c r="I158" s="7">
        <v>0</v>
      </c>
      <c r="J158" s="7">
        <v>0</v>
      </c>
      <c r="K158" s="7">
        <v>0</v>
      </c>
      <c r="L158" s="7">
        <v>0</v>
      </c>
      <c r="M158" s="7">
        <v>0</v>
      </c>
      <c r="N158" s="7">
        <v>0</v>
      </c>
      <c r="O158" s="7">
        <v>2.581988653077677E-2</v>
      </c>
      <c r="P158" s="7">
        <v>2.0482512045099547E-2</v>
      </c>
    </row>
    <row r="159" spans="1:16" x14ac:dyDescent="0.3">
      <c r="A159" s="1">
        <v>43691</v>
      </c>
      <c r="B159" s="2">
        <v>14.641332999999999</v>
      </c>
      <c r="C159" s="2">
        <v>133.97999999999999</v>
      </c>
      <c r="F159" s="1">
        <v>43691</v>
      </c>
      <c r="G159" s="2">
        <f t="shared" si="4"/>
        <v>-6.7686778017784513E-2</v>
      </c>
      <c r="H159" s="2">
        <f t="shared" si="5"/>
        <v>-3.3901551675681339E-2</v>
      </c>
      <c r="I159" s="7">
        <v>-6.7686778017784513E-2</v>
      </c>
      <c r="J159" s="7">
        <v>-3.3901551675681339E-2</v>
      </c>
      <c r="K159" s="7">
        <v>0</v>
      </c>
      <c r="L159" s="7">
        <v>0</v>
      </c>
      <c r="M159" s="7">
        <v>0</v>
      </c>
      <c r="N159" s="7">
        <v>0</v>
      </c>
      <c r="O159" s="7">
        <v>0</v>
      </c>
      <c r="P159" s="7">
        <v>0</v>
      </c>
    </row>
    <row r="160" spans="1:16" x14ac:dyDescent="0.3">
      <c r="A160" s="1">
        <v>43692</v>
      </c>
      <c r="B160" s="2">
        <v>14.375999999999999</v>
      </c>
      <c r="C160" s="2">
        <v>133.68</v>
      </c>
      <c r="F160" s="1">
        <v>43692</v>
      </c>
      <c r="G160" s="2">
        <f t="shared" si="4"/>
        <v>-1.828840681950215E-2</v>
      </c>
      <c r="H160" s="2">
        <f t="shared" si="5"/>
        <v>-2.2416507929831518E-3</v>
      </c>
      <c r="I160" s="7">
        <v>-1.828840681950215E-2</v>
      </c>
      <c r="J160" s="7">
        <v>-2.2416507929831518E-3</v>
      </c>
      <c r="K160" s="7">
        <v>0</v>
      </c>
      <c r="L160" s="7">
        <v>0</v>
      </c>
      <c r="M160" s="7">
        <v>0</v>
      </c>
      <c r="N160" s="7">
        <v>0</v>
      </c>
      <c r="O160" s="7">
        <v>0</v>
      </c>
      <c r="P160" s="7">
        <v>0</v>
      </c>
    </row>
    <row r="161" spans="1:16" x14ac:dyDescent="0.3">
      <c r="A161" s="1">
        <v>43693</v>
      </c>
      <c r="B161" s="2">
        <v>14.662667000000001</v>
      </c>
      <c r="C161" s="2">
        <v>136.13</v>
      </c>
      <c r="F161" s="1">
        <v>43693</v>
      </c>
      <c r="G161" s="2">
        <f t="shared" si="4"/>
        <v>1.9744454032792926E-2</v>
      </c>
      <c r="H161" s="2">
        <f t="shared" si="5"/>
        <v>1.8161427237243288E-2</v>
      </c>
      <c r="I161" s="7">
        <v>0</v>
      </c>
      <c r="J161" s="7">
        <v>0</v>
      </c>
      <c r="K161" s="7">
        <v>0</v>
      </c>
      <c r="L161" s="7">
        <v>0</v>
      </c>
      <c r="M161" s="7">
        <v>0</v>
      </c>
      <c r="N161" s="7">
        <v>0</v>
      </c>
      <c r="O161" s="7">
        <v>1.9744454032792926E-2</v>
      </c>
      <c r="P161" s="7">
        <v>1.8161427237243288E-2</v>
      </c>
    </row>
    <row r="162" spans="1:16" x14ac:dyDescent="0.3">
      <c r="A162" s="1">
        <v>43696</v>
      </c>
      <c r="B162" s="2">
        <v>15.122</v>
      </c>
      <c r="C162" s="2">
        <v>138.41</v>
      </c>
      <c r="F162" s="1">
        <v>43696</v>
      </c>
      <c r="G162" s="2">
        <f t="shared" si="4"/>
        <v>3.0846033622027164E-2</v>
      </c>
      <c r="H162" s="2">
        <f t="shared" si="5"/>
        <v>1.6609983384228841E-2</v>
      </c>
      <c r="I162" s="7">
        <v>0</v>
      </c>
      <c r="J162" s="7">
        <v>0</v>
      </c>
      <c r="K162" s="7">
        <v>0</v>
      </c>
      <c r="L162" s="7">
        <v>0</v>
      </c>
      <c r="M162" s="7">
        <v>0</v>
      </c>
      <c r="N162" s="7">
        <v>0</v>
      </c>
      <c r="O162" s="7">
        <v>3.0846033622027164E-2</v>
      </c>
      <c r="P162" s="7">
        <v>1.6609983384228841E-2</v>
      </c>
    </row>
    <row r="163" spans="1:16" x14ac:dyDescent="0.3">
      <c r="A163" s="1">
        <v>43697</v>
      </c>
      <c r="B163" s="2">
        <v>15.057333</v>
      </c>
      <c r="C163" s="2">
        <v>137.26</v>
      </c>
      <c r="F163" s="1">
        <v>43697</v>
      </c>
      <c r="G163" s="2">
        <f t="shared" si="4"/>
        <v>-4.2855220803716156E-3</v>
      </c>
      <c r="H163" s="2">
        <f t="shared" si="5"/>
        <v>-8.3433574281220491E-3</v>
      </c>
      <c r="I163" s="7">
        <v>-4.2855220803716156E-3</v>
      </c>
      <c r="J163" s="7">
        <v>-8.3433574281220491E-3</v>
      </c>
      <c r="K163" s="7">
        <v>0</v>
      </c>
      <c r="L163" s="7">
        <v>0</v>
      </c>
      <c r="M163" s="7">
        <v>0</v>
      </c>
      <c r="N163" s="7">
        <v>0</v>
      </c>
      <c r="O163" s="7">
        <v>0</v>
      </c>
      <c r="P163" s="7">
        <v>0</v>
      </c>
    </row>
    <row r="164" spans="1:16" x14ac:dyDescent="0.3">
      <c r="A164" s="1">
        <v>43698</v>
      </c>
      <c r="B164" s="2">
        <v>14.722</v>
      </c>
      <c r="C164" s="2">
        <v>138.79</v>
      </c>
      <c r="F164" s="1">
        <v>43698</v>
      </c>
      <c r="G164" s="2">
        <f t="shared" si="4"/>
        <v>-2.2522141419192346E-2</v>
      </c>
      <c r="H164" s="2">
        <f t="shared" si="5"/>
        <v>1.1085061887259775E-2</v>
      </c>
      <c r="I164" s="7">
        <v>0</v>
      </c>
      <c r="J164" s="7">
        <v>0</v>
      </c>
      <c r="K164" s="7">
        <v>0</v>
      </c>
      <c r="L164" s="7">
        <v>0</v>
      </c>
      <c r="M164" s="7">
        <v>-2.2522141419192346E-2</v>
      </c>
      <c r="N164" s="7">
        <v>1.1085061887259775E-2</v>
      </c>
      <c r="O164" s="7">
        <v>0</v>
      </c>
      <c r="P164" s="7">
        <v>0</v>
      </c>
    </row>
    <row r="165" spans="1:16" x14ac:dyDescent="0.3">
      <c r="A165" s="1">
        <v>43699</v>
      </c>
      <c r="B165" s="2">
        <v>14.81</v>
      </c>
      <c r="C165" s="2">
        <v>137.78</v>
      </c>
      <c r="F165" s="1">
        <v>43699</v>
      </c>
      <c r="G165" s="2">
        <f t="shared" si="4"/>
        <v>5.9596546431933926E-3</v>
      </c>
      <c r="H165" s="2">
        <f t="shared" si="5"/>
        <v>-7.3037892026986042E-3</v>
      </c>
      <c r="I165" s="7">
        <v>0</v>
      </c>
      <c r="J165" s="7">
        <v>0</v>
      </c>
      <c r="K165" s="7">
        <v>5.9596546431933926E-3</v>
      </c>
      <c r="L165" s="7">
        <v>-7.3037892026986042E-3</v>
      </c>
      <c r="M165" s="7">
        <v>0</v>
      </c>
      <c r="N165" s="7">
        <v>0</v>
      </c>
      <c r="O165" s="7">
        <v>0</v>
      </c>
      <c r="P165" s="7">
        <v>0</v>
      </c>
    </row>
    <row r="166" spans="1:16" x14ac:dyDescent="0.3">
      <c r="A166" s="1">
        <v>43700</v>
      </c>
      <c r="B166" s="2">
        <v>14.093332999999999</v>
      </c>
      <c r="C166" s="2">
        <v>133.38999999999999</v>
      </c>
      <c r="F166" s="1">
        <v>43700</v>
      </c>
      <c r="G166" s="2">
        <f t="shared" si="4"/>
        <v>-4.9600779597625391E-2</v>
      </c>
      <c r="H166" s="2">
        <f t="shared" si="5"/>
        <v>-3.2381042012097232E-2</v>
      </c>
      <c r="I166" s="7">
        <v>-4.9600779597625391E-2</v>
      </c>
      <c r="J166" s="7">
        <v>-3.2381042012097232E-2</v>
      </c>
      <c r="K166" s="7">
        <v>0</v>
      </c>
      <c r="L166" s="7">
        <v>0</v>
      </c>
      <c r="M166" s="7">
        <v>0</v>
      </c>
      <c r="N166" s="7">
        <v>0</v>
      </c>
      <c r="O166" s="7">
        <v>0</v>
      </c>
      <c r="P166" s="7">
        <v>0</v>
      </c>
    </row>
    <row r="167" spans="1:16" x14ac:dyDescent="0.3">
      <c r="A167" s="1">
        <v>43703</v>
      </c>
      <c r="B167" s="2">
        <v>14.333333</v>
      </c>
      <c r="C167" s="2">
        <v>135.44999999999999</v>
      </c>
      <c r="F167" s="1">
        <v>43703</v>
      </c>
      <c r="G167" s="2">
        <f t="shared" si="4"/>
        <v>1.6885955087556505E-2</v>
      </c>
      <c r="H167" s="2">
        <f t="shared" si="5"/>
        <v>1.5325400378151378E-2</v>
      </c>
      <c r="I167" s="7">
        <v>0</v>
      </c>
      <c r="J167" s="7">
        <v>0</v>
      </c>
      <c r="K167" s="7">
        <v>0</v>
      </c>
      <c r="L167" s="7">
        <v>0</v>
      </c>
      <c r="M167" s="7">
        <v>0</v>
      </c>
      <c r="N167" s="7">
        <v>0</v>
      </c>
      <c r="O167" s="7">
        <v>1.6885955087556505E-2</v>
      </c>
      <c r="P167" s="7">
        <v>1.5325400378151378E-2</v>
      </c>
    </row>
    <row r="168" spans="1:16" x14ac:dyDescent="0.3">
      <c r="A168" s="1">
        <v>43704</v>
      </c>
      <c r="B168" s="2">
        <v>14.272</v>
      </c>
      <c r="C168" s="2">
        <v>135.74</v>
      </c>
      <c r="F168" s="1">
        <v>43704</v>
      </c>
      <c r="G168" s="2">
        <f t="shared" si="4"/>
        <v>-4.2882279319848612E-3</v>
      </c>
      <c r="H168" s="2">
        <f t="shared" si="5"/>
        <v>2.1387227445082719E-3</v>
      </c>
      <c r="I168" s="7">
        <v>0</v>
      </c>
      <c r="J168" s="7">
        <v>0</v>
      </c>
      <c r="K168" s="7">
        <v>0</v>
      </c>
      <c r="L168" s="7">
        <v>0</v>
      </c>
      <c r="M168" s="7">
        <v>-4.2882279319848612E-3</v>
      </c>
      <c r="N168" s="7">
        <v>2.1387227445082719E-3</v>
      </c>
      <c r="O168" s="7">
        <v>0</v>
      </c>
      <c r="P168" s="7">
        <v>0</v>
      </c>
    </row>
    <row r="169" spans="1:16" x14ac:dyDescent="0.3">
      <c r="A169" s="1">
        <v>43705</v>
      </c>
      <c r="B169" s="2">
        <v>14.372667</v>
      </c>
      <c r="C169" s="2">
        <v>135.56</v>
      </c>
      <c r="F169" s="1">
        <v>43705</v>
      </c>
      <c r="G169" s="2">
        <f t="shared" si="4"/>
        <v>7.0287020222221074E-3</v>
      </c>
      <c r="H169" s="2">
        <f t="shared" si="5"/>
        <v>-1.3269445367617273E-3</v>
      </c>
      <c r="I169" s="7">
        <v>0</v>
      </c>
      <c r="J169" s="7">
        <v>0</v>
      </c>
      <c r="K169" s="7">
        <v>7.0287020222221074E-3</v>
      </c>
      <c r="L169" s="7">
        <v>-1.3269445367617273E-3</v>
      </c>
      <c r="M169" s="7">
        <v>0</v>
      </c>
      <c r="N169" s="7">
        <v>0</v>
      </c>
      <c r="O169" s="7">
        <v>0</v>
      </c>
      <c r="P169" s="7">
        <v>0</v>
      </c>
    </row>
    <row r="170" spans="1:16" x14ac:dyDescent="0.3">
      <c r="A170" s="1">
        <v>43706</v>
      </c>
      <c r="B170" s="2">
        <v>14.780666999999999</v>
      </c>
      <c r="C170" s="2">
        <v>138.12</v>
      </c>
      <c r="F170" s="1">
        <v>43706</v>
      </c>
      <c r="G170" s="2">
        <f t="shared" si="4"/>
        <v>2.7991765194014868E-2</v>
      </c>
      <c r="H170" s="2">
        <f t="shared" si="5"/>
        <v>1.8708525782940907E-2</v>
      </c>
      <c r="I170" s="7">
        <v>0</v>
      </c>
      <c r="J170" s="7">
        <v>0</v>
      </c>
      <c r="K170" s="7">
        <v>0</v>
      </c>
      <c r="L170" s="7">
        <v>0</v>
      </c>
      <c r="M170" s="7">
        <v>0</v>
      </c>
      <c r="N170" s="7">
        <v>0</v>
      </c>
      <c r="O170" s="7">
        <v>2.7991765194014868E-2</v>
      </c>
      <c r="P170" s="7">
        <v>1.8708525782940907E-2</v>
      </c>
    </row>
    <row r="171" spans="1:16" x14ac:dyDescent="0.3">
      <c r="A171" s="1">
        <v>43707</v>
      </c>
      <c r="B171" s="2">
        <v>15.040666999999999</v>
      </c>
      <c r="C171" s="2">
        <v>137.86000000000001</v>
      </c>
      <c r="F171" s="1">
        <v>43707</v>
      </c>
      <c r="G171" s="2">
        <f t="shared" si="4"/>
        <v>1.7437622888696925E-2</v>
      </c>
      <c r="H171" s="2">
        <f t="shared" si="5"/>
        <v>-1.8841950642857889E-3</v>
      </c>
      <c r="I171" s="7">
        <v>0</v>
      </c>
      <c r="J171" s="7">
        <v>0</v>
      </c>
      <c r="K171" s="7">
        <v>1.7437622888696925E-2</v>
      </c>
      <c r="L171" s="7">
        <v>-1.8841950642857889E-3</v>
      </c>
      <c r="M171" s="7">
        <v>0</v>
      </c>
      <c r="N171" s="7">
        <v>0</v>
      </c>
      <c r="O171" s="7">
        <v>0</v>
      </c>
      <c r="P171" s="7">
        <v>0</v>
      </c>
    </row>
    <row r="172" spans="1:16" x14ac:dyDescent="0.3">
      <c r="A172" s="1">
        <v>43711</v>
      </c>
      <c r="B172" s="2">
        <v>15.000667</v>
      </c>
      <c r="C172" s="2">
        <v>136.04</v>
      </c>
      <c r="F172" s="1">
        <v>43711</v>
      </c>
      <c r="G172" s="2">
        <f t="shared" si="4"/>
        <v>-2.6629991623238242E-3</v>
      </c>
      <c r="H172" s="2">
        <f t="shared" si="5"/>
        <v>-1.3289717318511172E-2</v>
      </c>
      <c r="I172" s="7">
        <v>-2.6629991623238242E-3</v>
      </c>
      <c r="J172" s="7">
        <v>-1.3289717318511172E-2</v>
      </c>
      <c r="K172" s="7">
        <v>0</v>
      </c>
      <c r="L172" s="7">
        <v>0</v>
      </c>
      <c r="M172" s="7">
        <v>0</v>
      </c>
      <c r="N172" s="7">
        <v>0</v>
      </c>
      <c r="O172" s="7">
        <v>0</v>
      </c>
      <c r="P172" s="7">
        <v>0</v>
      </c>
    </row>
    <row r="173" spans="1:16" x14ac:dyDescent="0.3">
      <c r="A173" s="1">
        <v>43712</v>
      </c>
      <c r="B173" s="2">
        <v>14.712</v>
      </c>
      <c r="C173" s="2">
        <v>137.63</v>
      </c>
      <c r="F173" s="1">
        <v>43712</v>
      </c>
      <c r="G173" s="2">
        <f t="shared" si="4"/>
        <v>-1.9431179478243858E-2</v>
      </c>
      <c r="H173" s="2">
        <f t="shared" si="5"/>
        <v>1.1619964852446388E-2</v>
      </c>
      <c r="I173" s="7">
        <v>0</v>
      </c>
      <c r="J173" s="7">
        <v>0</v>
      </c>
      <c r="K173" s="7">
        <v>0</v>
      </c>
      <c r="L173" s="7">
        <v>0</v>
      </c>
      <c r="M173" s="7">
        <v>-1.9431179478243858E-2</v>
      </c>
      <c r="N173" s="7">
        <v>1.1619964852446388E-2</v>
      </c>
      <c r="O173" s="7">
        <v>0</v>
      </c>
      <c r="P173" s="7">
        <v>0</v>
      </c>
    </row>
    <row r="174" spans="1:16" x14ac:dyDescent="0.3">
      <c r="A174" s="1">
        <v>43713</v>
      </c>
      <c r="B174" s="2">
        <v>15.305332999999999</v>
      </c>
      <c r="C174" s="2">
        <v>140.05000000000001</v>
      </c>
      <c r="F174" s="1">
        <v>43713</v>
      </c>
      <c r="G174" s="2">
        <f t="shared" si="4"/>
        <v>3.9537842454219888E-2</v>
      </c>
      <c r="H174" s="2">
        <f t="shared" si="5"/>
        <v>1.7430576714676384E-2</v>
      </c>
      <c r="I174" s="7">
        <v>0</v>
      </c>
      <c r="J174" s="7">
        <v>0</v>
      </c>
      <c r="K174" s="7">
        <v>0</v>
      </c>
      <c r="L174" s="7">
        <v>0</v>
      </c>
      <c r="M174" s="7">
        <v>0</v>
      </c>
      <c r="N174" s="7">
        <v>0</v>
      </c>
      <c r="O174" s="7">
        <v>3.9537842454219888E-2</v>
      </c>
      <c r="P174" s="7">
        <v>1.7430576714676384E-2</v>
      </c>
    </row>
    <row r="175" spans="1:16" x14ac:dyDescent="0.3">
      <c r="A175" s="1">
        <v>43714</v>
      </c>
      <c r="B175" s="2">
        <v>15.163333</v>
      </c>
      <c r="C175" s="2">
        <v>139.1</v>
      </c>
      <c r="F175" s="1">
        <v>43714</v>
      </c>
      <c r="G175" s="2">
        <f t="shared" si="4"/>
        <v>-9.3211188252903809E-3</v>
      </c>
      <c r="H175" s="2">
        <f t="shared" si="5"/>
        <v>-6.8064027767204584E-3</v>
      </c>
      <c r="I175" s="7">
        <v>-9.3211188252903809E-3</v>
      </c>
      <c r="J175" s="7">
        <v>-6.8064027767204584E-3</v>
      </c>
      <c r="K175" s="7">
        <v>0</v>
      </c>
      <c r="L175" s="7">
        <v>0</v>
      </c>
      <c r="M175" s="7">
        <v>0</v>
      </c>
      <c r="N175" s="7">
        <v>0</v>
      </c>
      <c r="O175" s="7">
        <v>0</v>
      </c>
      <c r="P175" s="7">
        <v>0</v>
      </c>
    </row>
    <row r="176" spans="1:16" x14ac:dyDescent="0.3">
      <c r="A176" s="1">
        <v>43717</v>
      </c>
      <c r="B176" s="2">
        <v>15.452667</v>
      </c>
      <c r="C176" s="2">
        <v>137.52000000000001</v>
      </c>
      <c r="F176" s="1">
        <v>43717</v>
      </c>
      <c r="G176" s="2">
        <f t="shared" si="4"/>
        <v>1.8901398874675988E-2</v>
      </c>
      <c r="H176" s="2">
        <f t="shared" si="5"/>
        <v>-1.142373785480328E-2</v>
      </c>
      <c r="I176" s="7">
        <v>0</v>
      </c>
      <c r="J176" s="7">
        <v>0</v>
      </c>
      <c r="K176" s="7">
        <v>1.8901398874675988E-2</v>
      </c>
      <c r="L176" s="7">
        <v>-1.142373785480328E-2</v>
      </c>
      <c r="M176" s="7">
        <v>0</v>
      </c>
      <c r="N176" s="7">
        <v>0</v>
      </c>
      <c r="O176" s="7">
        <v>0</v>
      </c>
      <c r="P176" s="7">
        <v>0</v>
      </c>
    </row>
    <row r="177" spans="1:16" x14ac:dyDescent="0.3">
      <c r="A177" s="1">
        <v>43718</v>
      </c>
      <c r="B177" s="2">
        <v>15.702667</v>
      </c>
      <c r="C177" s="2">
        <v>136.08000000000001</v>
      </c>
      <c r="F177" s="1">
        <v>43718</v>
      </c>
      <c r="G177" s="2">
        <f t="shared" si="4"/>
        <v>1.6048960733383827E-2</v>
      </c>
      <c r="H177" s="2">
        <f t="shared" si="5"/>
        <v>-1.0526412986987504E-2</v>
      </c>
      <c r="I177" s="7">
        <v>0</v>
      </c>
      <c r="J177" s="7">
        <v>0</v>
      </c>
      <c r="K177" s="7">
        <v>1.6048960733383827E-2</v>
      </c>
      <c r="L177" s="7">
        <v>-1.0526412986987504E-2</v>
      </c>
      <c r="M177" s="7">
        <v>0</v>
      </c>
      <c r="N177" s="7">
        <v>0</v>
      </c>
      <c r="O177" s="7">
        <v>0</v>
      </c>
      <c r="P177" s="7">
        <v>0</v>
      </c>
    </row>
    <row r="178" spans="1:16" x14ac:dyDescent="0.3">
      <c r="A178" s="1">
        <v>43719</v>
      </c>
      <c r="B178" s="2">
        <v>16.473333</v>
      </c>
      <c r="C178" s="2">
        <v>136.12</v>
      </c>
      <c r="F178" s="1">
        <v>43719</v>
      </c>
      <c r="G178" s="2">
        <f t="shared" si="4"/>
        <v>4.791232111862239E-2</v>
      </c>
      <c r="H178" s="2">
        <f t="shared" si="5"/>
        <v>2.9390154509864656E-4</v>
      </c>
      <c r="I178" s="7">
        <v>0</v>
      </c>
      <c r="J178" s="7">
        <v>0</v>
      </c>
      <c r="K178" s="7">
        <v>0</v>
      </c>
      <c r="L178" s="7">
        <v>0</v>
      </c>
      <c r="M178" s="7">
        <v>0</v>
      </c>
      <c r="N178" s="7">
        <v>0</v>
      </c>
      <c r="O178" s="7">
        <v>4.791232111862239E-2</v>
      </c>
      <c r="P178" s="7">
        <v>2.9390154509864656E-4</v>
      </c>
    </row>
    <row r="179" spans="1:16" x14ac:dyDescent="0.3">
      <c r="A179" s="1">
        <v>43720</v>
      </c>
      <c r="B179" s="2">
        <v>16.391332999999999</v>
      </c>
      <c r="C179" s="2">
        <v>137.52000000000001</v>
      </c>
      <c r="F179" s="1">
        <v>43720</v>
      </c>
      <c r="G179" s="2">
        <f t="shared" si="4"/>
        <v>-4.9901721296880331E-3</v>
      </c>
      <c r="H179" s="2">
        <f t="shared" si="5"/>
        <v>1.0232511441888879E-2</v>
      </c>
      <c r="I179" s="7">
        <v>0</v>
      </c>
      <c r="J179" s="7">
        <v>0</v>
      </c>
      <c r="K179" s="7">
        <v>0</v>
      </c>
      <c r="L179" s="7">
        <v>0</v>
      </c>
      <c r="M179" s="7">
        <v>-4.9901721296880331E-3</v>
      </c>
      <c r="N179" s="7">
        <v>1.0232511441888879E-2</v>
      </c>
      <c r="O179" s="7">
        <v>0</v>
      </c>
      <c r="P179" s="7">
        <v>0</v>
      </c>
    </row>
    <row r="180" spans="1:16" x14ac:dyDescent="0.3">
      <c r="A180" s="1">
        <v>43721</v>
      </c>
      <c r="B180" s="2">
        <v>16.346665999999999</v>
      </c>
      <c r="C180" s="2">
        <v>137.32</v>
      </c>
      <c r="F180" s="1">
        <v>43721</v>
      </c>
      <c r="G180" s="2">
        <f t="shared" si="4"/>
        <v>-2.7287573511322327E-3</v>
      </c>
      <c r="H180" s="2">
        <f t="shared" si="5"/>
        <v>-1.4553924851026068E-3</v>
      </c>
      <c r="I180" s="7">
        <v>-2.7287573511322327E-3</v>
      </c>
      <c r="J180" s="7">
        <v>-1.4553924851026068E-3</v>
      </c>
      <c r="K180" s="7">
        <v>0</v>
      </c>
      <c r="L180" s="7">
        <v>0</v>
      </c>
      <c r="M180" s="7">
        <v>0</v>
      </c>
      <c r="N180" s="7">
        <v>0</v>
      </c>
      <c r="O180" s="7">
        <v>0</v>
      </c>
      <c r="P180" s="7">
        <v>0</v>
      </c>
    </row>
    <row r="181" spans="1:16" x14ac:dyDescent="0.3">
      <c r="A181" s="1">
        <v>43724</v>
      </c>
      <c r="B181" s="2">
        <v>16.187332000000001</v>
      </c>
      <c r="C181" s="2">
        <v>136.33000000000001</v>
      </c>
      <c r="F181" s="1">
        <v>43724</v>
      </c>
      <c r="G181" s="2">
        <f t="shared" si="4"/>
        <v>-9.7950011492885913E-3</v>
      </c>
      <c r="H181" s="2">
        <f t="shared" si="5"/>
        <v>-7.2355513914528274E-3</v>
      </c>
      <c r="I181" s="7">
        <v>-9.7950011492885913E-3</v>
      </c>
      <c r="J181" s="7">
        <v>-7.2355513914528274E-3</v>
      </c>
      <c r="K181" s="7">
        <v>0</v>
      </c>
      <c r="L181" s="7">
        <v>0</v>
      </c>
      <c r="M181" s="7">
        <v>0</v>
      </c>
      <c r="N181" s="7">
        <v>0</v>
      </c>
      <c r="O181" s="7">
        <v>0</v>
      </c>
      <c r="P181" s="7">
        <v>0</v>
      </c>
    </row>
    <row r="182" spans="1:16" x14ac:dyDescent="0.3">
      <c r="A182" s="1">
        <v>43725</v>
      </c>
      <c r="B182" s="2">
        <v>16.319331999999999</v>
      </c>
      <c r="C182" s="2">
        <v>137.38999999999999</v>
      </c>
      <c r="F182" s="1">
        <v>43725</v>
      </c>
      <c r="G182" s="2">
        <f t="shared" si="4"/>
        <v>8.1214562981779276E-3</v>
      </c>
      <c r="H182" s="2">
        <f t="shared" si="5"/>
        <v>7.7451797378183503E-3</v>
      </c>
      <c r="I182" s="7">
        <v>0</v>
      </c>
      <c r="J182" s="7">
        <v>0</v>
      </c>
      <c r="K182" s="7">
        <v>0</v>
      </c>
      <c r="L182" s="7">
        <v>0</v>
      </c>
      <c r="M182" s="7">
        <v>0</v>
      </c>
      <c r="N182" s="7">
        <v>0</v>
      </c>
      <c r="O182" s="7">
        <v>8.1214562981779276E-3</v>
      </c>
      <c r="P182" s="7">
        <v>7.7451797378183503E-3</v>
      </c>
    </row>
    <row r="183" spans="1:16" x14ac:dyDescent="0.3">
      <c r="A183" s="1">
        <v>43726</v>
      </c>
      <c r="B183" s="2">
        <v>16.232668</v>
      </c>
      <c r="C183" s="2">
        <v>138.52000000000001</v>
      </c>
      <c r="F183" s="1">
        <v>43726</v>
      </c>
      <c r="G183" s="2">
        <f t="shared" si="4"/>
        <v>-5.3246623714830257E-3</v>
      </c>
      <c r="H183" s="2">
        <f t="shared" si="5"/>
        <v>8.1911225983645336E-3</v>
      </c>
      <c r="I183" s="7">
        <v>0</v>
      </c>
      <c r="J183" s="7">
        <v>0</v>
      </c>
      <c r="K183" s="7">
        <v>0</v>
      </c>
      <c r="L183" s="7">
        <v>0</v>
      </c>
      <c r="M183" s="7">
        <v>-5.3246623714830257E-3</v>
      </c>
      <c r="N183" s="7">
        <v>8.1911225983645336E-3</v>
      </c>
      <c r="O183" s="7">
        <v>0</v>
      </c>
      <c r="P183" s="7">
        <v>0</v>
      </c>
    </row>
    <row r="184" spans="1:16" x14ac:dyDescent="0.3">
      <c r="A184" s="1">
        <v>43727</v>
      </c>
      <c r="B184" s="2">
        <v>16.440000999999999</v>
      </c>
      <c r="C184" s="2">
        <v>141.07</v>
      </c>
      <c r="F184" s="1">
        <v>43727</v>
      </c>
      <c r="G184" s="2">
        <f t="shared" si="4"/>
        <v>1.2691695501065251E-2</v>
      </c>
      <c r="H184" s="2">
        <f t="shared" si="5"/>
        <v>1.82415015521897E-2</v>
      </c>
      <c r="I184" s="7">
        <v>0</v>
      </c>
      <c r="J184" s="7">
        <v>0</v>
      </c>
      <c r="K184" s="7">
        <v>0</v>
      </c>
      <c r="L184" s="7">
        <v>0</v>
      </c>
      <c r="M184" s="7">
        <v>0</v>
      </c>
      <c r="N184" s="7">
        <v>0</v>
      </c>
      <c r="O184" s="7">
        <v>1.2691695501065251E-2</v>
      </c>
      <c r="P184" s="7">
        <v>1.82415015521897E-2</v>
      </c>
    </row>
    <row r="185" spans="1:16" x14ac:dyDescent="0.3">
      <c r="A185" s="1">
        <v>43728</v>
      </c>
      <c r="B185" s="2">
        <v>16.041332000000001</v>
      </c>
      <c r="C185" s="2">
        <v>139.44</v>
      </c>
      <c r="F185" s="1">
        <v>43728</v>
      </c>
      <c r="G185" s="2">
        <f t="shared" si="4"/>
        <v>-2.4548809070727821E-2</v>
      </c>
      <c r="H185" s="2">
        <f t="shared" si="5"/>
        <v>-1.1621819874645417E-2</v>
      </c>
      <c r="I185" s="7">
        <v>-2.4548809070727821E-2</v>
      </c>
      <c r="J185" s="7">
        <v>-1.1621819874645417E-2</v>
      </c>
      <c r="K185" s="7">
        <v>0</v>
      </c>
      <c r="L185" s="7">
        <v>0</v>
      </c>
      <c r="M185" s="7">
        <v>0</v>
      </c>
      <c r="N185" s="7">
        <v>0</v>
      </c>
      <c r="O185" s="7">
        <v>0</v>
      </c>
      <c r="P185" s="7">
        <v>0</v>
      </c>
    </row>
    <row r="186" spans="1:16" x14ac:dyDescent="0.3">
      <c r="A186" s="1">
        <v>43731</v>
      </c>
      <c r="B186" s="2">
        <v>16.082001000000002</v>
      </c>
      <c r="C186" s="2">
        <v>139.13999999999999</v>
      </c>
      <c r="F186" s="1">
        <v>43731</v>
      </c>
      <c r="G186" s="2">
        <f t="shared" si="4"/>
        <v>2.5320549227214805E-3</v>
      </c>
      <c r="H186" s="2">
        <f t="shared" si="5"/>
        <v>-2.1537807162703006E-3</v>
      </c>
      <c r="I186" s="7">
        <v>0</v>
      </c>
      <c r="J186" s="7">
        <v>0</v>
      </c>
      <c r="K186" s="7">
        <v>2.5320549227214805E-3</v>
      </c>
      <c r="L186" s="7">
        <v>-2.1537807162703006E-3</v>
      </c>
      <c r="M186" s="7">
        <v>0</v>
      </c>
      <c r="N186" s="7">
        <v>0</v>
      </c>
      <c r="O186" s="7">
        <v>0</v>
      </c>
      <c r="P186" s="7">
        <v>0</v>
      </c>
    </row>
    <row r="187" spans="1:16" x14ac:dyDescent="0.3">
      <c r="A187" s="1">
        <v>43732</v>
      </c>
      <c r="B187" s="2">
        <v>14.880667000000001</v>
      </c>
      <c r="C187" s="2">
        <v>137.38</v>
      </c>
      <c r="F187" s="1">
        <v>43732</v>
      </c>
      <c r="G187" s="2">
        <f t="shared" si="4"/>
        <v>-7.7637842638135487E-2</v>
      </c>
      <c r="H187" s="2">
        <f t="shared" si="5"/>
        <v>-1.2729811709759706E-2</v>
      </c>
      <c r="I187" s="7">
        <v>-7.7637842638135487E-2</v>
      </c>
      <c r="J187" s="7">
        <v>-1.2729811709759706E-2</v>
      </c>
      <c r="K187" s="7">
        <v>0</v>
      </c>
      <c r="L187" s="7">
        <v>0</v>
      </c>
      <c r="M187" s="7">
        <v>0</v>
      </c>
      <c r="N187" s="7">
        <v>0</v>
      </c>
      <c r="O187" s="7">
        <v>0</v>
      </c>
      <c r="P187" s="7">
        <v>0</v>
      </c>
    </row>
    <row r="188" spans="1:16" x14ac:dyDescent="0.3">
      <c r="A188" s="1">
        <v>43733</v>
      </c>
      <c r="B188" s="2">
        <v>15.246667</v>
      </c>
      <c r="C188" s="2">
        <v>139.36000000000001</v>
      </c>
      <c r="F188" s="1">
        <v>43733</v>
      </c>
      <c r="G188" s="2">
        <f t="shared" si="4"/>
        <v>2.4298068120086613E-2</v>
      </c>
      <c r="H188" s="2">
        <f t="shared" si="5"/>
        <v>1.4309704318457149E-2</v>
      </c>
      <c r="I188" s="7">
        <v>0</v>
      </c>
      <c r="J188" s="7">
        <v>0</v>
      </c>
      <c r="K188" s="7">
        <v>0</v>
      </c>
      <c r="L188" s="7">
        <v>0</v>
      </c>
      <c r="M188" s="7">
        <v>0</v>
      </c>
      <c r="N188" s="7">
        <v>0</v>
      </c>
      <c r="O188" s="7">
        <v>2.4298068120086613E-2</v>
      </c>
      <c r="P188" s="7">
        <v>1.4309704318457149E-2</v>
      </c>
    </row>
    <row r="189" spans="1:16" x14ac:dyDescent="0.3">
      <c r="A189" s="1">
        <v>43734</v>
      </c>
      <c r="B189" s="2">
        <v>16.170667999999999</v>
      </c>
      <c r="C189" s="2">
        <v>139.54</v>
      </c>
      <c r="F189" s="1">
        <v>43734</v>
      </c>
      <c r="G189" s="2">
        <f t="shared" si="4"/>
        <v>5.8838062016391857E-2</v>
      </c>
      <c r="H189" s="2">
        <f t="shared" si="5"/>
        <v>1.2907854068976072E-3</v>
      </c>
      <c r="I189" s="7">
        <v>0</v>
      </c>
      <c r="J189" s="7">
        <v>0</v>
      </c>
      <c r="K189" s="7">
        <v>0</v>
      </c>
      <c r="L189" s="7">
        <v>0</v>
      </c>
      <c r="M189" s="7">
        <v>0</v>
      </c>
      <c r="N189" s="7">
        <v>0</v>
      </c>
      <c r="O189" s="7">
        <v>5.8838062016391857E-2</v>
      </c>
      <c r="P189" s="7">
        <v>1.2907854068976072E-3</v>
      </c>
    </row>
    <row r="190" spans="1:16" x14ac:dyDescent="0.3">
      <c r="A190" s="1">
        <v>43735</v>
      </c>
      <c r="B190" s="2">
        <v>16.141999999999999</v>
      </c>
      <c r="C190" s="2">
        <v>137.72999999999999</v>
      </c>
      <c r="F190" s="1">
        <v>43735</v>
      </c>
      <c r="G190" s="2">
        <f t="shared" si="4"/>
        <v>-1.7744129034386051E-3</v>
      </c>
      <c r="H190" s="2">
        <f t="shared" si="5"/>
        <v>-1.3056051581850135E-2</v>
      </c>
      <c r="I190" s="7">
        <v>-1.7744129034386051E-3</v>
      </c>
      <c r="J190" s="7">
        <v>-1.3056051581850135E-2</v>
      </c>
      <c r="K190" s="7">
        <v>0</v>
      </c>
      <c r="L190" s="7">
        <v>0</v>
      </c>
      <c r="M190" s="7">
        <v>0</v>
      </c>
      <c r="N190" s="7">
        <v>0</v>
      </c>
      <c r="O190" s="7">
        <v>0</v>
      </c>
      <c r="P190" s="7">
        <v>0</v>
      </c>
    </row>
    <row r="191" spans="1:16" x14ac:dyDescent="0.3">
      <c r="A191" s="1">
        <v>43738</v>
      </c>
      <c r="B191" s="2">
        <v>16.058001000000001</v>
      </c>
      <c r="C191" s="2">
        <v>139.03</v>
      </c>
      <c r="F191" s="1">
        <v>43738</v>
      </c>
      <c r="G191" s="2">
        <f t="shared" si="4"/>
        <v>-5.2173408654343648E-3</v>
      </c>
      <c r="H191" s="2">
        <f t="shared" si="5"/>
        <v>9.3944902522116545E-3</v>
      </c>
      <c r="I191" s="7">
        <v>0</v>
      </c>
      <c r="J191" s="7">
        <v>0</v>
      </c>
      <c r="K191" s="7">
        <v>0</v>
      </c>
      <c r="L191" s="7">
        <v>0</v>
      </c>
      <c r="M191" s="7">
        <v>-5.2173408654343648E-3</v>
      </c>
      <c r="N191" s="7">
        <v>9.3944902522116545E-3</v>
      </c>
      <c r="O191" s="7">
        <v>0</v>
      </c>
      <c r="P191" s="7">
        <v>0</v>
      </c>
    </row>
    <row r="192" spans="1:16" x14ac:dyDescent="0.3">
      <c r="A192" s="1">
        <v>43739</v>
      </c>
      <c r="B192" s="2">
        <v>16.312667999999999</v>
      </c>
      <c r="C192" s="2">
        <v>137.07</v>
      </c>
      <c r="F192" s="1">
        <v>43739</v>
      </c>
      <c r="G192" s="2">
        <f t="shared" si="4"/>
        <v>1.5734753843707705E-2</v>
      </c>
      <c r="H192" s="2">
        <f t="shared" si="5"/>
        <v>-1.4197992938162221E-2</v>
      </c>
      <c r="I192" s="7">
        <v>0</v>
      </c>
      <c r="J192" s="7">
        <v>0</v>
      </c>
      <c r="K192" s="7">
        <v>1.5734753843707705E-2</v>
      </c>
      <c r="L192" s="7">
        <v>-1.4197992938162221E-2</v>
      </c>
      <c r="M192" s="7">
        <v>0</v>
      </c>
      <c r="N192" s="7">
        <v>0</v>
      </c>
      <c r="O192" s="7">
        <v>0</v>
      </c>
      <c r="P192" s="7">
        <v>0</v>
      </c>
    </row>
    <row r="193" spans="1:16" x14ac:dyDescent="0.3">
      <c r="A193" s="1">
        <v>43740</v>
      </c>
      <c r="B193" s="2">
        <v>16.208667999999999</v>
      </c>
      <c r="C193" s="2">
        <v>134.65</v>
      </c>
      <c r="F193" s="1">
        <v>43740</v>
      </c>
      <c r="G193" s="2">
        <f t="shared" si="4"/>
        <v>-6.3958230082065822E-3</v>
      </c>
      <c r="H193" s="2">
        <f t="shared" si="5"/>
        <v>-1.7812924985681797E-2</v>
      </c>
      <c r="I193" s="7">
        <v>-6.3958230082065822E-3</v>
      </c>
      <c r="J193" s="7">
        <v>-1.7812924985681797E-2</v>
      </c>
      <c r="K193" s="7">
        <v>0</v>
      </c>
      <c r="L193" s="7">
        <v>0</v>
      </c>
      <c r="M193" s="7">
        <v>0</v>
      </c>
      <c r="N193" s="7">
        <v>0</v>
      </c>
      <c r="O193" s="7">
        <v>0</v>
      </c>
      <c r="P193" s="7">
        <v>0</v>
      </c>
    </row>
    <row r="194" spans="1:16" x14ac:dyDescent="0.3">
      <c r="A194" s="1">
        <v>43741</v>
      </c>
      <c r="B194" s="2">
        <v>15.535333</v>
      </c>
      <c r="C194" s="2">
        <v>136.28</v>
      </c>
      <c r="F194" s="1">
        <v>43741</v>
      </c>
      <c r="G194" s="2">
        <f t="shared" si="4"/>
        <v>-4.2429182788675725E-2</v>
      </c>
      <c r="H194" s="2">
        <f t="shared" si="5"/>
        <v>1.2032773535157883E-2</v>
      </c>
      <c r="I194" s="7">
        <v>0</v>
      </c>
      <c r="J194" s="7">
        <v>0</v>
      </c>
      <c r="K194" s="7">
        <v>0</v>
      </c>
      <c r="L194" s="7">
        <v>0</v>
      </c>
      <c r="M194" s="7">
        <v>-4.2429182788675725E-2</v>
      </c>
      <c r="N194" s="7">
        <v>1.2032773535157883E-2</v>
      </c>
      <c r="O194" s="7">
        <v>0</v>
      </c>
      <c r="P194" s="7">
        <v>0</v>
      </c>
    </row>
    <row r="195" spans="1:16" x14ac:dyDescent="0.3">
      <c r="A195" s="1">
        <v>43742</v>
      </c>
      <c r="B195" s="2">
        <v>15.428667000000001</v>
      </c>
      <c r="C195" s="2">
        <v>138.12</v>
      </c>
      <c r="F195" s="1">
        <v>43742</v>
      </c>
      <c r="G195" s="2">
        <f t="shared" si="4"/>
        <v>-6.8897055894063504E-3</v>
      </c>
      <c r="H195" s="2">
        <f t="shared" si="5"/>
        <v>1.3411279729025703E-2</v>
      </c>
      <c r="I195" s="7">
        <v>0</v>
      </c>
      <c r="J195" s="7">
        <v>0</v>
      </c>
      <c r="K195" s="7">
        <v>0</v>
      </c>
      <c r="L195" s="7">
        <v>0</v>
      </c>
      <c r="M195" s="7">
        <v>-6.8897055894063504E-3</v>
      </c>
      <c r="N195" s="7">
        <v>1.3411279729025703E-2</v>
      </c>
      <c r="O195" s="7">
        <v>0</v>
      </c>
      <c r="P195" s="7">
        <v>0</v>
      </c>
    </row>
    <row r="196" spans="1:16" x14ac:dyDescent="0.3">
      <c r="A196" s="1">
        <v>43745</v>
      </c>
      <c r="B196" s="2">
        <v>15.848000000000001</v>
      </c>
      <c r="C196" s="2">
        <v>137.12</v>
      </c>
      <c r="F196" s="1">
        <v>43745</v>
      </c>
      <c r="G196" s="2">
        <f t="shared" si="4"/>
        <v>2.6816036902084416E-2</v>
      </c>
      <c r="H196" s="2">
        <f t="shared" si="5"/>
        <v>-7.2664176723218994E-3</v>
      </c>
      <c r="I196" s="7">
        <v>0</v>
      </c>
      <c r="J196" s="7">
        <v>0</v>
      </c>
      <c r="K196" s="7">
        <v>2.6816036902084416E-2</v>
      </c>
      <c r="L196" s="7">
        <v>-7.2664176723218994E-3</v>
      </c>
      <c r="M196" s="7">
        <v>0</v>
      </c>
      <c r="N196" s="7">
        <v>0</v>
      </c>
      <c r="O196" s="7">
        <v>0</v>
      </c>
      <c r="P196" s="7">
        <v>0</v>
      </c>
    </row>
    <row r="197" spans="1:16" x14ac:dyDescent="0.3">
      <c r="A197" s="1">
        <v>43746</v>
      </c>
      <c r="B197" s="2">
        <v>16.003332</v>
      </c>
      <c r="C197" s="2">
        <v>135.66999999999999</v>
      </c>
      <c r="F197" s="1">
        <v>43746</v>
      </c>
      <c r="G197" s="2">
        <f t="shared" si="4"/>
        <v>9.7536411625101637E-3</v>
      </c>
      <c r="H197" s="2">
        <f t="shared" si="5"/>
        <v>-1.0630988352252577E-2</v>
      </c>
      <c r="I197" s="7">
        <v>0</v>
      </c>
      <c r="J197" s="7">
        <v>0</v>
      </c>
      <c r="K197" s="7">
        <v>9.7536411625101637E-3</v>
      </c>
      <c r="L197" s="7">
        <v>-1.0630988352252577E-2</v>
      </c>
      <c r="M197" s="7">
        <v>0</v>
      </c>
      <c r="N197" s="7">
        <v>0</v>
      </c>
      <c r="O197" s="7">
        <v>0</v>
      </c>
      <c r="P197" s="7">
        <v>0</v>
      </c>
    </row>
    <row r="198" spans="1:16" x14ac:dyDescent="0.3">
      <c r="A198" s="1">
        <v>43747</v>
      </c>
      <c r="B198" s="2">
        <v>16.302</v>
      </c>
      <c r="C198" s="2">
        <v>138.24</v>
      </c>
      <c r="F198" s="1">
        <v>43747</v>
      </c>
      <c r="G198" s="2">
        <f t="shared" ref="G198:G261" si="6">LN(B198/B197)</f>
        <v>1.8490849113505708E-2</v>
      </c>
      <c r="H198" s="2">
        <f t="shared" ref="H198:H261" si="7">LN(C198/C197)</f>
        <v>1.8765838558528449E-2</v>
      </c>
      <c r="I198" s="7">
        <v>0</v>
      </c>
      <c r="J198" s="7">
        <v>0</v>
      </c>
      <c r="K198" s="7">
        <v>0</v>
      </c>
      <c r="L198" s="7">
        <v>0</v>
      </c>
      <c r="M198" s="7">
        <v>0</v>
      </c>
      <c r="N198" s="7">
        <v>0</v>
      </c>
      <c r="O198" s="7">
        <v>1.8490849113505708E-2</v>
      </c>
      <c r="P198" s="7">
        <v>1.8765838558528449E-2</v>
      </c>
    </row>
    <row r="199" spans="1:16" x14ac:dyDescent="0.3">
      <c r="A199" s="1">
        <v>43748</v>
      </c>
      <c r="B199" s="2">
        <v>16.315999999999999</v>
      </c>
      <c r="C199" s="2">
        <v>139.1</v>
      </c>
      <c r="F199" s="1">
        <v>43748</v>
      </c>
      <c r="G199" s="2">
        <f t="shared" si="6"/>
        <v>8.5842178304638918E-4</v>
      </c>
      <c r="H199" s="2">
        <f t="shared" si="7"/>
        <v>6.2017938736515787E-3</v>
      </c>
      <c r="I199" s="7">
        <v>0</v>
      </c>
      <c r="J199" s="7">
        <v>0</v>
      </c>
      <c r="K199" s="7">
        <v>0</v>
      </c>
      <c r="L199" s="7">
        <v>0</v>
      </c>
      <c r="M199" s="7">
        <v>0</v>
      </c>
      <c r="N199" s="7">
        <v>0</v>
      </c>
      <c r="O199" s="7">
        <v>8.5842178304638918E-4</v>
      </c>
      <c r="P199" s="7">
        <v>6.2017938736515787E-3</v>
      </c>
    </row>
    <row r="200" spans="1:16" x14ac:dyDescent="0.3">
      <c r="A200" s="1">
        <v>43749</v>
      </c>
      <c r="B200" s="2">
        <v>16.525998999999999</v>
      </c>
      <c r="C200" s="2">
        <v>139.68</v>
      </c>
      <c r="F200" s="1">
        <v>43749</v>
      </c>
      <c r="G200" s="2">
        <f t="shared" si="6"/>
        <v>1.2788616312968289E-2</v>
      </c>
      <c r="H200" s="2">
        <f t="shared" si="7"/>
        <v>4.160993161894882E-3</v>
      </c>
      <c r="I200" s="7">
        <v>0</v>
      </c>
      <c r="J200" s="7">
        <v>0</v>
      </c>
      <c r="K200" s="7">
        <v>0</v>
      </c>
      <c r="L200" s="7">
        <v>0</v>
      </c>
      <c r="M200" s="7">
        <v>0</v>
      </c>
      <c r="N200" s="7">
        <v>0</v>
      </c>
      <c r="O200" s="7">
        <v>1.2788616312968289E-2</v>
      </c>
      <c r="P200" s="7">
        <v>4.160993161894882E-3</v>
      </c>
    </row>
    <row r="201" spans="1:16" x14ac:dyDescent="0.3">
      <c r="A201" s="1">
        <v>43752</v>
      </c>
      <c r="B201" s="2">
        <v>17.130666999999999</v>
      </c>
      <c r="C201" s="2">
        <v>139.55000000000001</v>
      </c>
      <c r="F201" s="1">
        <v>43752</v>
      </c>
      <c r="G201" s="2">
        <f t="shared" si="6"/>
        <v>3.5935411346187662E-2</v>
      </c>
      <c r="H201" s="2">
        <f t="shared" si="7"/>
        <v>-9.3113210896089444E-4</v>
      </c>
      <c r="I201" s="7">
        <v>0</v>
      </c>
      <c r="J201" s="7">
        <v>0</v>
      </c>
      <c r="K201" s="7">
        <v>3.5935411346187662E-2</v>
      </c>
      <c r="L201" s="7">
        <v>-9.3113210896089444E-4</v>
      </c>
      <c r="M201" s="7">
        <v>0</v>
      </c>
      <c r="N201" s="7">
        <v>0</v>
      </c>
      <c r="O201" s="7">
        <v>0</v>
      </c>
      <c r="P201" s="7">
        <v>0</v>
      </c>
    </row>
    <row r="202" spans="1:16" x14ac:dyDescent="0.3">
      <c r="A202" s="1">
        <v>43753</v>
      </c>
      <c r="B202" s="2">
        <v>17.192667</v>
      </c>
      <c r="C202" s="2">
        <v>141.57</v>
      </c>
      <c r="F202" s="1">
        <v>43753</v>
      </c>
      <c r="G202" s="2">
        <f t="shared" si="6"/>
        <v>3.6127065880898774E-3</v>
      </c>
      <c r="H202" s="2">
        <f t="shared" si="7"/>
        <v>1.4371334424074459E-2</v>
      </c>
      <c r="I202" s="7">
        <v>0</v>
      </c>
      <c r="J202" s="7">
        <v>0</v>
      </c>
      <c r="K202" s="7">
        <v>0</v>
      </c>
      <c r="L202" s="7">
        <v>0</v>
      </c>
      <c r="M202" s="7">
        <v>0</v>
      </c>
      <c r="N202" s="7">
        <v>0</v>
      </c>
      <c r="O202" s="7">
        <v>3.6127065880898774E-3</v>
      </c>
      <c r="P202" s="7">
        <v>1.4371334424074459E-2</v>
      </c>
    </row>
    <row r="203" spans="1:16" x14ac:dyDescent="0.3">
      <c r="A203" s="1">
        <v>43754</v>
      </c>
      <c r="B203" s="2">
        <v>17.316668</v>
      </c>
      <c r="C203" s="2">
        <v>140.41</v>
      </c>
      <c r="F203" s="1">
        <v>43754</v>
      </c>
      <c r="G203" s="2">
        <f t="shared" si="6"/>
        <v>7.1865501716784474E-3</v>
      </c>
      <c r="H203" s="2">
        <f t="shared" si="7"/>
        <v>-8.227580279855002E-3</v>
      </c>
      <c r="I203" s="7">
        <v>0</v>
      </c>
      <c r="J203" s="7">
        <v>0</v>
      </c>
      <c r="K203" s="7">
        <v>7.1865501716784474E-3</v>
      </c>
      <c r="L203" s="7">
        <v>-8.227580279855002E-3</v>
      </c>
      <c r="M203" s="7">
        <v>0</v>
      </c>
      <c r="N203" s="7">
        <v>0</v>
      </c>
      <c r="O203" s="7">
        <v>0</v>
      </c>
      <c r="P203" s="7">
        <v>0</v>
      </c>
    </row>
    <row r="204" spans="1:16" x14ac:dyDescent="0.3">
      <c r="A204" s="1">
        <v>43755</v>
      </c>
      <c r="B204" s="2">
        <v>17.464666000000001</v>
      </c>
      <c r="C204" s="2">
        <v>139.69</v>
      </c>
      <c r="F204" s="1">
        <v>43755</v>
      </c>
      <c r="G204" s="2">
        <f t="shared" si="6"/>
        <v>8.5102482394836462E-3</v>
      </c>
      <c r="H204" s="2">
        <f t="shared" si="7"/>
        <v>-5.1410323870912777E-3</v>
      </c>
      <c r="I204" s="7">
        <v>0</v>
      </c>
      <c r="J204" s="7">
        <v>0</v>
      </c>
      <c r="K204" s="7">
        <v>8.5102482394836462E-3</v>
      </c>
      <c r="L204" s="7">
        <v>-5.1410323870912777E-3</v>
      </c>
      <c r="M204" s="7">
        <v>0</v>
      </c>
      <c r="N204" s="7">
        <v>0</v>
      </c>
      <c r="O204" s="7">
        <v>0</v>
      </c>
      <c r="P204" s="7">
        <v>0</v>
      </c>
    </row>
    <row r="205" spans="1:16" x14ac:dyDescent="0.3">
      <c r="A205" s="1">
        <v>43756</v>
      </c>
      <c r="B205" s="2">
        <v>17.129999000000002</v>
      </c>
      <c r="C205" s="2">
        <v>137.41</v>
      </c>
      <c r="F205" s="1">
        <v>43756</v>
      </c>
      <c r="G205" s="2">
        <f t="shared" si="6"/>
        <v>-1.9348500154809174E-2</v>
      </c>
      <c r="H205" s="2">
        <f t="shared" si="7"/>
        <v>-1.6456524395776512E-2</v>
      </c>
      <c r="I205" s="7">
        <v>-1.9348500154809174E-2</v>
      </c>
      <c r="J205" s="7">
        <v>-1.6456524395776512E-2</v>
      </c>
      <c r="K205" s="7">
        <v>0</v>
      </c>
      <c r="L205" s="7">
        <v>0</v>
      </c>
      <c r="M205" s="7">
        <v>0</v>
      </c>
      <c r="N205" s="7">
        <v>0</v>
      </c>
      <c r="O205" s="7">
        <v>0</v>
      </c>
      <c r="P205" s="7">
        <v>0</v>
      </c>
    </row>
    <row r="206" spans="1:16" x14ac:dyDescent="0.3">
      <c r="A206" s="1">
        <v>43759</v>
      </c>
      <c r="B206" s="2">
        <v>16.899999999999999</v>
      </c>
      <c r="C206" s="2">
        <v>138.43</v>
      </c>
      <c r="F206" s="1">
        <v>43759</v>
      </c>
      <c r="G206" s="2">
        <f t="shared" si="6"/>
        <v>-1.351763202988307E-2</v>
      </c>
      <c r="H206" s="2">
        <f t="shared" si="7"/>
        <v>7.3956253559607672E-3</v>
      </c>
      <c r="I206" s="7">
        <v>0</v>
      </c>
      <c r="J206" s="7">
        <v>0</v>
      </c>
      <c r="K206" s="7">
        <v>0</v>
      </c>
      <c r="L206" s="7">
        <v>0</v>
      </c>
      <c r="M206" s="7">
        <v>-1.351763202988307E-2</v>
      </c>
      <c r="N206" s="7">
        <v>7.3956253559607672E-3</v>
      </c>
      <c r="O206" s="7">
        <v>0</v>
      </c>
      <c r="P206" s="7">
        <v>0</v>
      </c>
    </row>
    <row r="207" spans="1:16" x14ac:dyDescent="0.3">
      <c r="A207" s="1">
        <v>43760</v>
      </c>
      <c r="B207" s="2">
        <v>17.038668000000001</v>
      </c>
      <c r="C207" s="2">
        <v>136.37</v>
      </c>
      <c r="F207" s="1">
        <v>43760</v>
      </c>
      <c r="G207" s="2">
        <f t="shared" si="6"/>
        <v>8.1717274027008607E-3</v>
      </c>
      <c r="H207" s="2">
        <f t="shared" si="7"/>
        <v>-1.4993002829901025E-2</v>
      </c>
      <c r="I207" s="7">
        <v>0</v>
      </c>
      <c r="J207" s="7">
        <v>0</v>
      </c>
      <c r="K207" s="7">
        <v>8.1717274027008607E-3</v>
      </c>
      <c r="L207" s="7">
        <v>-1.4993002829901025E-2</v>
      </c>
      <c r="M207" s="7">
        <v>0</v>
      </c>
      <c r="N207" s="7">
        <v>0</v>
      </c>
      <c r="O207" s="7">
        <v>0</v>
      </c>
      <c r="P207" s="7">
        <v>0</v>
      </c>
    </row>
    <row r="208" spans="1:16" x14ac:dyDescent="0.3">
      <c r="A208" s="1">
        <v>43761</v>
      </c>
      <c r="B208" s="2">
        <v>16.978666</v>
      </c>
      <c r="C208" s="2">
        <v>137.24</v>
      </c>
      <c r="F208" s="1">
        <v>43761</v>
      </c>
      <c r="G208" s="2">
        <f t="shared" si="6"/>
        <v>-3.5277345500748245E-3</v>
      </c>
      <c r="H208" s="2">
        <f t="shared" si="7"/>
        <v>6.359438120506467E-3</v>
      </c>
      <c r="I208" s="7">
        <v>0</v>
      </c>
      <c r="J208" s="7">
        <v>0</v>
      </c>
      <c r="K208" s="7">
        <v>0</v>
      </c>
      <c r="L208" s="7">
        <v>0</v>
      </c>
      <c r="M208" s="7">
        <v>-3.5277345500748245E-3</v>
      </c>
      <c r="N208" s="7">
        <v>6.359438120506467E-3</v>
      </c>
      <c r="O208" s="7">
        <v>0</v>
      </c>
      <c r="P208" s="7">
        <v>0</v>
      </c>
    </row>
    <row r="209" spans="1:16" x14ac:dyDescent="0.3">
      <c r="A209" s="1">
        <v>43762</v>
      </c>
      <c r="B209" s="2">
        <v>19.978666</v>
      </c>
      <c r="C209" s="2">
        <v>139.94</v>
      </c>
      <c r="F209" s="1">
        <v>43762</v>
      </c>
      <c r="G209" s="2">
        <f t="shared" si="6"/>
        <v>0.16270738944298707</v>
      </c>
      <c r="H209" s="2">
        <f t="shared" si="7"/>
        <v>1.9482541327501542E-2</v>
      </c>
      <c r="I209" s="7">
        <v>0</v>
      </c>
      <c r="J209" s="7">
        <v>0</v>
      </c>
      <c r="K209" s="7">
        <v>0</v>
      </c>
      <c r="L209" s="7">
        <v>0</v>
      </c>
      <c r="M209" s="7">
        <v>0</v>
      </c>
      <c r="N209" s="7">
        <v>0</v>
      </c>
      <c r="O209" s="7">
        <v>0.16270738944298707</v>
      </c>
      <c r="P209" s="7">
        <v>1.9482541327501542E-2</v>
      </c>
    </row>
    <row r="210" spans="1:16" x14ac:dyDescent="0.3">
      <c r="A210" s="1">
        <v>43763</v>
      </c>
      <c r="B210" s="2">
        <v>21.875333999999999</v>
      </c>
      <c r="C210" s="2">
        <v>140.72999999999999</v>
      </c>
      <c r="F210" s="1">
        <v>43763</v>
      </c>
      <c r="G210" s="2">
        <f t="shared" si="6"/>
        <v>9.0694696473902228E-2</v>
      </c>
      <c r="H210" s="2">
        <f t="shared" si="7"/>
        <v>5.6294016907256408E-3</v>
      </c>
      <c r="I210" s="7">
        <v>0</v>
      </c>
      <c r="J210" s="7">
        <v>0</v>
      </c>
      <c r="K210" s="7">
        <v>0</v>
      </c>
      <c r="L210" s="7">
        <v>0</v>
      </c>
      <c r="M210" s="7">
        <v>0</v>
      </c>
      <c r="N210" s="7">
        <v>0</v>
      </c>
      <c r="O210" s="7">
        <v>9.0694696473902228E-2</v>
      </c>
      <c r="P210" s="7">
        <v>5.6294016907256408E-3</v>
      </c>
    </row>
    <row r="211" spans="1:16" x14ac:dyDescent="0.3">
      <c r="A211" s="1">
        <v>43766</v>
      </c>
      <c r="B211" s="2">
        <v>21.847334</v>
      </c>
      <c r="C211" s="2">
        <v>144.19</v>
      </c>
      <c r="F211" s="1">
        <v>43766</v>
      </c>
      <c r="G211" s="2">
        <f t="shared" si="6"/>
        <v>-1.2808003312018137E-3</v>
      </c>
      <c r="H211" s="2">
        <f t="shared" si="7"/>
        <v>2.4288713310079313E-2</v>
      </c>
      <c r="I211" s="7">
        <v>0</v>
      </c>
      <c r="J211" s="7">
        <v>0</v>
      </c>
      <c r="K211" s="7">
        <v>0</v>
      </c>
      <c r="L211" s="7">
        <v>0</v>
      </c>
      <c r="M211" s="7">
        <v>-1.2808003312018137E-3</v>
      </c>
      <c r="N211" s="7">
        <v>2.4288713310079313E-2</v>
      </c>
      <c r="O211" s="7">
        <v>0</v>
      </c>
      <c r="P211" s="7">
        <v>0</v>
      </c>
    </row>
    <row r="212" spans="1:16" x14ac:dyDescent="0.3">
      <c r="A212" s="1">
        <v>43767</v>
      </c>
      <c r="B212" s="2">
        <v>21.081333000000001</v>
      </c>
      <c r="C212" s="2">
        <v>142.83000000000001</v>
      </c>
      <c r="F212" s="1">
        <v>43767</v>
      </c>
      <c r="G212" s="2">
        <f t="shared" si="6"/>
        <v>-3.5690943399328989E-2</v>
      </c>
      <c r="H212" s="2">
        <f t="shared" si="7"/>
        <v>-9.4767624440183426E-3</v>
      </c>
      <c r="I212" s="7">
        <v>-3.5690943399328989E-2</v>
      </c>
      <c r="J212" s="7">
        <v>-9.4767624440183426E-3</v>
      </c>
      <c r="K212" s="7">
        <v>0</v>
      </c>
      <c r="L212" s="7">
        <v>0</v>
      </c>
      <c r="M212" s="7">
        <v>0</v>
      </c>
      <c r="N212" s="7">
        <v>0</v>
      </c>
      <c r="O212" s="7">
        <v>0</v>
      </c>
      <c r="P212" s="7">
        <v>0</v>
      </c>
    </row>
    <row r="213" spans="1:16" x14ac:dyDescent="0.3">
      <c r="A213" s="1">
        <v>43768</v>
      </c>
      <c r="B213" s="2">
        <v>21.000668000000001</v>
      </c>
      <c r="C213" s="2">
        <v>144.61000000000001</v>
      </c>
      <c r="F213" s="1">
        <v>43768</v>
      </c>
      <c r="G213" s="2">
        <f t="shared" si="6"/>
        <v>-3.8337102266919635E-3</v>
      </c>
      <c r="H213" s="2">
        <f t="shared" si="7"/>
        <v>1.2385351752163636E-2</v>
      </c>
      <c r="I213" s="7">
        <v>0</v>
      </c>
      <c r="J213" s="7">
        <v>0</v>
      </c>
      <c r="K213" s="7">
        <v>0</v>
      </c>
      <c r="L213" s="7">
        <v>0</v>
      </c>
      <c r="M213" s="7">
        <v>-3.8337102266919635E-3</v>
      </c>
      <c r="N213" s="7">
        <v>1.2385351752163636E-2</v>
      </c>
      <c r="O213" s="7">
        <v>0</v>
      </c>
      <c r="P213" s="7">
        <v>0</v>
      </c>
    </row>
    <row r="214" spans="1:16" x14ac:dyDescent="0.3">
      <c r="A214" s="1">
        <v>43769</v>
      </c>
      <c r="B214" s="2">
        <v>20.994667</v>
      </c>
      <c r="C214" s="2">
        <v>143.37</v>
      </c>
      <c r="F214" s="1">
        <v>43769</v>
      </c>
      <c r="G214" s="2">
        <f t="shared" si="6"/>
        <v>-2.857936502160351E-4</v>
      </c>
      <c r="H214" s="2">
        <f t="shared" si="7"/>
        <v>-8.6117623685243432E-3</v>
      </c>
      <c r="I214" s="7">
        <v>-2.857936502160351E-4</v>
      </c>
      <c r="J214" s="7">
        <v>-8.6117623685243432E-3</v>
      </c>
      <c r="K214" s="7">
        <v>0</v>
      </c>
      <c r="L214" s="7">
        <v>0</v>
      </c>
      <c r="M214" s="7">
        <v>0</v>
      </c>
      <c r="N214" s="7">
        <v>0</v>
      </c>
      <c r="O214" s="7">
        <v>0</v>
      </c>
      <c r="P214" s="7">
        <v>0</v>
      </c>
    </row>
    <row r="215" spans="1:16" x14ac:dyDescent="0.3">
      <c r="A215" s="1">
        <v>43770</v>
      </c>
      <c r="B215" s="2">
        <v>20.887333000000002</v>
      </c>
      <c r="C215" s="2">
        <v>143.72</v>
      </c>
      <c r="F215" s="1">
        <v>43770</v>
      </c>
      <c r="G215" s="2">
        <f t="shared" si="6"/>
        <v>-5.1255544140017166E-3</v>
      </c>
      <c r="H215" s="2">
        <f t="shared" si="7"/>
        <v>2.4382609871413685E-3</v>
      </c>
      <c r="I215" s="7">
        <v>0</v>
      </c>
      <c r="J215" s="7">
        <v>0</v>
      </c>
      <c r="K215" s="7">
        <v>0</v>
      </c>
      <c r="L215" s="7">
        <v>0</v>
      </c>
      <c r="M215" s="7">
        <v>-5.1255544140017166E-3</v>
      </c>
      <c r="N215" s="7">
        <v>2.4382609871413685E-3</v>
      </c>
      <c r="O215" s="7">
        <v>0</v>
      </c>
      <c r="P215" s="7">
        <v>0</v>
      </c>
    </row>
    <row r="216" spans="1:16" x14ac:dyDescent="0.3">
      <c r="A216" s="1">
        <v>43773</v>
      </c>
      <c r="B216" s="2">
        <v>21.164667000000001</v>
      </c>
      <c r="C216" s="2">
        <v>144.55000000000001</v>
      </c>
      <c r="F216" s="1">
        <v>43773</v>
      </c>
      <c r="G216" s="2">
        <f t="shared" si="6"/>
        <v>1.3190241649686621E-2</v>
      </c>
      <c r="H216" s="2">
        <f t="shared" si="7"/>
        <v>5.7585062170372753E-3</v>
      </c>
      <c r="I216" s="7">
        <v>0</v>
      </c>
      <c r="J216" s="7">
        <v>0</v>
      </c>
      <c r="K216" s="7">
        <v>0</v>
      </c>
      <c r="L216" s="7">
        <v>0</v>
      </c>
      <c r="M216" s="7">
        <v>0</v>
      </c>
      <c r="N216" s="7">
        <v>0</v>
      </c>
      <c r="O216" s="7">
        <v>1.3190241649686621E-2</v>
      </c>
      <c r="P216" s="7">
        <v>5.7585062170372753E-3</v>
      </c>
    </row>
    <row r="217" spans="1:16" x14ac:dyDescent="0.3">
      <c r="A217" s="1">
        <v>43774</v>
      </c>
      <c r="B217" s="2">
        <v>21.148001000000001</v>
      </c>
      <c r="C217" s="2">
        <v>144.46</v>
      </c>
      <c r="F217" s="1">
        <v>43774</v>
      </c>
      <c r="G217" s="2">
        <f t="shared" si="6"/>
        <v>-7.8775466779132137E-4</v>
      </c>
      <c r="H217" s="2">
        <f t="shared" si="7"/>
        <v>-6.2281583965429594E-4</v>
      </c>
      <c r="I217" s="7">
        <v>-7.8775466779132137E-4</v>
      </c>
      <c r="J217" s="7">
        <v>-6.2281583965429594E-4</v>
      </c>
      <c r="K217" s="7">
        <v>0</v>
      </c>
      <c r="L217" s="7">
        <v>0</v>
      </c>
      <c r="M217" s="7">
        <v>0</v>
      </c>
      <c r="N217" s="7">
        <v>0</v>
      </c>
      <c r="O217" s="7">
        <v>0</v>
      </c>
      <c r="P217" s="7">
        <v>0</v>
      </c>
    </row>
    <row r="218" spans="1:16" x14ac:dyDescent="0.3">
      <c r="A218" s="1">
        <v>43775</v>
      </c>
      <c r="B218" s="2">
        <v>21.771999000000001</v>
      </c>
      <c r="C218" s="2">
        <v>144.06</v>
      </c>
      <c r="F218" s="1">
        <v>43775</v>
      </c>
      <c r="G218" s="2">
        <f t="shared" si="6"/>
        <v>2.9079308982401436E-2</v>
      </c>
      <c r="H218" s="2">
        <f t="shared" si="7"/>
        <v>-2.7727731614839374E-3</v>
      </c>
      <c r="I218" s="7">
        <v>0</v>
      </c>
      <c r="J218" s="7">
        <v>0</v>
      </c>
      <c r="K218" s="7">
        <v>2.9079308982401436E-2</v>
      </c>
      <c r="L218" s="7">
        <v>-2.7727731614839374E-3</v>
      </c>
      <c r="M218" s="7">
        <v>0</v>
      </c>
      <c r="N218" s="7">
        <v>0</v>
      </c>
      <c r="O218" s="7">
        <v>0</v>
      </c>
      <c r="P218" s="7">
        <v>0</v>
      </c>
    </row>
    <row r="219" spans="1:16" x14ac:dyDescent="0.3">
      <c r="A219" s="1">
        <v>43776</v>
      </c>
      <c r="B219" s="2">
        <v>22.369333000000001</v>
      </c>
      <c r="C219" s="2">
        <v>144.26</v>
      </c>
      <c r="F219" s="1">
        <v>43776</v>
      </c>
      <c r="G219" s="2">
        <f t="shared" si="6"/>
        <v>2.7066263697291766E-2</v>
      </c>
      <c r="H219" s="2">
        <f t="shared" si="7"/>
        <v>1.3873476143095435E-3</v>
      </c>
      <c r="I219" s="7">
        <v>0</v>
      </c>
      <c r="J219" s="7">
        <v>0</v>
      </c>
      <c r="K219" s="7">
        <v>0</v>
      </c>
      <c r="L219" s="7">
        <v>0</v>
      </c>
      <c r="M219" s="7">
        <v>0</v>
      </c>
      <c r="N219" s="7">
        <v>0</v>
      </c>
      <c r="O219" s="7">
        <v>2.7066263697291766E-2</v>
      </c>
      <c r="P219" s="7">
        <v>1.3873476143095435E-3</v>
      </c>
    </row>
    <row r="220" spans="1:16" x14ac:dyDescent="0.3">
      <c r="A220" s="1">
        <v>43777</v>
      </c>
      <c r="B220" s="2">
        <v>22.475999999999999</v>
      </c>
      <c r="C220" s="2">
        <v>145.96</v>
      </c>
      <c r="F220" s="1">
        <v>43777</v>
      </c>
      <c r="G220" s="2">
        <f t="shared" si="6"/>
        <v>4.7571149112603838E-3</v>
      </c>
      <c r="H220" s="2">
        <f t="shared" si="7"/>
        <v>1.1715384492720448E-2</v>
      </c>
      <c r="I220" s="7">
        <v>0</v>
      </c>
      <c r="J220" s="7">
        <v>0</v>
      </c>
      <c r="K220" s="7">
        <v>0</v>
      </c>
      <c r="L220" s="7">
        <v>0</v>
      </c>
      <c r="M220" s="7">
        <v>0</v>
      </c>
      <c r="N220" s="7">
        <v>0</v>
      </c>
      <c r="O220" s="7">
        <v>4.7571149112603838E-3</v>
      </c>
      <c r="P220" s="7">
        <v>1.1715384492720448E-2</v>
      </c>
    </row>
    <row r="221" spans="1:16" x14ac:dyDescent="0.3">
      <c r="A221" s="1">
        <v>43780</v>
      </c>
      <c r="B221" s="2">
        <v>23.006001000000001</v>
      </c>
      <c r="C221" s="2">
        <v>146.11000000000001</v>
      </c>
      <c r="F221" s="1">
        <v>43780</v>
      </c>
      <c r="G221" s="2">
        <f t="shared" si="6"/>
        <v>2.3307021690787522E-2</v>
      </c>
      <c r="H221" s="2">
        <f t="shared" si="7"/>
        <v>1.0271511157462668E-3</v>
      </c>
      <c r="I221" s="7">
        <v>0</v>
      </c>
      <c r="J221" s="7">
        <v>0</v>
      </c>
      <c r="K221" s="7">
        <v>0</v>
      </c>
      <c r="L221" s="7">
        <v>0</v>
      </c>
      <c r="M221" s="7">
        <v>0</v>
      </c>
      <c r="N221" s="7">
        <v>0</v>
      </c>
      <c r="O221" s="7">
        <v>2.3307021690787522E-2</v>
      </c>
      <c r="P221" s="7">
        <v>1.0271511157462668E-3</v>
      </c>
    </row>
    <row r="222" spans="1:16" x14ac:dyDescent="0.3">
      <c r="A222" s="1">
        <v>43781</v>
      </c>
      <c r="B222" s="2">
        <v>23.328666999999999</v>
      </c>
      <c r="C222" s="2">
        <v>147.07</v>
      </c>
      <c r="F222" s="1">
        <v>43781</v>
      </c>
      <c r="G222" s="2">
        <f t="shared" si="6"/>
        <v>1.3927852726414766E-2</v>
      </c>
      <c r="H222" s="2">
        <f t="shared" si="7"/>
        <v>6.5489012282290609E-3</v>
      </c>
      <c r="I222" s="7">
        <v>0</v>
      </c>
      <c r="J222" s="7">
        <v>0</v>
      </c>
      <c r="K222" s="7">
        <v>0</v>
      </c>
      <c r="L222" s="7">
        <v>0</v>
      </c>
      <c r="M222" s="7">
        <v>0</v>
      </c>
      <c r="N222" s="7">
        <v>0</v>
      </c>
      <c r="O222" s="7">
        <v>1.3927852726414766E-2</v>
      </c>
      <c r="P222" s="7">
        <v>6.5489012282290609E-3</v>
      </c>
    </row>
    <row r="223" spans="1:16" x14ac:dyDescent="0.3">
      <c r="A223" s="1">
        <v>43782</v>
      </c>
      <c r="B223" s="2">
        <v>23.073999000000001</v>
      </c>
      <c r="C223" s="2">
        <v>147.31</v>
      </c>
      <c r="F223" s="1">
        <v>43782</v>
      </c>
      <c r="G223" s="2">
        <f t="shared" si="6"/>
        <v>-1.0976548500879984E-2</v>
      </c>
      <c r="H223" s="2">
        <f t="shared" si="7"/>
        <v>1.6305459146247676E-3</v>
      </c>
      <c r="I223" s="7">
        <v>0</v>
      </c>
      <c r="J223" s="7">
        <v>0</v>
      </c>
      <c r="K223" s="7">
        <v>0</v>
      </c>
      <c r="L223" s="7">
        <v>0</v>
      </c>
      <c r="M223" s="7">
        <v>-1.0976548500879984E-2</v>
      </c>
      <c r="N223" s="7">
        <v>1.6305459146247676E-3</v>
      </c>
      <c r="O223" s="7">
        <v>0</v>
      </c>
      <c r="P223" s="7">
        <v>0</v>
      </c>
    </row>
    <row r="224" spans="1:16" x14ac:dyDescent="0.3">
      <c r="A224" s="1">
        <v>43783</v>
      </c>
      <c r="B224" s="2">
        <v>23.290001</v>
      </c>
      <c r="C224" s="2">
        <v>148.06</v>
      </c>
      <c r="F224" s="1">
        <v>43783</v>
      </c>
      <c r="G224" s="2">
        <f t="shared" si="6"/>
        <v>9.3177276668574855E-3</v>
      </c>
      <c r="H224" s="2">
        <f t="shared" si="7"/>
        <v>5.0783871881053969E-3</v>
      </c>
      <c r="I224" s="7">
        <v>0</v>
      </c>
      <c r="J224" s="7">
        <v>0</v>
      </c>
      <c r="K224" s="7">
        <v>0</v>
      </c>
      <c r="L224" s="7">
        <v>0</v>
      </c>
      <c r="M224" s="7">
        <v>0</v>
      </c>
      <c r="N224" s="7">
        <v>0</v>
      </c>
      <c r="O224" s="7">
        <v>9.3177276668574855E-3</v>
      </c>
      <c r="P224" s="7">
        <v>5.0783871881053969E-3</v>
      </c>
    </row>
    <row r="225" spans="1:16" x14ac:dyDescent="0.3">
      <c r="A225" s="1">
        <v>43784</v>
      </c>
      <c r="B225" s="2">
        <v>23.478000999999999</v>
      </c>
      <c r="C225" s="2">
        <v>149.97</v>
      </c>
      <c r="F225" s="1">
        <v>43784</v>
      </c>
      <c r="G225" s="2">
        <f t="shared" si="6"/>
        <v>8.0397282162637997E-3</v>
      </c>
      <c r="H225" s="2">
        <f t="shared" si="7"/>
        <v>1.2817677078636368E-2</v>
      </c>
      <c r="I225" s="7">
        <v>0</v>
      </c>
      <c r="J225" s="7">
        <v>0</v>
      </c>
      <c r="K225" s="7">
        <v>0</v>
      </c>
      <c r="L225" s="7">
        <v>0</v>
      </c>
      <c r="M225" s="7">
        <v>0</v>
      </c>
      <c r="N225" s="7">
        <v>0</v>
      </c>
      <c r="O225" s="7">
        <v>8.0397282162637997E-3</v>
      </c>
      <c r="P225" s="7">
        <v>1.2817677078636368E-2</v>
      </c>
    </row>
    <row r="226" spans="1:16" x14ac:dyDescent="0.3">
      <c r="A226" s="1">
        <v>43787</v>
      </c>
      <c r="B226" s="2">
        <v>23.332666</v>
      </c>
      <c r="C226" s="2">
        <v>150.34</v>
      </c>
      <c r="F226" s="1">
        <v>43787</v>
      </c>
      <c r="G226" s="2">
        <f t="shared" si="6"/>
        <v>-6.2095020771338032E-3</v>
      </c>
      <c r="H226" s="2">
        <f t="shared" si="7"/>
        <v>2.4641216557342643E-3</v>
      </c>
      <c r="I226" s="7">
        <v>0</v>
      </c>
      <c r="J226" s="7">
        <v>0</v>
      </c>
      <c r="K226" s="7">
        <v>0</v>
      </c>
      <c r="L226" s="7">
        <v>0</v>
      </c>
      <c r="M226" s="7">
        <v>-6.2095020771338032E-3</v>
      </c>
      <c r="N226" s="7">
        <v>2.4641216557342643E-3</v>
      </c>
      <c r="O226" s="7">
        <v>0</v>
      </c>
      <c r="P226" s="7">
        <v>0</v>
      </c>
    </row>
    <row r="227" spans="1:16" x14ac:dyDescent="0.3">
      <c r="A227" s="1">
        <v>43788</v>
      </c>
      <c r="B227" s="2">
        <v>23.968</v>
      </c>
      <c r="C227" s="2">
        <v>150.38999999999999</v>
      </c>
      <c r="F227" s="1">
        <v>43788</v>
      </c>
      <c r="G227" s="2">
        <f t="shared" si="6"/>
        <v>2.6865254362547393E-2</v>
      </c>
      <c r="H227" s="2">
        <f t="shared" si="7"/>
        <v>3.3252419419886126E-4</v>
      </c>
      <c r="I227" s="7">
        <v>0</v>
      </c>
      <c r="J227" s="7">
        <v>0</v>
      </c>
      <c r="K227" s="7">
        <v>0</v>
      </c>
      <c r="L227" s="7">
        <v>0</v>
      </c>
      <c r="M227" s="7">
        <v>0</v>
      </c>
      <c r="N227" s="7">
        <v>0</v>
      </c>
      <c r="O227" s="7">
        <v>2.6865254362547393E-2</v>
      </c>
      <c r="P227" s="7">
        <v>3.3252419419886126E-4</v>
      </c>
    </row>
    <row r="228" spans="1:16" x14ac:dyDescent="0.3">
      <c r="A228" s="1">
        <v>43789</v>
      </c>
      <c r="B228" s="2">
        <v>23.481332999999999</v>
      </c>
      <c r="C228" s="2">
        <v>149.62</v>
      </c>
      <c r="F228" s="1">
        <v>43789</v>
      </c>
      <c r="G228" s="2">
        <f t="shared" si="6"/>
        <v>-2.0513842265753132E-2</v>
      </c>
      <c r="H228" s="2">
        <f t="shared" si="7"/>
        <v>-5.1331734992627314E-3</v>
      </c>
      <c r="I228" s="7">
        <v>-2.0513842265753132E-2</v>
      </c>
      <c r="J228" s="7">
        <v>-5.1331734992627314E-3</v>
      </c>
      <c r="K228" s="7">
        <v>0</v>
      </c>
      <c r="L228" s="7">
        <v>0</v>
      </c>
      <c r="M228" s="7">
        <v>0</v>
      </c>
      <c r="N228" s="7">
        <v>0</v>
      </c>
      <c r="O228" s="7">
        <v>0</v>
      </c>
      <c r="P228" s="7">
        <v>0</v>
      </c>
    </row>
    <row r="229" spans="1:16" x14ac:dyDescent="0.3">
      <c r="A229" s="1">
        <v>43790</v>
      </c>
      <c r="B229" s="2">
        <v>23.655332999999999</v>
      </c>
      <c r="C229" s="2">
        <v>149.47999999999999</v>
      </c>
      <c r="F229" s="1">
        <v>43790</v>
      </c>
      <c r="G229" s="2">
        <f t="shared" si="6"/>
        <v>7.3828212770502884E-3</v>
      </c>
      <c r="H229" s="2">
        <f t="shared" si="7"/>
        <v>-9.3614182697584125E-4</v>
      </c>
      <c r="I229" s="7">
        <v>0</v>
      </c>
      <c r="J229" s="7">
        <v>0</v>
      </c>
      <c r="K229" s="7">
        <v>7.3828212770502884E-3</v>
      </c>
      <c r="L229" s="7">
        <v>-9.3614182697584125E-4</v>
      </c>
      <c r="M229" s="7">
        <v>0</v>
      </c>
      <c r="N229" s="7">
        <v>0</v>
      </c>
      <c r="O229" s="7">
        <v>0</v>
      </c>
      <c r="P229" s="7">
        <v>0</v>
      </c>
    </row>
    <row r="230" spans="1:16" x14ac:dyDescent="0.3">
      <c r="A230" s="1">
        <v>43791</v>
      </c>
      <c r="B230" s="2">
        <v>22.202667000000002</v>
      </c>
      <c r="C230" s="2">
        <v>149.59</v>
      </c>
      <c r="F230" s="1">
        <v>43791</v>
      </c>
      <c r="G230" s="2">
        <f t="shared" si="6"/>
        <v>-6.3376169548384625E-2</v>
      </c>
      <c r="H230" s="2">
        <f t="shared" si="7"/>
        <v>7.3561376908654942E-4</v>
      </c>
      <c r="I230" s="7">
        <v>0</v>
      </c>
      <c r="J230" s="7">
        <v>0</v>
      </c>
      <c r="K230" s="7">
        <v>0</v>
      </c>
      <c r="L230" s="7">
        <v>0</v>
      </c>
      <c r="M230" s="7">
        <v>-6.3376169548384625E-2</v>
      </c>
      <c r="N230" s="7">
        <v>7.3561376908654942E-4</v>
      </c>
      <c r="O230" s="7">
        <v>0</v>
      </c>
      <c r="P230" s="7">
        <v>0</v>
      </c>
    </row>
    <row r="231" spans="1:16" x14ac:dyDescent="0.3">
      <c r="A231" s="1">
        <v>43794</v>
      </c>
      <c r="B231" s="2">
        <v>22.422667000000001</v>
      </c>
      <c r="C231" s="2">
        <v>151.22999999999999</v>
      </c>
      <c r="F231" s="1">
        <v>43794</v>
      </c>
      <c r="G231" s="2">
        <f t="shared" si="6"/>
        <v>9.8599500605818062E-3</v>
      </c>
      <c r="H231" s="2">
        <f t="shared" si="7"/>
        <v>1.0903638376279516E-2</v>
      </c>
      <c r="I231" s="7">
        <v>0</v>
      </c>
      <c r="J231" s="7">
        <v>0</v>
      </c>
      <c r="K231" s="7">
        <v>0</v>
      </c>
      <c r="L231" s="7">
        <v>0</v>
      </c>
      <c r="M231" s="7">
        <v>0</v>
      </c>
      <c r="N231" s="7">
        <v>0</v>
      </c>
      <c r="O231" s="7">
        <v>9.8599500605818062E-3</v>
      </c>
      <c r="P231" s="7">
        <v>1.0903638376279516E-2</v>
      </c>
    </row>
    <row r="232" spans="1:16" x14ac:dyDescent="0.3">
      <c r="A232" s="1">
        <v>43795</v>
      </c>
      <c r="B232" s="2">
        <v>21.927999</v>
      </c>
      <c r="C232" s="2">
        <v>152.03</v>
      </c>
      <c r="F232" s="1">
        <v>43795</v>
      </c>
      <c r="G232" s="2">
        <f t="shared" si="6"/>
        <v>-2.2308053461613898E-2</v>
      </c>
      <c r="H232" s="2">
        <f t="shared" si="7"/>
        <v>5.2760130300954534E-3</v>
      </c>
      <c r="I232" s="7">
        <v>0</v>
      </c>
      <c r="J232" s="7">
        <v>0</v>
      </c>
      <c r="K232" s="7">
        <v>0</v>
      </c>
      <c r="L232" s="7">
        <v>0</v>
      </c>
      <c r="M232" s="7">
        <v>-2.2308053461613898E-2</v>
      </c>
      <c r="N232" s="7">
        <v>5.2760130300954534E-3</v>
      </c>
      <c r="O232" s="7">
        <v>0</v>
      </c>
      <c r="P232" s="7">
        <v>0</v>
      </c>
    </row>
    <row r="233" spans="1:16" x14ac:dyDescent="0.3">
      <c r="A233" s="1">
        <v>43796</v>
      </c>
      <c r="B233" s="2">
        <v>22.085999999999999</v>
      </c>
      <c r="C233" s="2">
        <v>152.32</v>
      </c>
      <c r="F233" s="1">
        <v>43796</v>
      </c>
      <c r="G233" s="2">
        <f t="shared" si="6"/>
        <v>7.1796102282495611E-3</v>
      </c>
      <c r="H233" s="2">
        <f t="shared" si="7"/>
        <v>1.9057012503106029E-3</v>
      </c>
      <c r="I233" s="7">
        <v>0</v>
      </c>
      <c r="J233" s="7">
        <v>0</v>
      </c>
      <c r="K233" s="7">
        <v>0</v>
      </c>
      <c r="L233" s="7">
        <v>0</v>
      </c>
      <c r="M233" s="7">
        <v>0</v>
      </c>
      <c r="N233" s="7">
        <v>0</v>
      </c>
      <c r="O233" s="7">
        <v>7.1796102282495611E-3</v>
      </c>
      <c r="P233" s="7">
        <v>1.9057012503106029E-3</v>
      </c>
    </row>
    <row r="234" spans="1:16" x14ac:dyDescent="0.3">
      <c r="A234" s="1">
        <v>43798</v>
      </c>
      <c r="B234" s="2">
        <v>21.995999999999999</v>
      </c>
      <c r="C234" s="2">
        <v>151.38</v>
      </c>
      <c r="F234" s="1">
        <v>43798</v>
      </c>
      <c r="G234" s="2">
        <f t="shared" si="6"/>
        <v>-4.0833049793707679E-3</v>
      </c>
      <c r="H234" s="2">
        <f t="shared" si="7"/>
        <v>-6.1903391620338382E-3</v>
      </c>
      <c r="I234" s="7">
        <v>-4.0833049793707679E-3</v>
      </c>
      <c r="J234" s="7">
        <v>-6.1903391620338382E-3</v>
      </c>
      <c r="K234" s="7">
        <v>0</v>
      </c>
      <c r="L234" s="7">
        <v>0</v>
      </c>
      <c r="M234" s="7">
        <v>0</v>
      </c>
      <c r="N234" s="7">
        <v>0</v>
      </c>
      <c r="O234" s="7">
        <v>0</v>
      </c>
      <c r="P234" s="7">
        <v>0</v>
      </c>
    </row>
    <row r="235" spans="1:16" x14ac:dyDescent="0.3">
      <c r="A235" s="1">
        <v>43801</v>
      </c>
      <c r="B235" s="2">
        <v>22.324667000000002</v>
      </c>
      <c r="C235" s="2">
        <v>149.55000000000001</v>
      </c>
      <c r="F235" s="1">
        <v>43801</v>
      </c>
      <c r="G235" s="2">
        <f t="shared" si="6"/>
        <v>1.4831591992312021E-2</v>
      </c>
      <c r="H235" s="2">
        <f t="shared" si="7"/>
        <v>-1.2162446805064245E-2</v>
      </c>
      <c r="I235" s="7">
        <v>0</v>
      </c>
      <c r="J235" s="7">
        <v>0</v>
      </c>
      <c r="K235" s="7">
        <v>1.4831591992312021E-2</v>
      </c>
      <c r="L235" s="7">
        <v>-1.2162446805064245E-2</v>
      </c>
      <c r="M235" s="7">
        <v>0</v>
      </c>
      <c r="N235" s="7">
        <v>0</v>
      </c>
      <c r="O235" s="7">
        <v>0</v>
      </c>
      <c r="P235" s="7">
        <v>0</v>
      </c>
    </row>
    <row r="236" spans="1:16" x14ac:dyDescent="0.3">
      <c r="A236" s="1">
        <v>43802</v>
      </c>
      <c r="B236" s="2">
        <v>22.413333999999999</v>
      </c>
      <c r="C236" s="2">
        <v>149.31</v>
      </c>
      <c r="F236" s="1">
        <v>43802</v>
      </c>
      <c r="G236" s="2">
        <f t="shared" si="6"/>
        <v>3.9638389786243941E-3</v>
      </c>
      <c r="H236" s="2">
        <f t="shared" si="7"/>
        <v>-1.6061035373845821E-3</v>
      </c>
      <c r="I236" s="7">
        <v>0</v>
      </c>
      <c r="J236" s="7">
        <v>0</v>
      </c>
      <c r="K236" s="7">
        <v>3.9638389786243941E-3</v>
      </c>
      <c r="L236" s="7">
        <v>-1.6061035373845821E-3</v>
      </c>
      <c r="M236" s="7">
        <v>0</v>
      </c>
      <c r="N236" s="7">
        <v>0</v>
      </c>
      <c r="O236" s="7">
        <v>0</v>
      </c>
      <c r="P236" s="7">
        <v>0</v>
      </c>
    </row>
    <row r="237" spans="1:16" x14ac:dyDescent="0.3">
      <c r="A237" s="1">
        <v>43803</v>
      </c>
      <c r="B237" s="2">
        <v>22.202000000000002</v>
      </c>
      <c r="C237" s="2">
        <v>149.85</v>
      </c>
      <c r="F237" s="1">
        <v>43803</v>
      </c>
      <c r="G237" s="2">
        <f t="shared" si="6"/>
        <v>-9.4736747060491251E-3</v>
      </c>
      <c r="H237" s="2">
        <f t="shared" si="7"/>
        <v>3.6101122240995722E-3</v>
      </c>
      <c r="I237" s="7">
        <v>0</v>
      </c>
      <c r="J237" s="7">
        <v>0</v>
      </c>
      <c r="K237" s="7">
        <v>0</v>
      </c>
      <c r="L237" s="7">
        <v>0</v>
      </c>
      <c r="M237" s="7">
        <v>-9.4736747060491251E-3</v>
      </c>
      <c r="N237" s="7">
        <v>3.6101122240995722E-3</v>
      </c>
      <c r="O237" s="7">
        <v>0</v>
      </c>
      <c r="P237" s="7">
        <v>0</v>
      </c>
    </row>
    <row r="238" spans="1:16" x14ac:dyDescent="0.3">
      <c r="A238" s="1">
        <v>43804</v>
      </c>
      <c r="B238" s="2">
        <v>22.024667999999998</v>
      </c>
      <c r="C238" s="2">
        <v>149.93</v>
      </c>
      <c r="F238" s="1">
        <v>43804</v>
      </c>
      <c r="G238" s="2">
        <f t="shared" si="6"/>
        <v>-8.019276981618622E-3</v>
      </c>
      <c r="H238" s="2">
        <f t="shared" si="7"/>
        <v>5.3372474413965025E-4</v>
      </c>
      <c r="I238" s="7">
        <v>0</v>
      </c>
      <c r="J238" s="7">
        <v>0</v>
      </c>
      <c r="K238" s="7">
        <v>0</v>
      </c>
      <c r="L238" s="7">
        <v>0</v>
      </c>
      <c r="M238" s="7">
        <v>-8.019276981618622E-3</v>
      </c>
      <c r="N238" s="7">
        <v>5.3372474413965025E-4</v>
      </c>
      <c r="O238" s="7">
        <v>0</v>
      </c>
      <c r="P238" s="7">
        <v>0</v>
      </c>
    </row>
    <row r="239" spans="1:16" x14ac:dyDescent="0.3">
      <c r="A239" s="1">
        <v>43805</v>
      </c>
      <c r="B239" s="2">
        <v>22.392668</v>
      </c>
      <c r="C239" s="2">
        <v>151.75</v>
      </c>
      <c r="F239" s="1">
        <v>43805</v>
      </c>
      <c r="G239" s="2">
        <f t="shared" si="6"/>
        <v>1.6570485922234552E-2</v>
      </c>
      <c r="H239" s="2">
        <f t="shared" si="7"/>
        <v>1.206591143279578E-2</v>
      </c>
      <c r="I239" s="7">
        <v>0</v>
      </c>
      <c r="J239" s="7">
        <v>0</v>
      </c>
      <c r="K239" s="7">
        <v>0</v>
      </c>
      <c r="L239" s="7">
        <v>0</v>
      </c>
      <c r="M239" s="7">
        <v>0</v>
      </c>
      <c r="N239" s="7">
        <v>0</v>
      </c>
      <c r="O239" s="7">
        <v>1.6570485922234552E-2</v>
      </c>
      <c r="P239" s="7">
        <v>1.206591143279578E-2</v>
      </c>
    </row>
    <row r="240" spans="1:16" x14ac:dyDescent="0.3">
      <c r="A240" s="1">
        <v>43808</v>
      </c>
      <c r="B240" s="2">
        <v>22.635331999999998</v>
      </c>
      <c r="C240" s="2">
        <v>151.36000000000001</v>
      </c>
      <c r="F240" s="1">
        <v>43808</v>
      </c>
      <c r="G240" s="2">
        <f t="shared" si="6"/>
        <v>1.0778464479536943E-2</v>
      </c>
      <c r="H240" s="2">
        <f t="shared" si="7"/>
        <v>-2.5733246360394482E-3</v>
      </c>
      <c r="I240" s="7">
        <v>0</v>
      </c>
      <c r="J240" s="7">
        <v>0</v>
      </c>
      <c r="K240" s="7">
        <v>1.0778464479536943E-2</v>
      </c>
      <c r="L240" s="7">
        <v>-2.5733246360394482E-3</v>
      </c>
      <c r="M240" s="7">
        <v>0</v>
      </c>
      <c r="N240" s="7">
        <v>0</v>
      </c>
      <c r="O240" s="7">
        <v>0</v>
      </c>
      <c r="P240" s="7">
        <v>0</v>
      </c>
    </row>
    <row r="241" spans="1:16" x14ac:dyDescent="0.3">
      <c r="A241" s="1">
        <v>43809</v>
      </c>
      <c r="B241" s="2">
        <v>23.256001000000001</v>
      </c>
      <c r="C241" s="2">
        <v>151.13</v>
      </c>
      <c r="F241" s="1">
        <v>43809</v>
      </c>
      <c r="G241" s="2">
        <f t="shared" si="6"/>
        <v>2.7051157925621593E-2</v>
      </c>
      <c r="H241" s="2">
        <f t="shared" si="7"/>
        <v>-1.5207117215390055E-3</v>
      </c>
      <c r="I241" s="7">
        <v>0</v>
      </c>
      <c r="J241" s="7">
        <v>0</v>
      </c>
      <c r="K241" s="7">
        <v>2.7051157925621593E-2</v>
      </c>
      <c r="L241" s="7">
        <v>-1.5207117215390055E-3</v>
      </c>
      <c r="M241" s="7">
        <v>0</v>
      </c>
      <c r="N241" s="7">
        <v>0</v>
      </c>
      <c r="O241" s="7">
        <v>0</v>
      </c>
      <c r="P241" s="7">
        <v>0</v>
      </c>
    </row>
    <row r="242" spans="1:16" x14ac:dyDescent="0.3">
      <c r="A242" s="1">
        <v>43810</v>
      </c>
      <c r="B242" s="2">
        <v>23.513331999999998</v>
      </c>
      <c r="C242" s="2">
        <v>151.69999999999999</v>
      </c>
      <c r="F242" s="1">
        <v>43810</v>
      </c>
      <c r="G242" s="2">
        <f t="shared" si="6"/>
        <v>1.1004373178149309E-2</v>
      </c>
      <c r="H242" s="2">
        <f t="shared" si="7"/>
        <v>3.7644927724571611E-3</v>
      </c>
      <c r="I242" s="7">
        <v>0</v>
      </c>
      <c r="J242" s="7">
        <v>0</v>
      </c>
      <c r="K242" s="7">
        <v>0</v>
      </c>
      <c r="L242" s="7">
        <v>0</v>
      </c>
      <c r="M242" s="7">
        <v>0</v>
      </c>
      <c r="N242" s="7">
        <v>0</v>
      </c>
      <c r="O242" s="7">
        <v>1.1004373178149309E-2</v>
      </c>
      <c r="P242" s="7">
        <v>3.7644927724571611E-3</v>
      </c>
    </row>
    <row r="243" spans="1:16" x14ac:dyDescent="0.3">
      <c r="A243" s="1">
        <v>43811</v>
      </c>
      <c r="B243" s="2">
        <v>23.978666</v>
      </c>
      <c r="C243" s="2">
        <v>153.24</v>
      </c>
      <c r="F243" s="1">
        <v>43811</v>
      </c>
      <c r="G243" s="2">
        <f t="shared" si="6"/>
        <v>1.9596938926190875E-2</v>
      </c>
      <c r="H243" s="2">
        <f t="shared" si="7"/>
        <v>1.0100433477961744E-2</v>
      </c>
      <c r="I243" s="7">
        <v>0</v>
      </c>
      <c r="J243" s="7">
        <v>0</v>
      </c>
      <c r="K243" s="7">
        <v>0</v>
      </c>
      <c r="L243" s="7">
        <v>0</v>
      </c>
      <c r="M243" s="7">
        <v>0</v>
      </c>
      <c r="N243" s="7">
        <v>0</v>
      </c>
      <c r="O243" s="7">
        <v>1.9596938926190875E-2</v>
      </c>
      <c r="P243" s="7">
        <v>1.0100433477961744E-2</v>
      </c>
    </row>
    <row r="244" spans="1:16" x14ac:dyDescent="0.3">
      <c r="A244" s="1">
        <v>43812</v>
      </c>
      <c r="B244" s="2">
        <v>23.892668</v>
      </c>
      <c r="C244" s="2">
        <v>154.53</v>
      </c>
      <c r="F244" s="1">
        <v>43812</v>
      </c>
      <c r="G244" s="2">
        <f t="shared" si="6"/>
        <v>-3.5928847318540337E-3</v>
      </c>
      <c r="H244" s="2">
        <f t="shared" si="7"/>
        <v>8.3829324131552089E-3</v>
      </c>
      <c r="I244" s="7">
        <v>0</v>
      </c>
      <c r="J244" s="7">
        <v>0</v>
      </c>
      <c r="K244" s="7">
        <v>0</v>
      </c>
      <c r="L244" s="7">
        <v>0</v>
      </c>
      <c r="M244" s="7">
        <v>-3.5928847318540337E-3</v>
      </c>
      <c r="N244" s="7">
        <v>8.3829324131552089E-3</v>
      </c>
      <c r="O244" s="7">
        <v>0</v>
      </c>
      <c r="P244" s="7">
        <v>0</v>
      </c>
    </row>
    <row r="245" spans="1:16" x14ac:dyDescent="0.3">
      <c r="A245" s="1">
        <v>43815</v>
      </c>
      <c r="B245" s="2">
        <v>25.433332</v>
      </c>
      <c r="C245" s="2">
        <v>155.53</v>
      </c>
      <c r="F245" s="1">
        <v>43815</v>
      </c>
      <c r="G245" s="2">
        <f t="shared" si="6"/>
        <v>6.2488963568944629E-2</v>
      </c>
      <c r="H245" s="2">
        <f t="shared" si="7"/>
        <v>6.450386810865281E-3</v>
      </c>
      <c r="I245" s="7">
        <v>0</v>
      </c>
      <c r="J245" s="7">
        <v>0</v>
      </c>
      <c r="K245" s="7">
        <v>0</v>
      </c>
      <c r="L245" s="7">
        <v>0</v>
      </c>
      <c r="M245" s="7">
        <v>0</v>
      </c>
      <c r="N245" s="7">
        <v>0</v>
      </c>
      <c r="O245" s="7">
        <v>6.2488963568944629E-2</v>
      </c>
      <c r="P245" s="7">
        <v>6.450386810865281E-3</v>
      </c>
    </row>
    <row r="246" spans="1:16" x14ac:dyDescent="0.3">
      <c r="A246" s="1">
        <v>43816</v>
      </c>
      <c r="B246" s="2">
        <v>25.266000999999999</v>
      </c>
      <c r="C246" s="2">
        <v>154.69</v>
      </c>
      <c r="F246" s="1">
        <v>43816</v>
      </c>
      <c r="G246" s="2">
        <f t="shared" si="6"/>
        <v>-6.6009392109350378E-3</v>
      </c>
      <c r="H246" s="2">
        <f t="shared" si="7"/>
        <v>-5.4155248078951767E-3</v>
      </c>
      <c r="I246" s="7">
        <v>-6.6009392109350378E-3</v>
      </c>
      <c r="J246" s="7">
        <v>-5.4155248078951767E-3</v>
      </c>
      <c r="K246" s="7">
        <v>0</v>
      </c>
      <c r="L246" s="7">
        <v>0</v>
      </c>
      <c r="M246" s="7">
        <v>0</v>
      </c>
      <c r="N246" s="7">
        <v>0</v>
      </c>
      <c r="O246" s="7">
        <v>0</v>
      </c>
      <c r="P246" s="7">
        <v>0</v>
      </c>
    </row>
    <row r="247" spans="1:16" x14ac:dyDescent="0.3">
      <c r="A247" s="1">
        <v>43817</v>
      </c>
      <c r="B247" s="2">
        <v>26.209999</v>
      </c>
      <c r="C247" s="2">
        <v>154.37</v>
      </c>
      <c r="F247" s="1">
        <v>43817</v>
      </c>
      <c r="G247" s="2">
        <f t="shared" si="6"/>
        <v>3.668132119521212E-2</v>
      </c>
      <c r="H247" s="2">
        <f t="shared" si="7"/>
        <v>-2.0707960548235595E-3</v>
      </c>
      <c r="I247" s="7">
        <v>0</v>
      </c>
      <c r="J247" s="7">
        <v>0</v>
      </c>
      <c r="K247" s="7">
        <v>3.668132119521212E-2</v>
      </c>
      <c r="L247" s="7">
        <v>-2.0707960548235595E-3</v>
      </c>
      <c r="M247" s="7">
        <v>0</v>
      </c>
      <c r="N247" s="7">
        <v>0</v>
      </c>
      <c r="O247" s="7">
        <v>0</v>
      </c>
      <c r="P247" s="7">
        <v>0</v>
      </c>
    </row>
    <row r="248" spans="1:16" x14ac:dyDescent="0.3">
      <c r="A248" s="1">
        <v>43818</v>
      </c>
      <c r="B248" s="2">
        <v>26.936001000000001</v>
      </c>
      <c r="C248" s="2">
        <v>155.71</v>
      </c>
      <c r="F248" s="1">
        <v>43818</v>
      </c>
      <c r="G248" s="2">
        <f t="shared" si="6"/>
        <v>2.7322739801872251E-2</v>
      </c>
      <c r="H248" s="2">
        <f t="shared" si="7"/>
        <v>8.6429846595833144E-3</v>
      </c>
      <c r="I248" s="7">
        <v>0</v>
      </c>
      <c r="J248" s="7">
        <v>0</v>
      </c>
      <c r="K248" s="7">
        <v>0</v>
      </c>
      <c r="L248" s="7">
        <v>0</v>
      </c>
      <c r="M248" s="7">
        <v>0</v>
      </c>
      <c r="N248" s="7">
        <v>0</v>
      </c>
      <c r="O248" s="7">
        <v>2.7322739801872251E-2</v>
      </c>
      <c r="P248" s="7">
        <v>8.6429846595833144E-3</v>
      </c>
    </row>
    <row r="249" spans="1:16" x14ac:dyDescent="0.3">
      <c r="A249" s="1">
        <v>43819</v>
      </c>
      <c r="B249" s="2">
        <v>27.039332999999999</v>
      </c>
      <c r="C249" s="2">
        <v>157.41</v>
      </c>
      <c r="F249" s="1">
        <v>43819</v>
      </c>
      <c r="G249" s="2">
        <f t="shared" si="6"/>
        <v>3.8288647269506719E-3</v>
      </c>
      <c r="H249" s="2">
        <f t="shared" si="7"/>
        <v>1.0858563513396636E-2</v>
      </c>
      <c r="I249" s="7">
        <v>0</v>
      </c>
      <c r="J249" s="7">
        <v>0</v>
      </c>
      <c r="K249" s="7">
        <v>0</v>
      </c>
      <c r="L249" s="7">
        <v>0</v>
      </c>
      <c r="M249" s="7">
        <v>0</v>
      </c>
      <c r="N249" s="7">
        <v>0</v>
      </c>
      <c r="O249" s="7">
        <v>3.8288647269506719E-3</v>
      </c>
      <c r="P249" s="7">
        <v>1.0858563513396636E-2</v>
      </c>
    </row>
    <row r="250" spans="1:16" x14ac:dyDescent="0.3">
      <c r="A250" s="1">
        <v>43822</v>
      </c>
      <c r="B250" s="2">
        <v>27.948</v>
      </c>
      <c r="C250" s="2">
        <v>157.41</v>
      </c>
      <c r="F250" s="1">
        <v>43822</v>
      </c>
      <c r="G250" s="2">
        <f t="shared" si="6"/>
        <v>3.3053056979443621E-2</v>
      </c>
      <c r="H250" s="2">
        <f t="shared" si="7"/>
        <v>0</v>
      </c>
      <c r="I250" s="7">
        <v>0</v>
      </c>
      <c r="J250" s="7">
        <v>0</v>
      </c>
      <c r="K250" s="7">
        <v>3.3053056979443621E-2</v>
      </c>
      <c r="L250" s="7">
        <v>0</v>
      </c>
      <c r="M250" s="7">
        <v>0</v>
      </c>
      <c r="N250" s="7">
        <v>0</v>
      </c>
      <c r="O250" s="7">
        <v>3.3053056979443621E-2</v>
      </c>
      <c r="P250" s="7">
        <v>0</v>
      </c>
    </row>
    <row r="251" spans="1:16" x14ac:dyDescent="0.3">
      <c r="A251" s="1">
        <v>43823</v>
      </c>
      <c r="B251" s="2">
        <v>28.35</v>
      </c>
      <c r="C251" s="2">
        <v>157.38</v>
      </c>
      <c r="F251" s="1">
        <v>43823</v>
      </c>
      <c r="G251" s="2">
        <f t="shared" si="6"/>
        <v>1.4281389483556874E-2</v>
      </c>
      <c r="H251" s="2">
        <f t="shared" si="7"/>
        <v>-1.9060325989278269E-4</v>
      </c>
      <c r="I251" s="7">
        <v>0</v>
      </c>
      <c r="J251" s="7">
        <v>0</v>
      </c>
      <c r="K251" s="7">
        <v>1.4281389483556874E-2</v>
      </c>
      <c r="L251" s="7">
        <v>-1.9060325989278269E-4</v>
      </c>
      <c r="M251" s="7">
        <v>0</v>
      </c>
      <c r="N251" s="7">
        <v>0</v>
      </c>
      <c r="O251" s="7">
        <v>0</v>
      </c>
      <c r="P251" s="7">
        <v>0</v>
      </c>
    </row>
    <row r="252" spans="1:16" x14ac:dyDescent="0.3">
      <c r="A252" s="1">
        <v>43825</v>
      </c>
      <c r="B252" s="2">
        <v>28.729334000000001</v>
      </c>
      <c r="C252" s="2">
        <v>158.66999999999999</v>
      </c>
      <c r="F252" s="1">
        <v>43825</v>
      </c>
      <c r="G252" s="2">
        <f t="shared" si="6"/>
        <v>1.3291661205202258E-2</v>
      </c>
      <c r="H252" s="2">
        <f t="shared" si="7"/>
        <v>8.1633106391608354E-3</v>
      </c>
      <c r="I252" s="7">
        <v>0</v>
      </c>
      <c r="J252" s="7">
        <v>0</v>
      </c>
      <c r="K252" s="7">
        <v>0</v>
      </c>
      <c r="L252" s="7">
        <v>0</v>
      </c>
      <c r="M252" s="7">
        <v>0</v>
      </c>
      <c r="N252" s="7">
        <v>0</v>
      </c>
      <c r="O252" s="7">
        <v>1.3291661205202258E-2</v>
      </c>
      <c r="P252" s="7">
        <v>8.1633106391608354E-3</v>
      </c>
    </row>
    <row r="253" spans="1:16" x14ac:dyDescent="0.3">
      <c r="A253" s="1">
        <v>43826</v>
      </c>
      <c r="B253" s="2">
        <v>28.691998999999999</v>
      </c>
      <c r="C253" s="2">
        <v>158.96</v>
      </c>
      <c r="F253" s="1">
        <v>43826</v>
      </c>
      <c r="G253" s="2">
        <f t="shared" si="6"/>
        <v>-1.3003879676967388E-3</v>
      </c>
      <c r="H253" s="2">
        <f t="shared" si="7"/>
        <v>1.8260244975634057E-3</v>
      </c>
      <c r="I253" s="7">
        <v>0</v>
      </c>
      <c r="J253" s="7">
        <v>0</v>
      </c>
      <c r="K253" s="7">
        <v>0</v>
      </c>
      <c r="L253" s="7">
        <v>0</v>
      </c>
      <c r="M253" s="7">
        <v>-1.3003879676967388E-3</v>
      </c>
      <c r="N253" s="7">
        <v>1.8260244975634057E-3</v>
      </c>
      <c r="O253" s="7">
        <v>0</v>
      </c>
      <c r="P253" s="7">
        <v>0</v>
      </c>
    </row>
    <row r="254" spans="1:16" x14ac:dyDescent="0.3">
      <c r="A254" s="1">
        <v>43829</v>
      </c>
      <c r="B254" s="2">
        <v>27.646667000000001</v>
      </c>
      <c r="C254" s="2">
        <v>157.59</v>
      </c>
      <c r="F254" s="1">
        <v>43829</v>
      </c>
      <c r="G254" s="2">
        <f t="shared" si="6"/>
        <v>-3.7113125204232544E-2</v>
      </c>
      <c r="H254" s="2">
        <f t="shared" si="7"/>
        <v>-8.6558746095816118E-3</v>
      </c>
      <c r="I254" s="7">
        <v>-3.7113125204232544E-2</v>
      </c>
      <c r="J254" s="7">
        <v>-8.6558746095816118E-3</v>
      </c>
      <c r="K254" s="7">
        <v>0</v>
      </c>
      <c r="L254" s="7">
        <v>0</v>
      </c>
      <c r="M254" s="7">
        <v>0</v>
      </c>
      <c r="N254" s="7">
        <v>0</v>
      </c>
      <c r="O254" s="7">
        <v>0</v>
      </c>
      <c r="P254" s="7">
        <v>0</v>
      </c>
    </row>
    <row r="255" spans="1:16" x14ac:dyDescent="0.3">
      <c r="A255" s="1">
        <v>43830</v>
      </c>
      <c r="B255" s="2">
        <v>27.888666000000001</v>
      </c>
      <c r="C255" s="2">
        <v>157.69999999999999</v>
      </c>
      <c r="F255" s="1">
        <v>43830</v>
      </c>
      <c r="G255" s="2">
        <f t="shared" si="6"/>
        <v>8.7151915247214249E-3</v>
      </c>
      <c r="H255" s="2">
        <f t="shared" si="7"/>
        <v>6.97770335012758E-4</v>
      </c>
      <c r="I255" s="7">
        <v>0</v>
      </c>
      <c r="J255" s="7">
        <v>0</v>
      </c>
      <c r="K255" s="7">
        <v>0</v>
      </c>
      <c r="L255" s="7">
        <v>0</v>
      </c>
      <c r="M255" s="7">
        <v>0</v>
      </c>
      <c r="N255" s="7">
        <v>0</v>
      </c>
      <c r="O255" s="7">
        <v>8.7151915247214249E-3</v>
      </c>
      <c r="P255" s="7">
        <v>6.97770335012758E-4</v>
      </c>
    </row>
    <row r="256" spans="1:16" x14ac:dyDescent="0.3">
      <c r="A256" s="1">
        <v>43832</v>
      </c>
      <c r="B256" s="2">
        <v>28.684000000000001</v>
      </c>
      <c r="C256" s="2">
        <v>160.62</v>
      </c>
      <c r="F256" s="1">
        <v>43832</v>
      </c>
      <c r="G256" s="2">
        <f t="shared" si="6"/>
        <v>2.8119106288572868E-2</v>
      </c>
      <c r="H256" s="2">
        <f t="shared" si="7"/>
        <v>1.8346832791323531E-2</v>
      </c>
      <c r="I256" s="7">
        <v>0</v>
      </c>
      <c r="J256" s="7">
        <v>0</v>
      </c>
      <c r="K256" s="7">
        <v>0</v>
      </c>
      <c r="L256" s="7">
        <v>0</v>
      </c>
      <c r="M256" s="7">
        <v>0</v>
      </c>
      <c r="N256" s="7">
        <v>0</v>
      </c>
      <c r="O256" s="7">
        <v>2.8119106288572868E-2</v>
      </c>
      <c r="P256" s="7">
        <v>1.8346832791323531E-2</v>
      </c>
    </row>
    <row r="257" spans="1:16" x14ac:dyDescent="0.3">
      <c r="A257" s="1">
        <v>43833</v>
      </c>
      <c r="B257" s="2">
        <v>29.533999999999999</v>
      </c>
      <c r="C257" s="2">
        <v>158.62</v>
      </c>
      <c r="F257" s="1">
        <v>43833</v>
      </c>
      <c r="G257" s="2">
        <f t="shared" si="6"/>
        <v>2.9202666031253596E-2</v>
      </c>
      <c r="H257" s="2">
        <f t="shared" si="7"/>
        <v>-1.2529922105142565E-2</v>
      </c>
      <c r="I257" s="7">
        <v>0</v>
      </c>
      <c r="J257" s="7">
        <v>0</v>
      </c>
      <c r="K257" s="7">
        <v>2.9202666031253596E-2</v>
      </c>
      <c r="L257" s="7">
        <v>-1.2529922105142565E-2</v>
      </c>
      <c r="M257" s="7">
        <v>0</v>
      </c>
      <c r="N257" s="7">
        <v>0</v>
      </c>
      <c r="O257" s="7">
        <v>0</v>
      </c>
      <c r="P257" s="7">
        <v>0</v>
      </c>
    </row>
    <row r="258" spans="1:16" x14ac:dyDescent="0.3">
      <c r="A258" s="1">
        <v>43836</v>
      </c>
      <c r="B258" s="2">
        <v>30.102667</v>
      </c>
      <c r="C258" s="2">
        <v>159.03</v>
      </c>
      <c r="F258" s="1">
        <v>43836</v>
      </c>
      <c r="G258" s="2">
        <f t="shared" si="6"/>
        <v>1.9071630429250377E-2</v>
      </c>
      <c r="H258" s="2">
        <f t="shared" si="7"/>
        <v>2.5814590126507489E-3</v>
      </c>
      <c r="I258" s="7">
        <v>0</v>
      </c>
      <c r="J258" s="7">
        <v>0</v>
      </c>
      <c r="K258" s="7">
        <v>0</v>
      </c>
      <c r="L258" s="7">
        <v>0</v>
      </c>
      <c r="M258" s="7">
        <v>0</v>
      </c>
      <c r="N258" s="7">
        <v>0</v>
      </c>
      <c r="O258" s="7">
        <v>1.9071630429250377E-2</v>
      </c>
      <c r="P258" s="7">
        <v>2.5814590126507489E-3</v>
      </c>
    </row>
    <row r="259" spans="1:16" x14ac:dyDescent="0.3">
      <c r="A259" s="1">
        <v>43837</v>
      </c>
      <c r="B259" s="2">
        <v>31.270665999999999</v>
      </c>
      <c r="C259" s="2">
        <v>157.58000000000001</v>
      </c>
      <c r="F259" s="1">
        <v>43837</v>
      </c>
      <c r="G259" s="2">
        <f t="shared" si="6"/>
        <v>3.8066697131154077E-2</v>
      </c>
      <c r="H259" s="2">
        <f t="shared" si="7"/>
        <v>-9.1595978502822788E-3</v>
      </c>
      <c r="I259" s="7">
        <v>0</v>
      </c>
      <c r="J259" s="7">
        <v>0</v>
      </c>
      <c r="K259" s="7">
        <v>3.8066697131154077E-2</v>
      </c>
      <c r="L259" s="7">
        <v>-9.1595978502822788E-3</v>
      </c>
      <c r="M259" s="7">
        <v>0</v>
      </c>
      <c r="N259" s="7">
        <v>0</v>
      </c>
      <c r="O259" s="7">
        <v>0</v>
      </c>
      <c r="P259" s="7">
        <v>0</v>
      </c>
    </row>
    <row r="260" spans="1:16" x14ac:dyDescent="0.3">
      <c r="A260" s="1">
        <v>43838</v>
      </c>
      <c r="B260" s="2">
        <v>32.809334</v>
      </c>
      <c r="C260" s="2">
        <v>160.09</v>
      </c>
      <c r="F260" s="1">
        <v>43838</v>
      </c>
      <c r="G260" s="2">
        <f t="shared" si="6"/>
        <v>4.8032578465578568E-2</v>
      </c>
      <c r="H260" s="2">
        <f t="shared" si="7"/>
        <v>1.5802891272460911E-2</v>
      </c>
      <c r="I260" s="7">
        <v>0</v>
      </c>
      <c r="J260" s="7">
        <v>0</v>
      </c>
      <c r="K260" s="7">
        <v>0</v>
      </c>
      <c r="L260" s="7">
        <v>0</v>
      </c>
      <c r="M260" s="7">
        <v>0</v>
      </c>
      <c r="N260" s="7">
        <v>0</v>
      </c>
      <c r="O260" s="7">
        <v>4.8032578465578568E-2</v>
      </c>
      <c r="P260" s="7">
        <v>1.5802891272460911E-2</v>
      </c>
    </row>
    <row r="261" spans="1:16" x14ac:dyDescent="0.3">
      <c r="A261" s="1">
        <v>43839</v>
      </c>
      <c r="B261" s="2">
        <v>32.089333000000003</v>
      </c>
      <c r="C261" s="2">
        <v>162.09</v>
      </c>
      <c r="F261" s="1">
        <v>43839</v>
      </c>
      <c r="G261" s="2">
        <f t="shared" si="6"/>
        <v>-2.2189378463184667E-2</v>
      </c>
      <c r="H261" s="2">
        <f t="shared" si="7"/>
        <v>1.2415579434081026E-2</v>
      </c>
      <c r="I261" s="7">
        <v>0</v>
      </c>
      <c r="J261" s="7">
        <v>0</v>
      </c>
      <c r="K261" s="7">
        <v>0</v>
      </c>
      <c r="L261" s="7">
        <v>0</v>
      </c>
      <c r="M261" s="7">
        <v>-2.2189378463184667E-2</v>
      </c>
      <c r="N261" s="7">
        <v>1.2415579434081026E-2</v>
      </c>
      <c r="O261" s="7">
        <v>0</v>
      </c>
      <c r="P261" s="7">
        <v>0</v>
      </c>
    </row>
    <row r="262" spans="1:16" x14ac:dyDescent="0.3">
      <c r="A262" s="1">
        <v>43840</v>
      </c>
      <c r="B262" s="2">
        <v>31.876667000000001</v>
      </c>
      <c r="C262" s="2">
        <v>161.34</v>
      </c>
      <c r="F262" s="1">
        <v>43840</v>
      </c>
      <c r="G262" s="2">
        <f t="shared" ref="G262:G325" si="8">LN(B262/B261)</f>
        <v>-6.6493694640692063E-3</v>
      </c>
      <c r="H262" s="2">
        <f t="shared" ref="H262:H325" si="9">LN(C262/C261)</f>
        <v>-4.637797015255787E-3</v>
      </c>
      <c r="I262" s="7">
        <v>-6.6493694640692063E-3</v>
      </c>
      <c r="J262" s="7">
        <v>-4.637797015255787E-3</v>
      </c>
      <c r="K262" s="7">
        <v>0</v>
      </c>
      <c r="L262" s="7">
        <v>0</v>
      </c>
      <c r="M262" s="7">
        <v>0</v>
      </c>
      <c r="N262" s="7">
        <v>0</v>
      </c>
      <c r="O262" s="7">
        <v>0</v>
      </c>
      <c r="P262" s="7">
        <v>0</v>
      </c>
    </row>
    <row r="263" spans="1:16" x14ac:dyDescent="0.3">
      <c r="A263" s="1">
        <v>43843</v>
      </c>
      <c r="B263" s="2">
        <v>34.990665</v>
      </c>
      <c r="C263" s="2">
        <v>163.28</v>
      </c>
      <c r="F263" s="1">
        <v>43843</v>
      </c>
      <c r="G263" s="2">
        <f t="shared" si="8"/>
        <v>9.3207011478807486E-2</v>
      </c>
      <c r="H263" s="2">
        <f t="shared" si="9"/>
        <v>1.1952578992760993E-2</v>
      </c>
      <c r="I263" s="7">
        <v>0</v>
      </c>
      <c r="J263" s="7">
        <v>0</v>
      </c>
      <c r="K263" s="7">
        <v>0</v>
      </c>
      <c r="L263" s="7">
        <v>0</v>
      </c>
      <c r="M263" s="7">
        <v>0</v>
      </c>
      <c r="N263" s="7">
        <v>0</v>
      </c>
      <c r="O263" s="7">
        <v>9.3207011478807486E-2</v>
      </c>
      <c r="P263" s="7">
        <v>1.1952578992760993E-2</v>
      </c>
    </row>
    <row r="264" spans="1:16" x14ac:dyDescent="0.3">
      <c r="A264" s="1">
        <v>43844</v>
      </c>
      <c r="B264" s="2">
        <v>35.861331999999997</v>
      </c>
      <c r="C264" s="2">
        <v>162.13</v>
      </c>
      <c r="F264" s="1">
        <v>43844</v>
      </c>
      <c r="G264" s="2">
        <f t="shared" si="8"/>
        <v>2.4578300308671371E-2</v>
      </c>
      <c r="H264" s="2">
        <f t="shared" si="9"/>
        <v>-7.0680359396116657E-3</v>
      </c>
      <c r="I264" s="7">
        <v>0</v>
      </c>
      <c r="J264" s="7">
        <v>0</v>
      </c>
      <c r="K264" s="7">
        <v>2.4578300308671371E-2</v>
      </c>
      <c r="L264" s="7">
        <v>-7.0680359396116657E-3</v>
      </c>
      <c r="M264" s="7">
        <v>0</v>
      </c>
      <c r="N264" s="7">
        <v>0</v>
      </c>
      <c r="O264" s="7">
        <v>0</v>
      </c>
      <c r="P264" s="7">
        <v>0</v>
      </c>
    </row>
    <row r="265" spans="1:16" x14ac:dyDescent="0.3">
      <c r="A265" s="1">
        <v>43845</v>
      </c>
      <c r="B265" s="2">
        <v>34.566665999999998</v>
      </c>
      <c r="C265" s="2">
        <v>163.18</v>
      </c>
      <c r="F265" s="1">
        <v>43845</v>
      </c>
      <c r="G265" s="2">
        <f t="shared" si="8"/>
        <v>-3.6769804656821475E-2</v>
      </c>
      <c r="H265" s="2">
        <f t="shared" si="9"/>
        <v>6.4554034386764183E-3</v>
      </c>
      <c r="I265" s="7">
        <v>0</v>
      </c>
      <c r="J265" s="7">
        <v>0</v>
      </c>
      <c r="K265" s="7">
        <v>0</v>
      </c>
      <c r="L265" s="7">
        <v>0</v>
      </c>
      <c r="M265" s="7">
        <v>-3.6769804656821475E-2</v>
      </c>
      <c r="N265" s="7">
        <v>6.4554034386764183E-3</v>
      </c>
      <c r="O265" s="7">
        <v>0</v>
      </c>
      <c r="P265" s="7">
        <v>0</v>
      </c>
    </row>
    <row r="266" spans="1:16" x14ac:dyDescent="0.3">
      <c r="A266" s="1">
        <v>43846</v>
      </c>
      <c r="B266" s="2">
        <v>34.232666000000002</v>
      </c>
      <c r="C266" s="2">
        <v>166.17</v>
      </c>
      <c r="F266" s="1">
        <v>43846</v>
      </c>
      <c r="G266" s="2">
        <f t="shared" si="8"/>
        <v>-9.7094728754558591E-3</v>
      </c>
      <c r="H266" s="2">
        <f t="shared" si="9"/>
        <v>1.815747471246797E-2</v>
      </c>
      <c r="I266" s="7">
        <v>0</v>
      </c>
      <c r="J266" s="7">
        <v>0</v>
      </c>
      <c r="K266" s="7">
        <v>0</v>
      </c>
      <c r="L266" s="7">
        <v>0</v>
      </c>
      <c r="M266" s="7">
        <v>-9.7094728754558591E-3</v>
      </c>
      <c r="N266" s="7">
        <v>1.815747471246797E-2</v>
      </c>
      <c r="O266" s="7">
        <v>0</v>
      </c>
      <c r="P266" s="7">
        <v>0</v>
      </c>
    </row>
    <row r="267" spans="1:16" x14ac:dyDescent="0.3">
      <c r="A267" s="1">
        <v>43847</v>
      </c>
      <c r="B267" s="2">
        <v>34.033332999999999</v>
      </c>
      <c r="C267" s="2">
        <v>167.1</v>
      </c>
      <c r="F267" s="1">
        <v>43847</v>
      </c>
      <c r="G267" s="2">
        <f t="shared" si="8"/>
        <v>-5.8399076973219052E-3</v>
      </c>
      <c r="H267" s="2">
        <f t="shared" si="9"/>
        <v>5.5810748882257604E-3</v>
      </c>
      <c r="I267" s="7">
        <v>0</v>
      </c>
      <c r="J267" s="7">
        <v>0</v>
      </c>
      <c r="K267" s="7">
        <v>0</v>
      </c>
      <c r="L267" s="7">
        <v>0</v>
      </c>
      <c r="M267" s="7">
        <v>-5.8399076973219052E-3</v>
      </c>
      <c r="N267" s="7">
        <v>5.5810748882257604E-3</v>
      </c>
      <c r="O267" s="7">
        <v>0</v>
      </c>
      <c r="P267" s="7">
        <v>0</v>
      </c>
    </row>
    <row r="268" spans="1:16" x14ac:dyDescent="0.3">
      <c r="A268" s="1">
        <v>43851</v>
      </c>
      <c r="B268" s="2">
        <v>36.479999999999997</v>
      </c>
      <c r="C268" s="2">
        <v>166.5</v>
      </c>
      <c r="F268" s="1">
        <v>43851</v>
      </c>
      <c r="G268" s="2">
        <f t="shared" si="8"/>
        <v>6.9423738497939827E-2</v>
      </c>
      <c r="H268" s="2">
        <f t="shared" si="9"/>
        <v>-3.5971261808494803E-3</v>
      </c>
      <c r="I268" s="7">
        <v>0</v>
      </c>
      <c r="J268" s="7">
        <v>0</v>
      </c>
      <c r="K268" s="7">
        <v>6.9423738497939827E-2</v>
      </c>
      <c r="L268" s="7">
        <v>-3.5971261808494803E-3</v>
      </c>
      <c r="M268" s="7">
        <v>0</v>
      </c>
      <c r="N268" s="7">
        <v>0</v>
      </c>
      <c r="O268" s="7">
        <v>0</v>
      </c>
      <c r="P268" s="7">
        <v>0</v>
      </c>
    </row>
    <row r="269" spans="1:16" x14ac:dyDescent="0.3">
      <c r="A269" s="1">
        <v>43852</v>
      </c>
      <c r="B269" s="2">
        <v>37.970669000000001</v>
      </c>
      <c r="C269" s="2">
        <v>165.7</v>
      </c>
      <c r="F269" s="1">
        <v>43852</v>
      </c>
      <c r="G269" s="2">
        <f t="shared" si="8"/>
        <v>4.0049828055395927E-2</v>
      </c>
      <c r="H269" s="2">
        <f t="shared" si="9"/>
        <v>-4.8163849879813148E-3</v>
      </c>
      <c r="I269" s="7">
        <v>0</v>
      </c>
      <c r="J269" s="7">
        <v>0</v>
      </c>
      <c r="K269" s="7">
        <v>4.0049828055395927E-2</v>
      </c>
      <c r="L269" s="7">
        <v>-4.8163849879813148E-3</v>
      </c>
      <c r="M269" s="7">
        <v>0</v>
      </c>
      <c r="N269" s="7">
        <v>0</v>
      </c>
      <c r="O269" s="7">
        <v>0</v>
      </c>
      <c r="P269" s="7">
        <v>0</v>
      </c>
    </row>
    <row r="270" spans="1:16" x14ac:dyDescent="0.3">
      <c r="A270" s="1">
        <v>43853</v>
      </c>
      <c r="B270" s="2">
        <v>38.146667000000001</v>
      </c>
      <c r="C270" s="2">
        <v>166.72</v>
      </c>
      <c r="F270" s="1">
        <v>43853</v>
      </c>
      <c r="G270" s="2">
        <f t="shared" si="8"/>
        <v>4.6243949904766031E-3</v>
      </c>
      <c r="H270" s="2">
        <f t="shared" si="9"/>
        <v>6.136834132484956E-3</v>
      </c>
      <c r="I270" s="7">
        <v>0</v>
      </c>
      <c r="J270" s="7">
        <v>0</v>
      </c>
      <c r="K270" s="7">
        <v>0</v>
      </c>
      <c r="L270" s="7">
        <v>0</v>
      </c>
      <c r="M270" s="7">
        <v>0</v>
      </c>
      <c r="N270" s="7">
        <v>0</v>
      </c>
      <c r="O270" s="7">
        <v>4.6243949904766031E-3</v>
      </c>
      <c r="P270" s="7">
        <v>6.136834132484956E-3</v>
      </c>
    </row>
    <row r="271" spans="1:16" x14ac:dyDescent="0.3">
      <c r="A271" s="1">
        <v>43854</v>
      </c>
      <c r="B271" s="2">
        <v>37.654667000000003</v>
      </c>
      <c r="C271" s="2">
        <v>165.04</v>
      </c>
      <c r="F271" s="1">
        <v>43854</v>
      </c>
      <c r="G271" s="2">
        <f t="shared" si="8"/>
        <v>-1.2981484184876988E-2</v>
      </c>
      <c r="H271" s="2">
        <f t="shared" si="9"/>
        <v>-1.0127889802005716E-2</v>
      </c>
      <c r="I271" s="7">
        <v>-1.2981484184876988E-2</v>
      </c>
      <c r="J271" s="7">
        <v>-1.0127889802005716E-2</v>
      </c>
      <c r="K271" s="7">
        <v>0</v>
      </c>
      <c r="L271" s="7">
        <v>0</v>
      </c>
      <c r="M271" s="7">
        <v>0</v>
      </c>
      <c r="N271" s="7">
        <v>0</v>
      </c>
      <c r="O271" s="7">
        <v>0</v>
      </c>
      <c r="P271" s="7">
        <v>0</v>
      </c>
    </row>
    <row r="272" spans="1:16" x14ac:dyDescent="0.3">
      <c r="A272" s="1">
        <v>43857</v>
      </c>
      <c r="B272" s="2">
        <v>37.201332000000001</v>
      </c>
      <c r="C272" s="2">
        <v>162.28</v>
      </c>
      <c r="F272" s="1">
        <v>43857</v>
      </c>
      <c r="G272" s="2">
        <f t="shared" si="8"/>
        <v>-1.2112336977448162E-2</v>
      </c>
      <c r="H272" s="2">
        <f t="shared" si="9"/>
        <v>-1.6864630424749807E-2</v>
      </c>
      <c r="I272" s="7">
        <v>-1.2112336977448162E-2</v>
      </c>
      <c r="J272" s="7">
        <v>-1.6864630424749807E-2</v>
      </c>
      <c r="K272" s="7">
        <v>0</v>
      </c>
      <c r="L272" s="7">
        <v>0</v>
      </c>
      <c r="M272" s="7">
        <v>0</v>
      </c>
      <c r="N272" s="7">
        <v>0</v>
      </c>
      <c r="O272" s="7">
        <v>0</v>
      </c>
      <c r="P272" s="7">
        <v>0</v>
      </c>
    </row>
    <row r="273" spans="1:16" x14ac:dyDescent="0.3">
      <c r="A273" s="1">
        <v>43858</v>
      </c>
      <c r="B273" s="2">
        <v>37.793331000000002</v>
      </c>
      <c r="C273" s="2">
        <v>165.46</v>
      </c>
      <c r="F273" s="1">
        <v>43858</v>
      </c>
      <c r="G273" s="2">
        <f t="shared" si="8"/>
        <v>1.5788091399084134E-2</v>
      </c>
      <c r="H273" s="2">
        <f t="shared" si="9"/>
        <v>1.9406235423790313E-2</v>
      </c>
      <c r="I273" s="7">
        <v>0</v>
      </c>
      <c r="J273" s="7">
        <v>0</v>
      </c>
      <c r="K273" s="7">
        <v>0</v>
      </c>
      <c r="L273" s="7">
        <v>0</v>
      </c>
      <c r="M273" s="7">
        <v>0</v>
      </c>
      <c r="N273" s="7">
        <v>0</v>
      </c>
      <c r="O273" s="7">
        <v>1.5788091399084134E-2</v>
      </c>
      <c r="P273" s="7">
        <v>1.9406235423790313E-2</v>
      </c>
    </row>
    <row r="274" spans="1:16" x14ac:dyDescent="0.3">
      <c r="A274" s="1">
        <v>43859</v>
      </c>
      <c r="B274" s="2">
        <v>38.732666000000002</v>
      </c>
      <c r="C274" s="2">
        <v>168.04</v>
      </c>
      <c r="F274" s="1">
        <v>43859</v>
      </c>
      <c r="G274" s="2">
        <f t="shared" si="8"/>
        <v>2.4550668196856716E-2</v>
      </c>
      <c r="H274" s="2">
        <f t="shared" si="9"/>
        <v>1.5472572539144282E-2</v>
      </c>
      <c r="I274" s="7">
        <v>0</v>
      </c>
      <c r="J274" s="7">
        <v>0</v>
      </c>
      <c r="K274" s="7">
        <v>0</v>
      </c>
      <c r="L274" s="7">
        <v>0</v>
      </c>
      <c r="M274" s="7">
        <v>0</v>
      </c>
      <c r="N274" s="7">
        <v>0</v>
      </c>
      <c r="O274" s="7">
        <v>2.4550668196856716E-2</v>
      </c>
      <c r="P274" s="7">
        <v>1.5472572539144282E-2</v>
      </c>
    </row>
    <row r="275" spans="1:16" x14ac:dyDescent="0.3">
      <c r="A275" s="1">
        <v>43860</v>
      </c>
      <c r="B275" s="2">
        <v>42.720669000000001</v>
      </c>
      <c r="C275" s="2">
        <v>172.78</v>
      </c>
      <c r="F275" s="1">
        <v>43860</v>
      </c>
      <c r="G275" s="2">
        <f t="shared" si="8"/>
        <v>9.7999527956061594E-2</v>
      </c>
      <c r="H275" s="2">
        <f t="shared" si="9"/>
        <v>2.781706262955691E-2</v>
      </c>
      <c r="I275" s="7">
        <v>0</v>
      </c>
      <c r="J275" s="7">
        <v>0</v>
      </c>
      <c r="K275" s="7">
        <v>0</v>
      </c>
      <c r="L275" s="7">
        <v>0</v>
      </c>
      <c r="M275" s="7">
        <v>0</v>
      </c>
      <c r="N275" s="7">
        <v>0</v>
      </c>
      <c r="O275" s="7">
        <v>9.7999527956061594E-2</v>
      </c>
      <c r="P275" s="7">
        <v>2.781706262955691E-2</v>
      </c>
    </row>
    <row r="276" spans="1:16" x14ac:dyDescent="0.3">
      <c r="A276" s="1">
        <v>43861</v>
      </c>
      <c r="B276" s="2">
        <v>43.371333999999997</v>
      </c>
      <c r="C276" s="2">
        <v>170.23</v>
      </c>
      <c r="F276" s="1">
        <v>43861</v>
      </c>
      <c r="G276" s="2">
        <f t="shared" si="8"/>
        <v>1.5115861321444816E-2</v>
      </c>
      <c r="H276" s="2">
        <f t="shared" si="9"/>
        <v>-1.4868645104259065E-2</v>
      </c>
      <c r="I276" s="7">
        <v>0</v>
      </c>
      <c r="J276" s="7">
        <v>0</v>
      </c>
      <c r="K276" s="7">
        <v>1.5115861321444816E-2</v>
      </c>
      <c r="L276" s="7">
        <v>-1.4868645104259065E-2</v>
      </c>
      <c r="M276" s="7">
        <v>0</v>
      </c>
      <c r="N276" s="7">
        <v>0</v>
      </c>
      <c r="O276" s="7">
        <v>0</v>
      </c>
      <c r="P276" s="7">
        <v>0</v>
      </c>
    </row>
    <row r="277" spans="1:16" x14ac:dyDescent="0.3">
      <c r="A277" s="1">
        <v>43864</v>
      </c>
      <c r="B277" s="2">
        <v>52</v>
      </c>
      <c r="C277" s="2">
        <v>174.38</v>
      </c>
      <c r="F277" s="1">
        <v>43864</v>
      </c>
      <c r="G277" s="2">
        <f t="shared" si="8"/>
        <v>0.18144500261830182</v>
      </c>
      <c r="H277" s="2">
        <f t="shared" si="9"/>
        <v>2.408636217318981E-2</v>
      </c>
      <c r="I277" s="7">
        <v>0</v>
      </c>
      <c r="J277" s="7">
        <v>0</v>
      </c>
      <c r="K277" s="7">
        <v>0</v>
      </c>
      <c r="L277" s="7">
        <v>0</v>
      </c>
      <c r="M277" s="7">
        <v>0</v>
      </c>
      <c r="N277" s="7">
        <v>0</v>
      </c>
      <c r="O277" s="7">
        <v>0.18144500261830182</v>
      </c>
      <c r="P277" s="7">
        <v>2.408636217318981E-2</v>
      </c>
    </row>
    <row r="278" spans="1:16" x14ac:dyDescent="0.3">
      <c r="A278" s="1">
        <v>43865</v>
      </c>
      <c r="B278" s="2">
        <v>59.137332999999998</v>
      </c>
      <c r="C278" s="2">
        <v>180.12</v>
      </c>
      <c r="F278" s="1">
        <v>43865</v>
      </c>
      <c r="G278" s="2">
        <f t="shared" si="8"/>
        <v>0.12861869844456375</v>
      </c>
      <c r="H278" s="2">
        <f t="shared" si="9"/>
        <v>3.2386469433702061E-2</v>
      </c>
      <c r="I278" s="7">
        <v>0</v>
      </c>
      <c r="J278" s="7">
        <v>0</v>
      </c>
      <c r="K278" s="7">
        <v>0</v>
      </c>
      <c r="L278" s="7">
        <v>0</v>
      </c>
      <c r="M278" s="7">
        <v>0</v>
      </c>
      <c r="N278" s="7">
        <v>0</v>
      </c>
      <c r="O278" s="7">
        <v>0.12861869844456375</v>
      </c>
      <c r="P278" s="7">
        <v>3.2386469433702061E-2</v>
      </c>
    </row>
    <row r="279" spans="1:16" x14ac:dyDescent="0.3">
      <c r="A279" s="1">
        <v>43866</v>
      </c>
      <c r="B279" s="2">
        <v>48.98</v>
      </c>
      <c r="C279" s="2">
        <v>179.9</v>
      </c>
      <c r="F279" s="1">
        <v>43866</v>
      </c>
      <c r="G279" s="2">
        <f t="shared" si="8"/>
        <v>-0.18845036550196945</v>
      </c>
      <c r="H279" s="2">
        <f t="shared" si="9"/>
        <v>-1.2221544768834737E-3</v>
      </c>
      <c r="I279" s="7">
        <v>-0.18845036550196945</v>
      </c>
      <c r="J279" s="7">
        <v>-1.2221544768834737E-3</v>
      </c>
      <c r="K279" s="7">
        <v>0</v>
      </c>
      <c r="L279" s="7">
        <v>0</v>
      </c>
      <c r="M279" s="7">
        <v>0</v>
      </c>
      <c r="N279" s="7">
        <v>0</v>
      </c>
      <c r="O279" s="7">
        <v>0</v>
      </c>
      <c r="P279" s="7">
        <v>0</v>
      </c>
    </row>
    <row r="280" spans="1:16" x14ac:dyDescent="0.3">
      <c r="A280" s="1">
        <v>43867</v>
      </c>
      <c r="B280" s="2">
        <v>49.930667999999997</v>
      </c>
      <c r="C280" s="2">
        <v>183.63</v>
      </c>
      <c r="F280" s="1">
        <v>43867</v>
      </c>
      <c r="G280" s="2">
        <f t="shared" si="8"/>
        <v>1.9223351629224113E-2</v>
      </c>
      <c r="H280" s="2">
        <f t="shared" si="9"/>
        <v>2.0521722574600672E-2</v>
      </c>
      <c r="I280" s="7">
        <v>0</v>
      </c>
      <c r="J280" s="7">
        <v>0</v>
      </c>
      <c r="K280" s="7">
        <v>0</v>
      </c>
      <c r="L280" s="7">
        <v>0</v>
      </c>
      <c r="M280" s="7">
        <v>0</v>
      </c>
      <c r="N280" s="7">
        <v>0</v>
      </c>
      <c r="O280" s="7">
        <v>1.9223351629224113E-2</v>
      </c>
      <c r="P280" s="7">
        <v>2.0521722574600672E-2</v>
      </c>
    </row>
    <row r="281" spans="1:16" x14ac:dyDescent="0.3">
      <c r="A281" s="1">
        <v>43868</v>
      </c>
      <c r="B281" s="2">
        <v>49.871333999999997</v>
      </c>
      <c r="C281" s="2">
        <v>183.89</v>
      </c>
      <c r="F281" s="1">
        <v>43868</v>
      </c>
      <c r="G281" s="2">
        <f t="shared" si="8"/>
        <v>-1.1890344041505341E-3</v>
      </c>
      <c r="H281" s="2">
        <f t="shared" si="9"/>
        <v>1.4148892216736151E-3</v>
      </c>
      <c r="I281" s="7">
        <v>0</v>
      </c>
      <c r="J281" s="7">
        <v>0</v>
      </c>
      <c r="K281" s="7">
        <v>0</v>
      </c>
      <c r="L281" s="7">
        <v>0</v>
      </c>
      <c r="M281" s="7">
        <v>-1.1890344041505341E-3</v>
      </c>
      <c r="N281" s="7">
        <v>1.4148892216736151E-3</v>
      </c>
      <c r="O281" s="7">
        <v>0</v>
      </c>
      <c r="P281" s="7">
        <v>0</v>
      </c>
    </row>
    <row r="282" spans="1:16" x14ac:dyDescent="0.3">
      <c r="A282" s="1">
        <v>43871</v>
      </c>
      <c r="B282" s="2">
        <v>51.418666999999999</v>
      </c>
      <c r="C282" s="2">
        <v>188.7</v>
      </c>
      <c r="F282" s="1">
        <v>43871</v>
      </c>
      <c r="G282" s="2">
        <f t="shared" si="8"/>
        <v>3.0554908987549569E-2</v>
      </c>
      <c r="H282" s="2">
        <f t="shared" si="9"/>
        <v>2.5820699621742788E-2</v>
      </c>
      <c r="I282" s="7">
        <v>0</v>
      </c>
      <c r="J282" s="7">
        <v>0</v>
      </c>
      <c r="K282" s="7">
        <v>0</v>
      </c>
      <c r="L282" s="7">
        <v>0</v>
      </c>
      <c r="M282" s="7">
        <v>0</v>
      </c>
      <c r="N282" s="7">
        <v>0</v>
      </c>
      <c r="O282" s="7">
        <v>3.0554908987549569E-2</v>
      </c>
      <c r="P282" s="7">
        <v>2.5820699621742788E-2</v>
      </c>
    </row>
    <row r="283" spans="1:16" x14ac:dyDescent="0.3">
      <c r="A283" s="1">
        <v>43872</v>
      </c>
      <c r="B283" s="2">
        <v>51.625332</v>
      </c>
      <c r="C283" s="2">
        <v>184.44</v>
      </c>
      <c r="F283" s="1">
        <v>43872</v>
      </c>
      <c r="G283" s="2">
        <f t="shared" si="8"/>
        <v>4.0112045166092085E-3</v>
      </c>
      <c r="H283" s="2">
        <f t="shared" si="9"/>
        <v>-2.2834245035999685E-2</v>
      </c>
      <c r="I283" s="7">
        <v>0</v>
      </c>
      <c r="J283" s="7">
        <v>0</v>
      </c>
      <c r="K283" s="7">
        <v>4.0112045166092085E-3</v>
      </c>
      <c r="L283" s="7">
        <v>-2.2834245035999685E-2</v>
      </c>
      <c r="M283" s="7">
        <v>0</v>
      </c>
      <c r="N283" s="7">
        <v>0</v>
      </c>
      <c r="O283" s="7">
        <v>0</v>
      </c>
      <c r="P283" s="7">
        <v>0</v>
      </c>
    </row>
    <row r="284" spans="1:16" x14ac:dyDescent="0.3">
      <c r="A284" s="1">
        <v>43873</v>
      </c>
      <c r="B284" s="2">
        <v>51.152667999999998</v>
      </c>
      <c r="C284" s="2">
        <v>184.71</v>
      </c>
      <c r="F284" s="1">
        <v>43873</v>
      </c>
      <c r="G284" s="2">
        <f t="shared" si="8"/>
        <v>-9.1978309031150642E-3</v>
      </c>
      <c r="H284" s="2">
        <f t="shared" si="9"/>
        <v>1.4628202527237823E-3</v>
      </c>
      <c r="I284" s="7">
        <v>0</v>
      </c>
      <c r="J284" s="7">
        <v>0</v>
      </c>
      <c r="K284" s="7">
        <v>0</v>
      </c>
      <c r="L284" s="7">
        <v>0</v>
      </c>
      <c r="M284" s="7">
        <v>-9.1978309031150642E-3</v>
      </c>
      <c r="N284" s="7">
        <v>1.4628202527237823E-3</v>
      </c>
      <c r="O284" s="7">
        <v>0</v>
      </c>
      <c r="P284" s="7">
        <v>0</v>
      </c>
    </row>
    <row r="285" spans="1:16" x14ac:dyDescent="0.3">
      <c r="A285" s="1">
        <v>43874</v>
      </c>
      <c r="B285" s="2">
        <v>53.599997999999999</v>
      </c>
      <c r="C285" s="2">
        <v>183.71</v>
      </c>
      <c r="F285" s="1">
        <v>43874</v>
      </c>
      <c r="G285" s="2">
        <f t="shared" si="8"/>
        <v>4.6734379413183584E-2</v>
      </c>
      <c r="H285" s="2">
        <f t="shared" si="9"/>
        <v>-5.4286002703827496E-3</v>
      </c>
      <c r="I285" s="7">
        <v>0</v>
      </c>
      <c r="J285" s="7">
        <v>0</v>
      </c>
      <c r="K285" s="7">
        <v>4.6734379413183584E-2</v>
      </c>
      <c r="L285" s="7">
        <v>-5.4286002703827496E-3</v>
      </c>
      <c r="M285" s="7">
        <v>0</v>
      </c>
      <c r="N285" s="7">
        <v>0</v>
      </c>
      <c r="O285" s="7">
        <v>0</v>
      </c>
      <c r="P285" s="7">
        <v>0</v>
      </c>
    </row>
    <row r="286" spans="1:16" x14ac:dyDescent="0.3">
      <c r="A286" s="1">
        <v>43875</v>
      </c>
      <c r="B286" s="2">
        <v>53.335335000000001</v>
      </c>
      <c r="C286" s="2">
        <v>185.35</v>
      </c>
      <c r="F286" s="1">
        <v>43875</v>
      </c>
      <c r="G286" s="2">
        <f t="shared" si="8"/>
        <v>-4.9499736518852774E-3</v>
      </c>
      <c r="H286" s="2">
        <f t="shared" si="9"/>
        <v>8.8875022758955011E-3</v>
      </c>
      <c r="I286" s="7">
        <v>0</v>
      </c>
      <c r="J286" s="7">
        <v>0</v>
      </c>
      <c r="K286" s="7">
        <v>0</v>
      </c>
      <c r="L286" s="7">
        <v>0</v>
      </c>
      <c r="M286" s="7">
        <v>-4.9499736518852774E-3</v>
      </c>
      <c r="N286" s="7">
        <v>8.8875022758955011E-3</v>
      </c>
      <c r="O286" s="7">
        <v>0</v>
      </c>
      <c r="P286" s="7">
        <v>0</v>
      </c>
    </row>
    <row r="287" spans="1:16" x14ac:dyDescent="0.3">
      <c r="A287" s="1">
        <v>43879</v>
      </c>
      <c r="B287" s="2">
        <v>57.226664999999997</v>
      </c>
      <c r="C287" s="2">
        <v>187.23</v>
      </c>
      <c r="F287" s="1">
        <v>43879</v>
      </c>
      <c r="G287" s="2">
        <f t="shared" si="8"/>
        <v>7.0420903978889171E-2</v>
      </c>
      <c r="H287" s="2">
        <f t="shared" si="9"/>
        <v>1.009187801732012E-2</v>
      </c>
      <c r="I287" s="7">
        <v>0</v>
      </c>
      <c r="J287" s="7">
        <v>0</v>
      </c>
      <c r="K287" s="7">
        <v>0</v>
      </c>
      <c r="L287" s="7">
        <v>0</v>
      </c>
      <c r="M287" s="7">
        <v>0</v>
      </c>
      <c r="N287" s="7">
        <v>0</v>
      </c>
      <c r="O287" s="7">
        <v>7.0420903978889171E-2</v>
      </c>
      <c r="P287" s="7">
        <v>1.009187801732012E-2</v>
      </c>
    </row>
    <row r="288" spans="1:16" x14ac:dyDescent="0.3">
      <c r="A288" s="1">
        <v>43880</v>
      </c>
      <c r="B288" s="2">
        <v>61.161330999999997</v>
      </c>
      <c r="C288" s="2">
        <v>187.28</v>
      </c>
      <c r="F288" s="1">
        <v>43880</v>
      </c>
      <c r="G288" s="2">
        <f t="shared" si="8"/>
        <v>6.6495182323661209E-2</v>
      </c>
      <c r="H288" s="2">
        <f t="shared" si="9"/>
        <v>2.6701556859407845E-4</v>
      </c>
      <c r="I288" s="7">
        <v>0</v>
      </c>
      <c r="J288" s="7">
        <v>0</v>
      </c>
      <c r="K288" s="7">
        <v>0</v>
      </c>
      <c r="L288" s="7">
        <v>0</v>
      </c>
      <c r="M288" s="7">
        <v>0</v>
      </c>
      <c r="N288" s="7">
        <v>0</v>
      </c>
      <c r="O288" s="7">
        <v>6.6495182323661209E-2</v>
      </c>
      <c r="P288" s="7">
        <v>2.6701556859407845E-4</v>
      </c>
    </row>
    <row r="289" spans="1:16" x14ac:dyDescent="0.3">
      <c r="A289" s="1">
        <v>43881</v>
      </c>
      <c r="B289" s="2">
        <v>59.960667000000001</v>
      </c>
      <c r="C289" s="2">
        <v>184.42</v>
      </c>
      <c r="F289" s="1">
        <v>43881</v>
      </c>
      <c r="G289" s="2">
        <f t="shared" si="8"/>
        <v>-1.9826346158741241E-2</v>
      </c>
      <c r="H289" s="2">
        <f t="shared" si="9"/>
        <v>-1.5389058071660194E-2</v>
      </c>
      <c r="I289" s="7">
        <v>-1.9826346158741241E-2</v>
      </c>
      <c r="J289" s="7">
        <v>-1.5389058071660194E-2</v>
      </c>
      <c r="K289" s="7">
        <v>0</v>
      </c>
      <c r="L289" s="7">
        <v>0</v>
      </c>
      <c r="M289" s="7">
        <v>0</v>
      </c>
      <c r="N289" s="7">
        <v>0</v>
      </c>
      <c r="O289" s="7">
        <v>0</v>
      </c>
      <c r="P289" s="7">
        <v>0</v>
      </c>
    </row>
    <row r="290" spans="1:16" x14ac:dyDescent="0.3">
      <c r="A290" s="1">
        <v>43882</v>
      </c>
      <c r="B290" s="2">
        <v>60.066665999999998</v>
      </c>
      <c r="C290" s="2">
        <v>178.59</v>
      </c>
      <c r="F290" s="1">
        <v>43882</v>
      </c>
      <c r="G290" s="2">
        <f t="shared" si="8"/>
        <v>1.766248152101891E-3</v>
      </c>
      <c r="H290" s="2">
        <f t="shared" si="9"/>
        <v>-3.2123089277586635E-2</v>
      </c>
      <c r="I290" s="7">
        <v>0</v>
      </c>
      <c r="J290" s="7">
        <v>0</v>
      </c>
      <c r="K290" s="7">
        <v>1.766248152101891E-3</v>
      </c>
      <c r="L290" s="7">
        <v>-3.2123089277586635E-2</v>
      </c>
      <c r="M290" s="7">
        <v>0</v>
      </c>
      <c r="N290" s="7">
        <v>0</v>
      </c>
      <c r="O290" s="7">
        <v>0</v>
      </c>
      <c r="P290" s="7">
        <v>0</v>
      </c>
    </row>
    <row r="291" spans="1:16" x14ac:dyDescent="0.3">
      <c r="A291" s="1">
        <v>43885</v>
      </c>
      <c r="B291" s="2">
        <v>55.585999000000001</v>
      </c>
      <c r="C291" s="2">
        <v>170.89</v>
      </c>
      <c r="F291" s="1">
        <v>43885</v>
      </c>
      <c r="G291" s="2">
        <f t="shared" si="8"/>
        <v>-7.7523692408684827E-2</v>
      </c>
      <c r="H291" s="2">
        <f t="shared" si="9"/>
        <v>-4.4072601174591088E-2</v>
      </c>
      <c r="I291" s="7">
        <v>-7.7523692408684827E-2</v>
      </c>
      <c r="J291" s="7">
        <v>-4.4072601174591088E-2</v>
      </c>
      <c r="K291" s="7">
        <v>0</v>
      </c>
      <c r="L291" s="7">
        <v>0</v>
      </c>
      <c r="M291" s="7">
        <v>0</v>
      </c>
      <c r="N291" s="7">
        <v>0</v>
      </c>
      <c r="O291" s="7">
        <v>0</v>
      </c>
      <c r="P291" s="7">
        <v>0</v>
      </c>
    </row>
    <row r="292" spans="1:16" x14ac:dyDescent="0.3">
      <c r="A292" s="1">
        <v>43886</v>
      </c>
      <c r="B292" s="2">
        <v>53.327331999999998</v>
      </c>
      <c r="C292" s="2">
        <v>168.07</v>
      </c>
      <c r="F292" s="1">
        <v>43886</v>
      </c>
      <c r="G292" s="2">
        <f t="shared" si="8"/>
        <v>-4.1482357764359414E-2</v>
      </c>
      <c r="H292" s="2">
        <f t="shared" si="9"/>
        <v>-1.6639515370342323E-2</v>
      </c>
      <c r="I292" s="7">
        <v>-4.1482357764359414E-2</v>
      </c>
      <c r="J292" s="7">
        <v>-1.6639515370342323E-2</v>
      </c>
      <c r="K292" s="7">
        <v>0</v>
      </c>
      <c r="L292" s="7">
        <v>0</v>
      </c>
      <c r="M292" s="7">
        <v>0</v>
      </c>
      <c r="N292" s="7">
        <v>0</v>
      </c>
      <c r="O292" s="7">
        <v>0</v>
      </c>
      <c r="P292" s="7">
        <v>0</v>
      </c>
    </row>
    <row r="293" spans="1:16" x14ac:dyDescent="0.3">
      <c r="A293" s="1">
        <v>43887</v>
      </c>
      <c r="B293" s="2">
        <v>51.919998</v>
      </c>
      <c r="C293" s="2">
        <v>170.17</v>
      </c>
      <c r="F293" s="1">
        <v>43887</v>
      </c>
      <c r="G293" s="2">
        <f t="shared" si="8"/>
        <v>-2.6744961359271888E-2</v>
      </c>
      <c r="H293" s="2">
        <f t="shared" si="9"/>
        <v>1.2417378094870118E-2</v>
      </c>
      <c r="I293" s="7">
        <v>0</v>
      </c>
      <c r="J293" s="7">
        <v>0</v>
      </c>
      <c r="K293" s="7">
        <v>0</v>
      </c>
      <c r="L293" s="7">
        <v>0</v>
      </c>
      <c r="M293" s="7">
        <v>-2.6744961359271888E-2</v>
      </c>
      <c r="N293" s="7">
        <v>1.2417378094870118E-2</v>
      </c>
      <c r="O293" s="7">
        <v>0</v>
      </c>
      <c r="P293" s="7">
        <v>0</v>
      </c>
    </row>
    <row r="294" spans="1:16" x14ac:dyDescent="0.3">
      <c r="A294" s="1">
        <v>43888</v>
      </c>
      <c r="B294" s="2">
        <v>45.266666000000001</v>
      </c>
      <c r="C294" s="2">
        <v>158.18</v>
      </c>
      <c r="F294" s="1">
        <v>43888</v>
      </c>
      <c r="G294" s="2">
        <f t="shared" si="8"/>
        <v>-0.13713312214608708</v>
      </c>
      <c r="H294" s="2">
        <f t="shared" si="9"/>
        <v>-7.3064312292073968E-2</v>
      </c>
      <c r="I294" s="7">
        <v>-0.13713312214608708</v>
      </c>
      <c r="J294" s="7">
        <v>-7.3064312292073968E-2</v>
      </c>
      <c r="K294" s="7">
        <v>0</v>
      </c>
      <c r="L294" s="7">
        <v>0</v>
      </c>
      <c r="M294" s="7">
        <v>0</v>
      </c>
      <c r="N294" s="7">
        <v>0</v>
      </c>
      <c r="O294" s="7">
        <v>0</v>
      </c>
      <c r="P294" s="7">
        <v>0</v>
      </c>
    </row>
    <row r="295" spans="1:16" x14ac:dyDescent="0.3">
      <c r="A295" s="1">
        <v>43889</v>
      </c>
      <c r="B295" s="2">
        <v>44.532665000000001</v>
      </c>
      <c r="C295" s="2">
        <v>162.01</v>
      </c>
      <c r="F295" s="1">
        <v>43889</v>
      </c>
      <c r="G295" s="2">
        <f t="shared" si="8"/>
        <v>-1.6347946892153117E-2</v>
      </c>
      <c r="H295" s="2">
        <f t="shared" si="9"/>
        <v>2.3924436631055646E-2</v>
      </c>
      <c r="I295" s="7">
        <v>0</v>
      </c>
      <c r="J295" s="7">
        <v>0</v>
      </c>
      <c r="K295" s="7">
        <v>0</v>
      </c>
      <c r="L295" s="7">
        <v>0</v>
      </c>
      <c r="M295" s="7">
        <v>-1.6347946892153117E-2</v>
      </c>
      <c r="N295" s="7">
        <v>2.3924436631055646E-2</v>
      </c>
      <c r="O295" s="7">
        <v>0</v>
      </c>
      <c r="P295" s="7">
        <v>0</v>
      </c>
    </row>
    <row r="296" spans="1:16" x14ac:dyDescent="0.3">
      <c r="A296" s="1">
        <v>43892</v>
      </c>
      <c r="B296" s="2">
        <v>49.574669</v>
      </c>
      <c r="C296" s="2">
        <v>172.79</v>
      </c>
      <c r="F296" s="1">
        <v>43892</v>
      </c>
      <c r="G296" s="2">
        <f t="shared" si="8"/>
        <v>0.10725703279438244</v>
      </c>
      <c r="H296" s="2">
        <f t="shared" si="9"/>
        <v>6.4418922602703474E-2</v>
      </c>
      <c r="I296" s="7">
        <v>0</v>
      </c>
      <c r="J296" s="7">
        <v>0</v>
      </c>
      <c r="K296" s="7">
        <v>0</v>
      </c>
      <c r="L296" s="7">
        <v>0</v>
      </c>
      <c r="M296" s="7">
        <v>0</v>
      </c>
      <c r="N296" s="7">
        <v>0</v>
      </c>
      <c r="O296" s="7">
        <v>0.10725703279438244</v>
      </c>
      <c r="P296" s="7">
        <v>6.4418922602703474E-2</v>
      </c>
    </row>
    <row r="297" spans="1:16" x14ac:dyDescent="0.3">
      <c r="A297" s="1">
        <v>43893</v>
      </c>
      <c r="B297" s="2">
        <v>49.700668</v>
      </c>
      <c r="C297" s="2">
        <v>164.51</v>
      </c>
      <c r="F297" s="1">
        <v>43893</v>
      </c>
      <c r="G297" s="2">
        <f t="shared" si="8"/>
        <v>2.5383760249469028E-3</v>
      </c>
      <c r="H297" s="2">
        <f t="shared" si="9"/>
        <v>-4.9105625693701326E-2</v>
      </c>
      <c r="I297" s="7">
        <v>0</v>
      </c>
      <c r="J297" s="7">
        <v>0</v>
      </c>
      <c r="K297" s="7">
        <v>2.5383760249469028E-3</v>
      </c>
      <c r="L297" s="7">
        <v>-4.9105625693701326E-2</v>
      </c>
      <c r="M297" s="7">
        <v>0</v>
      </c>
      <c r="N297" s="7">
        <v>0</v>
      </c>
      <c r="O297" s="7">
        <v>0</v>
      </c>
      <c r="P297" s="7">
        <v>0</v>
      </c>
    </row>
    <row r="298" spans="1:16" x14ac:dyDescent="0.3">
      <c r="A298" s="1">
        <v>43894</v>
      </c>
      <c r="B298" s="2">
        <v>49.966667000000001</v>
      </c>
      <c r="C298" s="2">
        <v>170.55</v>
      </c>
      <c r="F298" s="1">
        <v>43894</v>
      </c>
      <c r="G298" s="2">
        <f t="shared" si="8"/>
        <v>5.3377494554348506E-3</v>
      </c>
      <c r="H298" s="2">
        <f t="shared" si="9"/>
        <v>3.6057150233325855E-2</v>
      </c>
      <c r="I298" s="7">
        <v>0</v>
      </c>
      <c r="J298" s="7">
        <v>0</v>
      </c>
      <c r="K298" s="7">
        <v>0</v>
      </c>
      <c r="L298" s="7">
        <v>0</v>
      </c>
      <c r="M298" s="7">
        <v>0</v>
      </c>
      <c r="N298" s="7">
        <v>0</v>
      </c>
      <c r="O298" s="7">
        <v>5.3377494554348506E-3</v>
      </c>
      <c r="P298" s="7">
        <v>3.6057150233325855E-2</v>
      </c>
    </row>
    <row r="299" spans="1:16" x14ac:dyDescent="0.3">
      <c r="A299" s="1">
        <v>43895</v>
      </c>
      <c r="B299" s="2">
        <v>48.302666000000002</v>
      </c>
      <c r="C299" s="2">
        <v>166.27</v>
      </c>
      <c r="F299" s="1">
        <v>43895</v>
      </c>
      <c r="G299" s="2">
        <f t="shared" si="8"/>
        <v>-3.386936728893989E-2</v>
      </c>
      <c r="H299" s="2">
        <f t="shared" si="9"/>
        <v>-2.5415535812366694E-2</v>
      </c>
      <c r="I299" s="7">
        <v>-3.386936728893989E-2</v>
      </c>
      <c r="J299" s="7">
        <v>-2.5415535812366694E-2</v>
      </c>
      <c r="K299" s="7">
        <v>0</v>
      </c>
      <c r="L299" s="7">
        <v>0</v>
      </c>
      <c r="M299" s="7">
        <v>0</v>
      </c>
      <c r="N299" s="7">
        <v>0</v>
      </c>
      <c r="O299" s="7">
        <v>0</v>
      </c>
      <c r="P299" s="7">
        <v>0</v>
      </c>
    </row>
    <row r="300" spans="1:16" x14ac:dyDescent="0.3">
      <c r="A300" s="1">
        <v>43896</v>
      </c>
      <c r="B300" s="2">
        <v>46.898665999999999</v>
      </c>
      <c r="C300" s="2">
        <v>161.57</v>
      </c>
      <c r="F300" s="1">
        <v>43896</v>
      </c>
      <c r="G300" s="2">
        <f t="shared" si="8"/>
        <v>-2.9497524271708545E-2</v>
      </c>
      <c r="H300" s="2">
        <f t="shared" si="9"/>
        <v>-2.8674487763549045E-2</v>
      </c>
      <c r="I300" s="7">
        <v>-2.9497524271708545E-2</v>
      </c>
      <c r="J300" s="7">
        <v>-2.8674487763549045E-2</v>
      </c>
      <c r="K300" s="7">
        <v>0</v>
      </c>
      <c r="L300" s="7">
        <v>0</v>
      </c>
      <c r="M300" s="7">
        <v>0</v>
      </c>
      <c r="N300" s="7">
        <v>0</v>
      </c>
      <c r="O300" s="7">
        <v>0</v>
      </c>
      <c r="P300" s="7">
        <v>0</v>
      </c>
    </row>
    <row r="301" spans="1:16" x14ac:dyDescent="0.3">
      <c r="A301" s="1">
        <v>43899</v>
      </c>
      <c r="B301" s="2">
        <v>40.533332999999999</v>
      </c>
      <c r="C301" s="2">
        <v>150.62</v>
      </c>
      <c r="F301" s="1">
        <v>43899</v>
      </c>
      <c r="G301" s="2">
        <f t="shared" si="8"/>
        <v>-0.14586455891063535</v>
      </c>
      <c r="H301" s="2">
        <f t="shared" si="9"/>
        <v>-7.0178376615533458E-2</v>
      </c>
      <c r="I301" s="7">
        <v>-0.14586455891063535</v>
      </c>
      <c r="J301" s="7">
        <v>-7.0178376615533458E-2</v>
      </c>
      <c r="K301" s="7">
        <v>0</v>
      </c>
      <c r="L301" s="7">
        <v>0</v>
      </c>
      <c r="M301" s="7">
        <v>0</v>
      </c>
      <c r="N301" s="7">
        <v>0</v>
      </c>
      <c r="O301" s="7">
        <v>0</v>
      </c>
      <c r="P301" s="7">
        <v>0</v>
      </c>
    </row>
    <row r="302" spans="1:16" x14ac:dyDescent="0.3">
      <c r="A302" s="1">
        <v>43900</v>
      </c>
      <c r="B302" s="2">
        <v>43.021999000000001</v>
      </c>
      <c r="C302" s="2">
        <v>160.91999999999999</v>
      </c>
      <c r="F302" s="1">
        <v>43900</v>
      </c>
      <c r="G302" s="2">
        <f t="shared" si="8"/>
        <v>5.9586916879411554E-2</v>
      </c>
      <c r="H302" s="2">
        <f t="shared" si="9"/>
        <v>6.6147238408381687E-2</v>
      </c>
      <c r="I302" s="7">
        <v>0</v>
      </c>
      <c r="J302" s="7">
        <v>0</v>
      </c>
      <c r="K302" s="7">
        <v>0</v>
      </c>
      <c r="L302" s="7">
        <v>0</v>
      </c>
      <c r="M302" s="7">
        <v>0</v>
      </c>
      <c r="N302" s="7">
        <v>0</v>
      </c>
      <c r="O302" s="7">
        <v>5.9586916879411554E-2</v>
      </c>
      <c r="P302" s="7">
        <v>6.6147238408381687E-2</v>
      </c>
    </row>
    <row r="303" spans="1:16" x14ac:dyDescent="0.3">
      <c r="A303" s="1">
        <v>43901</v>
      </c>
      <c r="B303" s="2">
        <v>42.282001000000001</v>
      </c>
      <c r="C303" s="2">
        <v>153.63</v>
      </c>
      <c r="F303" s="1">
        <v>43901</v>
      </c>
      <c r="G303" s="2">
        <f t="shared" si="8"/>
        <v>-1.7350102296018004E-2</v>
      </c>
      <c r="H303" s="2">
        <f t="shared" si="9"/>
        <v>-4.6360232939018739E-2</v>
      </c>
      <c r="I303" s="7">
        <v>-1.7350102296018004E-2</v>
      </c>
      <c r="J303" s="7">
        <v>-4.6360232939018739E-2</v>
      </c>
      <c r="K303" s="7">
        <v>0</v>
      </c>
      <c r="L303" s="7">
        <v>0</v>
      </c>
      <c r="M303" s="7">
        <v>0</v>
      </c>
      <c r="N303" s="7">
        <v>0</v>
      </c>
      <c r="O303" s="7">
        <v>0</v>
      </c>
      <c r="P303" s="7">
        <v>0</v>
      </c>
    </row>
    <row r="304" spans="1:16" x14ac:dyDescent="0.3">
      <c r="A304" s="1">
        <v>43902</v>
      </c>
      <c r="B304" s="2">
        <v>37.369999</v>
      </c>
      <c r="C304" s="2">
        <v>139.06</v>
      </c>
      <c r="F304" s="1">
        <v>43902</v>
      </c>
      <c r="G304" s="2">
        <f t="shared" si="8"/>
        <v>-0.12349327048570673</v>
      </c>
      <c r="H304" s="2">
        <f t="shared" si="9"/>
        <v>-9.964161947169678E-2</v>
      </c>
      <c r="I304" s="7">
        <v>-0.12349327048570673</v>
      </c>
      <c r="J304" s="7">
        <v>-9.964161947169678E-2</v>
      </c>
      <c r="K304" s="7">
        <v>0</v>
      </c>
      <c r="L304" s="7">
        <v>0</v>
      </c>
      <c r="M304" s="7">
        <v>0</v>
      </c>
      <c r="N304" s="7">
        <v>0</v>
      </c>
      <c r="O304" s="7">
        <v>0</v>
      </c>
      <c r="P304" s="7">
        <v>0</v>
      </c>
    </row>
    <row r="305" spans="1:16" x14ac:dyDescent="0.3">
      <c r="A305" s="1">
        <v>43903</v>
      </c>
      <c r="B305" s="2">
        <v>36.441333999999998</v>
      </c>
      <c r="C305" s="2">
        <v>158.83000000000001</v>
      </c>
      <c r="F305" s="1">
        <v>43903</v>
      </c>
      <c r="G305" s="2">
        <f t="shared" si="8"/>
        <v>-2.5164536893321161E-2</v>
      </c>
      <c r="H305" s="2">
        <f t="shared" si="9"/>
        <v>0.13292895317619191</v>
      </c>
      <c r="I305" s="7">
        <v>0</v>
      </c>
      <c r="J305" s="7">
        <v>0</v>
      </c>
      <c r="K305" s="7">
        <v>0</v>
      </c>
      <c r="L305" s="7">
        <v>0</v>
      </c>
      <c r="M305" s="7">
        <v>-2.5164536893321161E-2</v>
      </c>
      <c r="N305" s="7">
        <v>0.13292895317619191</v>
      </c>
      <c r="O305" s="7">
        <v>0</v>
      </c>
      <c r="P305" s="7">
        <v>0</v>
      </c>
    </row>
    <row r="306" spans="1:16" x14ac:dyDescent="0.3">
      <c r="A306" s="1">
        <v>43906</v>
      </c>
      <c r="B306" s="2">
        <v>29.671333000000001</v>
      </c>
      <c r="C306" s="2">
        <v>135.41999999999999</v>
      </c>
      <c r="F306" s="1">
        <v>43906</v>
      </c>
      <c r="G306" s="2">
        <f t="shared" si="8"/>
        <v>-0.20552231901488752</v>
      </c>
      <c r="H306" s="2">
        <f t="shared" si="9"/>
        <v>-0.15945338778956455</v>
      </c>
      <c r="I306" s="7">
        <v>-0.20552231901488752</v>
      </c>
      <c r="J306" s="7">
        <v>-0.15945338778956455</v>
      </c>
      <c r="K306" s="7">
        <v>0</v>
      </c>
      <c r="L306" s="7">
        <v>0</v>
      </c>
      <c r="M306" s="7">
        <v>0</v>
      </c>
      <c r="N306" s="7">
        <v>0</v>
      </c>
      <c r="O306" s="7">
        <v>0</v>
      </c>
      <c r="P306" s="7">
        <v>0</v>
      </c>
    </row>
    <row r="307" spans="1:16" x14ac:dyDescent="0.3">
      <c r="A307" s="1">
        <v>43907</v>
      </c>
      <c r="B307" s="2">
        <v>28.68</v>
      </c>
      <c r="C307" s="2">
        <v>146.57</v>
      </c>
      <c r="F307" s="1">
        <v>43907</v>
      </c>
      <c r="G307" s="2">
        <f t="shared" si="8"/>
        <v>-3.3981345098331256E-2</v>
      </c>
      <c r="H307" s="2">
        <f t="shared" si="9"/>
        <v>7.9122069981709925E-2</v>
      </c>
      <c r="I307" s="7">
        <v>0</v>
      </c>
      <c r="J307" s="7">
        <v>0</v>
      </c>
      <c r="K307" s="7">
        <v>0</v>
      </c>
      <c r="L307" s="7">
        <v>0</v>
      </c>
      <c r="M307" s="7">
        <v>-3.3981345098331256E-2</v>
      </c>
      <c r="N307" s="7">
        <v>7.9122069981709925E-2</v>
      </c>
      <c r="O307" s="7">
        <v>0</v>
      </c>
      <c r="P307" s="7">
        <v>0</v>
      </c>
    </row>
    <row r="308" spans="1:16" x14ac:dyDescent="0.3">
      <c r="A308" s="1">
        <v>43908</v>
      </c>
      <c r="B308" s="2">
        <v>24.081333000000001</v>
      </c>
      <c r="C308" s="2">
        <v>140.4</v>
      </c>
      <c r="F308" s="1">
        <v>43908</v>
      </c>
      <c r="G308" s="2">
        <f t="shared" si="8"/>
        <v>-0.17476303968009224</v>
      </c>
      <c r="H308" s="2">
        <f t="shared" si="9"/>
        <v>-4.3007638447498421E-2</v>
      </c>
      <c r="I308" s="7">
        <v>-0.17476303968009224</v>
      </c>
      <c r="J308" s="7">
        <v>-4.3007638447498421E-2</v>
      </c>
      <c r="K308" s="7">
        <v>0</v>
      </c>
      <c r="L308" s="7">
        <v>0</v>
      </c>
      <c r="M308" s="7">
        <v>0</v>
      </c>
      <c r="N308" s="7">
        <v>0</v>
      </c>
      <c r="O308" s="7">
        <v>0</v>
      </c>
      <c r="P308" s="7">
        <v>0</v>
      </c>
    </row>
    <row r="309" spans="1:16" x14ac:dyDescent="0.3">
      <c r="A309" s="1">
        <v>43909</v>
      </c>
      <c r="B309" s="2">
        <v>28.509333000000002</v>
      </c>
      <c r="C309" s="2">
        <v>142.71</v>
      </c>
      <c r="F309" s="1">
        <v>43909</v>
      </c>
      <c r="G309" s="2">
        <f t="shared" si="8"/>
        <v>0.16879453129968422</v>
      </c>
      <c r="H309" s="2">
        <f t="shared" si="9"/>
        <v>1.6319107520589002E-2</v>
      </c>
      <c r="I309" s="7">
        <v>0</v>
      </c>
      <c r="J309" s="7">
        <v>0</v>
      </c>
      <c r="K309" s="7">
        <v>0</v>
      </c>
      <c r="L309" s="7">
        <v>0</v>
      </c>
      <c r="M309" s="7">
        <v>0</v>
      </c>
      <c r="N309" s="7">
        <v>0</v>
      </c>
      <c r="O309" s="7">
        <v>0.16879453129968422</v>
      </c>
      <c r="P309" s="7">
        <v>1.6319107520589002E-2</v>
      </c>
    </row>
    <row r="310" spans="1:16" x14ac:dyDescent="0.3">
      <c r="A310" s="1">
        <v>43910</v>
      </c>
      <c r="B310" s="2">
        <v>28.502001</v>
      </c>
      <c r="C310" s="2">
        <v>137.35</v>
      </c>
      <c r="F310" s="1">
        <v>43910</v>
      </c>
      <c r="G310" s="2">
        <f t="shared" si="8"/>
        <v>-2.5721201473459206E-4</v>
      </c>
      <c r="H310" s="2">
        <f t="shared" si="9"/>
        <v>-3.8282186571017035E-2</v>
      </c>
      <c r="I310" s="7">
        <v>-2.5721201473459206E-4</v>
      </c>
      <c r="J310" s="7">
        <v>-3.8282186571017035E-2</v>
      </c>
      <c r="K310" s="7">
        <v>0</v>
      </c>
      <c r="L310" s="7">
        <v>0</v>
      </c>
      <c r="M310" s="7">
        <v>0</v>
      </c>
      <c r="N310" s="7">
        <v>0</v>
      </c>
      <c r="O310" s="7">
        <v>0</v>
      </c>
      <c r="P310" s="7">
        <v>0</v>
      </c>
    </row>
    <row r="311" spans="1:16" x14ac:dyDescent="0.3">
      <c r="A311" s="1">
        <v>43913</v>
      </c>
      <c r="B311" s="2">
        <v>28.952667000000002</v>
      </c>
      <c r="C311" s="2">
        <v>135.97999999999999</v>
      </c>
      <c r="F311" s="1">
        <v>43913</v>
      </c>
      <c r="G311" s="2">
        <f t="shared" si="8"/>
        <v>1.568802879187136E-2</v>
      </c>
      <c r="H311" s="2">
        <f t="shared" si="9"/>
        <v>-1.002459644296938E-2</v>
      </c>
      <c r="I311" s="7">
        <v>0</v>
      </c>
      <c r="J311" s="7">
        <v>0</v>
      </c>
      <c r="K311" s="7">
        <v>1.568802879187136E-2</v>
      </c>
      <c r="L311" s="7">
        <v>-1.002459644296938E-2</v>
      </c>
      <c r="M311" s="7">
        <v>0</v>
      </c>
      <c r="N311" s="7">
        <v>0</v>
      </c>
      <c r="O311" s="7">
        <v>0</v>
      </c>
      <c r="P311" s="7">
        <v>0</v>
      </c>
    </row>
    <row r="312" spans="1:16" x14ac:dyDescent="0.3">
      <c r="A312" s="1">
        <v>43914</v>
      </c>
      <c r="B312" s="2">
        <v>33.666668000000001</v>
      </c>
      <c r="C312" s="2">
        <v>148.34</v>
      </c>
      <c r="F312" s="1">
        <v>43914</v>
      </c>
      <c r="G312" s="2">
        <f t="shared" si="8"/>
        <v>0.15084594364896106</v>
      </c>
      <c r="H312" s="2">
        <f t="shared" si="9"/>
        <v>8.6999120210098577E-2</v>
      </c>
      <c r="I312" s="7">
        <v>0</v>
      </c>
      <c r="J312" s="7">
        <v>0</v>
      </c>
      <c r="K312" s="7">
        <v>0</v>
      </c>
      <c r="L312" s="7">
        <v>0</v>
      </c>
      <c r="M312" s="7">
        <v>0</v>
      </c>
      <c r="N312" s="7">
        <v>0</v>
      </c>
      <c r="O312" s="7">
        <v>0.15084594364896106</v>
      </c>
      <c r="P312" s="7">
        <v>8.6999120210098577E-2</v>
      </c>
    </row>
    <row r="313" spans="1:16" x14ac:dyDescent="0.3">
      <c r="A313" s="1">
        <v>43915</v>
      </c>
      <c r="B313" s="2">
        <v>35.950001</v>
      </c>
      <c r="C313" s="2">
        <v>146.91999999999999</v>
      </c>
      <c r="F313" s="1">
        <v>43915</v>
      </c>
      <c r="G313" s="2">
        <f t="shared" si="8"/>
        <v>6.5620844206357679E-2</v>
      </c>
      <c r="H313" s="2">
        <f t="shared" si="9"/>
        <v>-9.6187153569455269E-3</v>
      </c>
      <c r="I313" s="7">
        <v>0</v>
      </c>
      <c r="J313" s="7">
        <v>0</v>
      </c>
      <c r="K313" s="7">
        <v>6.5620844206357679E-2</v>
      </c>
      <c r="L313" s="7">
        <v>-9.6187153569455269E-3</v>
      </c>
      <c r="M313" s="7">
        <v>0</v>
      </c>
      <c r="N313" s="7">
        <v>0</v>
      </c>
      <c r="O313" s="7">
        <v>0</v>
      </c>
      <c r="P313" s="7">
        <v>0</v>
      </c>
    </row>
    <row r="314" spans="1:16" x14ac:dyDescent="0.3">
      <c r="A314" s="1">
        <v>43916</v>
      </c>
      <c r="B314" s="2">
        <v>35.210667000000001</v>
      </c>
      <c r="C314" s="2">
        <v>156.11000000000001</v>
      </c>
      <c r="F314" s="1">
        <v>43916</v>
      </c>
      <c r="G314" s="2">
        <f t="shared" si="8"/>
        <v>-2.0780035513965973E-2</v>
      </c>
      <c r="H314" s="2">
        <f t="shared" si="9"/>
        <v>6.0672666017108891E-2</v>
      </c>
      <c r="I314" s="7">
        <v>0</v>
      </c>
      <c r="J314" s="7">
        <v>0</v>
      </c>
      <c r="K314" s="7">
        <v>0</v>
      </c>
      <c r="L314" s="7">
        <v>0</v>
      </c>
      <c r="M314" s="7">
        <v>-2.0780035513965973E-2</v>
      </c>
      <c r="N314" s="7">
        <v>6.0672666017108891E-2</v>
      </c>
      <c r="O314" s="7">
        <v>0</v>
      </c>
      <c r="P314" s="7">
        <v>0</v>
      </c>
    </row>
    <row r="315" spans="1:16" x14ac:dyDescent="0.3">
      <c r="A315" s="1">
        <v>43917</v>
      </c>
      <c r="B315" s="2">
        <v>34.290667999999997</v>
      </c>
      <c r="C315" s="2">
        <v>149.69999999999999</v>
      </c>
      <c r="F315" s="1">
        <v>43917</v>
      </c>
      <c r="G315" s="2">
        <f t="shared" si="8"/>
        <v>-2.6475829286201277E-2</v>
      </c>
      <c r="H315" s="2">
        <f t="shared" si="9"/>
        <v>-4.1927595542992753E-2</v>
      </c>
      <c r="I315" s="7">
        <v>-2.6475829286201277E-2</v>
      </c>
      <c r="J315" s="7">
        <v>-4.1927595542992753E-2</v>
      </c>
      <c r="K315" s="7">
        <v>0</v>
      </c>
      <c r="L315" s="7">
        <v>0</v>
      </c>
      <c r="M315" s="7">
        <v>0</v>
      </c>
      <c r="N315" s="7">
        <v>0</v>
      </c>
      <c r="O315" s="7">
        <v>0</v>
      </c>
      <c r="P315" s="7">
        <v>0</v>
      </c>
    </row>
    <row r="316" spans="1:16" x14ac:dyDescent="0.3">
      <c r="A316" s="1">
        <v>43920</v>
      </c>
      <c r="B316" s="2">
        <v>33.475333999999997</v>
      </c>
      <c r="C316" s="2">
        <v>160.22999999999999</v>
      </c>
      <c r="F316" s="1">
        <v>43920</v>
      </c>
      <c r="G316" s="2">
        <f t="shared" si="8"/>
        <v>-2.4064378060619111E-2</v>
      </c>
      <c r="H316" s="2">
        <f t="shared" si="9"/>
        <v>6.7976991594205935E-2</v>
      </c>
      <c r="I316" s="7">
        <v>0</v>
      </c>
      <c r="J316" s="7">
        <v>0</v>
      </c>
      <c r="K316" s="7">
        <v>0</v>
      </c>
      <c r="L316" s="7">
        <v>0</v>
      </c>
      <c r="M316" s="7">
        <v>-2.4064378060619111E-2</v>
      </c>
      <c r="N316" s="7">
        <v>6.7976991594205935E-2</v>
      </c>
      <c r="O316" s="7">
        <v>0</v>
      </c>
      <c r="P316" s="7">
        <v>0</v>
      </c>
    </row>
    <row r="317" spans="1:16" x14ac:dyDescent="0.3">
      <c r="A317" s="1">
        <v>43921</v>
      </c>
      <c r="B317" s="2">
        <v>34.933334000000002</v>
      </c>
      <c r="C317" s="2">
        <v>157.71</v>
      </c>
      <c r="F317" s="1">
        <v>43921</v>
      </c>
      <c r="G317" s="2">
        <f t="shared" si="8"/>
        <v>4.2632633180120921E-2</v>
      </c>
      <c r="H317" s="2">
        <f t="shared" si="9"/>
        <v>-1.5852379520322101E-2</v>
      </c>
      <c r="I317" s="7">
        <v>0</v>
      </c>
      <c r="J317" s="7">
        <v>0</v>
      </c>
      <c r="K317" s="7">
        <v>4.2632633180120921E-2</v>
      </c>
      <c r="L317" s="7">
        <v>-1.5852379520322101E-2</v>
      </c>
      <c r="M317" s="7">
        <v>0</v>
      </c>
      <c r="N317" s="7">
        <v>0</v>
      </c>
      <c r="O317" s="7">
        <v>0</v>
      </c>
      <c r="P317" s="7">
        <v>0</v>
      </c>
    </row>
    <row r="318" spans="1:16" x14ac:dyDescent="0.3">
      <c r="A318" s="1">
        <v>43922</v>
      </c>
      <c r="B318" s="2">
        <v>32.103999999999999</v>
      </c>
      <c r="C318" s="2">
        <v>152.11000000000001</v>
      </c>
      <c r="F318" s="1">
        <v>43922</v>
      </c>
      <c r="G318" s="2">
        <f t="shared" si="8"/>
        <v>-8.4460869338185862E-2</v>
      </c>
      <c r="H318" s="2">
        <f t="shared" si="9"/>
        <v>-3.6153960175814778E-2</v>
      </c>
      <c r="I318" s="7">
        <v>-8.4460869338185862E-2</v>
      </c>
      <c r="J318" s="7">
        <v>-3.6153960175814778E-2</v>
      </c>
      <c r="K318" s="7">
        <v>0</v>
      </c>
      <c r="L318" s="7">
        <v>0</v>
      </c>
      <c r="M318" s="7">
        <v>0</v>
      </c>
      <c r="N318" s="7">
        <v>0</v>
      </c>
      <c r="O318" s="7">
        <v>0</v>
      </c>
      <c r="P318" s="7">
        <v>0</v>
      </c>
    </row>
    <row r="319" spans="1:16" x14ac:dyDescent="0.3">
      <c r="A319" s="1">
        <v>43923</v>
      </c>
      <c r="B319" s="2">
        <v>30.297999999999998</v>
      </c>
      <c r="C319" s="2">
        <v>155.26</v>
      </c>
      <c r="F319" s="1">
        <v>43923</v>
      </c>
      <c r="G319" s="2">
        <f t="shared" si="8"/>
        <v>-5.7898929228483803E-2</v>
      </c>
      <c r="H319" s="2">
        <f t="shared" si="9"/>
        <v>2.0497187653882639E-2</v>
      </c>
      <c r="I319" s="7">
        <v>0</v>
      </c>
      <c r="J319" s="7">
        <v>0</v>
      </c>
      <c r="K319" s="7">
        <v>0</v>
      </c>
      <c r="L319" s="7">
        <v>0</v>
      </c>
      <c r="M319" s="7">
        <v>-5.7898929228483803E-2</v>
      </c>
      <c r="N319" s="7">
        <v>2.0497187653882639E-2</v>
      </c>
      <c r="O319" s="7">
        <v>0</v>
      </c>
      <c r="P319" s="7">
        <v>0</v>
      </c>
    </row>
    <row r="320" spans="1:16" x14ac:dyDescent="0.3">
      <c r="A320" s="1">
        <v>43924</v>
      </c>
      <c r="B320" s="2">
        <v>32.000667999999997</v>
      </c>
      <c r="C320" s="2">
        <v>153.83000000000001</v>
      </c>
      <c r="F320" s="1">
        <v>43924</v>
      </c>
      <c r="G320" s="2">
        <f t="shared" si="8"/>
        <v>5.4675073845714815E-2</v>
      </c>
      <c r="H320" s="2">
        <f t="shared" si="9"/>
        <v>-9.2530344098743656E-3</v>
      </c>
      <c r="I320" s="7">
        <v>0</v>
      </c>
      <c r="J320" s="7">
        <v>0</v>
      </c>
      <c r="K320" s="7">
        <v>5.4675073845714815E-2</v>
      </c>
      <c r="L320" s="7">
        <v>-9.2530344098743656E-3</v>
      </c>
      <c r="M320" s="7">
        <v>0</v>
      </c>
      <c r="N320" s="7">
        <v>0</v>
      </c>
      <c r="O320" s="7">
        <v>0</v>
      </c>
      <c r="P320" s="7">
        <v>0</v>
      </c>
    </row>
    <row r="321" spans="1:16" x14ac:dyDescent="0.3">
      <c r="A321" s="1">
        <v>43927</v>
      </c>
      <c r="B321" s="2">
        <v>34.415999999999997</v>
      </c>
      <c r="C321" s="2">
        <v>165.27</v>
      </c>
      <c r="F321" s="1">
        <v>43927</v>
      </c>
      <c r="G321" s="2">
        <f t="shared" si="8"/>
        <v>7.2764794943527458E-2</v>
      </c>
      <c r="H321" s="2">
        <f t="shared" si="9"/>
        <v>7.1732403585075155E-2</v>
      </c>
      <c r="I321" s="7">
        <v>0</v>
      </c>
      <c r="J321" s="7">
        <v>0</v>
      </c>
      <c r="K321" s="7">
        <v>0</v>
      </c>
      <c r="L321" s="7">
        <v>0</v>
      </c>
      <c r="M321" s="7">
        <v>0</v>
      </c>
      <c r="N321" s="7">
        <v>0</v>
      </c>
      <c r="O321" s="7">
        <v>7.2764794943527458E-2</v>
      </c>
      <c r="P321" s="7">
        <v>7.1732403585075155E-2</v>
      </c>
    </row>
    <row r="322" spans="1:16" x14ac:dyDescent="0.3">
      <c r="A322" s="1">
        <v>43928</v>
      </c>
      <c r="B322" s="2">
        <v>36.363334999999999</v>
      </c>
      <c r="C322" s="2">
        <v>163.49</v>
      </c>
      <c r="F322" s="1">
        <v>43928</v>
      </c>
      <c r="G322" s="2">
        <f t="shared" si="8"/>
        <v>5.5039414249895793E-2</v>
      </c>
      <c r="H322" s="2">
        <f t="shared" si="9"/>
        <v>-1.0828673765413773E-2</v>
      </c>
      <c r="I322" s="7">
        <v>0</v>
      </c>
      <c r="J322" s="7">
        <v>0</v>
      </c>
      <c r="K322" s="7">
        <v>5.5039414249895793E-2</v>
      </c>
      <c r="L322" s="7">
        <v>-1.0828673765413773E-2</v>
      </c>
      <c r="M322" s="7">
        <v>0</v>
      </c>
      <c r="N322" s="7">
        <v>0</v>
      </c>
      <c r="O322" s="7">
        <v>0</v>
      </c>
      <c r="P322" s="7">
        <v>0</v>
      </c>
    </row>
    <row r="323" spans="1:16" x14ac:dyDescent="0.3">
      <c r="A323" s="1">
        <v>43929</v>
      </c>
      <c r="B323" s="2">
        <v>36.589333000000003</v>
      </c>
      <c r="C323" s="2">
        <v>165.13</v>
      </c>
      <c r="F323" s="1">
        <v>43929</v>
      </c>
      <c r="G323" s="2">
        <f t="shared" si="8"/>
        <v>6.1957630653713966E-3</v>
      </c>
      <c r="H323" s="2">
        <f t="shared" si="9"/>
        <v>9.9812160875757169E-3</v>
      </c>
      <c r="I323" s="7">
        <v>0</v>
      </c>
      <c r="J323" s="7">
        <v>0</v>
      </c>
      <c r="K323" s="7">
        <v>0</v>
      </c>
      <c r="L323" s="7">
        <v>0</v>
      </c>
      <c r="M323" s="7">
        <v>0</v>
      </c>
      <c r="N323" s="7">
        <v>0</v>
      </c>
      <c r="O323" s="7">
        <v>6.1957630653713966E-3</v>
      </c>
      <c r="P323" s="7">
        <v>9.9812160875757169E-3</v>
      </c>
    </row>
    <row r="324" spans="1:16" x14ac:dyDescent="0.3">
      <c r="A324" s="1">
        <v>43930</v>
      </c>
      <c r="B324" s="2">
        <v>38.200001</v>
      </c>
      <c r="C324" s="2">
        <v>165.14</v>
      </c>
      <c r="F324" s="1">
        <v>43930</v>
      </c>
      <c r="G324" s="2">
        <f t="shared" si="8"/>
        <v>4.3078791949898339E-2</v>
      </c>
      <c r="H324" s="2">
        <f t="shared" si="9"/>
        <v>6.055651438552479E-5</v>
      </c>
      <c r="I324" s="7">
        <v>0</v>
      </c>
      <c r="J324" s="7">
        <v>0</v>
      </c>
      <c r="K324" s="7">
        <v>0</v>
      </c>
      <c r="L324" s="7">
        <v>0</v>
      </c>
      <c r="M324" s="7">
        <v>0</v>
      </c>
      <c r="N324" s="7">
        <v>0</v>
      </c>
      <c r="O324" s="7">
        <v>4.3078791949898339E-2</v>
      </c>
      <c r="P324" s="7">
        <v>6.055651438552479E-5</v>
      </c>
    </row>
    <row r="325" spans="1:16" x14ac:dyDescent="0.3">
      <c r="A325" s="1">
        <v>43934</v>
      </c>
      <c r="B325" s="2">
        <v>43.396667000000001</v>
      </c>
      <c r="C325" s="2">
        <v>165.51</v>
      </c>
      <c r="F325" s="1">
        <v>43934</v>
      </c>
      <c r="G325" s="2">
        <f t="shared" si="8"/>
        <v>0.1275470991317379</v>
      </c>
      <c r="H325" s="2">
        <f t="shared" si="9"/>
        <v>2.2380169631665472E-3</v>
      </c>
      <c r="I325" s="7">
        <v>0</v>
      </c>
      <c r="J325" s="7">
        <v>0</v>
      </c>
      <c r="K325" s="7">
        <v>0</v>
      </c>
      <c r="L325" s="7">
        <v>0</v>
      </c>
      <c r="M325" s="7">
        <v>0</v>
      </c>
      <c r="N325" s="7">
        <v>0</v>
      </c>
      <c r="O325" s="7">
        <v>0.1275470991317379</v>
      </c>
      <c r="P325" s="7">
        <v>2.2380169631665472E-3</v>
      </c>
    </row>
    <row r="326" spans="1:16" x14ac:dyDescent="0.3">
      <c r="A326" s="1">
        <v>43935</v>
      </c>
      <c r="B326" s="2">
        <v>47.326000000000001</v>
      </c>
      <c r="C326" s="2">
        <v>173.7</v>
      </c>
      <c r="F326" s="1">
        <v>43935</v>
      </c>
      <c r="G326" s="2">
        <f t="shared" ref="G326:G389" si="10">LN(B326/B325)</f>
        <v>8.6677186430582073E-2</v>
      </c>
      <c r="H326" s="2">
        <f t="shared" ref="H326:H389" si="11">LN(C326/C325)</f>
        <v>4.8298057294610182E-2</v>
      </c>
      <c r="I326" s="7">
        <v>0</v>
      </c>
      <c r="J326" s="7">
        <v>0</v>
      </c>
      <c r="K326" s="7">
        <v>0</v>
      </c>
      <c r="L326" s="7">
        <v>0</v>
      </c>
      <c r="M326" s="7">
        <v>0</v>
      </c>
      <c r="N326" s="7">
        <v>0</v>
      </c>
      <c r="O326" s="7">
        <v>8.6677186430582073E-2</v>
      </c>
      <c r="P326" s="7">
        <v>4.8298057294610182E-2</v>
      </c>
    </row>
    <row r="327" spans="1:16" x14ac:dyDescent="0.3">
      <c r="A327" s="1">
        <v>43936</v>
      </c>
      <c r="B327" s="2">
        <v>48.655334000000003</v>
      </c>
      <c r="C327" s="2">
        <v>171.88</v>
      </c>
      <c r="F327" s="1">
        <v>43936</v>
      </c>
      <c r="G327" s="2">
        <f t="shared" si="10"/>
        <v>2.7701615556867246E-2</v>
      </c>
      <c r="H327" s="2">
        <f t="shared" si="11"/>
        <v>-1.0533114340264821E-2</v>
      </c>
      <c r="I327" s="7">
        <v>0</v>
      </c>
      <c r="J327" s="7">
        <v>0</v>
      </c>
      <c r="K327" s="7">
        <v>2.7701615556867246E-2</v>
      </c>
      <c r="L327" s="7">
        <v>-1.0533114340264821E-2</v>
      </c>
      <c r="M327" s="7">
        <v>0</v>
      </c>
      <c r="N327" s="7">
        <v>0</v>
      </c>
      <c r="O327" s="7">
        <v>0</v>
      </c>
      <c r="P327" s="7">
        <v>0</v>
      </c>
    </row>
    <row r="328" spans="1:16" x14ac:dyDescent="0.3">
      <c r="A328" s="1">
        <v>43937</v>
      </c>
      <c r="B328" s="2">
        <v>49.680667999999997</v>
      </c>
      <c r="C328" s="2">
        <v>177.04</v>
      </c>
      <c r="F328" s="1">
        <v>43937</v>
      </c>
      <c r="G328" s="2">
        <f t="shared" si="10"/>
        <v>2.0854440679849449E-2</v>
      </c>
      <c r="H328" s="2">
        <f t="shared" si="11"/>
        <v>2.9579136835999865E-2</v>
      </c>
      <c r="I328" s="7">
        <v>0</v>
      </c>
      <c r="J328" s="7">
        <v>0</v>
      </c>
      <c r="K328" s="7">
        <v>0</v>
      </c>
      <c r="L328" s="7">
        <v>0</v>
      </c>
      <c r="M328" s="7">
        <v>0</v>
      </c>
      <c r="N328" s="7">
        <v>0</v>
      </c>
      <c r="O328" s="7">
        <v>2.0854440679849449E-2</v>
      </c>
      <c r="P328" s="7">
        <v>2.9579136835999865E-2</v>
      </c>
    </row>
    <row r="329" spans="1:16" x14ac:dyDescent="0.3">
      <c r="A329" s="1">
        <v>43938</v>
      </c>
      <c r="B329" s="2">
        <v>50.259335</v>
      </c>
      <c r="C329" s="2">
        <v>178.6</v>
      </c>
      <c r="F329" s="1">
        <v>43938</v>
      </c>
      <c r="G329" s="2">
        <f t="shared" si="10"/>
        <v>1.1580417240565235E-2</v>
      </c>
      <c r="H329" s="2">
        <f t="shared" si="11"/>
        <v>8.7729726996044911E-3</v>
      </c>
      <c r="I329" s="7">
        <v>0</v>
      </c>
      <c r="J329" s="7">
        <v>0</v>
      </c>
      <c r="K329" s="7">
        <v>0</v>
      </c>
      <c r="L329" s="7">
        <v>0</v>
      </c>
      <c r="M329" s="7">
        <v>0</v>
      </c>
      <c r="N329" s="7">
        <v>0</v>
      </c>
      <c r="O329" s="7">
        <v>1.1580417240565235E-2</v>
      </c>
      <c r="P329" s="7">
        <v>8.7729726996044911E-3</v>
      </c>
    </row>
    <row r="330" spans="1:16" x14ac:dyDescent="0.3">
      <c r="A330" s="1">
        <v>43941</v>
      </c>
      <c r="B330" s="2">
        <v>49.757331999999998</v>
      </c>
      <c r="C330" s="2">
        <v>175.06</v>
      </c>
      <c r="F330" s="1">
        <v>43941</v>
      </c>
      <c r="G330" s="2">
        <f t="shared" si="10"/>
        <v>-1.0038471200023748E-2</v>
      </c>
      <c r="H330" s="2">
        <f t="shared" si="11"/>
        <v>-2.0019896138106709E-2</v>
      </c>
      <c r="I330" s="7">
        <v>-1.0038471200023748E-2</v>
      </c>
      <c r="J330" s="7">
        <v>-2.0019896138106709E-2</v>
      </c>
      <c r="K330" s="7">
        <v>0</v>
      </c>
      <c r="L330" s="7">
        <v>0</v>
      </c>
      <c r="M330" s="7">
        <v>0</v>
      </c>
      <c r="N330" s="7">
        <v>0</v>
      </c>
      <c r="O330" s="7">
        <v>0</v>
      </c>
      <c r="P330" s="7">
        <v>0</v>
      </c>
    </row>
    <row r="331" spans="1:16" x14ac:dyDescent="0.3">
      <c r="A331" s="1">
        <v>43942</v>
      </c>
      <c r="B331" s="2">
        <v>45.781334000000001</v>
      </c>
      <c r="C331" s="2">
        <v>167.82</v>
      </c>
      <c r="F331" s="1">
        <v>43942</v>
      </c>
      <c r="G331" s="2">
        <f t="shared" si="10"/>
        <v>-8.3281376168073115E-2</v>
      </c>
      <c r="H331" s="2">
        <f t="shared" si="11"/>
        <v>-4.2236795862368691E-2</v>
      </c>
      <c r="I331" s="7">
        <v>-8.3281376168073115E-2</v>
      </c>
      <c r="J331" s="7">
        <v>-4.2236795862368691E-2</v>
      </c>
      <c r="K331" s="7">
        <v>0</v>
      </c>
      <c r="L331" s="7">
        <v>0</v>
      </c>
      <c r="M331" s="7">
        <v>0</v>
      </c>
      <c r="N331" s="7">
        <v>0</v>
      </c>
      <c r="O331" s="7">
        <v>0</v>
      </c>
      <c r="P331" s="7">
        <v>0</v>
      </c>
    </row>
    <row r="332" spans="1:16" x14ac:dyDescent="0.3">
      <c r="A332" s="1">
        <v>43943</v>
      </c>
      <c r="B332" s="2">
        <v>48.807335000000002</v>
      </c>
      <c r="C332" s="2">
        <v>173.52</v>
      </c>
      <c r="F332" s="1">
        <v>43943</v>
      </c>
      <c r="G332" s="2">
        <f t="shared" si="10"/>
        <v>6.400415547908414E-2</v>
      </c>
      <c r="H332" s="2">
        <f t="shared" si="11"/>
        <v>3.3400890076695666E-2</v>
      </c>
      <c r="I332" s="7">
        <v>0</v>
      </c>
      <c r="J332" s="7">
        <v>0</v>
      </c>
      <c r="K332" s="7">
        <v>0</v>
      </c>
      <c r="L332" s="7">
        <v>0</v>
      </c>
      <c r="M332" s="7">
        <v>0</v>
      </c>
      <c r="N332" s="7">
        <v>0</v>
      </c>
      <c r="O332" s="7">
        <v>6.400415547908414E-2</v>
      </c>
      <c r="P332" s="7">
        <v>3.3400890076695666E-2</v>
      </c>
    </row>
    <row r="333" spans="1:16" x14ac:dyDescent="0.3">
      <c r="A333" s="1">
        <v>43944</v>
      </c>
      <c r="B333" s="2">
        <v>47.042000000000002</v>
      </c>
      <c r="C333" s="2">
        <v>171.42</v>
      </c>
      <c r="F333" s="1">
        <v>43944</v>
      </c>
      <c r="G333" s="2">
        <f t="shared" si="10"/>
        <v>-3.6839789247776852E-2</v>
      </c>
      <c r="H333" s="2">
        <f t="shared" si="11"/>
        <v>-1.2176181047882415E-2</v>
      </c>
      <c r="I333" s="7">
        <v>-3.6839789247776852E-2</v>
      </c>
      <c r="J333" s="7">
        <v>-1.2176181047882415E-2</v>
      </c>
      <c r="K333" s="7">
        <v>0</v>
      </c>
      <c r="L333" s="7">
        <v>0</v>
      </c>
      <c r="M333" s="7">
        <v>0</v>
      </c>
      <c r="N333" s="7">
        <v>0</v>
      </c>
      <c r="O333" s="7">
        <v>0</v>
      </c>
      <c r="P333" s="7">
        <v>0</v>
      </c>
    </row>
    <row r="334" spans="1:16" x14ac:dyDescent="0.3">
      <c r="A334" s="1">
        <v>43945</v>
      </c>
      <c r="B334" s="2">
        <v>48.343333999999999</v>
      </c>
      <c r="C334" s="2">
        <v>174.55</v>
      </c>
      <c r="F334" s="1">
        <v>43945</v>
      </c>
      <c r="G334" s="2">
        <f t="shared" si="10"/>
        <v>2.7287523000947264E-2</v>
      </c>
      <c r="H334" s="2">
        <f t="shared" si="11"/>
        <v>1.809454808030856E-2</v>
      </c>
      <c r="I334" s="7">
        <v>0</v>
      </c>
      <c r="J334" s="7">
        <v>0</v>
      </c>
      <c r="K334" s="7">
        <v>0</v>
      </c>
      <c r="L334" s="7">
        <v>0</v>
      </c>
      <c r="M334" s="7">
        <v>0</v>
      </c>
      <c r="N334" s="7">
        <v>0</v>
      </c>
      <c r="O334" s="7">
        <v>2.7287523000947264E-2</v>
      </c>
      <c r="P334" s="7">
        <v>1.809454808030856E-2</v>
      </c>
    </row>
    <row r="335" spans="1:16" x14ac:dyDescent="0.3">
      <c r="A335" s="1">
        <v>43948</v>
      </c>
      <c r="B335" s="2">
        <v>53.25</v>
      </c>
      <c r="C335" s="2">
        <v>174.05</v>
      </c>
      <c r="F335" s="1">
        <v>43948</v>
      </c>
      <c r="G335" s="2">
        <f t="shared" si="10"/>
        <v>9.6669461895235259E-2</v>
      </c>
      <c r="H335" s="2">
        <f t="shared" si="11"/>
        <v>-2.868619293597077E-3</v>
      </c>
      <c r="I335" s="7">
        <v>0</v>
      </c>
      <c r="J335" s="7">
        <v>0</v>
      </c>
      <c r="K335" s="7">
        <v>9.6669461895235259E-2</v>
      </c>
      <c r="L335" s="7">
        <v>-2.868619293597077E-3</v>
      </c>
      <c r="M335" s="7">
        <v>0</v>
      </c>
      <c r="N335" s="7">
        <v>0</v>
      </c>
      <c r="O335" s="7">
        <v>0</v>
      </c>
      <c r="P335" s="7">
        <v>0</v>
      </c>
    </row>
    <row r="336" spans="1:16" x14ac:dyDescent="0.3">
      <c r="A336" s="1">
        <v>43949</v>
      </c>
      <c r="B336" s="2">
        <v>51.274666000000003</v>
      </c>
      <c r="C336" s="2">
        <v>169.81</v>
      </c>
      <c r="F336" s="1">
        <v>43949</v>
      </c>
      <c r="G336" s="2">
        <f t="shared" si="10"/>
        <v>-3.7801014547966229E-2</v>
      </c>
      <c r="H336" s="2">
        <f t="shared" si="11"/>
        <v>-2.466244929923821E-2</v>
      </c>
      <c r="I336" s="7">
        <v>-3.7801014547966229E-2</v>
      </c>
      <c r="J336" s="7">
        <v>-2.466244929923821E-2</v>
      </c>
      <c r="K336" s="7">
        <v>0</v>
      </c>
      <c r="L336" s="7">
        <v>0</v>
      </c>
      <c r="M336" s="7">
        <v>0</v>
      </c>
      <c r="N336" s="7">
        <v>0</v>
      </c>
      <c r="O336" s="7">
        <v>0</v>
      </c>
      <c r="P336" s="7">
        <v>0</v>
      </c>
    </row>
    <row r="337" spans="1:16" x14ac:dyDescent="0.3">
      <c r="A337" s="1">
        <v>43950</v>
      </c>
      <c r="B337" s="2">
        <v>53.367331999999998</v>
      </c>
      <c r="C337" s="2">
        <v>177.43</v>
      </c>
      <c r="F337" s="1">
        <v>43950</v>
      </c>
      <c r="G337" s="2">
        <f t="shared" si="10"/>
        <v>4.0002008423270972E-2</v>
      </c>
      <c r="H337" s="2">
        <f t="shared" si="11"/>
        <v>4.3895999977278416E-2</v>
      </c>
      <c r="I337" s="7">
        <v>0</v>
      </c>
      <c r="J337" s="7">
        <v>0</v>
      </c>
      <c r="K337" s="7">
        <v>0</v>
      </c>
      <c r="L337" s="7">
        <v>0</v>
      </c>
      <c r="M337" s="7">
        <v>0</v>
      </c>
      <c r="N337" s="7">
        <v>0</v>
      </c>
      <c r="O337" s="7">
        <v>4.0002008423270972E-2</v>
      </c>
      <c r="P337" s="7">
        <v>4.3895999977278416E-2</v>
      </c>
    </row>
    <row r="338" spans="1:16" x14ac:dyDescent="0.3">
      <c r="A338" s="1">
        <v>43951</v>
      </c>
      <c r="B338" s="2">
        <v>52.125332</v>
      </c>
      <c r="C338" s="2">
        <v>179.21</v>
      </c>
      <c r="F338" s="1">
        <v>43951</v>
      </c>
      <c r="G338" s="2">
        <f t="shared" si="10"/>
        <v>-2.3547749061601311E-2</v>
      </c>
      <c r="H338" s="2">
        <f t="shared" si="11"/>
        <v>9.9821376198091782E-3</v>
      </c>
      <c r="I338" s="7">
        <v>0</v>
      </c>
      <c r="J338" s="7">
        <v>0</v>
      </c>
      <c r="K338" s="7">
        <v>0</v>
      </c>
      <c r="L338" s="7">
        <v>0</v>
      </c>
      <c r="M338" s="7">
        <v>-2.3547749061601311E-2</v>
      </c>
      <c r="N338" s="7">
        <v>9.9821376198091782E-3</v>
      </c>
      <c r="O338" s="7">
        <v>0</v>
      </c>
      <c r="P338" s="7">
        <v>0</v>
      </c>
    </row>
    <row r="339" spans="1:16" x14ac:dyDescent="0.3">
      <c r="A339" s="1">
        <v>43952</v>
      </c>
      <c r="B339" s="2">
        <v>46.754665000000003</v>
      </c>
      <c r="C339" s="2">
        <v>174.57</v>
      </c>
      <c r="F339" s="1">
        <v>43952</v>
      </c>
      <c r="G339" s="2">
        <f t="shared" si="10"/>
        <v>-0.10873701255058651</v>
      </c>
      <c r="H339" s="2">
        <f t="shared" si="11"/>
        <v>-2.6232495218609143E-2</v>
      </c>
      <c r="I339" s="7">
        <v>-0.10873701255058651</v>
      </c>
      <c r="J339" s="7">
        <v>-2.6232495218609143E-2</v>
      </c>
      <c r="K339" s="7">
        <v>0</v>
      </c>
      <c r="L339" s="7">
        <v>0</v>
      </c>
      <c r="M339" s="7">
        <v>0</v>
      </c>
      <c r="N339" s="7">
        <v>0</v>
      </c>
      <c r="O339" s="7">
        <v>0</v>
      </c>
      <c r="P339" s="7">
        <v>0</v>
      </c>
    </row>
    <row r="340" spans="1:16" x14ac:dyDescent="0.3">
      <c r="A340" s="1">
        <v>43955</v>
      </c>
      <c r="B340" s="2">
        <v>50.745998</v>
      </c>
      <c r="C340" s="2">
        <v>178.84</v>
      </c>
      <c r="F340" s="1">
        <v>43955</v>
      </c>
      <c r="G340" s="2">
        <f t="shared" si="10"/>
        <v>8.1918720817000246E-2</v>
      </c>
      <c r="H340" s="2">
        <f t="shared" si="11"/>
        <v>2.416574402909161E-2</v>
      </c>
      <c r="I340" s="7">
        <v>0</v>
      </c>
      <c r="J340" s="7">
        <v>0</v>
      </c>
      <c r="K340" s="7">
        <v>0</v>
      </c>
      <c r="L340" s="7">
        <v>0</v>
      </c>
      <c r="M340" s="7">
        <v>0</v>
      </c>
      <c r="N340" s="7">
        <v>0</v>
      </c>
      <c r="O340" s="7">
        <v>8.1918720817000246E-2</v>
      </c>
      <c r="P340" s="7">
        <v>2.416574402909161E-2</v>
      </c>
    </row>
    <row r="341" spans="1:16" x14ac:dyDescent="0.3">
      <c r="A341" s="1">
        <v>43956</v>
      </c>
      <c r="B341" s="2">
        <v>51.214001000000003</v>
      </c>
      <c r="C341" s="2">
        <v>180.76</v>
      </c>
      <c r="F341" s="1">
        <v>43956</v>
      </c>
      <c r="G341" s="2">
        <f t="shared" si="10"/>
        <v>9.1801940245014538E-3</v>
      </c>
      <c r="H341" s="2">
        <f t="shared" si="11"/>
        <v>1.0678633177299092E-2</v>
      </c>
      <c r="I341" s="7">
        <v>0</v>
      </c>
      <c r="J341" s="7">
        <v>0</v>
      </c>
      <c r="K341" s="7">
        <v>0</v>
      </c>
      <c r="L341" s="7">
        <v>0</v>
      </c>
      <c r="M341" s="7">
        <v>0</v>
      </c>
      <c r="N341" s="7">
        <v>0</v>
      </c>
      <c r="O341" s="7">
        <v>9.1801940245014538E-3</v>
      </c>
      <c r="P341" s="7">
        <v>1.0678633177299092E-2</v>
      </c>
    </row>
    <row r="342" spans="1:16" x14ac:dyDescent="0.3">
      <c r="A342" s="1">
        <v>43957</v>
      </c>
      <c r="B342" s="2">
        <v>52.172001000000002</v>
      </c>
      <c r="C342" s="2">
        <v>182.54</v>
      </c>
      <c r="F342" s="1">
        <v>43957</v>
      </c>
      <c r="G342" s="2">
        <f t="shared" si="10"/>
        <v>1.853301998125283E-2</v>
      </c>
      <c r="H342" s="2">
        <f t="shared" si="11"/>
        <v>9.7991425456522216E-3</v>
      </c>
      <c r="I342" s="7">
        <v>0</v>
      </c>
      <c r="J342" s="7">
        <v>0</v>
      </c>
      <c r="K342" s="7">
        <v>0</v>
      </c>
      <c r="L342" s="7">
        <v>0</v>
      </c>
      <c r="M342" s="7">
        <v>0</v>
      </c>
      <c r="N342" s="7">
        <v>0</v>
      </c>
      <c r="O342" s="7">
        <v>1.853301998125283E-2</v>
      </c>
      <c r="P342" s="7">
        <v>9.7991425456522216E-3</v>
      </c>
    </row>
    <row r="343" spans="1:16" x14ac:dyDescent="0.3">
      <c r="A343" s="1">
        <v>43958</v>
      </c>
      <c r="B343" s="2">
        <v>52.002665999999998</v>
      </c>
      <c r="C343" s="2">
        <v>183.6</v>
      </c>
      <c r="F343" s="1">
        <v>43958</v>
      </c>
      <c r="G343" s="2">
        <f t="shared" si="10"/>
        <v>-3.2509851774314836E-3</v>
      </c>
      <c r="H343" s="2">
        <f t="shared" si="11"/>
        <v>5.7901510976589368E-3</v>
      </c>
      <c r="I343" s="7">
        <v>0</v>
      </c>
      <c r="J343" s="7">
        <v>0</v>
      </c>
      <c r="K343" s="7">
        <v>0</v>
      </c>
      <c r="L343" s="7">
        <v>0</v>
      </c>
      <c r="M343" s="7">
        <v>-3.2509851774314836E-3</v>
      </c>
      <c r="N343" s="7">
        <v>5.7901510976589368E-3</v>
      </c>
      <c r="O343" s="7">
        <v>0</v>
      </c>
      <c r="P343" s="7">
        <v>0</v>
      </c>
    </row>
    <row r="344" spans="1:16" x14ac:dyDescent="0.3">
      <c r="A344" s="1">
        <v>43959</v>
      </c>
      <c r="B344" s="2">
        <v>54.627997999999998</v>
      </c>
      <c r="C344" s="2">
        <v>184.68</v>
      </c>
      <c r="F344" s="1">
        <v>43959</v>
      </c>
      <c r="G344" s="2">
        <f t="shared" si="10"/>
        <v>4.9251548706941331E-2</v>
      </c>
      <c r="H344" s="2">
        <f t="shared" si="11"/>
        <v>5.8651194523980576E-3</v>
      </c>
      <c r="I344" s="7">
        <v>0</v>
      </c>
      <c r="J344" s="7">
        <v>0</v>
      </c>
      <c r="K344" s="7">
        <v>0</v>
      </c>
      <c r="L344" s="7">
        <v>0</v>
      </c>
      <c r="M344" s="7">
        <v>0</v>
      </c>
      <c r="N344" s="7">
        <v>0</v>
      </c>
      <c r="O344" s="7">
        <v>4.9251548706941331E-2</v>
      </c>
      <c r="P344" s="7">
        <v>5.8651194523980576E-3</v>
      </c>
    </row>
    <row r="345" spans="1:16" x14ac:dyDescent="0.3">
      <c r="A345" s="1">
        <v>43962</v>
      </c>
      <c r="B345" s="2">
        <v>54.085999000000001</v>
      </c>
      <c r="C345" s="2">
        <v>186.74</v>
      </c>
      <c r="F345" s="1">
        <v>43962</v>
      </c>
      <c r="G345" s="2">
        <f t="shared" si="10"/>
        <v>-9.971181367853077E-3</v>
      </c>
      <c r="H345" s="2">
        <f t="shared" si="11"/>
        <v>1.1092677416991709E-2</v>
      </c>
      <c r="I345" s="7">
        <v>0</v>
      </c>
      <c r="J345" s="7">
        <v>0</v>
      </c>
      <c r="K345" s="7">
        <v>0</v>
      </c>
      <c r="L345" s="7">
        <v>0</v>
      </c>
      <c r="M345" s="7">
        <v>-9.971181367853077E-3</v>
      </c>
      <c r="N345" s="7">
        <v>1.1092677416991709E-2</v>
      </c>
      <c r="O345" s="7">
        <v>0</v>
      </c>
      <c r="P345" s="7">
        <v>0</v>
      </c>
    </row>
    <row r="346" spans="1:16" x14ac:dyDescent="0.3">
      <c r="A346" s="1">
        <v>43963</v>
      </c>
      <c r="B346" s="2">
        <v>53.960667000000001</v>
      </c>
      <c r="C346" s="2">
        <v>182.51</v>
      </c>
      <c r="F346" s="1">
        <v>43963</v>
      </c>
      <c r="G346" s="2">
        <f t="shared" si="10"/>
        <v>-2.3199615657500151E-3</v>
      </c>
      <c r="H346" s="2">
        <f t="shared" si="11"/>
        <v>-2.2912309013850708E-2</v>
      </c>
      <c r="I346" s="7">
        <v>-2.3199615657500151E-3</v>
      </c>
      <c r="J346" s="7">
        <v>-2.2912309013850708E-2</v>
      </c>
      <c r="K346" s="7">
        <v>0</v>
      </c>
      <c r="L346" s="7">
        <v>0</v>
      </c>
      <c r="M346" s="7">
        <v>0</v>
      </c>
      <c r="N346" s="7">
        <v>0</v>
      </c>
      <c r="O346" s="7">
        <v>0</v>
      </c>
      <c r="P346" s="7">
        <v>0</v>
      </c>
    </row>
    <row r="347" spans="1:16" x14ac:dyDescent="0.3">
      <c r="A347" s="1">
        <v>43964</v>
      </c>
      <c r="B347" s="2">
        <v>52.730666999999997</v>
      </c>
      <c r="C347" s="2">
        <v>179.75</v>
      </c>
      <c r="F347" s="1">
        <v>43964</v>
      </c>
      <c r="G347" s="2">
        <f t="shared" si="10"/>
        <v>-2.3058189463213204E-2</v>
      </c>
      <c r="H347" s="2">
        <f t="shared" si="11"/>
        <v>-1.5237969440773162E-2</v>
      </c>
      <c r="I347" s="7">
        <v>-2.3058189463213204E-2</v>
      </c>
      <c r="J347" s="7">
        <v>-1.5237969440773162E-2</v>
      </c>
      <c r="K347" s="7">
        <v>0</v>
      </c>
      <c r="L347" s="7">
        <v>0</v>
      </c>
      <c r="M347" s="7">
        <v>0</v>
      </c>
      <c r="N347" s="7">
        <v>0</v>
      </c>
      <c r="O347" s="7">
        <v>0</v>
      </c>
      <c r="P347" s="7">
        <v>0</v>
      </c>
    </row>
    <row r="348" spans="1:16" x14ac:dyDescent="0.3">
      <c r="A348" s="1">
        <v>43965</v>
      </c>
      <c r="B348" s="2">
        <v>53.555332</v>
      </c>
      <c r="C348" s="2">
        <v>180.53</v>
      </c>
      <c r="F348" s="1">
        <v>43965</v>
      </c>
      <c r="G348" s="2">
        <f t="shared" si="10"/>
        <v>1.551815962371008E-2</v>
      </c>
      <c r="H348" s="2">
        <f t="shared" si="11"/>
        <v>4.3299723474105817E-3</v>
      </c>
      <c r="I348" s="7">
        <v>0</v>
      </c>
      <c r="J348" s="7">
        <v>0</v>
      </c>
      <c r="K348" s="7">
        <v>0</v>
      </c>
      <c r="L348" s="7">
        <v>0</v>
      </c>
      <c r="M348" s="7">
        <v>0</v>
      </c>
      <c r="N348" s="7">
        <v>0</v>
      </c>
      <c r="O348" s="7">
        <v>1.551815962371008E-2</v>
      </c>
      <c r="P348" s="7">
        <v>4.3299723474105817E-3</v>
      </c>
    </row>
    <row r="349" spans="1:16" x14ac:dyDescent="0.3">
      <c r="A349" s="1">
        <v>43966</v>
      </c>
      <c r="B349" s="2">
        <v>53.277999999999999</v>
      </c>
      <c r="C349" s="2">
        <v>183.16</v>
      </c>
      <c r="F349" s="1">
        <v>43966</v>
      </c>
      <c r="G349" s="2">
        <f t="shared" si="10"/>
        <v>-5.1918744417645234E-3</v>
      </c>
      <c r="H349" s="2">
        <f t="shared" si="11"/>
        <v>1.446311884032798E-2</v>
      </c>
      <c r="I349" s="7">
        <v>0</v>
      </c>
      <c r="J349" s="7">
        <v>0</v>
      </c>
      <c r="K349" s="7">
        <v>0</v>
      </c>
      <c r="L349" s="7">
        <v>0</v>
      </c>
      <c r="M349" s="7">
        <v>-5.1918744417645234E-3</v>
      </c>
      <c r="N349" s="7">
        <v>1.446311884032798E-2</v>
      </c>
      <c r="O349" s="7">
        <v>0</v>
      </c>
      <c r="P349" s="7">
        <v>0</v>
      </c>
    </row>
    <row r="350" spans="1:16" x14ac:dyDescent="0.3">
      <c r="A350" s="1">
        <v>43969</v>
      </c>
      <c r="B350" s="2">
        <v>54.242001000000002</v>
      </c>
      <c r="C350" s="2">
        <v>184.91</v>
      </c>
      <c r="F350" s="1">
        <v>43969</v>
      </c>
      <c r="G350" s="2">
        <f t="shared" si="10"/>
        <v>1.7932046554537395E-2</v>
      </c>
      <c r="H350" s="2">
        <f t="shared" si="11"/>
        <v>9.5091324299999853E-3</v>
      </c>
      <c r="I350" s="7">
        <v>0</v>
      </c>
      <c r="J350" s="7">
        <v>0</v>
      </c>
      <c r="K350" s="7">
        <v>0</v>
      </c>
      <c r="L350" s="7">
        <v>0</v>
      </c>
      <c r="M350" s="7">
        <v>0</v>
      </c>
      <c r="N350" s="7">
        <v>0</v>
      </c>
      <c r="O350" s="7">
        <v>1.7932046554537395E-2</v>
      </c>
      <c r="P350" s="7">
        <v>9.5091324299999853E-3</v>
      </c>
    </row>
    <row r="351" spans="1:16" x14ac:dyDescent="0.3">
      <c r="A351" s="1">
        <v>43970</v>
      </c>
      <c r="B351" s="2">
        <v>53.867331999999998</v>
      </c>
      <c r="C351" s="2">
        <v>183.63</v>
      </c>
      <c r="F351" s="1">
        <v>43970</v>
      </c>
      <c r="G351" s="2">
        <f t="shared" si="10"/>
        <v>-6.9313257168276705E-3</v>
      </c>
      <c r="H351" s="2">
        <f t="shared" si="11"/>
        <v>-6.9463566878066067E-3</v>
      </c>
      <c r="I351" s="7">
        <v>-6.9313257168276705E-3</v>
      </c>
      <c r="J351" s="7">
        <v>-6.9463566878066067E-3</v>
      </c>
      <c r="K351" s="7">
        <v>0</v>
      </c>
      <c r="L351" s="7">
        <v>0</v>
      </c>
      <c r="M351" s="7">
        <v>0</v>
      </c>
      <c r="N351" s="7">
        <v>0</v>
      </c>
      <c r="O351" s="7">
        <v>0</v>
      </c>
      <c r="P351" s="7">
        <v>0</v>
      </c>
    </row>
    <row r="352" spans="1:16" x14ac:dyDescent="0.3">
      <c r="A352" s="1">
        <v>43971</v>
      </c>
      <c r="B352" s="2">
        <v>54.370666999999997</v>
      </c>
      <c r="C352" s="2">
        <v>185.66</v>
      </c>
      <c r="F352" s="1">
        <v>43971</v>
      </c>
      <c r="G352" s="2">
        <f t="shared" si="10"/>
        <v>9.3005900495653354E-3</v>
      </c>
      <c r="H352" s="2">
        <f t="shared" si="11"/>
        <v>1.0994180440698302E-2</v>
      </c>
      <c r="I352" s="7">
        <v>0</v>
      </c>
      <c r="J352" s="7">
        <v>0</v>
      </c>
      <c r="K352" s="7">
        <v>0</v>
      </c>
      <c r="L352" s="7">
        <v>0</v>
      </c>
      <c r="M352" s="7">
        <v>0</v>
      </c>
      <c r="N352" s="7">
        <v>0</v>
      </c>
      <c r="O352" s="7">
        <v>9.3005900495653354E-3</v>
      </c>
      <c r="P352" s="7">
        <v>1.0994180440698302E-2</v>
      </c>
    </row>
    <row r="353" spans="1:16" x14ac:dyDescent="0.3">
      <c r="A353" s="1">
        <v>43972</v>
      </c>
      <c r="B353" s="2">
        <v>55.173332000000002</v>
      </c>
      <c r="C353" s="2">
        <v>183.43</v>
      </c>
      <c r="F353" s="1">
        <v>43972</v>
      </c>
      <c r="G353" s="2">
        <f t="shared" si="10"/>
        <v>1.4654921725593446E-2</v>
      </c>
      <c r="H353" s="2">
        <f t="shared" si="11"/>
        <v>-1.2083920645527038E-2</v>
      </c>
      <c r="I353" s="7">
        <v>0</v>
      </c>
      <c r="J353" s="7">
        <v>0</v>
      </c>
      <c r="K353" s="7">
        <v>1.4654921725593446E-2</v>
      </c>
      <c r="L353" s="7">
        <v>-1.2083920645527038E-2</v>
      </c>
      <c r="M353" s="7">
        <v>0</v>
      </c>
      <c r="N353" s="7">
        <v>0</v>
      </c>
      <c r="O353" s="7">
        <v>0</v>
      </c>
      <c r="P353" s="7">
        <v>0</v>
      </c>
    </row>
    <row r="354" spans="1:16" x14ac:dyDescent="0.3">
      <c r="A354" s="1">
        <v>43973</v>
      </c>
      <c r="B354" s="2">
        <v>54.458668000000003</v>
      </c>
      <c r="C354" s="2">
        <v>183.51</v>
      </c>
      <c r="F354" s="1">
        <v>43973</v>
      </c>
      <c r="G354" s="2">
        <f t="shared" si="10"/>
        <v>-1.3037691974441276E-2</v>
      </c>
      <c r="H354" s="2">
        <f t="shared" si="11"/>
        <v>4.3603859632363547E-4</v>
      </c>
      <c r="I354" s="7">
        <v>0</v>
      </c>
      <c r="J354" s="7">
        <v>0</v>
      </c>
      <c r="K354" s="7">
        <v>0</v>
      </c>
      <c r="L354" s="7">
        <v>0</v>
      </c>
      <c r="M354" s="7">
        <v>-1.3037691974441276E-2</v>
      </c>
      <c r="N354" s="7">
        <v>4.3603859632363547E-4</v>
      </c>
      <c r="O354" s="7">
        <v>0</v>
      </c>
      <c r="P354" s="7">
        <v>0</v>
      </c>
    </row>
    <row r="355" spans="1:16" x14ac:dyDescent="0.3">
      <c r="A355" s="1">
        <v>43977</v>
      </c>
      <c r="B355" s="2">
        <v>54.591330999999997</v>
      </c>
      <c r="C355" s="2">
        <v>181.57</v>
      </c>
      <c r="F355" s="1">
        <v>43977</v>
      </c>
      <c r="G355" s="2">
        <f t="shared" si="10"/>
        <v>2.433068622863686E-3</v>
      </c>
      <c r="H355" s="2">
        <f t="shared" si="11"/>
        <v>-1.0627907640007586E-2</v>
      </c>
      <c r="I355" s="7">
        <v>0</v>
      </c>
      <c r="J355" s="7">
        <v>0</v>
      </c>
      <c r="K355" s="7">
        <v>2.433068622863686E-3</v>
      </c>
      <c r="L355" s="7">
        <v>-1.0627907640007586E-2</v>
      </c>
      <c r="M355" s="7">
        <v>0</v>
      </c>
      <c r="N355" s="7">
        <v>0</v>
      </c>
      <c r="O355" s="7">
        <v>0</v>
      </c>
      <c r="P355" s="7">
        <v>0</v>
      </c>
    </row>
    <row r="356" spans="1:16" x14ac:dyDescent="0.3">
      <c r="A356" s="1">
        <v>43978</v>
      </c>
      <c r="B356" s="2">
        <v>54.681998999999998</v>
      </c>
      <c r="C356" s="2">
        <v>181.81</v>
      </c>
      <c r="F356" s="1">
        <v>43978</v>
      </c>
      <c r="G356" s="2">
        <f t="shared" si="10"/>
        <v>1.6594720927266449E-3</v>
      </c>
      <c r="H356" s="2">
        <f t="shared" si="11"/>
        <v>1.3209314486057953E-3</v>
      </c>
      <c r="I356" s="7">
        <v>0</v>
      </c>
      <c r="J356" s="7">
        <v>0</v>
      </c>
      <c r="K356" s="7">
        <v>0</v>
      </c>
      <c r="L356" s="7">
        <v>0</v>
      </c>
      <c r="M356" s="7">
        <v>0</v>
      </c>
      <c r="N356" s="7">
        <v>0</v>
      </c>
      <c r="O356" s="7">
        <v>1.6594720927266449E-3</v>
      </c>
      <c r="P356" s="7">
        <v>1.3209314486057953E-3</v>
      </c>
    </row>
    <row r="357" spans="1:16" x14ac:dyDescent="0.3">
      <c r="A357" s="1">
        <v>43979</v>
      </c>
      <c r="B357" s="2">
        <v>53.720669000000001</v>
      </c>
      <c r="C357" s="2">
        <v>181.4</v>
      </c>
      <c r="F357" s="1">
        <v>43979</v>
      </c>
      <c r="G357" s="2">
        <f t="shared" si="10"/>
        <v>-1.7736744304172061E-2</v>
      </c>
      <c r="H357" s="2">
        <f t="shared" si="11"/>
        <v>-2.2576480501451672E-3</v>
      </c>
      <c r="I357" s="7">
        <v>-1.7736744304172061E-2</v>
      </c>
      <c r="J357" s="7">
        <v>-2.2576480501451672E-3</v>
      </c>
      <c r="K357" s="7">
        <v>0</v>
      </c>
      <c r="L357" s="7">
        <v>0</v>
      </c>
      <c r="M357" s="7">
        <v>0</v>
      </c>
      <c r="N357" s="7">
        <v>0</v>
      </c>
      <c r="O357" s="7">
        <v>0</v>
      </c>
      <c r="P357" s="7">
        <v>0</v>
      </c>
    </row>
    <row r="358" spans="1:16" x14ac:dyDescent="0.3">
      <c r="A358" s="1">
        <v>43980</v>
      </c>
      <c r="B358" s="2">
        <v>55.666668000000001</v>
      </c>
      <c r="C358" s="2">
        <v>183.25</v>
      </c>
      <c r="F358" s="1">
        <v>43980</v>
      </c>
      <c r="G358" s="2">
        <f t="shared" si="10"/>
        <v>3.5583722660850289E-2</v>
      </c>
      <c r="H358" s="2">
        <f t="shared" si="11"/>
        <v>1.0146803085724552E-2</v>
      </c>
      <c r="I358" s="7">
        <v>0</v>
      </c>
      <c r="J358" s="7">
        <v>0</v>
      </c>
      <c r="K358" s="7">
        <v>0</v>
      </c>
      <c r="L358" s="7">
        <v>0</v>
      </c>
      <c r="M358" s="7">
        <v>0</v>
      </c>
      <c r="N358" s="7">
        <v>0</v>
      </c>
      <c r="O358" s="7">
        <v>3.5583722660850289E-2</v>
      </c>
      <c r="P358" s="7">
        <v>1.0146803085724552E-2</v>
      </c>
    </row>
    <row r="359" spans="1:16" x14ac:dyDescent="0.3">
      <c r="A359" s="1">
        <v>43983</v>
      </c>
      <c r="B359" s="2">
        <v>59.873333000000002</v>
      </c>
      <c r="C359" s="2">
        <v>182.83</v>
      </c>
      <c r="F359" s="1">
        <v>43983</v>
      </c>
      <c r="G359" s="2">
        <f t="shared" si="10"/>
        <v>7.2849666306644301E-2</v>
      </c>
      <c r="H359" s="2">
        <f t="shared" si="11"/>
        <v>-2.2945814263472409E-3</v>
      </c>
      <c r="I359" s="7">
        <v>0</v>
      </c>
      <c r="J359" s="7">
        <v>0</v>
      </c>
      <c r="K359" s="7">
        <v>7.2849666306644301E-2</v>
      </c>
      <c r="L359" s="7">
        <v>-2.2945814263472409E-3</v>
      </c>
      <c r="M359" s="7">
        <v>0</v>
      </c>
      <c r="N359" s="7">
        <v>0</v>
      </c>
      <c r="O359" s="7">
        <v>0</v>
      </c>
      <c r="P359" s="7">
        <v>0</v>
      </c>
    </row>
    <row r="360" spans="1:16" x14ac:dyDescent="0.3">
      <c r="A360" s="1">
        <v>43984</v>
      </c>
      <c r="B360" s="2">
        <v>58.770668000000001</v>
      </c>
      <c r="C360" s="2">
        <v>184.91</v>
      </c>
      <c r="F360" s="1">
        <v>43984</v>
      </c>
      <c r="G360" s="2">
        <f t="shared" si="10"/>
        <v>-1.8588327104050045E-2</v>
      </c>
      <c r="H360" s="2">
        <f t="shared" si="11"/>
        <v>1.1312460878481178E-2</v>
      </c>
      <c r="I360" s="7">
        <v>0</v>
      </c>
      <c r="J360" s="7">
        <v>0</v>
      </c>
      <c r="K360" s="7">
        <v>0</v>
      </c>
      <c r="L360" s="7">
        <v>0</v>
      </c>
      <c r="M360" s="7">
        <v>-1.8588327104050045E-2</v>
      </c>
      <c r="N360" s="7">
        <v>1.1312460878481178E-2</v>
      </c>
      <c r="O360" s="7">
        <v>0</v>
      </c>
      <c r="P360" s="7">
        <v>0</v>
      </c>
    </row>
    <row r="361" spans="1:16" x14ac:dyDescent="0.3">
      <c r="A361" s="1">
        <v>43985</v>
      </c>
      <c r="B361" s="2">
        <v>58.863998000000002</v>
      </c>
      <c r="C361" s="2">
        <v>185.36</v>
      </c>
      <c r="F361" s="1">
        <v>43985</v>
      </c>
      <c r="G361" s="2">
        <f t="shared" si="10"/>
        <v>1.5867774824586838E-3</v>
      </c>
      <c r="H361" s="2">
        <f t="shared" si="11"/>
        <v>2.4306599052261297E-3</v>
      </c>
      <c r="I361" s="7">
        <v>0</v>
      </c>
      <c r="J361" s="7">
        <v>0</v>
      </c>
      <c r="K361" s="7">
        <v>0</v>
      </c>
      <c r="L361" s="7">
        <v>0</v>
      </c>
      <c r="M361" s="7">
        <v>0</v>
      </c>
      <c r="N361" s="7">
        <v>0</v>
      </c>
      <c r="O361" s="7">
        <v>1.5867774824586838E-3</v>
      </c>
      <c r="P361" s="7">
        <v>2.4306599052261297E-3</v>
      </c>
    </row>
    <row r="362" spans="1:16" x14ac:dyDescent="0.3">
      <c r="A362" s="1">
        <v>43986</v>
      </c>
      <c r="B362" s="2">
        <v>57.625332</v>
      </c>
      <c r="C362" s="2">
        <v>182.92</v>
      </c>
      <c r="F362" s="1">
        <v>43986</v>
      </c>
      <c r="G362" s="2">
        <f t="shared" si="10"/>
        <v>-2.126740169729175E-2</v>
      </c>
      <c r="H362" s="2">
        <f t="shared" si="11"/>
        <v>-1.3250981334266434E-2</v>
      </c>
      <c r="I362" s="7">
        <v>-2.126740169729175E-2</v>
      </c>
      <c r="J362" s="7">
        <v>-1.3250981334266434E-2</v>
      </c>
      <c r="K362" s="7">
        <v>0</v>
      </c>
      <c r="L362" s="7">
        <v>0</v>
      </c>
      <c r="M362" s="7">
        <v>0</v>
      </c>
      <c r="N362" s="7">
        <v>0</v>
      </c>
      <c r="O362" s="7">
        <v>0</v>
      </c>
      <c r="P362" s="7">
        <v>0</v>
      </c>
    </row>
    <row r="363" spans="1:16" x14ac:dyDescent="0.3">
      <c r="A363" s="1">
        <v>43987</v>
      </c>
      <c r="B363" s="2">
        <v>59.043998999999999</v>
      </c>
      <c r="C363" s="2">
        <v>187.2</v>
      </c>
      <c r="F363" s="1">
        <v>43987</v>
      </c>
      <c r="G363" s="2">
        <f t="shared" si="10"/>
        <v>2.432064904972614E-2</v>
      </c>
      <c r="H363" s="2">
        <f t="shared" si="11"/>
        <v>2.3128665253637163E-2</v>
      </c>
      <c r="I363" s="7">
        <v>0</v>
      </c>
      <c r="J363" s="7">
        <v>0</v>
      </c>
      <c r="K363" s="7">
        <v>0</v>
      </c>
      <c r="L363" s="7">
        <v>0</v>
      </c>
      <c r="M363" s="7">
        <v>0</v>
      </c>
      <c r="N363" s="7">
        <v>0</v>
      </c>
      <c r="O363" s="7">
        <v>2.432064904972614E-2</v>
      </c>
      <c r="P363" s="7">
        <v>2.3128665253637163E-2</v>
      </c>
    </row>
    <row r="364" spans="1:16" x14ac:dyDescent="0.3">
      <c r="A364" s="1">
        <v>43990</v>
      </c>
      <c r="B364" s="2">
        <v>63.327998999999998</v>
      </c>
      <c r="C364" s="2">
        <v>188.36</v>
      </c>
      <c r="F364" s="1">
        <v>43990</v>
      </c>
      <c r="G364" s="2">
        <f t="shared" si="10"/>
        <v>7.0044641891123471E-2</v>
      </c>
      <c r="H364" s="2">
        <f t="shared" si="11"/>
        <v>6.1774613318623574E-3</v>
      </c>
      <c r="I364" s="7">
        <v>0</v>
      </c>
      <c r="J364" s="7">
        <v>0</v>
      </c>
      <c r="K364" s="7">
        <v>0</v>
      </c>
      <c r="L364" s="7">
        <v>0</v>
      </c>
      <c r="M364" s="7">
        <v>0</v>
      </c>
      <c r="N364" s="7">
        <v>0</v>
      </c>
      <c r="O364" s="7">
        <v>7.0044641891123471E-2</v>
      </c>
      <c r="P364" s="7">
        <v>6.1774613318623574E-3</v>
      </c>
    </row>
    <row r="365" spans="1:16" x14ac:dyDescent="0.3">
      <c r="A365" s="1">
        <v>43991</v>
      </c>
      <c r="B365" s="2">
        <v>62.711334000000001</v>
      </c>
      <c r="C365" s="2">
        <v>189.8</v>
      </c>
      <c r="F365" s="1">
        <v>43991</v>
      </c>
      <c r="G365" s="2">
        <f t="shared" si="10"/>
        <v>-9.7853567763607867E-3</v>
      </c>
      <c r="H365" s="2">
        <f t="shared" si="11"/>
        <v>7.6158608004735732E-3</v>
      </c>
      <c r="I365" s="7">
        <v>0</v>
      </c>
      <c r="J365" s="7">
        <v>0</v>
      </c>
      <c r="K365" s="7">
        <v>0</v>
      </c>
      <c r="L365" s="7">
        <v>0</v>
      </c>
      <c r="M365" s="7">
        <v>-9.7853567763607867E-3</v>
      </c>
      <c r="N365" s="7">
        <v>7.6158608004735732E-3</v>
      </c>
      <c r="O365" s="7">
        <v>0</v>
      </c>
      <c r="P365" s="7">
        <v>0</v>
      </c>
    </row>
    <row r="366" spans="1:16" x14ac:dyDescent="0.3">
      <c r="A366" s="1">
        <v>43992</v>
      </c>
      <c r="B366" s="2">
        <v>68.336669999999998</v>
      </c>
      <c r="C366" s="2">
        <v>196.84</v>
      </c>
      <c r="F366" s="1">
        <v>43992</v>
      </c>
      <c r="G366" s="2">
        <f t="shared" si="10"/>
        <v>8.5904321693490493E-2</v>
      </c>
      <c r="H366" s="2">
        <f t="shared" si="11"/>
        <v>3.6420329821950002E-2</v>
      </c>
      <c r="I366" s="7">
        <v>0</v>
      </c>
      <c r="J366" s="7">
        <v>0</v>
      </c>
      <c r="K366" s="7">
        <v>0</v>
      </c>
      <c r="L366" s="7">
        <v>0</v>
      </c>
      <c r="M366" s="7">
        <v>0</v>
      </c>
      <c r="N366" s="7">
        <v>0</v>
      </c>
      <c r="O366" s="7">
        <v>8.5904321693490493E-2</v>
      </c>
      <c r="P366" s="7">
        <v>3.6420329821950002E-2</v>
      </c>
    </row>
    <row r="367" spans="1:16" x14ac:dyDescent="0.3">
      <c r="A367" s="1">
        <v>43993</v>
      </c>
      <c r="B367" s="2">
        <v>64.856003000000001</v>
      </c>
      <c r="C367" s="2">
        <v>186.27</v>
      </c>
      <c r="F367" s="1">
        <v>43993</v>
      </c>
      <c r="G367" s="2">
        <f t="shared" si="10"/>
        <v>-5.2277044604754602E-2</v>
      </c>
      <c r="H367" s="2">
        <f t="shared" si="11"/>
        <v>-5.5193981952866296E-2</v>
      </c>
      <c r="I367" s="7">
        <v>-5.2277044604754602E-2</v>
      </c>
      <c r="J367" s="7">
        <v>-5.5193981952866296E-2</v>
      </c>
      <c r="K367" s="7">
        <v>0</v>
      </c>
      <c r="L367" s="7">
        <v>0</v>
      </c>
      <c r="M367" s="7">
        <v>0</v>
      </c>
      <c r="N367" s="7">
        <v>0</v>
      </c>
      <c r="O367" s="7">
        <v>0</v>
      </c>
      <c r="P367" s="7">
        <v>0</v>
      </c>
    </row>
    <row r="368" spans="1:16" x14ac:dyDescent="0.3">
      <c r="A368" s="1">
        <v>43994</v>
      </c>
      <c r="B368" s="2">
        <v>62.352001000000001</v>
      </c>
      <c r="C368" s="2">
        <v>187.74</v>
      </c>
      <c r="F368" s="1">
        <v>43994</v>
      </c>
      <c r="G368" s="2">
        <f t="shared" si="10"/>
        <v>-3.9373709307395435E-2</v>
      </c>
      <c r="H368" s="2">
        <f t="shared" si="11"/>
        <v>7.860792863934641E-3</v>
      </c>
      <c r="I368" s="7">
        <v>0</v>
      </c>
      <c r="J368" s="7">
        <v>0</v>
      </c>
      <c r="K368" s="7">
        <v>0</v>
      </c>
      <c r="L368" s="7">
        <v>0</v>
      </c>
      <c r="M368" s="7">
        <v>-3.9373709307395435E-2</v>
      </c>
      <c r="N368" s="7">
        <v>7.860792863934641E-3</v>
      </c>
      <c r="O368" s="7">
        <v>0</v>
      </c>
      <c r="P368" s="7">
        <v>0</v>
      </c>
    </row>
    <row r="369" spans="1:16" x14ac:dyDescent="0.3">
      <c r="A369" s="1">
        <v>43997</v>
      </c>
      <c r="B369" s="2">
        <v>66.059997999999993</v>
      </c>
      <c r="C369" s="2">
        <v>188.94</v>
      </c>
      <c r="F369" s="1">
        <v>43997</v>
      </c>
      <c r="G369" s="2">
        <f t="shared" si="10"/>
        <v>5.776762505280475E-2</v>
      </c>
      <c r="H369" s="2">
        <f t="shared" si="11"/>
        <v>6.3714774321423839E-3</v>
      </c>
      <c r="I369" s="7">
        <v>0</v>
      </c>
      <c r="J369" s="7">
        <v>0</v>
      </c>
      <c r="K369" s="7">
        <v>0</v>
      </c>
      <c r="L369" s="7">
        <v>0</v>
      </c>
      <c r="M369" s="7">
        <v>0</v>
      </c>
      <c r="N369" s="7">
        <v>0</v>
      </c>
      <c r="O369" s="7">
        <v>5.776762505280475E-2</v>
      </c>
      <c r="P369" s="7">
        <v>6.3714774321423839E-3</v>
      </c>
    </row>
    <row r="370" spans="1:16" x14ac:dyDescent="0.3">
      <c r="A370" s="1">
        <v>43998</v>
      </c>
      <c r="B370" s="2">
        <v>65.475334000000004</v>
      </c>
      <c r="C370" s="2">
        <v>193.57</v>
      </c>
      <c r="F370" s="1">
        <v>43998</v>
      </c>
      <c r="G370" s="2">
        <f t="shared" si="10"/>
        <v>-8.8898981227133501E-3</v>
      </c>
      <c r="H370" s="2">
        <f t="shared" si="11"/>
        <v>2.4209699816466059E-2</v>
      </c>
      <c r="I370" s="7">
        <v>0</v>
      </c>
      <c r="J370" s="7">
        <v>0</v>
      </c>
      <c r="K370" s="7">
        <v>0</v>
      </c>
      <c r="L370" s="7">
        <v>0</v>
      </c>
      <c r="M370" s="7">
        <v>-8.8898981227133501E-3</v>
      </c>
      <c r="N370" s="7">
        <v>2.4209699816466059E-2</v>
      </c>
      <c r="O370" s="7">
        <v>0</v>
      </c>
      <c r="P370" s="7">
        <v>0</v>
      </c>
    </row>
    <row r="371" spans="1:16" x14ac:dyDescent="0.3">
      <c r="A371" s="1">
        <v>43999</v>
      </c>
      <c r="B371" s="2">
        <v>66.119331000000003</v>
      </c>
      <c r="C371" s="2">
        <v>194.24</v>
      </c>
      <c r="F371" s="1">
        <v>43999</v>
      </c>
      <c r="G371" s="2">
        <f t="shared" si="10"/>
        <v>9.7876633698818476E-3</v>
      </c>
      <c r="H371" s="2">
        <f t="shared" si="11"/>
        <v>3.4553037136792319E-3</v>
      </c>
      <c r="I371" s="7">
        <v>0</v>
      </c>
      <c r="J371" s="7">
        <v>0</v>
      </c>
      <c r="K371" s="7">
        <v>0</v>
      </c>
      <c r="L371" s="7">
        <v>0</v>
      </c>
      <c r="M371" s="7">
        <v>0</v>
      </c>
      <c r="N371" s="7">
        <v>0</v>
      </c>
      <c r="O371" s="7">
        <v>9.7876633698818476E-3</v>
      </c>
      <c r="P371" s="7">
        <v>3.4553037136792319E-3</v>
      </c>
    </row>
    <row r="372" spans="1:16" x14ac:dyDescent="0.3">
      <c r="A372" s="1">
        <v>44000</v>
      </c>
      <c r="B372" s="2">
        <v>66.930663999999993</v>
      </c>
      <c r="C372" s="2">
        <v>196.32</v>
      </c>
      <c r="F372" s="1">
        <v>44000</v>
      </c>
      <c r="G372" s="2">
        <f t="shared" si="10"/>
        <v>1.2196062941824969E-2</v>
      </c>
      <c r="H372" s="2">
        <f t="shared" si="11"/>
        <v>1.0651473091467795E-2</v>
      </c>
      <c r="I372" s="7">
        <v>0</v>
      </c>
      <c r="J372" s="7">
        <v>0</v>
      </c>
      <c r="K372" s="7">
        <v>0</v>
      </c>
      <c r="L372" s="7">
        <v>0</v>
      </c>
      <c r="M372" s="7">
        <v>0</v>
      </c>
      <c r="N372" s="7">
        <v>0</v>
      </c>
      <c r="O372" s="7">
        <v>1.2196062941824969E-2</v>
      </c>
      <c r="P372" s="7">
        <v>1.0651473091467795E-2</v>
      </c>
    </row>
    <row r="373" spans="1:16" x14ac:dyDescent="0.3">
      <c r="A373" s="1">
        <v>44001</v>
      </c>
      <c r="B373" s="2">
        <v>66.726669000000001</v>
      </c>
      <c r="C373" s="2">
        <v>195.15</v>
      </c>
      <c r="F373" s="1">
        <v>44001</v>
      </c>
      <c r="G373" s="2">
        <f t="shared" si="10"/>
        <v>-3.0525097848384769E-3</v>
      </c>
      <c r="H373" s="2">
        <f t="shared" si="11"/>
        <v>-5.9774873359773164E-3</v>
      </c>
      <c r="I373" s="7">
        <v>-3.0525097848384769E-3</v>
      </c>
      <c r="J373" s="7">
        <v>-5.9774873359773164E-3</v>
      </c>
      <c r="K373" s="7">
        <v>0</v>
      </c>
      <c r="L373" s="7">
        <v>0</v>
      </c>
      <c r="M373" s="7">
        <v>0</v>
      </c>
      <c r="N373" s="7">
        <v>0</v>
      </c>
      <c r="O373" s="7">
        <v>0</v>
      </c>
      <c r="P373" s="7">
        <v>0</v>
      </c>
    </row>
    <row r="374" spans="1:16" x14ac:dyDescent="0.3">
      <c r="A374" s="1">
        <v>44004</v>
      </c>
      <c r="B374" s="2">
        <v>66.288002000000006</v>
      </c>
      <c r="C374" s="2">
        <v>200.57</v>
      </c>
      <c r="F374" s="1">
        <v>44004</v>
      </c>
      <c r="G374" s="2">
        <f t="shared" si="10"/>
        <v>-6.5957925848718155E-3</v>
      </c>
      <c r="H374" s="2">
        <f t="shared" si="11"/>
        <v>2.7394819371331314E-2</v>
      </c>
      <c r="I374" s="7">
        <v>0</v>
      </c>
      <c r="J374" s="7">
        <v>0</v>
      </c>
      <c r="K374" s="7">
        <v>0</v>
      </c>
      <c r="L374" s="7">
        <v>0</v>
      </c>
      <c r="M374" s="7">
        <v>-6.5957925848718155E-3</v>
      </c>
      <c r="N374" s="7">
        <v>2.7394819371331314E-2</v>
      </c>
      <c r="O374" s="7">
        <v>0</v>
      </c>
      <c r="P374" s="7">
        <v>0</v>
      </c>
    </row>
    <row r="375" spans="1:16" x14ac:dyDescent="0.3">
      <c r="A375" s="1">
        <v>44005</v>
      </c>
      <c r="B375" s="2">
        <v>66.785331999999997</v>
      </c>
      <c r="C375" s="2">
        <v>201.91</v>
      </c>
      <c r="F375" s="1">
        <v>44005</v>
      </c>
      <c r="G375" s="2">
        <f t="shared" si="10"/>
        <v>7.4745600864557227E-3</v>
      </c>
      <c r="H375" s="2">
        <f t="shared" si="11"/>
        <v>6.6587405643273902E-3</v>
      </c>
      <c r="I375" s="7">
        <v>0</v>
      </c>
      <c r="J375" s="7">
        <v>0</v>
      </c>
      <c r="K375" s="7">
        <v>0</v>
      </c>
      <c r="L375" s="7">
        <v>0</v>
      </c>
      <c r="M375" s="7">
        <v>0</v>
      </c>
      <c r="N375" s="7">
        <v>0</v>
      </c>
      <c r="O375" s="7">
        <v>7.4745600864557227E-3</v>
      </c>
      <c r="P375" s="7">
        <v>6.6587405643273902E-3</v>
      </c>
    </row>
    <row r="376" spans="1:16" x14ac:dyDescent="0.3">
      <c r="A376" s="1">
        <v>44006</v>
      </c>
      <c r="B376" s="2">
        <v>64.056663999999998</v>
      </c>
      <c r="C376" s="2">
        <v>197.84</v>
      </c>
      <c r="F376" s="1">
        <v>44006</v>
      </c>
      <c r="G376" s="2">
        <f t="shared" si="10"/>
        <v>-4.1715408946456527E-2</v>
      </c>
      <c r="H376" s="2">
        <f t="shared" si="11"/>
        <v>-2.0363430349121969E-2</v>
      </c>
      <c r="I376" s="7">
        <v>-4.1715408946456527E-2</v>
      </c>
      <c r="J376" s="7">
        <v>-2.0363430349121969E-2</v>
      </c>
      <c r="K376" s="7">
        <v>0</v>
      </c>
      <c r="L376" s="7">
        <v>0</v>
      </c>
      <c r="M376" s="7">
        <v>0</v>
      </c>
      <c r="N376" s="7">
        <v>0</v>
      </c>
      <c r="O376" s="7">
        <v>0</v>
      </c>
      <c r="P376" s="7">
        <v>0</v>
      </c>
    </row>
    <row r="377" spans="1:16" x14ac:dyDescent="0.3">
      <c r="A377" s="1">
        <v>44007</v>
      </c>
      <c r="B377" s="2">
        <v>65.732001999999994</v>
      </c>
      <c r="C377" s="2">
        <v>200.34</v>
      </c>
      <c r="F377" s="1">
        <v>44007</v>
      </c>
      <c r="G377" s="2">
        <f t="shared" si="10"/>
        <v>2.5817833099205365E-2</v>
      </c>
      <c r="H377" s="2">
        <f t="shared" si="11"/>
        <v>1.2557299970457349E-2</v>
      </c>
      <c r="I377" s="7">
        <v>0</v>
      </c>
      <c r="J377" s="7">
        <v>0</v>
      </c>
      <c r="K377" s="7">
        <v>0</v>
      </c>
      <c r="L377" s="7">
        <v>0</v>
      </c>
      <c r="M377" s="7">
        <v>0</v>
      </c>
      <c r="N377" s="7">
        <v>0</v>
      </c>
      <c r="O377" s="7">
        <v>2.5817833099205365E-2</v>
      </c>
      <c r="P377" s="7">
        <v>1.2557299970457349E-2</v>
      </c>
    </row>
    <row r="378" spans="1:16" x14ac:dyDescent="0.3">
      <c r="A378" s="1">
        <v>44008</v>
      </c>
      <c r="B378" s="2">
        <v>63.982666000000002</v>
      </c>
      <c r="C378" s="2">
        <v>196.33</v>
      </c>
      <c r="F378" s="1">
        <v>44008</v>
      </c>
      <c r="G378" s="2">
        <f t="shared" si="10"/>
        <v>-2.6973696820744263E-2</v>
      </c>
      <c r="H378" s="2">
        <f t="shared" si="11"/>
        <v>-2.0219006272960499E-2</v>
      </c>
      <c r="I378" s="7">
        <v>-2.6973696820744263E-2</v>
      </c>
      <c r="J378" s="7">
        <v>-2.0219006272960499E-2</v>
      </c>
      <c r="K378" s="7">
        <v>0</v>
      </c>
      <c r="L378" s="7">
        <v>0</v>
      </c>
      <c r="M378" s="7">
        <v>0</v>
      </c>
      <c r="N378" s="7">
        <v>0</v>
      </c>
      <c r="O378" s="7">
        <v>0</v>
      </c>
      <c r="P378" s="7">
        <v>0</v>
      </c>
    </row>
    <row r="379" spans="1:16" x14ac:dyDescent="0.3">
      <c r="A379" s="1">
        <v>44011</v>
      </c>
      <c r="B379" s="2">
        <v>67.290001000000004</v>
      </c>
      <c r="C379" s="2">
        <v>198.44</v>
      </c>
      <c r="F379" s="1">
        <v>44011</v>
      </c>
      <c r="G379" s="2">
        <f t="shared" si="10"/>
        <v>5.0399449136396358E-2</v>
      </c>
      <c r="H379" s="2">
        <f t="shared" si="11"/>
        <v>1.0689870522190522E-2</v>
      </c>
      <c r="I379" s="7">
        <v>0</v>
      </c>
      <c r="J379" s="7">
        <v>0</v>
      </c>
      <c r="K379" s="7">
        <v>0</v>
      </c>
      <c r="L379" s="7">
        <v>0</v>
      </c>
      <c r="M379" s="7">
        <v>0</v>
      </c>
      <c r="N379" s="7">
        <v>0</v>
      </c>
      <c r="O379" s="7">
        <v>5.0399449136396358E-2</v>
      </c>
      <c r="P379" s="7">
        <v>1.0689870522190522E-2</v>
      </c>
    </row>
    <row r="380" spans="1:16" x14ac:dyDescent="0.3">
      <c r="A380" s="1">
        <v>44012</v>
      </c>
      <c r="B380" s="2">
        <v>71.987335000000002</v>
      </c>
      <c r="C380" s="2">
        <v>203.51</v>
      </c>
      <c r="F380" s="1">
        <v>44012</v>
      </c>
      <c r="G380" s="2">
        <f t="shared" si="10"/>
        <v>6.7478548704293609E-2</v>
      </c>
      <c r="H380" s="2">
        <f t="shared" si="11"/>
        <v>2.5228356291608842E-2</v>
      </c>
      <c r="I380" s="7">
        <v>0</v>
      </c>
      <c r="J380" s="7">
        <v>0</v>
      </c>
      <c r="K380" s="7">
        <v>0</v>
      </c>
      <c r="L380" s="7">
        <v>0</v>
      </c>
      <c r="M380" s="7">
        <v>0</v>
      </c>
      <c r="N380" s="7">
        <v>0</v>
      </c>
      <c r="O380" s="7">
        <v>6.7478548704293609E-2</v>
      </c>
      <c r="P380" s="7">
        <v>2.5228356291608842E-2</v>
      </c>
    </row>
    <row r="381" spans="1:16" x14ac:dyDescent="0.3">
      <c r="A381" s="1">
        <v>44013</v>
      </c>
      <c r="B381" s="2">
        <v>74.641998000000001</v>
      </c>
      <c r="C381" s="2">
        <v>204.7</v>
      </c>
      <c r="F381" s="1">
        <v>44013</v>
      </c>
      <c r="G381" s="2">
        <f t="shared" si="10"/>
        <v>3.6213123903995323E-2</v>
      </c>
      <c r="H381" s="2">
        <f t="shared" si="11"/>
        <v>5.8303489427867471E-3</v>
      </c>
      <c r="I381" s="7">
        <v>0</v>
      </c>
      <c r="J381" s="7">
        <v>0</v>
      </c>
      <c r="K381" s="7">
        <v>0</v>
      </c>
      <c r="L381" s="7">
        <v>0</v>
      </c>
      <c r="M381" s="7">
        <v>0</v>
      </c>
      <c r="N381" s="7">
        <v>0</v>
      </c>
      <c r="O381" s="7">
        <v>3.6213123903995323E-2</v>
      </c>
      <c r="P381" s="7">
        <v>5.8303489427867471E-3</v>
      </c>
    </row>
    <row r="382" spans="1:16" x14ac:dyDescent="0.3">
      <c r="A382" s="1">
        <v>44014</v>
      </c>
      <c r="B382" s="2">
        <v>80.577331999999998</v>
      </c>
      <c r="C382" s="2">
        <v>206.26</v>
      </c>
      <c r="F382" s="1">
        <v>44014</v>
      </c>
      <c r="G382" s="2">
        <f t="shared" si="10"/>
        <v>7.651404459264799E-2</v>
      </c>
      <c r="H382" s="2">
        <f t="shared" si="11"/>
        <v>7.5920162206791044E-3</v>
      </c>
      <c r="I382" s="7">
        <v>0</v>
      </c>
      <c r="J382" s="7">
        <v>0</v>
      </c>
      <c r="K382" s="7">
        <v>0</v>
      </c>
      <c r="L382" s="7">
        <v>0</v>
      </c>
      <c r="M382" s="7">
        <v>0</v>
      </c>
      <c r="N382" s="7">
        <v>0</v>
      </c>
      <c r="O382" s="7">
        <v>7.651404459264799E-2</v>
      </c>
      <c r="P382" s="7">
        <v>7.5920162206791044E-3</v>
      </c>
    </row>
    <row r="383" spans="1:16" x14ac:dyDescent="0.3">
      <c r="A383" s="1">
        <v>44018</v>
      </c>
      <c r="B383" s="2">
        <v>91.438666999999995</v>
      </c>
      <c r="C383" s="2">
        <v>210.7</v>
      </c>
      <c r="F383" s="1">
        <v>44018</v>
      </c>
      <c r="G383" s="2">
        <f t="shared" si="10"/>
        <v>0.1264510722528176</v>
      </c>
      <c r="H383" s="2">
        <f t="shared" si="11"/>
        <v>2.1297811922220342E-2</v>
      </c>
      <c r="I383" s="7">
        <v>0</v>
      </c>
      <c r="J383" s="7">
        <v>0</v>
      </c>
      <c r="K383" s="7">
        <v>0</v>
      </c>
      <c r="L383" s="7">
        <v>0</v>
      </c>
      <c r="M383" s="7">
        <v>0</v>
      </c>
      <c r="N383" s="7">
        <v>0</v>
      </c>
      <c r="O383" s="7">
        <v>0.1264510722528176</v>
      </c>
      <c r="P383" s="7">
        <v>2.1297811922220342E-2</v>
      </c>
    </row>
    <row r="384" spans="1:16" x14ac:dyDescent="0.3">
      <c r="A384" s="1">
        <v>44019</v>
      </c>
      <c r="B384" s="2">
        <v>92.657332999999994</v>
      </c>
      <c r="C384" s="2">
        <v>208.25</v>
      </c>
      <c r="F384" s="1">
        <v>44019</v>
      </c>
      <c r="G384" s="2">
        <f t="shared" si="10"/>
        <v>1.3239655413010082E-2</v>
      </c>
      <c r="H384" s="2">
        <f t="shared" si="11"/>
        <v>-1.1696039763191187E-2</v>
      </c>
      <c r="I384" s="7">
        <v>0</v>
      </c>
      <c r="J384" s="7">
        <v>0</v>
      </c>
      <c r="K384" s="7">
        <v>1.3239655413010082E-2</v>
      </c>
      <c r="L384" s="7">
        <v>-1.1696039763191187E-2</v>
      </c>
      <c r="M384" s="7">
        <v>0</v>
      </c>
      <c r="N384" s="7">
        <v>0</v>
      </c>
      <c r="O384" s="7">
        <v>0</v>
      </c>
      <c r="P384" s="7">
        <v>0</v>
      </c>
    </row>
    <row r="385" spans="1:16" x14ac:dyDescent="0.3">
      <c r="A385" s="1">
        <v>44020</v>
      </c>
      <c r="B385" s="2">
        <v>91.058670000000006</v>
      </c>
      <c r="C385" s="2">
        <v>212.83</v>
      </c>
      <c r="F385" s="1">
        <v>44020</v>
      </c>
      <c r="G385" s="2">
        <f t="shared" si="10"/>
        <v>-1.7404072882517024E-2</v>
      </c>
      <c r="H385" s="2">
        <f t="shared" si="11"/>
        <v>2.1754443927760391E-2</v>
      </c>
      <c r="I385" s="7">
        <v>0</v>
      </c>
      <c r="J385" s="7">
        <v>0</v>
      </c>
      <c r="K385" s="7">
        <v>0</v>
      </c>
      <c r="L385" s="7">
        <v>0</v>
      </c>
      <c r="M385" s="7">
        <v>-1.7404072882517024E-2</v>
      </c>
      <c r="N385" s="7">
        <v>2.1754443927760391E-2</v>
      </c>
      <c r="O385" s="7">
        <v>0</v>
      </c>
      <c r="P385" s="7">
        <v>0</v>
      </c>
    </row>
    <row r="386" spans="1:16" x14ac:dyDescent="0.3">
      <c r="A386" s="1">
        <v>44021</v>
      </c>
      <c r="B386" s="2">
        <v>92.952003000000005</v>
      </c>
      <c r="C386" s="2">
        <v>214.32</v>
      </c>
      <c r="F386" s="1">
        <v>44021</v>
      </c>
      <c r="G386" s="2">
        <f t="shared" si="10"/>
        <v>2.0579239109759225E-2</v>
      </c>
      <c r="H386" s="2">
        <f t="shared" si="11"/>
        <v>6.9765002616409182E-3</v>
      </c>
      <c r="I386" s="7">
        <v>0</v>
      </c>
      <c r="J386" s="7">
        <v>0</v>
      </c>
      <c r="K386" s="7">
        <v>0</v>
      </c>
      <c r="L386" s="7">
        <v>0</v>
      </c>
      <c r="M386" s="7">
        <v>0</v>
      </c>
      <c r="N386" s="7">
        <v>0</v>
      </c>
      <c r="O386" s="7">
        <v>2.0579239109759225E-2</v>
      </c>
      <c r="P386" s="7">
        <v>6.9765002616409182E-3</v>
      </c>
    </row>
    <row r="387" spans="1:16" x14ac:dyDescent="0.3">
      <c r="A387" s="1">
        <v>44022</v>
      </c>
      <c r="B387" s="2">
        <v>102.976669</v>
      </c>
      <c r="C387" s="2">
        <v>213.67</v>
      </c>
      <c r="F387" s="1">
        <v>44022</v>
      </c>
      <c r="G387" s="2">
        <f t="shared" si="10"/>
        <v>0.10241918485294788</v>
      </c>
      <c r="H387" s="2">
        <f t="shared" si="11"/>
        <v>-3.0374564814564737E-3</v>
      </c>
      <c r="I387" s="7">
        <v>0</v>
      </c>
      <c r="J387" s="7">
        <v>0</v>
      </c>
      <c r="K387" s="7">
        <v>0.10241918485294788</v>
      </c>
      <c r="L387" s="7">
        <v>-3.0374564814564737E-3</v>
      </c>
      <c r="M387" s="7">
        <v>0</v>
      </c>
      <c r="N387" s="7">
        <v>0</v>
      </c>
      <c r="O387" s="7">
        <v>0</v>
      </c>
      <c r="P387" s="7">
        <v>0</v>
      </c>
    </row>
    <row r="388" spans="1:16" x14ac:dyDescent="0.3">
      <c r="A388" s="1">
        <v>44025</v>
      </c>
      <c r="B388" s="2">
        <v>99.804001</v>
      </c>
      <c r="C388" s="2">
        <v>207.07</v>
      </c>
      <c r="F388" s="1">
        <v>44025</v>
      </c>
      <c r="G388" s="2">
        <f t="shared" si="10"/>
        <v>-3.1294175314041377E-2</v>
      </c>
      <c r="H388" s="2">
        <f t="shared" si="11"/>
        <v>-3.1375868402963358E-2</v>
      </c>
      <c r="I388" s="7">
        <v>-3.1294175314041377E-2</v>
      </c>
      <c r="J388" s="7">
        <v>-3.1375868402963358E-2</v>
      </c>
      <c r="K388" s="7">
        <v>0</v>
      </c>
      <c r="L388" s="7">
        <v>0</v>
      </c>
      <c r="M388" s="7">
        <v>0</v>
      </c>
      <c r="N388" s="7">
        <v>0</v>
      </c>
      <c r="O388" s="7">
        <v>0</v>
      </c>
      <c r="P388" s="7">
        <v>0</v>
      </c>
    </row>
    <row r="389" spans="1:16" x14ac:dyDescent="0.3">
      <c r="A389" s="1">
        <v>44026</v>
      </c>
      <c r="B389" s="2">
        <v>101.120003</v>
      </c>
      <c r="C389" s="2">
        <v>208.35</v>
      </c>
      <c r="F389" s="1">
        <v>44026</v>
      </c>
      <c r="G389" s="2">
        <f t="shared" si="10"/>
        <v>1.3099687372079191E-2</v>
      </c>
      <c r="H389" s="2">
        <f t="shared" si="11"/>
        <v>6.1624575165289694E-3</v>
      </c>
      <c r="I389" s="7">
        <v>0</v>
      </c>
      <c r="J389" s="7">
        <v>0</v>
      </c>
      <c r="K389" s="7">
        <v>0</v>
      </c>
      <c r="L389" s="7">
        <v>0</v>
      </c>
      <c r="M389" s="7">
        <v>0</v>
      </c>
      <c r="N389" s="7">
        <v>0</v>
      </c>
      <c r="O389" s="7">
        <v>1.3099687372079191E-2</v>
      </c>
      <c r="P389" s="7">
        <v>6.1624575165289694E-3</v>
      </c>
    </row>
    <row r="390" spans="1:16" x14ac:dyDescent="0.3">
      <c r="A390" s="1">
        <v>44027</v>
      </c>
      <c r="B390" s="2">
        <v>103.067329</v>
      </c>
      <c r="C390" s="2">
        <v>208.04</v>
      </c>
      <c r="F390" s="1">
        <v>44027</v>
      </c>
      <c r="G390" s="2">
        <f t="shared" ref="G390:G453" si="12">LN(B390/B389)</f>
        <v>1.9074494219560024E-2</v>
      </c>
      <c r="H390" s="2">
        <f t="shared" ref="H390:H453" si="13">LN(C390/C389)</f>
        <v>-1.4889889635907637E-3</v>
      </c>
      <c r="I390" s="7">
        <v>0</v>
      </c>
      <c r="J390" s="7">
        <v>0</v>
      </c>
      <c r="K390" s="7">
        <v>1.9074494219560024E-2</v>
      </c>
      <c r="L390" s="7">
        <v>-1.4889889635907637E-3</v>
      </c>
      <c r="M390" s="7">
        <v>0</v>
      </c>
      <c r="N390" s="7">
        <v>0</v>
      </c>
      <c r="O390" s="7">
        <v>0</v>
      </c>
      <c r="P390" s="7">
        <v>0</v>
      </c>
    </row>
    <row r="391" spans="1:16" x14ac:dyDescent="0.3">
      <c r="A391" s="1">
        <v>44028</v>
      </c>
      <c r="B391" s="2">
        <v>100.042664</v>
      </c>
      <c r="C391" s="2">
        <v>203.92</v>
      </c>
      <c r="F391" s="1">
        <v>44028</v>
      </c>
      <c r="G391" s="2">
        <f t="shared" si="12"/>
        <v>-2.9785719282704209E-2</v>
      </c>
      <c r="H391" s="2">
        <f t="shared" si="13"/>
        <v>-2.000260883701175E-2</v>
      </c>
      <c r="I391" s="7">
        <v>-2.9785719282704209E-2</v>
      </c>
      <c r="J391" s="7">
        <v>-2.000260883701175E-2</v>
      </c>
      <c r="K391" s="7">
        <v>0</v>
      </c>
      <c r="L391" s="7">
        <v>0</v>
      </c>
      <c r="M391" s="7">
        <v>0</v>
      </c>
      <c r="N391" s="7">
        <v>0</v>
      </c>
      <c r="O391" s="7">
        <v>0</v>
      </c>
      <c r="P391" s="7">
        <v>0</v>
      </c>
    </row>
    <row r="392" spans="1:16" x14ac:dyDescent="0.3">
      <c r="A392" s="1">
        <v>44029</v>
      </c>
      <c r="B392" s="2">
        <v>100.056</v>
      </c>
      <c r="C392" s="2">
        <v>202.88</v>
      </c>
      <c r="F392" s="1">
        <v>44029</v>
      </c>
      <c r="G392" s="2">
        <f t="shared" si="12"/>
        <v>1.3329424348126323E-4</v>
      </c>
      <c r="H392" s="2">
        <f t="shared" si="13"/>
        <v>-5.1130888189988323E-3</v>
      </c>
      <c r="I392" s="7">
        <v>0</v>
      </c>
      <c r="J392" s="7">
        <v>0</v>
      </c>
      <c r="K392" s="7">
        <v>1.3329424348126323E-4</v>
      </c>
      <c r="L392" s="7">
        <v>-5.1130888189988323E-3</v>
      </c>
      <c r="M392" s="7">
        <v>0</v>
      </c>
      <c r="N392" s="7">
        <v>0</v>
      </c>
      <c r="O392" s="7">
        <v>0</v>
      </c>
      <c r="P392" s="7">
        <v>0</v>
      </c>
    </row>
    <row r="393" spans="1:16" x14ac:dyDescent="0.3">
      <c r="A393" s="1">
        <v>44032</v>
      </c>
      <c r="B393" s="2">
        <v>109.533333</v>
      </c>
      <c r="C393" s="2">
        <v>211.6</v>
      </c>
      <c r="F393" s="1">
        <v>44032</v>
      </c>
      <c r="G393" s="2">
        <f t="shared" si="12"/>
        <v>9.0498884645238878E-2</v>
      </c>
      <c r="H393" s="2">
        <f t="shared" si="13"/>
        <v>4.208302873528328E-2</v>
      </c>
      <c r="I393" s="7">
        <v>0</v>
      </c>
      <c r="J393" s="7">
        <v>0</v>
      </c>
      <c r="K393" s="7">
        <v>0</v>
      </c>
      <c r="L393" s="7">
        <v>0</v>
      </c>
      <c r="M393" s="7">
        <v>0</v>
      </c>
      <c r="N393" s="7">
        <v>0</v>
      </c>
      <c r="O393" s="7">
        <v>9.0498884645238878E-2</v>
      </c>
      <c r="P393" s="7">
        <v>4.208302873528328E-2</v>
      </c>
    </row>
    <row r="394" spans="1:16" x14ac:dyDescent="0.3">
      <c r="A394" s="1">
        <v>44033</v>
      </c>
      <c r="B394" s="2">
        <v>104.55733499999999</v>
      </c>
      <c r="C394" s="2">
        <v>208.75</v>
      </c>
      <c r="F394" s="1">
        <v>44033</v>
      </c>
      <c r="G394" s="2">
        <f t="shared" si="12"/>
        <v>-4.6493332658921249E-2</v>
      </c>
      <c r="H394" s="2">
        <f t="shared" si="13"/>
        <v>-1.3560336253179386E-2</v>
      </c>
      <c r="I394" s="7">
        <v>-4.6493332658921249E-2</v>
      </c>
      <c r="J394" s="7">
        <v>-1.3560336253179386E-2</v>
      </c>
      <c r="K394" s="7">
        <v>0</v>
      </c>
      <c r="L394" s="7">
        <v>0</v>
      </c>
      <c r="M394" s="7">
        <v>0</v>
      </c>
      <c r="N394" s="7">
        <v>0</v>
      </c>
      <c r="O394" s="7">
        <v>0</v>
      </c>
      <c r="P394" s="7">
        <v>0</v>
      </c>
    </row>
    <row r="395" spans="1:16" x14ac:dyDescent="0.3">
      <c r="A395" s="1">
        <v>44034</v>
      </c>
      <c r="B395" s="2">
        <v>106.155334</v>
      </c>
      <c r="C395" s="2">
        <v>211.75</v>
      </c>
      <c r="F395" s="1">
        <v>44034</v>
      </c>
      <c r="G395" s="2">
        <f t="shared" si="12"/>
        <v>1.5167855300597211E-2</v>
      </c>
      <c r="H395" s="2">
        <f t="shared" si="13"/>
        <v>1.4268969801198848E-2</v>
      </c>
      <c r="I395" s="7">
        <v>0</v>
      </c>
      <c r="J395" s="7">
        <v>0</v>
      </c>
      <c r="K395" s="7">
        <v>0</v>
      </c>
      <c r="L395" s="7">
        <v>0</v>
      </c>
      <c r="M395" s="7">
        <v>0</v>
      </c>
      <c r="N395" s="7">
        <v>0</v>
      </c>
      <c r="O395" s="7">
        <v>1.5167855300597211E-2</v>
      </c>
      <c r="P395" s="7">
        <v>1.4268969801198848E-2</v>
      </c>
    </row>
    <row r="396" spans="1:16" x14ac:dyDescent="0.3">
      <c r="A396" s="1">
        <v>44035</v>
      </c>
      <c r="B396" s="2">
        <v>100.87133</v>
      </c>
      <c r="C396" s="2">
        <v>202.54</v>
      </c>
      <c r="F396" s="1">
        <v>44035</v>
      </c>
      <c r="G396" s="2">
        <f t="shared" si="12"/>
        <v>-5.1057692265706861E-2</v>
      </c>
      <c r="H396" s="2">
        <f t="shared" si="13"/>
        <v>-4.4468935628024821E-2</v>
      </c>
      <c r="I396" s="7">
        <v>-5.1057692265706861E-2</v>
      </c>
      <c r="J396" s="7">
        <v>-4.4468935628024821E-2</v>
      </c>
      <c r="K396" s="7">
        <v>0</v>
      </c>
      <c r="L396" s="7">
        <v>0</v>
      </c>
      <c r="M396" s="7">
        <v>0</v>
      </c>
      <c r="N396" s="7">
        <v>0</v>
      </c>
      <c r="O396" s="7">
        <v>0</v>
      </c>
      <c r="P396" s="7">
        <v>0</v>
      </c>
    </row>
    <row r="397" spans="1:16" x14ac:dyDescent="0.3">
      <c r="A397" s="1">
        <v>44036</v>
      </c>
      <c r="B397" s="2">
        <v>94.466667000000001</v>
      </c>
      <c r="C397" s="2">
        <v>201.3</v>
      </c>
      <c r="F397" s="1">
        <v>44036</v>
      </c>
      <c r="G397" s="2">
        <f t="shared" si="12"/>
        <v>-6.5598702150761412E-2</v>
      </c>
      <c r="H397" s="2">
        <f t="shared" si="13"/>
        <v>-6.1410652583930381E-3</v>
      </c>
      <c r="I397" s="7">
        <v>-6.5598702150761412E-2</v>
      </c>
      <c r="J397" s="7">
        <v>-6.1410652583930381E-3</v>
      </c>
      <c r="K397" s="7">
        <v>0</v>
      </c>
      <c r="L397" s="7">
        <v>0</v>
      </c>
      <c r="M397" s="7">
        <v>0</v>
      </c>
      <c r="N397" s="7">
        <v>0</v>
      </c>
      <c r="O397" s="7">
        <v>0</v>
      </c>
      <c r="P397" s="7">
        <v>0</v>
      </c>
    </row>
    <row r="398" spans="1:16" x14ac:dyDescent="0.3">
      <c r="A398" s="1">
        <v>44039</v>
      </c>
      <c r="B398" s="2">
        <v>102.639999</v>
      </c>
      <c r="C398" s="2">
        <v>203.85</v>
      </c>
      <c r="F398" s="1">
        <v>44039</v>
      </c>
      <c r="G398" s="2">
        <f t="shared" si="12"/>
        <v>8.2980668447538708E-2</v>
      </c>
      <c r="H398" s="2">
        <f t="shared" si="13"/>
        <v>1.2588096619516534E-2</v>
      </c>
      <c r="I398" s="7">
        <v>0</v>
      </c>
      <c r="J398" s="7">
        <v>0</v>
      </c>
      <c r="K398" s="7">
        <v>0</v>
      </c>
      <c r="L398" s="7">
        <v>0</v>
      </c>
      <c r="M398" s="7">
        <v>0</v>
      </c>
      <c r="N398" s="7">
        <v>0</v>
      </c>
      <c r="O398" s="7">
        <v>8.2980668447538708E-2</v>
      </c>
      <c r="P398" s="7">
        <v>1.2588096619516534E-2</v>
      </c>
    </row>
    <row r="399" spans="1:16" x14ac:dyDescent="0.3">
      <c r="A399" s="1">
        <v>44040</v>
      </c>
      <c r="B399" s="2">
        <v>98.432670999999999</v>
      </c>
      <c r="C399" s="2">
        <v>202.02</v>
      </c>
      <c r="F399" s="1">
        <v>44040</v>
      </c>
      <c r="G399" s="2">
        <f t="shared" si="12"/>
        <v>-4.1854939255884759E-2</v>
      </c>
      <c r="H399" s="2">
        <f t="shared" si="13"/>
        <v>-9.0177268642242549E-3</v>
      </c>
      <c r="I399" s="7">
        <v>-4.1854939255884759E-2</v>
      </c>
      <c r="J399" s="7">
        <v>-9.0177268642242549E-3</v>
      </c>
      <c r="K399" s="7">
        <v>0</v>
      </c>
      <c r="L399" s="7">
        <v>0</v>
      </c>
      <c r="M399" s="7">
        <v>0</v>
      </c>
      <c r="N399" s="7">
        <v>0</v>
      </c>
      <c r="O399" s="7">
        <v>0</v>
      </c>
      <c r="P399" s="7">
        <v>0</v>
      </c>
    </row>
    <row r="400" spans="1:16" x14ac:dyDescent="0.3">
      <c r="A400" s="1">
        <v>44041</v>
      </c>
      <c r="B400" s="2">
        <v>99.940665999999993</v>
      </c>
      <c r="C400" s="2">
        <v>204.06</v>
      </c>
      <c r="F400" s="1">
        <v>44041</v>
      </c>
      <c r="G400" s="2">
        <f t="shared" si="12"/>
        <v>1.5203898583547823E-2</v>
      </c>
      <c r="H400" s="2">
        <f t="shared" si="13"/>
        <v>1.0047365846121018E-2</v>
      </c>
      <c r="I400" s="7">
        <v>0</v>
      </c>
      <c r="J400" s="7">
        <v>0</v>
      </c>
      <c r="K400" s="7">
        <v>0</v>
      </c>
      <c r="L400" s="7">
        <v>0</v>
      </c>
      <c r="M400" s="7">
        <v>0</v>
      </c>
      <c r="N400" s="7">
        <v>0</v>
      </c>
      <c r="O400" s="7">
        <v>1.5203898583547823E-2</v>
      </c>
      <c r="P400" s="7">
        <v>1.0047365846121018E-2</v>
      </c>
    </row>
    <row r="401" spans="1:16" x14ac:dyDescent="0.3">
      <c r="A401" s="1">
        <v>44042</v>
      </c>
      <c r="B401" s="2">
        <v>99.165999999999997</v>
      </c>
      <c r="C401" s="2">
        <v>203.9</v>
      </c>
      <c r="F401" s="1">
        <v>44042</v>
      </c>
      <c r="G401" s="2">
        <f t="shared" si="12"/>
        <v>-7.7814562863518649E-3</v>
      </c>
      <c r="H401" s="2">
        <f t="shared" si="13"/>
        <v>-7.843906667496139E-4</v>
      </c>
      <c r="I401" s="7">
        <v>-7.7814562863518649E-3</v>
      </c>
      <c r="J401" s="7">
        <v>-7.843906667496139E-4</v>
      </c>
      <c r="K401" s="7">
        <v>0</v>
      </c>
      <c r="L401" s="7">
        <v>0</v>
      </c>
      <c r="M401" s="7">
        <v>0</v>
      </c>
      <c r="N401" s="7">
        <v>0</v>
      </c>
      <c r="O401" s="7">
        <v>0</v>
      </c>
      <c r="P401" s="7">
        <v>0</v>
      </c>
    </row>
    <row r="402" spans="1:16" x14ac:dyDescent="0.3">
      <c r="A402" s="1">
        <v>44043</v>
      </c>
      <c r="B402" s="2">
        <v>95.384003000000007</v>
      </c>
      <c r="C402" s="2">
        <v>205.01</v>
      </c>
      <c r="F402" s="1">
        <v>44043</v>
      </c>
      <c r="G402" s="2">
        <f t="shared" si="12"/>
        <v>-3.8884332650255517E-2</v>
      </c>
      <c r="H402" s="2">
        <f t="shared" si="13"/>
        <v>5.4290808560741336E-3</v>
      </c>
      <c r="I402" s="7">
        <v>0</v>
      </c>
      <c r="J402" s="7">
        <v>0</v>
      </c>
      <c r="K402" s="7">
        <v>0</v>
      </c>
      <c r="L402" s="7">
        <v>0</v>
      </c>
      <c r="M402" s="7">
        <v>-3.8884332650255517E-2</v>
      </c>
      <c r="N402" s="7">
        <v>5.4290808560741336E-3</v>
      </c>
      <c r="O402" s="7">
        <v>0</v>
      </c>
      <c r="P402" s="7">
        <v>0</v>
      </c>
    </row>
    <row r="403" spans="1:16" x14ac:dyDescent="0.3">
      <c r="A403" s="1">
        <v>44046</v>
      </c>
      <c r="B403" s="2">
        <v>99</v>
      </c>
      <c r="C403" s="2">
        <v>216.54</v>
      </c>
      <c r="F403" s="1">
        <v>44046</v>
      </c>
      <c r="G403" s="2">
        <f t="shared" si="12"/>
        <v>3.7208969178943674E-2</v>
      </c>
      <c r="H403" s="2">
        <f t="shared" si="13"/>
        <v>5.4716529446268529E-2</v>
      </c>
      <c r="I403" s="7">
        <v>0</v>
      </c>
      <c r="J403" s="7">
        <v>0</v>
      </c>
      <c r="K403" s="7">
        <v>0</v>
      </c>
      <c r="L403" s="7">
        <v>0</v>
      </c>
      <c r="M403" s="7">
        <v>0</v>
      </c>
      <c r="N403" s="7">
        <v>0</v>
      </c>
      <c r="O403" s="7">
        <v>3.7208969178943674E-2</v>
      </c>
      <c r="P403" s="7">
        <v>5.4716529446268529E-2</v>
      </c>
    </row>
    <row r="404" spans="1:16" x14ac:dyDescent="0.3">
      <c r="A404" s="1">
        <v>44047</v>
      </c>
      <c r="B404" s="2">
        <v>99.133330999999998</v>
      </c>
      <c r="C404" s="2">
        <v>213.29</v>
      </c>
      <c r="F404" s="1">
        <v>44047</v>
      </c>
      <c r="G404" s="2">
        <f t="shared" si="12"/>
        <v>1.3458716860313634E-3</v>
      </c>
      <c r="H404" s="2">
        <f t="shared" si="13"/>
        <v>-1.5122545829821183E-2</v>
      </c>
      <c r="I404" s="7">
        <v>0</v>
      </c>
      <c r="J404" s="7">
        <v>0</v>
      </c>
      <c r="K404" s="7">
        <v>1.3458716860313634E-3</v>
      </c>
      <c r="L404" s="7">
        <v>-1.5122545829821183E-2</v>
      </c>
      <c r="M404" s="7">
        <v>0</v>
      </c>
      <c r="N404" s="7">
        <v>0</v>
      </c>
      <c r="O404" s="7">
        <v>0</v>
      </c>
      <c r="P404" s="7">
        <v>0</v>
      </c>
    </row>
    <row r="405" spans="1:16" x14ac:dyDescent="0.3">
      <c r="A405" s="1">
        <v>44048</v>
      </c>
      <c r="B405" s="2">
        <v>99.001334999999997</v>
      </c>
      <c r="C405" s="2">
        <v>212.94</v>
      </c>
      <c r="F405" s="1">
        <v>44048</v>
      </c>
      <c r="G405" s="2">
        <f t="shared" si="12"/>
        <v>-1.3323869284662733E-3</v>
      </c>
      <c r="H405" s="2">
        <f t="shared" si="13"/>
        <v>-1.6423061664708018E-3</v>
      </c>
      <c r="I405" s="7">
        <v>-1.3323869284662733E-3</v>
      </c>
      <c r="J405" s="7">
        <v>-1.6423061664708018E-3</v>
      </c>
      <c r="K405" s="7">
        <v>0</v>
      </c>
      <c r="L405" s="7">
        <v>0</v>
      </c>
      <c r="M405" s="7">
        <v>0</v>
      </c>
      <c r="N405" s="7">
        <v>0</v>
      </c>
      <c r="O405" s="7">
        <v>0</v>
      </c>
      <c r="P405" s="7">
        <v>0</v>
      </c>
    </row>
    <row r="406" spans="1:16" x14ac:dyDescent="0.3">
      <c r="A406" s="1">
        <v>44049</v>
      </c>
      <c r="B406" s="2">
        <v>99.305335999999997</v>
      </c>
      <c r="C406" s="2">
        <v>216.35</v>
      </c>
      <c r="F406" s="1">
        <v>44049</v>
      </c>
      <c r="G406" s="2">
        <f t="shared" si="12"/>
        <v>3.0659708683079649E-3</v>
      </c>
      <c r="H406" s="2">
        <f t="shared" si="13"/>
        <v>1.5887030784433653E-2</v>
      </c>
      <c r="I406" s="7">
        <v>0</v>
      </c>
      <c r="J406" s="7">
        <v>0</v>
      </c>
      <c r="K406" s="7">
        <v>0</v>
      </c>
      <c r="L406" s="7">
        <v>0</v>
      </c>
      <c r="M406" s="7">
        <v>0</v>
      </c>
      <c r="N406" s="7">
        <v>0</v>
      </c>
      <c r="O406" s="7">
        <v>3.0659708683079649E-3</v>
      </c>
      <c r="P406" s="7">
        <v>1.5887030784433653E-2</v>
      </c>
    </row>
    <row r="407" spans="1:16" x14ac:dyDescent="0.3">
      <c r="A407" s="1">
        <v>44050</v>
      </c>
      <c r="B407" s="2">
        <v>96.847335999999999</v>
      </c>
      <c r="C407" s="2">
        <v>212.48</v>
      </c>
      <c r="F407" s="1">
        <v>44050</v>
      </c>
      <c r="G407" s="2">
        <f t="shared" si="12"/>
        <v>-2.5063422739045851E-2</v>
      </c>
      <c r="H407" s="2">
        <f t="shared" si="13"/>
        <v>-1.8049600382824754E-2</v>
      </c>
      <c r="I407" s="7">
        <v>-2.5063422739045851E-2</v>
      </c>
      <c r="J407" s="7">
        <v>-1.8049600382824754E-2</v>
      </c>
      <c r="K407" s="7">
        <v>0</v>
      </c>
      <c r="L407" s="7">
        <v>0</v>
      </c>
      <c r="M407" s="7">
        <v>0</v>
      </c>
      <c r="N407" s="7">
        <v>0</v>
      </c>
      <c r="O407" s="7">
        <v>0</v>
      </c>
      <c r="P407" s="7">
        <v>0</v>
      </c>
    </row>
    <row r="408" spans="1:16" x14ac:dyDescent="0.3">
      <c r="A408" s="1">
        <v>44053</v>
      </c>
      <c r="B408" s="2">
        <v>94.571335000000005</v>
      </c>
      <c r="C408" s="2">
        <v>208.25</v>
      </c>
      <c r="F408" s="1">
        <v>44053</v>
      </c>
      <c r="G408" s="2">
        <f t="shared" si="12"/>
        <v>-2.3781465566193632E-2</v>
      </c>
      <c r="H408" s="2">
        <f t="shared" si="13"/>
        <v>-2.0108585241116906E-2</v>
      </c>
      <c r="I408" s="7">
        <v>-2.3781465566193632E-2</v>
      </c>
      <c r="J408" s="7">
        <v>-2.0108585241116906E-2</v>
      </c>
      <c r="K408" s="7">
        <v>0</v>
      </c>
      <c r="L408" s="7">
        <v>0</v>
      </c>
      <c r="M408" s="7">
        <v>0</v>
      </c>
      <c r="N408" s="7">
        <v>0</v>
      </c>
      <c r="O408" s="7">
        <v>0</v>
      </c>
      <c r="P408" s="7">
        <v>0</v>
      </c>
    </row>
    <row r="409" spans="1:16" x14ac:dyDescent="0.3">
      <c r="A409" s="1">
        <v>44054</v>
      </c>
      <c r="B409" s="2">
        <v>91.625998999999993</v>
      </c>
      <c r="C409" s="2">
        <v>203.38</v>
      </c>
      <c r="F409" s="1">
        <v>44054</v>
      </c>
      <c r="G409" s="2">
        <f t="shared" si="12"/>
        <v>-3.163935417005697E-2</v>
      </c>
      <c r="H409" s="2">
        <f t="shared" si="13"/>
        <v>-2.3663130683960681E-2</v>
      </c>
      <c r="I409" s="7">
        <v>-3.163935417005697E-2</v>
      </c>
      <c r="J409" s="7">
        <v>-2.3663130683960681E-2</v>
      </c>
      <c r="K409" s="7">
        <v>0</v>
      </c>
      <c r="L409" s="7">
        <v>0</v>
      </c>
      <c r="M409" s="7">
        <v>0</v>
      </c>
      <c r="N409" s="7">
        <v>0</v>
      </c>
      <c r="O409" s="7">
        <v>0</v>
      </c>
      <c r="P409" s="7">
        <v>0</v>
      </c>
    </row>
    <row r="410" spans="1:16" x14ac:dyDescent="0.3">
      <c r="A410" s="1">
        <v>44055</v>
      </c>
      <c r="B410" s="2">
        <v>103.650665</v>
      </c>
      <c r="C410" s="2">
        <v>209.19</v>
      </c>
      <c r="F410" s="1">
        <v>44055</v>
      </c>
      <c r="G410" s="2">
        <f t="shared" si="12"/>
        <v>0.12331119139852026</v>
      </c>
      <c r="H410" s="2">
        <f t="shared" si="13"/>
        <v>2.816677953803761E-2</v>
      </c>
      <c r="I410" s="7">
        <v>0</v>
      </c>
      <c r="J410" s="7">
        <v>0</v>
      </c>
      <c r="K410" s="7">
        <v>0</v>
      </c>
      <c r="L410" s="7">
        <v>0</v>
      </c>
      <c r="M410" s="7">
        <v>0</v>
      </c>
      <c r="N410" s="7">
        <v>0</v>
      </c>
      <c r="O410" s="7">
        <v>0.12331119139852026</v>
      </c>
      <c r="P410" s="7">
        <v>2.816677953803761E-2</v>
      </c>
    </row>
    <row r="411" spans="1:16" x14ac:dyDescent="0.3">
      <c r="A411" s="1">
        <v>44056</v>
      </c>
      <c r="B411" s="2">
        <v>108.066666</v>
      </c>
      <c r="C411" s="2">
        <v>208.7</v>
      </c>
      <c r="F411" s="1">
        <v>44056</v>
      </c>
      <c r="G411" s="2">
        <f t="shared" si="12"/>
        <v>4.1722059780747743E-2</v>
      </c>
      <c r="H411" s="2">
        <f t="shared" si="13"/>
        <v>-2.3451158178740016E-3</v>
      </c>
      <c r="I411" s="7">
        <v>0</v>
      </c>
      <c r="J411" s="7">
        <v>0</v>
      </c>
      <c r="K411" s="7">
        <v>4.1722059780747743E-2</v>
      </c>
      <c r="L411" s="7">
        <v>-2.3451158178740016E-3</v>
      </c>
      <c r="M411" s="7">
        <v>0</v>
      </c>
      <c r="N411" s="7">
        <v>0</v>
      </c>
      <c r="O411" s="7">
        <v>0</v>
      </c>
      <c r="P411" s="7">
        <v>0</v>
      </c>
    </row>
    <row r="412" spans="1:16" x14ac:dyDescent="0.3">
      <c r="A412" s="1">
        <v>44057</v>
      </c>
      <c r="B412" s="2">
        <v>110.04733299999999</v>
      </c>
      <c r="C412" s="2">
        <v>208.9</v>
      </c>
      <c r="F412" s="1">
        <v>44057</v>
      </c>
      <c r="G412" s="2">
        <f t="shared" si="12"/>
        <v>1.816225877548595E-2</v>
      </c>
      <c r="H412" s="2">
        <f t="shared" si="13"/>
        <v>9.5785447936517771E-4</v>
      </c>
      <c r="I412" s="7">
        <v>0</v>
      </c>
      <c r="J412" s="7">
        <v>0</v>
      </c>
      <c r="K412" s="7">
        <v>0</v>
      </c>
      <c r="L412" s="7">
        <v>0</v>
      </c>
      <c r="M412" s="7">
        <v>0</v>
      </c>
      <c r="N412" s="7">
        <v>0</v>
      </c>
      <c r="O412" s="7">
        <v>1.816225877548595E-2</v>
      </c>
      <c r="P412" s="7">
        <v>9.5785447936517771E-4</v>
      </c>
    </row>
    <row r="413" spans="1:16" x14ac:dyDescent="0.3">
      <c r="A413" s="1">
        <v>44060</v>
      </c>
      <c r="B413" s="2">
        <v>122.37599899999999</v>
      </c>
      <c r="C413" s="2">
        <v>210.28</v>
      </c>
      <c r="F413" s="1">
        <v>44060</v>
      </c>
      <c r="G413" s="2">
        <f t="shared" si="12"/>
        <v>0.10618769100950687</v>
      </c>
      <c r="H413" s="2">
        <f t="shared" si="13"/>
        <v>6.5843073887271956E-3</v>
      </c>
      <c r="I413" s="7">
        <v>0</v>
      </c>
      <c r="J413" s="7">
        <v>0</v>
      </c>
      <c r="K413" s="7">
        <v>0</v>
      </c>
      <c r="L413" s="7">
        <v>0</v>
      </c>
      <c r="M413" s="7">
        <v>0</v>
      </c>
      <c r="N413" s="7">
        <v>0</v>
      </c>
      <c r="O413" s="7">
        <v>0.10618769100950687</v>
      </c>
      <c r="P413" s="7">
        <v>6.5843073887271956E-3</v>
      </c>
    </row>
    <row r="414" spans="1:16" x14ac:dyDescent="0.3">
      <c r="A414" s="1">
        <v>44061</v>
      </c>
      <c r="B414" s="2">
        <v>125.806</v>
      </c>
      <c r="C414" s="2">
        <v>211.49</v>
      </c>
      <c r="F414" s="1">
        <v>44061</v>
      </c>
      <c r="G414" s="2">
        <f t="shared" si="12"/>
        <v>2.7642773633131237E-2</v>
      </c>
      <c r="H414" s="2">
        <f t="shared" si="13"/>
        <v>5.7377400934112812E-3</v>
      </c>
      <c r="I414" s="7">
        <v>0</v>
      </c>
      <c r="J414" s="7">
        <v>0</v>
      </c>
      <c r="K414" s="7">
        <v>0</v>
      </c>
      <c r="L414" s="7">
        <v>0</v>
      </c>
      <c r="M414" s="7">
        <v>0</v>
      </c>
      <c r="N414" s="7">
        <v>0</v>
      </c>
      <c r="O414" s="7">
        <v>2.7642773633131237E-2</v>
      </c>
      <c r="P414" s="7">
        <v>5.7377400934112812E-3</v>
      </c>
    </row>
    <row r="415" spans="1:16" x14ac:dyDescent="0.3">
      <c r="A415" s="1">
        <v>44062</v>
      </c>
      <c r="B415" s="2">
        <v>125.235336</v>
      </c>
      <c r="C415" s="2">
        <v>209.7</v>
      </c>
      <c r="F415" s="1">
        <v>44062</v>
      </c>
      <c r="G415" s="2">
        <f t="shared" si="12"/>
        <v>-4.5463826160416342E-3</v>
      </c>
      <c r="H415" s="2">
        <f t="shared" si="13"/>
        <v>-8.4997781367844218E-3</v>
      </c>
      <c r="I415" s="7">
        <v>-4.5463826160416342E-3</v>
      </c>
      <c r="J415" s="7">
        <v>-8.4997781367844218E-3</v>
      </c>
      <c r="K415" s="7">
        <v>0</v>
      </c>
      <c r="L415" s="7">
        <v>0</v>
      </c>
      <c r="M415" s="7">
        <v>0</v>
      </c>
      <c r="N415" s="7">
        <v>0</v>
      </c>
      <c r="O415" s="7">
        <v>0</v>
      </c>
      <c r="P415" s="7">
        <v>0</v>
      </c>
    </row>
    <row r="416" spans="1:16" x14ac:dyDescent="0.3">
      <c r="A416" s="1">
        <v>44063</v>
      </c>
      <c r="B416" s="2">
        <v>133.45533800000001</v>
      </c>
      <c r="C416" s="2">
        <v>214.58</v>
      </c>
      <c r="F416" s="1">
        <v>44063</v>
      </c>
      <c r="G416" s="2">
        <f t="shared" si="12"/>
        <v>6.3572219784037473E-2</v>
      </c>
      <c r="H416" s="2">
        <f t="shared" si="13"/>
        <v>2.3004691300725917E-2</v>
      </c>
      <c r="I416" s="7">
        <v>0</v>
      </c>
      <c r="J416" s="7">
        <v>0</v>
      </c>
      <c r="K416" s="7">
        <v>0</v>
      </c>
      <c r="L416" s="7">
        <v>0</v>
      </c>
      <c r="M416" s="7">
        <v>0</v>
      </c>
      <c r="N416" s="7">
        <v>0</v>
      </c>
      <c r="O416" s="7">
        <v>6.3572219784037473E-2</v>
      </c>
      <c r="P416" s="7">
        <v>2.3004691300725917E-2</v>
      </c>
    </row>
    <row r="417" spans="1:16" x14ac:dyDescent="0.3">
      <c r="A417" s="1">
        <v>44064</v>
      </c>
      <c r="B417" s="2">
        <v>136.66532900000001</v>
      </c>
      <c r="C417" s="2">
        <v>213.02</v>
      </c>
      <c r="F417" s="1">
        <v>44064</v>
      </c>
      <c r="G417" s="2">
        <f t="shared" si="12"/>
        <v>2.3768208126910512E-2</v>
      </c>
      <c r="H417" s="2">
        <f t="shared" si="13"/>
        <v>-7.2965711935805647E-3</v>
      </c>
      <c r="I417" s="7">
        <v>0</v>
      </c>
      <c r="J417" s="7">
        <v>0</v>
      </c>
      <c r="K417" s="7">
        <v>2.3768208126910512E-2</v>
      </c>
      <c r="L417" s="7">
        <v>-7.2965711935805647E-3</v>
      </c>
      <c r="M417" s="7">
        <v>0</v>
      </c>
      <c r="N417" s="7">
        <v>0</v>
      </c>
      <c r="O417" s="7">
        <v>0</v>
      </c>
      <c r="P417" s="7">
        <v>0</v>
      </c>
    </row>
    <row r="418" spans="1:16" x14ac:dyDescent="0.3">
      <c r="A418" s="1">
        <v>44067</v>
      </c>
      <c r="B418" s="2">
        <v>134.279999</v>
      </c>
      <c r="C418" s="2">
        <v>213.69</v>
      </c>
      <c r="F418" s="1">
        <v>44067</v>
      </c>
      <c r="G418" s="2">
        <f t="shared" si="12"/>
        <v>-1.760791851275623E-2</v>
      </c>
      <c r="H418" s="2">
        <f t="shared" si="13"/>
        <v>3.14030864335241E-3</v>
      </c>
      <c r="I418" s="7">
        <v>0</v>
      </c>
      <c r="J418" s="7">
        <v>0</v>
      </c>
      <c r="K418" s="7">
        <v>0</v>
      </c>
      <c r="L418" s="7">
        <v>0</v>
      </c>
      <c r="M418" s="7">
        <v>-1.760791851275623E-2</v>
      </c>
      <c r="N418" s="7">
        <v>3.14030864335241E-3</v>
      </c>
      <c r="O418" s="7">
        <v>0</v>
      </c>
      <c r="P418" s="7">
        <v>0</v>
      </c>
    </row>
    <row r="419" spans="1:16" x14ac:dyDescent="0.3">
      <c r="A419" s="1">
        <v>44068</v>
      </c>
      <c r="B419" s="2">
        <v>134.88932800000001</v>
      </c>
      <c r="C419" s="2">
        <v>216.47</v>
      </c>
      <c r="F419" s="1">
        <v>44068</v>
      </c>
      <c r="G419" s="2">
        <f t="shared" si="12"/>
        <v>4.527484967417901E-3</v>
      </c>
      <c r="H419" s="2">
        <f t="shared" si="13"/>
        <v>1.2925603053391906E-2</v>
      </c>
      <c r="I419" s="7">
        <v>0</v>
      </c>
      <c r="J419" s="7">
        <v>0</v>
      </c>
      <c r="K419" s="7">
        <v>0</v>
      </c>
      <c r="L419" s="7">
        <v>0</v>
      </c>
      <c r="M419" s="7">
        <v>0</v>
      </c>
      <c r="N419" s="7">
        <v>0</v>
      </c>
      <c r="O419" s="7">
        <v>4.527484967417901E-3</v>
      </c>
      <c r="P419" s="7">
        <v>1.2925603053391906E-2</v>
      </c>
    </row>
    <row r="420" spans="1:16" x14ac:dyDescent="0.3">
      <c r="A420" s="1">
        <v>44069</v>
      </c>
      <c r="B420" s="2">
        <v>143.54466199999999</v>
      </c>
      <c r="C420" s="2">
        <v>221.15</v>
      </c>
      <c r="F420" s="1">
        <v>44069</v>
      </c>
      <c r="G420" s="2">
        <f t="shared" si="12"/>
        <v>6.2191570593943493E-2</v>
      </c>
      <c r="H420" s="2">
        <f t="shared" si="13"/>
        <v>2.1389234602571739E-2</v>
      </c>
      <c r="I420" s="7">
        <v>0</v>
      </c>
      <c r="J420" s="7">
        <v>0</v>
      </c>
      <c r="K420" s="7">
        <v>0</v>
      </c>
      <c r="L420" s="7">
        <v>0</v>
      </c>
      <c r="M420" s="7">
        <v>0</v>
      </c>
      <c r="N420" s="7">
        <v>0</v>
      </c>
      <c r="O420" s="7">
        <v>6.2191570593943493E-2</v>
      </c>
      <c r="P420" s="7">
        <v>2.1389234602571739E-2</v>
      </c>
    </row>
    <row r="421" spans="1:16" x14ac:dyDescent="0.3">
      <c r="A421" s="1">
        <v>44070</v>
      </c>
      <c r="B421" s="2">
        <v>149.25</v>
      </c>
      <c r="C421" s="2">
        <v>226.58</v>
      </c>
      <c r="F421" s="1">
        <v>44070</v>
      </c>
      <c r="G421" s="2">
        <f t="shared" si="12"/>
        <v>3.8976532046641532E-2</v>
      </c>
      <c r="H421" s="2">
        <f t="shared" si="13"/>
        <v>2.4256879131006829E-2</v>
      </c>
      <c r="I421" s="7">
        <v>0</v>
      </c>
      <c r="J421" s="7">
        <v>0</v>
      </c>
      <c r="K421" s="7">
        <v>0</v>
      </c>
      <c r="L421" s="7">
        <v>0</v>
      </c>
      <c r="M421" s="7">
        <v>0</v>
      </c>
      <c r="N421" s="7">
        <v>0</v>
      </c>
      <c r="O421" s="7">
        <v>3.8976532046641532E-2</v>
      </c>
      <c r="P421" s="7">
        <v>2.4256879131006829E-2</v>
      </c>
    </row>
    <row r="422" spans="1:16" x14ac:dyDescent="0.3">
      <c r="A422" s="1">
        <v>44071</v>
      </c>
      <c r="B422" s="2">
        <v>147.55999800000001</v>
      </c>
      <c r="C422" s="2">
        <v>228.91</v>
      </c>
      <c r="F422" s="1">
        <v>44071</v>
      </c>
      <c r="G422" s="2">
        <f t="shared" si="12"/>
        <v>-1.1387893098045275E-2</v>
      </c>
      <c r="H422" s="2">
        <f t="shared" si="13"/>
        <v>1.0230829758571102E-2</v>
      </c>
      <c r="I422" s="7">
        <v>0</v>
      </c>
      <c r="J422" s="7">
        <v>0</v>
      </c>
      <c r="K422" s="7">
        <v>0</v>
      </c>
      <c r="L422" s="7">
        <v>0</v>
      </c>
      <c r="M422" s="7">
        <v>-1.1387893098045275E-2</v>
      </c>
      <c r="N422" s="7">
        <v>1.0230829758571102E-2</v>
      </c>
      <c r="O422" s="7">
        <v>0</v>
      </c>
      <c r="P422" s="7">
        <v>0</v>
      </c>
    </row>
    <row r="423" spans="1:16" x14ac:dyDescent="0.3">
      <c r="A423" s="1">
        <v>44074</v>
      </c>
      <c r="B423" s="2">
        <v>166.106674</v>
      </c>
      <c r="C423" s="2">
        <v>225.53</v>
      </c>
      <c r="F423" s="1">
        <v>44074</v>
      </c>
      <c r="G423" s="2">
        <f t="shared" si="12"/>
        <v>0.11839533725145152</v>
      </c>
      <c r="H423" s="2">
        <f t="shared" si="13"/>
        <v>-1.4875725415896501E-2</v>
      </c>
      <c r="I423" s="7">
        <v>0</v>
      </c>
      <c r="J423" s="7">
        <v>0</v>
      </c>
      <c r="K423" s="7">
        <v>0.11839533725145152</v>
      </c>
      <c r="L423" s="7">
        <v>-1.4875725415896501E-2</v>
      </c>
      <c r="M423" s="7">
        <v>0</v>
      </c>
      <c r="N423" s="7">
        <v>0</v>
      </c>
      <c r="O423" s="7">
        <v>0</v>
      </c>
      <c r="P423" s="7">
        <v>0</v>
      </c>
    </row>
    <row r="424" spans="1:16" x14ac:dyDescent="0.3">
      <c r="A424" s="1">
        <v>44075</v>
      </c>
      <c r="B424" s="2">
        <v>158.35000600000001</v>
      </c>
      <c r="C424" s="2">
        <v>227.27</v>
      </c>
      <c r="F424" s="1">
        <v>44075</v>
      </c>
      <c r="G424" s="2">
        <f t="shared" si="12"/>
        <v>-4.7822385550721373E-2</v>
      </c>
      <c r="H424" s="2">
        <f t="shared" si="13"/>
        <v>7.6855501979038818E-3</v>
      </c>
      <c r="I424" s="7">
        <v>0</v>
      </c>
      <c r="J424" s="7">
        <v>0</v>
      </c>
      <c r="K424" s="7">
        <v>0</v>
      </c>
      <c r="L424" s="7">
        <v>0</v>
      </c>
      <c r="M424" s="7">
        <v>-4.7822385550721373E-2</v>
      </c>
      <c r="N424" s="7">
        <v>7.6855501979038818E-3</v>
      </c>
      <c r="O424" s="7">
        <v>0</v>
      </c>
      <c r="P424" s="7">
        <v>0</v>
      </c>
    </row>
    <row r="425" spans="1:16" x14ac:dyDescent="0.3">
      <c r="A425" s="1">
        <v>44076</v>
      </c>
      <c r="B425" s="2">
        <v>149.12333699999999</v>
      </c>
      <c r="C425" s="2">
        <v>231.65</v>
      </c>
      <c r="F425" s="1">
        <v>44076</v>
      </c>
      <c r="G425" s="2">
        <f t="shared" si="12"/>
        <v>-6.0034082237854308E-2</v>
      </c>
      <c r="H425" s="2">
        <f t="shared" si="13"/>
        <v>1.9088873876736422E-2</v>
      </c>
      <c r="I425" s="7">
        <v>0</v>
      </c>
      <c r="J425" s="7">
        <v>0</v>
      </c>
      <c r="K425" s="7">
        <v>0</v>
      </c>
      <c r="L425" s="7">
        <v>0</v>
      </c>
      <c r="M425" s="7">
        <v>-6.0034082237854308E-2</v>
      </c>
      <c r="N425" s="7">
        <v>1.9088873876736422E-2</v>
      </c>
      <c r="O425" s="7">
        <v>0</v>
      </c>
      <c r="P425" s="7">
        <v>0</v>
      </c>
    </row>
    <row r="426" spans="1:16" x14ac:dyDescent="0.3">
      <c r="A426" s="1">
        <v>44077</v>
      </c>
      <c r="B426" s="2">
        <v>135.66667200000001</v>
      </c>
      <c r="C426" s="2">
        <v>217.3</v>
      </c>
      <c r="F426" s="1">
        <v>44077</v>
      </c>
      <c r="G426" s="2">
        <f t="shared" si="12"/>
        <v>-9.4572792551018331E-2</v>
      </c>
      <c r="H426" s="2">
        <f t="shared" si="13"/>
        <v>-6.3948724600273413E-2</v>
      </c>
      <c r="I426" s="7">
        <v>-9.4572792551018331E-2</v>
      </c>
      <c r="J426" s="7">
        <v>-6.3948724600273413E-2</v>
      </c>
      <c r="K426" s="7">
        <v>0</v>
      </c>
      <c r="L426" s="7">
        <v>0</v>
      </c>
      <c r="M426" s="7">
        <v>0</v>
      </c>
      <c r="N426" s="7">
        <v>0</v>
      </c>
      <c r="O426" s="7">
        <v>0</v>
      </c>
      <c r="P426" s="7">
        <v>0</v>
      </c>
    </row>
    <row r="427" spans="1:16" x14ac:dyDescent="0.3">
      <c r="A427" s="1">
        <v>44078</v>
      </c>
      <c r="B427" s="2">
        <v>139.44000199999999</v>
      </c>
      <c r="C427" s="2">
        <v>214.25</v>
      </c>
      <c r="F427" s="1">
        <v>44078</v>
      </c>
      <c r="G427" s="2">
        <f t="shared" si="12"/>
        <v>2.7433479468328019E-2</v>
      </c>
      <c r="H427" s="2">
        <f t="shared" si="13"/>
        <v>-1.4135329784494841E-2</v>
      </c>
      <c r="I427" s="7">
        <v>0</v>
      </c>
      <c r="J427" s="7">
        <v>0</v>
      </c>
      <c r="K427" s="7">
        <v>2.7433479468328019E-2</v>
      </c>
      <c r="L427" s="7">
        <v>-1.4135329784494841E-2</v>
      </c>
      <c r="M427" s="7">
        <v>0</v>
      </c>
      <c r="N427" s="7">
        <v>0</v>
      </c>
      <c r="O427" s="7">
        <v>0</v>
      </c>
      <c r="P427" s="7">
        <v>0</v>
      </c>
    </row>
    <row r="428" spans="1:16" x14ac:dyDescent="0.3">
      <c r="A428" s="1">
        <v>44082</v>
      </c>
      <c r="B428" s="2">
        <v>110.07</v>
      </c>
      <c r="C428" s="2">
        <v>202.66</v>
      </c>
      <c r="F428" s="1">
        <v>44082</v>
      </c>
      <c r="G428" s="2">
        <f t="shared" si="12"/>
        <v>-0.23651788851955161</v>
      </c>
      <c r="H428" s="2">
        <f t="shared" si="13"/>
        <v>-5.5613859457717678E-2</v>
      </c>
      <c r="I428" s="7">
        <v>-0.23651788851955161</v>
      </c>
      <c r="J428" s="7">
        <v>-5.5613859457717678E-2</v>
      </c>
      <c r="K428" s="7">
        <v>0</v>
      </c>
      <c r="L428" s="7">
        <v>0</v>
      </c>
      <c r="M428" s="7">
        <v>0</v>
      </c>
      <c r="N428" s="7">
        <v>0</v>
      </c>
      <c r="O428" s="7">
        <v>0</v>
      </c>
      <c r="P428" s="7">
        <v>0</v>
      </c>
    </row>
    <row r="429" spans="1:16" x14ac:dyDescent="0.3">
      <c r="A429" s="1">
        <v>44083</v>
      </c>
      <c r="B429" s="2">
        <v>122.09332999999999</v>
      </c>
      <c r="C429" s="2">
        <v>211.29</v>
      </c>
      <c r="F429" s="1">
        <v>44083</v>
      </c>
      <c r="G429" s="2">
        <f t="shared" si="12"/>
        <v>0.10366922523460292</v>
      </c>
      <c r="H429" s="2">
        <f t="shared" si="13"/>
        <v>4.1701899405257085E-2</v>
      </c>
      <c r="I429" s="7">
        <v>0</v>
      </c>
      <c r="J429" s="7">
        <v>0</v>
      </c>
      <c r="K429" s="7">
        <v>0</v>
      </c>
      <c r="L429" s="7">
        <v>0</v>
      </c>
      <c r="M429" s="7">
        <v>0</v>
      </c>
      <c r="N429" s="7">
        <v>0</v>
      </c>
      <c r="O429" s="7">
        <v>0.10366922523460292</v>
      </c>
      <c r="P429" s="7">
        <v>4.1701899405257085E-2</v>
      </c>
    </row>
    <row r="430" spans="1:16" x14ac:dyDescent="0.3">
      <c r="A430" s="1">
        <v>44084</v>
      </c>
      <c r="B430" s="2">
        <v>123.779999</v>
      </c>
      <c r="C430" s="2">
        <v>205.37</v>
      </c>
      <c r="F430" s="1">
        <v>44084</v>
      </c>
      <c r="G430" s="2">
        <f t="shared" si="12"/>
        <v>1.3720035962462535E-2</v>
      </c>
      <c r="H430" s="2">
        <f t="shared" si="13"/>
        <v>-2.8418367073426841E-2</v>
      </c>
      <c r="I430" s="7">
        <v>0</v>
      </c>
      <c r="J430" s="7">
        <v>0</v>
      </c>
      <c r="K430" s="7">
        <v>1.3720035962462535E-2</v>
      </c>
      <c r="L430" s="7">
        <v>-2.8418367073426841E-2</v>
      </c>
      <c r="M430" s="7">
        <v>0</v>
      </c>
      <c r="N430" s="7">
        <v>0</v>
      </c>
      <c r="O430" s="7">
        <v>0</v>
      </c>
      <c r="P430" s="7">
        <v>0</v>
      </c>
    </row>
    <row r="431" spans="1:16" x14ac:dyDescent="0.3">
      <c r="A431" s="1">
        <v>44085</v>
      </c>
      <c r="B431" s="2">
        <v>124.239998</v>
      </c>
      <c r="C431" s="2">
        <v>204.03</v>
      </c>
      <c r="F431" s="1">
        <v>44085</v>
      </c>
      <c r="G431" s="2">
        <f t="shared" si="12"/>
        <v>3.7093745101904733E-3</v>
      </c>
      <c r="H431" s="2">
        <f t="shared" si="13"/>
        <v>-6.5461884963448382E-3</v>
      </c>
      <c r="I431" s="7">
        <v>0</v>
      </c>
      <c r="J431" s="7">
        <v>0</v>
      </c>
      <c r="K431" s="7">
        <v>3.7093745101904733E-3</v>
      </c>
      <c r="L431" s="7">
        <v>-6.5461884963448382E-3</v>
      </c>
      <c r="M431" s="7">
        <v>0</v>
      </c>
      <c r="N431" s="7">
        <v>0</v>
      </c>
      <c r="O431" s="7">
        <v>0</v>
      </c>
      <c r="P431" s="7">
        <v>0</v>
      </c>
    </row>
    <row r="432" spans="1:16" x14ac:dyDescent="0.3">
      <c r="A432" s="1">
        <v>44088</v>
      </c>
      <c r="B432" s="2">
        <v>139.87333699999999</v>
      </c>
      <c r="C432" s="2">
        <v>205.41</v>
      </c>
      <c r="F432" s="1">
        <v>44088</v>
      </c>
      <c r="G432" s="2">
        <f t="shared" si="12"/>
        <v>0.1185221146320819</v>
      </c>
      <c r="H432" s="2">
        <f t="shared" si="13"/>
        <v>6.7409399454240971E-3</v>
      </c>
      <c r="I432" s="7">
        <v>0</v>
      </c>
      <c r="J432" s="7">
        <v>0</v>
      </c>
      <c r="K432" s="7">
        <v>0</v>
      </c>
      <c r="L432" s="7">
        <v>0</v>
      </c>
      <c r="M432" s="7">
        <v>0</v>
      </c>
      <c r="N432" s="7">
        <v>0</v>
      </c>
      <c r="O432" s="7">
        <v>0.1185221146320819</v>
      </c>
      <c r="P432" s="7">
        <v>6.7409399454240971E-3</v>
      </c>
    </row>
    <row r="433" spans="1:16" x14ac:dyDescent="0.3">
      <c r="A433" s="1">
        <v>44089</v>
      </c>
      <c r="B433" s="2">
        <v>149.91999799999999</v>
      </c>
      <c r="C433" s="2">
        <v>208.78</v>
      </c>
      <c r="F433" s="1">
        <v>44089</v>
      </c>
      <c r="G433" s="2">
        <f t="shared" si="12"/>
        <v>6.9364527775025331E-2</v>
      </c>
      <c r="H433" s="2">
        <f t="shared" si="13"/>
        <v>1.6273084179071147E-2</v>
      </c>
      <c r="I433" s="7">
        <v>0</v>
      </c>
      <c r="J433" s="7">
        <v>0</v>
      </c>
      <c r="K433" s="7">
        <v>0</v>
      </c>
      <c r="L433" s="7">
        <v>0</v>
      </c>
      <c r="M433" s="7">
        <v>0</v>
      </c>
      <c r="N433" s="7">
        <v>0</v>
      </c>
      <c r="O433" s="7">
        <v>6.9364527775025331E-2</v>
      </c>
      <c r="P433" s="7">
        <v>1.6273084179071147E-2</v>
      </c>
    </row>
    <row r="434" spans="1:16" x14ac:dyDescent="0.3">
      <c r="A434" s="1">
        <v>44090</v>
      </c>
      <c r="B434" s="2">
        <v>147.25332599999999</v>
      </c>
      <c r="C434" s="2">
        <v>205.05</v>
      </c>
      <c r="F434" s="1">
        <v>44090</v>
      </c>
      <c r="G434" s="2">
        <f t="shared" si="12"/>
        <v>-1.7947395436727267E-2</v>
      </c>
      <c r="H434" s="2">
        <f t="shared" si="13"/>
        <v>-1.8027214142084035E-2</v>
      </c>
      <c r="I434" s="7">
        <v>-1.7947395436727267E-2</v>
      </c>
      <c r="J434" s="7">
        <v>-1.8027214142084035E-2</v>
      </c>
      <c r="K434" s="7">
        <v>0</v>
      </c>
      <c r="L434" s="7">
        <v>0</v>
      </c>
      <c r="M434" s="7">
        <v>0</v>
      </c>
      <c r="N434" s="7">
        <v>0</v>
      </c>
      <c r="O434" s="7">
        <v>0</v>
      </c>
      <c r="P434" s="7">
        <v>0</v>
      </c>
    </row>
    <row r="435" spans="1:16" x14ac:dyDescent="0.3">
      <c r="A435" s="1">
        <v>44091</v>
      </c>
      <c r="B435" s="2">
        <v>141.143326</v>
      </c>
      <c r="C435" s="2">
        <v>202.91</v>
      </c>
      <c r="F435" s="1">
        <v>44091</v>
      </c>
      <c r="G435" s="2">
        <f t="shared" si="12"/>
        <v>-4.2378539163551186E-2</v>
      </c>
      <c r="H435" s="2">
        <f t="shared" si="13"/>
        <v>-1.0491320858535423E-2</v>
      </c>
      <c r="I435" s="7">
        <v>-4.2378539163551186E-2</v>
      </c>
      <c r="J435" s="7">
        <v>-1.0491320858535423E-2</v>
      </c>
      <c r="K435" s="7">
        <v>0</v>
      </c>
      <c r="L435" s="7">
        <v>0</v>
      </c>
      <c r="M435" s="7">
        <v>0</v>
      </c>
      <c r="N435" s="7">
        <v>0</v>
      </c>
      <c r="O435" s="7">
        <v>0</v>
      </c>
      <c r="P435" s="7">
        <v>0</v>
      </c>
    </row>
    <row r="436" spans="1:16" x14ac:dyDescent="0.3">
      <c r="A436" s="1">
        <v>44092</v>
      </c>
      <c r="B436" s="2">
        <v>147.383331</v>
      </c>
      <c r="C436" s="2">
        <v>200.39</v>
      </c>
      <c r="F436" s="1">
        <v>44092</v>
      </c>
      <c r="G436" s="2">
        <f t="shared" si="12"/>
        <v>4.3261015972517587E-2</v>
      </c>
      <c r="H436" s="2">
        <f t="shared" si="13"/>
        <v>-1.2497063213480439E-2</v>
      </c>
      <c r="I436" s="7">
        <v>0</v>
      </c>
      <c r="J436" s="7">
        <v>0</v>
      </c>
      <c r="K436" s="7">
        <v>4.3261015972517587E-2</v>
      </c>
      <c r="L436" s="7">
        <v>-1.2497063213480439E-2</v>
      </c>
      <c r="M436" s="7">
        <v>0</v>
      </c>
      <c r="N436" s="7">
        <v>0</v>
      </c>
      <c r="O436" s="7">
        <v>0</v>
      </c>
      <c r="P436" s="7">
        <v>0</v>
      </c>
    </row>
    <row r="437" spans="1:16" x14ac:dyDescent="0.3">
      <c r="A437" s="1">
        <v>44095</v>
      </c>
      <c r="B437" s="2">
        <v>149.796661</v>
      </c>
      <c r="C437" s="2">
        <v>202.54</v>
      </c>
      <c r="F437" s="1">
        <v>44095</v>
      </c>
      <c r="G437" s="2">
        <f t="shared" si="12"/>
        <v>1.6241894593170568E-2</v>
      </c>
      <c r="H437" s="2">
        <f t="shared" si="13"/>
        <v>1.0671930138086332E-2</v>
      </c>
      <c r="I437" s="7">
        <v>0</v>
      </c>
      <c r="J437" s="7">
        <v>0</v>
      </c>
      <c r="K437" s="7">
        <v>0</v>
      </c>
      <c r="L437" s="7">
        <v>0</v>
      </c>
      <c r="M437" s="7">
        <v>0</v>
      </c>
      <c r="N437" s="7">
        <v>0</v>
      </c>
      <c r="O437" s="7">
        <v>1.6241894593170568E-2</v>
      </c>
      <c r="P437" s="7">
        <v>1.0671930138086332E-2</v>
      </c>
    </row>
    <row r="438" spans="1:16" x14ac:dyDescent="0.3">
      <c r="A438" s="1">
        <v>44096</v>
      </c>
      <c r="B438" s="2">
        <v>141.41000399999999</v>
      </c>
      <c r="C438" s="2">
        <v>207.42</v>
      </c>
      <c r="F438" s="1">
        <v>44096</v>
      </c>
      <c r="G438" s="2">
        <f t="shared" si="12"/>
        <v>-5.7615280508846151E-2</v>
      </c>
      <c r="H438" s="2">
        <f t="shared" si="13"/>
        <v>2.3808325257449203E-2</v>
      </c>
      <c r="I438" s="7">
        <v>0</v>
      </c>
      <c r="J438" s="7">
        <v>0</v>
      </c>
      <c r="K438" s="7">
        <v>0</v>
      </c>
      <c r="L438" s="7">
        <v>0</v>
      </c>
      <c r="M438" s="7">
        <v>-5.7615280508846151E-2</v>
      </c>
      <c r="N438" s="7">
        <v>2.3808325257449203E-2</v>
      </c>
      <c r="O438" s="7">
        <v>0</v>
      </c>
      <c r="P438" s="7">
        <v>0</v>
      </c>
    </row>
    <row r="439" spans="1:16" x14ac:dyDescent="0.3">
      <c r="A439" s="1">
        <v>44097</v>
      </c>
      <c r="B439" s="2">
        <v>126.78666699999999</v>
      </c>
      <c r="C439" s="2">
        <v>200.59</v>
      </c>
      <c r="F439" s="1">
        <v>44097</v>
      </c>
      <c r="G439" s="2">
        <f t="shared" si="12"/>
        <v>-0.10915761397400528</v>
      </c>
      <c r="H439" s="2">
        <f t="shared" si="13"/>
        <v>-3.3482699324981879E-2</v>
      </c>
      <c r="I439" s="7">
        <v>-0.10915761397400528</v>
      </c>
      <c r="J439" s="7">
        <v>-3.3482699324981879E-2</v>
      </c>
      <c r="K439" s="7">
        <v>0</v>
      </c>
      <c r="L439" s="7">
        <v>0</v>
      </c>
      <c r="M439" s="7">
        <v>0</v>
      </c>
      <c r="N439" s="7">
        <v>0</v>
      </c>
      <c r="O439" s="7">
        <v>0</v>
      </c>
      <c r="P439" s="7">
        <v>0</v>
      </c>
    </row>
    <row r="440" spans="1:16" x14ac:dyDescent="0.3">
      <c r="A440" s="1">
        <v>44098</v>
      </c>
      <c r="B440" s="2">
        <v>129.26333600000001</v>
      </c>
      <c r="C440" s="2">
        <v>203.19</v>
      </c>
      <c r="F440" s="1">
        <v>44098</v>
      </c>
      <c r="G440" s="2">
        <f t="shared" si="12"/>
        <v>1.9345801317584347E-2</v>
      </c>
      <c r="H440" s="2">
        <f t="shared" si="13"/>
        <v>1.2878478058315712E-2</v>
      </c>
      <c r="I440" s="7">
        <v>0</v>
      </c>
      <c r="J440" s="7">
        <v>0</v>
      </c>
      <c r="K440" s="7">
        <v>0</v>
      </c>
      <c r="L440" s="7">
        <v>0</v>
      </c>
      <c r="M440" s="7">
        <v>0</v>
      </c>
      <c r="N440" s="7">
        <v>0</v>
      </c>
      <c r="O440" s="7">
        <v>1.9345801317584347E-2</v>
      </c>
      <c r="P440" s="7">
        <v>1.2878478058315712E-2</v>
      </c>
    </row>
    <row r="441" spans="1:16" x14ac:dyDescent="0.3">
      <c r="A441" s="1">
        <v>44099</v>
      </c>
      <c r="B441" s="2">
        <v>135.779999</v>
      </c>
      <c r="C441" s="2">
        <v>207.82</v>
      </c>
      <c r="F441" s="1">
        <v>44099</v>
      </c>
      <c r="G441" s="2">
        <f t="shared" si="12"/>
        <v>4.9184233558839711E-2</v>
      </c>
      <c r="H441" s="2">
        <f t="shared" si="13"/>
        <v>2.253081852957867E-2</v>
      </c>
      <c r="I441" s="7">
        <v>0</v>
      </c>
      <c r="J441" s="7">
        <v>0</v>
      </c>
      <c r="K441" s="7">
        <v>0</v>
      </c>
      <c r="L441" s="7">
        <v>0</v>
      </c>
      <c r="M441" s="7">
        <v>0</v>
      </c>
      <c r="N441" s="7">
        <v>0</v>
      </c>
      <c r="O441" s="7">
        <v>4.9184233558839711E-2</v>
      </c>
      <c r="P441" s="7">
        <v>2.253081852957867E-2</v>
      </c>
    </row>
    <row r="442" spans="1:16" x14ac:dyDescent="0.3">
      <c r="A442" s="1">
        <v>44102</v>
      </c>
      <c r="B442" s="2">
        <v>140.39999399999999</v>
      </c>
      <c r="C442" s="2">
        <v>209.44</v>
      </c>
      <c r="F442" s="1">
        <v>44102</v>
      </c>
      <c r="G442" s="2">
        <f t="shared" si="12"/>
        <v>3.3459527348020983E-2</v>
      </c>
      <c r="H442" s="2">
        <f t="shared" si="13"/>
        <v>7.7649817370891534E-3</v>
      </c>
      <c r="I442" s="7">
        <v>0</v>
      </c>
      <c r="J442" s="7">
        <v>0</v>
      </c>
      <c r="K442" s="7">
        <v>0</v>
      </c>
      <c r="L442" s="7">
        <v>0</v>
      </c>
      <c r="M442" s="7">
        <v>0</v>
      </c>
      <c r="N442" s="7">
        <v>0</v>
      </c>
      <c r="O442" s="7">
        <v>3.3459527348020983E-2</v>
      </c>
      <c r="P442" s="7">
        <v>7.7649817370891534E-3</v>
      </c>
    </row>
    <row r="443" spans="1:16" x14ac:dyDescent="0.3">
      <c r="A443" s="1">
        <v>44103</v>
      </c>
      <c r="B443" s="2">
        <v>139.69000199999999</v>
      </c>
      <c r="C443" s="2">
        <v>207.26</v>
      </c>
      <c r="F443" s="1">
        <v>44103</v>
      </c>
      <c r="G443" s="2">
        <f t="shared" si="12"/>
        <v>-5.0697527997904902E-3</v>
      </c>
      <c r="H443" s="2">
        <f t="shared" si="13"/>
        <v>-1.0463258405518473E-2</v>
      </c>
      <c r="I443" s="7">
        <v>-5.0697527997904902E-3</v>
      </c>
      <c r="J443" s="7">
        <v>-1.0463258405518473E-2</v>
      </c>
      <c r="K443" s="7">
        <v>0</v>
      </c>
      <c r="L443" s="7">
        <v>0</v>
      </c>
      <c r="M443" s="7">
        <v>0</v>
      </c>
      <c r="N443" s="7">
        <v>0</v>
      </c>
      <c r="O443" s="7">
        <v>0</v>
      </c>
      <c r="P443" s="7">
        <v>0</v>
      </c>
    </row>
    <row r="444" spans="1:16" x14ac:dyDescent="0.3">
      <c r="A444" s="1">
        <v>44104</v>
      </c>
      <c r="B444" s="2">
        <v>143.00332599999999</v>
      </c>
      <c r="C444" s="2">
        <v>210.33</v>
      </c>
      <c r="F444" s="1">
        <v>44104</v>
      </c>
      <c r="G444" s="2">
        <f t="shared" si="12"/>
        <v>2.3442192673809176E-2</v>
      </c>
      <c r="H444" s="2">
        <f t="shared" si="13"/>
        <v>1.4703682130914639E-2</v>
      </c>
      <c r="I444" s="7">
        <v>0</v>
      </c>
      <c r="J444" s="7">
        <v>0</v>
      </c>
      <c r="K444" s="7">
        <v>0</v>
      </c>
      <c r="L444" s="7">
        <v>0</v>
      </c>
      <c r="M444" s="7">
        <v>0</v>
      </c>
      <c r="N444" s="7">
        <v>0</v>
      </c>
      <c r="O444" s="7">
        <v>2.3442192673809176E-2</v>
      </c>
      <c r="P444" s="7">
        <v>1.4703682130914639E-2</v>
      </c>
    </row>
    <row r="445" spans="1:16" x14ac:dyDescent="0.3">
      <c r="A445" s="1">
        <v>44105</v>
      </c>
      <c r="B445" s="2">
        <v>149.386673</v>
      </c>
      <c r="C445" s="2">
        <v>212.46</v>
      </c>
      <c r="F445" s="1">
        <v>44105</v>
      </c>
      <c r="G445" s="2">
        <f t="shared" si="12"/>
        <v>4.3670176508575229E-2</v>
      </c>
      <c r="H445" s="2">
        <f t="shared" si="13"/>
        <v>1.0076009464881375E-2</v>
      </c>
      <c r="I445" s="7">
        <v>0</v>
      </c>
      <c r="J445" s="7">
        <v>0</v>
      </c>
      <c r="K445" s="7">
        <v>0</v>
      </c>
      <c r="L445" s="7">
        <v>0</v>
      </c>
      <c r="M445" s="7">
        <v>0</v>
      </c>
      <c r="N445" s="7">
        <v>0</v>
      </c>
      <c r="O445" s="7">
        <v>4.3670176508575229E-2</v>
      </c>
      <c r="P445" s="7">
        <v>1.0076009464881375E-2</v>
      </c>
    </row>
    <row r="446" spans="1:16" x14ac:dyDescent="0.3">
      <c r="A446" s="1">
        <v>44106</v>
      </c>
      <c r="B446" s="2">
        <v>138.363327</v>
      </c>
      <c r="C446" s="2">
        <v>206.19</v>
      </c>
      <c r="F446" s="1">
        <v>44106</v>
      </c>
      <c r="G446" s="2">
        <f t="shared" si="12"/>
        <v>-7.665503549234999E-2</v>
      </c>
      <c r="H446" s="2">
        <f t="shared" si="13"/>
        <v>-2.9955661550243845E-2</v>
      </c>
      <c r="I446" s="7">
        <v>-7.665503549234999E-2</v>
      </c>
      <c r="J446" s="7">
        <v>-2.9955661550243845E-2</v>
      </c>
      <c r="K446" s="7">
        <v>0</v>
      </c>
      <c r="L446" s="7">
        <v>0</v>
      </c>
      <c r="M446" s="7">
        <v>0</v>
      </c>
      <c r="N446" s="7">
        <v>0</v>
      </c>
      <c r="O446" s="7">
        <v>0</v>
      </c>
      <c r="P446" s="7">
        <v>0</v>
      </c>
    </row>
    <row r="447" spans="1:16" x14ac:dyDescent="0.3">
      <c r="A447" s="1">
        <v>44109</v>
      </c>
      <c r="B447" s="2">
        <v>141.893326</v>
      </c>
      <c r="C447" s="2">
        <v>210.38</v>
      </c>
      <c r="F447" s="1">
        <v>44109</v>
      </c>
      <c r="G447" s="2">
        <f t="shared" si="12"/>
        <v>2.5192520191077272E-2</v>
      </c>
      <c r="H447" s="2">
        <f t="shared" si="13"/>
        <v>2.0117345509504433E-2</v>
      </c>
      <c r="I447" s="7">
        <v>0</v>
      </c>
      <c r="J447" s="7">
        <v>0</v>
      </c>
      <c r="K447" s="7">
        <v>0</v>
      </c>
      <c r="L447" s="7">
        <v>0</v>
      </c>
      <c r="M447" s="7">
        <v>0</v>
      </c>
      <c r="N447" s="7">
        <v>0</v>
      </c>
      <c r="O447" s="7">
        <v>2.5192520191077272E-2</v>
      </c>
      <c r="P447" s="7">
        <v>2.0117345509504433E-2</v>
      </c>
    </row>
    <row r="448" spans="1:16" x14ac:dyDescent="0.3">
      <c r="A448" s="1">
        <v>44110</v>
      </c>
      <c r="B448" s="2">
        <v>137.99333200000001</v>
      </c>
      <c r="C448" s="2">
        <v>205.91</v>
      </c>
      <c r="F448" s="1">
        <v>44110</v>
      </c>
      <c r="G448" s="2">
        <f t="shared" si="12"/>
        <v>-2.7870184788755924E-2</v>
      </c>
      <c r="H448" s="2">
        <f t="shared" si="13"/>
        <v>-2.1476239191072818E-2</v>
      </c>
      <c r="I448" s="7">
        <v>-2.7870184788755924E-2</v>
      </c>
      <c r="J448" s="7">
        <v>-2.1476239191072818E-2</v>
      </c>
      <c r="K448" s="7">
        <v>0</v>
      </c>
      <c r="L448" s="7">
        <v>0</v>
      </c>
      <c r="M448" s="7">
        <v>0</v>
      </c>
      <c r="N448" s="7">
        <v>0</v>
      </c>
      <c r="O448" s="7">
        <v>0</v>
      </c>
      <c r="P448" s="7">
        <v>0</v>
      </c>
    </row>
    <row r="449" spans="1:16" x14ac:dyDescent="0.3">
      <c r="A449" s="1">
        <v>44111</v>
      </c>
      <c r="B449" s="2">
        <v>141.76666299999999</v>
      </c>
      <c r="C449" s="2">
        <v>209.83</v>
      </c>
      <c r="F449" s="1">
        <v>44111</v>
      </c>
      <c r="G449" s="2">
        <f t="shared" si="12"/>
        <v>2.697712257814959E-2</v>
      </c>
      <c r="H449" s="2">
        <f t="shared" si="13"/>
        <v>1.8858498946548348E-2</v>
      </c>
      <c r="I449" s="7">
        <v>0</v>
      </c>
      <c r="J449" s="7">
        <v>0</v>
      </c>
      <c r="K449" s="7">
        <v>0</v>
      </c>
      <c r="L449" s="7">
        <v>0</v>
      </c>
      <c r="M449" s="7">
        <v>0</v>
      </c>
      <c r="N449" s="7">
        <v>0</v>
      </c>
      <c r="O449" s="7">
        <v>2.697712257814959E-2</v>
      </c>
      <c r="P449" s="7">
        <v>1.8858498946548348E-2</v>
      </c>
    </row>
    <row r="450" spans="1:16" x14ac:dyDescent="0.3">
      <c r="A450" s="1">
        <v>44112</v>
      </c>
      <c r="B450" s="2">
        <v>141.97332800000001</v>
      </c>
      <c r="C450" s="2">
        <v>210.58</v>
      </c>
      <c r="F450" s="1">
        <v>44112</v>
      </c>
      <c r="G450" s="2">
        <f t="shared" si="12"/>
        <v>1.4567212455146065E-3</v>
      </c>
      <c r="H450" s="2">
        <f t="shared" si="13"/>
        <v>3.5679493620096731E-3</v>
      </c>
      <c r="I450" s="7">
        <v>0</v>
      </c>
      <c r="J450" s="7">
        <v>0</v>
      </c>
      <c r="K450" s="7">
        <v>0</v>
      </c>
      <c r="L450" s="7">
        <v>0</v>
      </c>
      <c r="M450" s="7">
        <v>0</v>
      </c>
      <c r="N450" s="7">
        <v>0</v>
      </c>
      <c r="O450" s="7">
        <v>1.4567212455146065E-3</v>
      </c>
      <c r="P450" s="7">
        <v>3.5679493620096731E-3</v>
      </c>
    </row>
    <row r="451" spans="1:16" x14ac:dyDescent="0.3">
      <c r="A451" s="1">
        <v>44113</v>
      </c>
      <c r="B451" s="2">
        <v>144.66667200000001</v>
      </c>
      <c r="C451" s="2">
        <v>215.81</v>
      </c>
      <c r="F451" s="1">
        <v>44113</v>
      </c>
      <c r="G451" s="2">
        <f t="shared" si="12"/>
        <v>1.8793073325757564E-2</v>
      </c>
      <c r="H451" s="2">
        <f t="shared" si="13"/>
        <v>2.4532762524758965E-2</v>
      </c>
      <c r="I451" s="7">
        <v>0</v>
      </c>
      <c r="J451" s="7">
        <v>0</v>
      </c>
      <c r="K451" s="7">
        <v>0</v>
      </c>
      <c r="L451" s="7">
        <v>0</v>
      </c>
      <c r="M451" s="7">
        <v>0</v>
      </c>
      <c r="N451" s="7">
        <v>0</v>
      </c>
      <c r="O451" s="7">
        <v>1.8793073325757564E-2</v>
      </c>
      <c r="P451" s="7">
        <v>2.4532762524758965E-2</v>
      </c>
    </row>
    <row r="452" spans="1:16" x14ac:dyDescent="0.3">
      <c r="A452" s="1">
        <v>44116</v>
      </c>
      <c r="B452" s="2">
        <v>147.433334</v>
      </c>
      <c r="C452" s="2">
        <v>221.4</v>
      </c>
      <c r="F452" s="1">
        <v>44116</v>
      </c>
      <c r="G452" s="2">
        <f t="shared" si="12"/>
        <v>1.8943818429335256E-2</v>
      </c>
      <c r="H452" s="2">
        <f t="shared" si="13"/>
        <v>2.5572629321164317E-2</v>
      </c>
      <c r="I452" s="7">
        <v>0</v>
      </c>
      <c r="J452" s="7">
        <v>0</v>
      </c>
      <c r="K452" s="7">
        <v>0</v>
      </c>
      <c r="L452" s="7">
        <v>0</v>
      </c>
      <c r="M452" s="7">
        <v>0</v>
      </c>
      <c r="N452" s="7">
        <v>0</v>
      </c>
      <c r="O452" s="7">
        <v>1.8943818429335256E-2</v>
      </c>
      <c r="P452" s="7">
        <v>2.5572629321164317E-2</v>
      </c>
    </row>
    <row r="453" spans="1:16" x14ac:dyDescent="0.3">
      <c r="A453" s="1">
        <v>44117</v>
      </c>
      <c r="B453" s="2">
        <v>148.883331</v>
      </c>
      <c r="C453" s="2">
        <v>222.86</v>
      </c>
      <c r="F453" s="1">
        <v>44117</v>
      </c>
      <c r="G453" s="2">
        <f t="shared" si="12"/>
        <v>9.7868850795224324E-3</v>
      </c>
      <c r="H453" s="2">
        <f t="shared" si="13"/>
        <v>6.5727513443713352E-3</v>
      </c>
      <c r="I453" s="7">
        <v>0</v>
      </c>
      <c r="J453" s="7">
        <v>0</v>
      </c>
      <c r="K453" s="7">
        <v>0</v>
      </c>
      <c r="L453" s="7">
        <v>0</v>
      </c>
      <c r="M453" s="7">
        <v>0</v>
      </c>
      <c r="N453" s="7">
        <v>0</v>
      </c>
      <c r="O453" s="7">
        <v>9.7868850795224324E-3</v>
      </c>
      <c r="P453" s="7">
        <v>6.5727513443713352E-3</v>
      </c>
    </row>
    <row r="454" spans="1:16" x14ac:dyDescent="0.3">
      <c r="A454" s="1">
        <v>44118</v>
      </c>
      <c r="B454" s="2">
        <v>153.76666299999999</v>
      </c>
      <c r="C454" s="2">
        <v>220.86</v>
      </c>
      <c r="F454" s="1">
        <v>44118</v>
      </c>
      <c r="G454" s="2">
        <f t="shared" ref="G454:G517" si="14">LN(B454/B453)</f>
        <v>3.2273292242499606E-2</v>
      </c>
      <c r="H454" s="2">
        <f t="shared" ref="H454:H517" si="15">LN(C454/C453)</f>
        <v>-9.0147549999230799E-3</v>
      </c>
      <c r="I454" s="7">
        <v>0</v>
      </c>
      <c r="J454" s="7">
        <v>0</v>
      </c>
      <c r="K454" s="7">
        <v>3.2273292242499606E-2</v>
      </c>
      <c r="L454" s="7">
        <v>-9.0147549999230799E-3</v>
      </c>
      <c r="M454" s="7">
        <v>0</v>
      </c>
      <c r="N454" s="7">
        <v>0</v>
      </c>
      <c r="O454" s="7">
        <v>0</v>
      </c>
      <c r="P454" s="7">
        <v>0</v>
      </c>
    </row>
    <row r="455" spans="1:16" x14ac:dyDescent="0.3">
      <c r="A455" s="1">
        <v>44119</v>
      </c>
      <c r="B455" s="2">
        <v>149.62666300000001</v>
      </c>
      <c r="C455" s="2">
        <v>219.66</v>
      </c>
      <c r="F455" s="1">
        <v>44119</v>
      </c>
      <c r="G455" s="2">
        <f t="shared" si="14"/>
        <v>-2.7292999780840394E-2</v>
      </c>
      <c r="H455" s="2">
        <f t="shared" si="15"/>
        <v>-5.4481202587850219E-3</v>
      </c>
      <c r="I455" s="7">
        <v>-2.7292999780840394E-2</v>
      </c>
      <c r="J455" s="7">
        <v>-5.4481202587850219E-3</v>
      </c>
      <c r="K455" s="7">
        <v>0</v>
      </c>
      <c r="L455" s="7">
        <v>0</v>
      </c>
      <c r="M455" s="7">
        <v>0</v>
      </c>
      <c r="N455" s="7">
        <v>0</v>
      </c>
      <c r="O455" s="7">
        <v>0</v>
      </c>
      <c r="P455" s="7">
        <v>0</v>
      </c>
    </row>
    <row r="456" spans="1:16" x14ac:dyDescent="0.3">
      <c r="A456" s="1">
        <v>44120</v>
      </c>
      <c r="B456" s="2">
        <v>146.55667099999999</v>
      </c>
      <c r="C456" s="2">
        <v>219.66</v>
      </c>
      <c r="F456" s="1">
        <v>44120</v>
      </c>
      <c r="G456" s="2">
        <f t="shared" si="14"/>
        <v>-2.0731091848048021E-2</v>
      </c>
      <c r="H456" s="2">
        <f t="shared" si="15"/>
        <v>0</v>
      </c>
      <c r="I456" s="7">
        <v>-2.0731091848048021E-2</v>
      </c>
      <c r="J456" s="7">
        <v>0</v>
      </c>
      <c r="K456" s="7">
        <v>0</v>
      </c>
      <c r="L456" s="7">
        <v>0</v>
      </c>
      <c r="M456" s="7">
        <v>-2.0731091848048021E-2</v>
      </c>
      <c r="N456" s="7">
        <v>0</v>
      </c>
      <c r="O456" s="7">
        <v>0</v>
      </c>
      <c r="P456" s="7">
        <v>0</v>
      </c>
    </row>
    <row r="457" spans="1:16" x14ac:dyDescent="0.3">
      <c r="A457" s="1">
        <v>44123</v>
      </c>
      <c r="B457" s="2">
        <v>143.61000100000001</v>
      </c>
      <c r="C457" s="2">
        <v>214.22</v>
      </c>
      <c r="F457" s="1">
        <v>44123</v>
      </c>
      <c r="G457" s="2">
        <f t="shared" si="14"/>
        <v>-2.0310887385292034E-2</v>
      </c>
      <c r="H457" s="2">
        <f t="shared" si="15"/>
        <v>-2.5077372023716262E-2</v>
      </c>
      <c r="I457" s="7">
        <v>-2.0310887385292034E-2</v>
      </c>
      <c r="J457" s="7">
        <v>-2.5077372023716262E-2</v>
      </c>
      <c r="K457" s="7">
        <v>0</v>
      </c>
      <c r="L457" s="7">
        <v>0</v>
      </c>
      <c r="M457" s="7">
        <v>0</v>
      </c>
      <c r="N457" s="7">
        <v>0</v>
      </c>
      <c r="O457" s="7">
        <v>0</v>
      </c>
      <c r="P457" s="7">
        <v>0</v>
      </c>
    </row>
    <row r="458" spans="1:16" x14ac:dyDescent="0.3">
      <c r="A458" s="1">
        <v>44124</v>
      </c>
      <c r="B458" s="2">
        <v>140.64666700000001</v>
      </c>
      <c r="C458" s="2">
        <v>214.65</v>
      </c>
      <c r="F458" s="1">
        <v>44124</v>
      </c>
      <c r="G458" s="2">
        <f t="shared" si="14"/>
        <v>-2.0850461501258029E-2</v>
      </c>
      <c r="H458" s="2">
        <f t="shared" si="15"/>
        <v>2.0052703340860448E-3</v>
      </c>
      <c r="I458" s="7">
        <v>0</v>
      </c>
      <c r="J458" s="7">
        <v>0</v>
      </c>
      <c r="K458" s="7">
        <v>0</v>
      </c>
      <c r="L458" s="7">
        <v>0</v>
      </c>
      <c r="M458" s="7">
        <v>-2.0850461501258029E-2</v>
      </c>
      <c r="N458" s="7">
        <v>2.0052703340860448E-3</v>
      </c>
      <c r="O458" s="7">
        <v>0</v>
      </c>
      <c r="P458" s="7">
        <v>0</v>
      </c>
    </row>
    <row r="459" spans="1:16" x14ac:dyDescent="0.3">
      <c r="A459" s="1">
        <v>44125</v>
      </c>
      <c r="B459" s="2">
        <v>140.88000500000001</v>
      </c>
      <c r="C459" s="2">
        <v>214.8</v>
      </c>
      <c r="F459" s="1">
        <v>44125</v>
      </c>
      <c r="G459" s="2">
        <f t="shared" si="14"/>
        <v>1.6576621445754365E-3</v>
      </c>
      <c r="H459" s="2">
        <f t="shared" si="15"/>
        <v>6.9856796414006529E-4</v>
      </c>
      <c r="I459" s="7">
        <v>0</v>
      </c>
      <c r="J459" s="7">
        <v>0</v>
      </c>
      <c r="K459" s="7">
        <v>0</v>
      </c>
      <c r="L459" s="7">
        <v>0</v>
      </c>
      <c r="M459" s="7">
        <v>0</v>
      </c>
      <c r="N459" s="7">
        <v>0</v>
      </c>
      <c r="O459" s="7">
        <v>1.6576621445754365E-3</v>
      </c>
      <c r="P459" s="7">
        <v>6.9856796414006529E-4</v>
      </c>
    </row>
    <row r="460" spans="1:16" x14ac:dyDescent="0.3">
      <c r="A460" s="1">
        <v>44126</v>
      </c>
      <c r="B460" s="2">
        <v>141.929993</v>
      </c>
      <c r="C460" s="2">
        <v>214.89</v>
      </c>
      <c r="F460" s="1">
        <v>44126</v>
      </c>
      <c r="G460" s="2">
        <f t="shared" si="14"/>
        <v>7.4254293119295533E-3</v>
      </c>
      <c r="H460" s="2">
        <f t="shared" si="15"/>
        <v>4.1890665975975039E-4</v>
      </c>
      <c r="I460" s="7">
        <v>0</v>
      </c>
      <c r="J460" s="7">
        <v>0</v>
      </c>
      <c r="K460" s="7">
        <v>0</v>
      </c>
      <c r="L460" s="7">
        <v>0</v>
      </c>
      <c r="M460" s="7">
        <v>0</v>
      </c>
      <c r="N460" s="7">
        <v>0</v>
      </c>
      <c r="O460" s="7">
        <v>7.4254293119295533E-3</v>
      </c>
      <c r="P460" s="7">
        <v>4.1890665975975039E-4</v>
      </c>
    </row>
    <row r="461" spans="1:16" x14ac:dyDescent="0.3">
      <c r="A461" s="1">
        <v>44127</v>
      </c>
      <c r="B461" s="2">
        <v>140.21000699999999</v>
      </c>
      <c r="C461" s="2">
        <v>216.23</v>
      </c>
      <c r="F461" s="1">
        <v>44127</v>
      </c>
      <c r="G461" s="2">
        <f t="shared" si="14"/>
        <v>-1.2192580332926615E-2</v>
      </c>
      <c r="H461" s="2">
        <f t="shared" si="15"/>
        <v>6.2163866913341852E-3</v>
      </c>
      <c r="I461" s="7">
        <v>0</v>
      </c>
      <c r="J461" s="7">
        <v>0</v>
      </c>
      <c r="K461" s="7">
        <v>0</v>
      </c>
      <c r="L461" s="7">
        <v>0</v>
      </c>
      <c r="M461" s="7">
        <v>-1.2192580332926615E-2</v>
      </c>
      <c r="N461" s="7">
        <v>6.2163866913341852E-3</v>
      </c>
      <c r="O461" s="7">
        <v>0</v>
      </c>
      <c r="P461" s="7">
        <v>0</v>
      </c>
    </row>
    <row r="462" spans="1:16" x14ac:dyDescent="0.3">
      <c r="A462" s="1">
        <v>44130</v>
      </c>
      <c r="B462" s="2">
        <v>140.09333799999999</v>
      </c>
      <c r="C462" s="2">
        <v>210.08</v>
      </c>
      <c r="F462" s="1">
        <v>44130</v>
      </c>
      <c r="G462" s="2">
        <f t="shared" si="14"/>
        <v>-8.3244819456109603E-4</v>
      </c>
      <c r="H462" s="2">
        <f t="shared" si="15"/>
        <v>-2.8854245431317455E-2</v>
      </c>
      <c r="I462" s="7">
        <v>-8.3244819456109603E-4</v>
      </c>
      <c r="J462" s="7">
        <v>-2.8854245431317455E-2</v>
      </c>
      <c r="K462" s="7">
        <v>0</v>
      </c>
      <c r="L462" s="7">
        <v>0</v>
      </c>
      <c r="M462" s="7">
        <v>0</v>
      </c>
      <c r="N462" s="7">
        <v>0</v>
      </c>
      <c r="O462" s="7">
        <v>0</v>
      </c>
      <c r="P462" s="7">
        <v>0</v>
      </c>
    </row>
    <row r="463" spans="1:16" x14ac:dyDescent="0.3">
      <c r="A463" s="1">
        <v>44131</v>
      </c>
      <c r="B463" s="2">
        <v>141.55999800000001</v>
      </c>
      <c r="C463" s="2">
        <v>213.25</v>
      </c>
      <c r="F463" s="1">
        <v>44131</v>
      </c>
      <c r="G463" s="2">
        <f t="shared" si="14"/>
        <v>1.0414740885387738E-2</v>
      </c>
      <c r="H463" s="2">
        <f t="shared" si="15"/>
        <v>1.4976775817302418E-2</v>
      </c>
      <c r="I463" s="7">
        <v>0</v>
      </c>
      <c r="J463" s="7">
        <v>0</v>
      </c>
      <c r="K463" s="7">
        <v>0</v>
      </c>
      <c r="L463" s="7">
        <v>0</v>
      </c>
      <c r="M463" s="7">
        <v>0</v>
      </c>
      <c r="N463" s="7">
        <v>0</v>
      </c>
      <c r="O463" s="7">
        <v>1.0414740885387738E-2</v>
      </c>
      <c r="P463" s="7">
        <v>1.4976775817302418E-2</v>
      </c>
    </row>
    <row r="464" spans="1:16" x14ac:dyDescent="0.3">
      <c r="A464" s="1">
        <v>44132</v>
      </c>
      <c r="B464" s="2">
        <v>135.33999600000001</v>
      </c>
      <c r="C464" s="2">
        <v>202.68</v>
      </c>
      <c r="F464" s="1">
        <v>44132</v>
      </c>
      <c r="G464" s="2">
        <f t="shared" si="14"/>
        <v>-4.4933540100092921E-2</v>
      </c>
      <c r="H464" s="2">
        <f t="shared" si="15"/>
        <v>-5.0836805764079472E-2</v>
      </c>
      <c r="I464" s="7">
        <v>-4.4933540100092921E-2</v>
      </c>
      <c r="J464" s="7">
        <v>-5.0836805764079472E-2</v>
      </c>
      <c r="K464" s="7">
        <v>0</v>
      </c>
      <c r="L464" s="7">
        <v>0</v>
      </c>
      <c r="M464" s="7">
        <v>0</v>
      </c>
      <c r="N464" s="7">
        <v>0</v>
      </c>
      <c r="O464" s="7">
        <v>0</v>
      </c>
      <c r="P464" s="7">
        <v>0</v>
      </c>
    </row>
    <row r="465" spans="1:16" x14ac:dyDescent="0.3">
      <c r="A465" s="1">
        <v>44133</v>
      </c>
      <c r="B465" s="2">
        <v>136.94332900000001</v>
      </c>
      <c r="C465" s="2">
        <v>204.72</v>
      </c>
      <c r="F465" s="1">
        <v>44133</v>
      </c>
      <c r="G465" s="2">
        <f t="shared" si="14"/>
        <v>1.1777082065302697E-2</v>
      </c>
      <c r="H465" s="2">
        <f t="shared" si="15"/>
        <v>1.0014811243824301E-2</v>
      </c>
      <c r="I465" s="7">
        <v>0</v>
      </c>
      <c r="J465" s="7">
        <v>0</v>
      </c>
      <c r="K465" s="7">
        <v>0</v>
      </c>
      <c r="L465" s="7">
        <v>0</v>
      </c>
      <c r="M465" s="7">
        <v>0</v>
      </c>
      <c r="N465" s="7">
        <v>0</v>
      </c>
      <c r="O465" s="7">
        <v>1.1777082065302697E-2</v>
      </c>
      <c r="P465" s="7">
        <v>1.0014811243824301E-2</v>
      </c>
    </row>
    <row r="466" spans="1:16" x14ac:dyDescent="0.3">
      <c r="A466" s="1">
        <v>44134</v>
      </c>
      <c r="B466" s="2">
        <v>129.346664</v>
      </c>
      <c r="C466" s="2">
        <v>202.47</v>
      </c>
      <c r="F466" s="1">
        <v>44134</v>
      </c>
      <c r="G466" s="2">
        <f t="shared" si="14"/>
        <v>-5.7071065505645911E-2</v>
      </c>
      <c r="H466" s="2">
        <f t="shared" si="15"/>
        <v>-1.1051464428108559E-2</v>
      </c>
      <c r="I466" s="7">
        <v>-5.7071065505645911E-2</v>
      </c>
      <c r="J466" s="7">
        <v>-1.1051464428108559E-2</v>
      </c>
      <c r="K466" s="7">
        <v>0</v>
      </c>
      <c r="L466" s="7">
        <v>0</v>
      </c>
      <c r="M466" s="7">
        <v>0</v>
      </c>
      <c r="N466" s="7">
        <v>0</v>
      </c>
      <c r="O466" s="7">
        <v>0</v>
      </c>
      <c r="P466" s="7">
        <v>0</v>
      </c>
    </row>
    <row r="467" spans="1:16" x14ac:dyDescent="0.3">
      <c r="A467" s="1">
        <v>44137</v>
      </c>
      <c r="B467" s="2">
        <v>133.50332599999999</v>
      </c>
      <c r="C467" s="2">
        <v>202.33</v>
      </c>
      <c r="F467" s="1">
        <v>44137</v>
      </c>
      <c r="G467" s="2">
        <f t="shared" si="14"/>
        <v>3.1630273579095425E-2</v>
      </c>
      <c r="H467" s="2">
        <f t="shared" si="15"/>
        <v>-6.9169963232151139E-4</v>
      </c>
      <c r="I467" s="7">
        <v>0</v>
      </c>
      <c r="J467" s="7">
        <v>0</v>
      </c>
      <c r="K467" s="7">
        <v>3.1630273579095425E-2</v>
      </c>
      <c r="L467" s="7">
        <v>-6.9169963232151139E-4</v>
      </c>
      <c r="M467" s="7">
        <v>0</v>
      </c>
      <c r="N467" s="7">
        <v>0</v>
      </c>
      <c r="O467" s="7">
        <v>0</v>
      </c>
      <c r="P467" s="7">
        <v>0</v>
      </c>
    </row>
    <row r="468" spans="1:16" x14ac:dyDescent="0.3">
      <c r="A468" s="1">
        <v>44138</v>
      </c>
      <c r="B468" s="2">
        <v>141.300003</v>
      </c>
      <c r="C468" s="2">
        <v>206.43</v>
      </c>
      <c r="F468" s="1">
        <v>44138</v>
      </c>
      <c r="G468" s="2">
        <f t="shared" si="14"/>
        <v>5.6758919534266934E-2</v>
      </c>
      <c r="H468" s="2">
        <f t="shared" si="15"/>
        <v>2.0061344091395067E-2</v>
      </c>
      <c r="I468" s="7">
        <v>0</v>
      </c>
      <c r="J468" s="7">
        <v>0</v>
      </c>
      <c r="K468" s="7">
        <v>0</v>
      </c>
      <c r="L468" s="7">
        <v>0</v>
      </c>
      <c r="M468" s="7">
        <v>0</v>
      </c>
      <c r="N468" s="7">
        <v>0</v>
      </c>
      <c r="O468" s="7">
        <v>5.6758919534266934E-2</v>
      </c>
      <c r="P468" s="7">
        <v>2.0061344091395067E-2</v>
      </c>
    </row>
    <row r="469" spans="1:16" x14ac:dyDescent="0.3">
      <c r="A469" s="1">
        <v>44139</v>
      </c>
      <c r="B469" s="2">
        <v>140.32666</v>
      </c>
      <c r="C469" s="2">
        <v>216.39</v>
      </c>
      <c r="F469" s="1">
        <v>44139</v>
      </c>
      <c r="G469" s="2">
        <f t="shared" si="14"/>
        <v>-6.91232048251369E-3</v>
      </c>
      <c r="H469" s="2">
        <f t="shared" si="15"/>
        <v>4.7120963301192767E-2</v>
      </c>
      <c r="I469" s="7">
        <v>0</v>
      </c>
      <c r="J469" s="7">
        <v>0</v>
      </c>
      <c r="K469" s="7">
        <v>0</v>
      </c>
      <c r="L469" s="7">
        <v>0</v>
      </c>
      <c r="M469" s="7">
        <v>-6.91232048251369E-3</v>
      </c>
      <c r="N469" s="7">
        <v>4.7120963301192767E-2</v>
      </c>
      <c r="O469" s="7">
        <v>0</v>
      </c>
      <c r="P469" s="7">
        <v>0</v>
      </c>
    </row>
    <row r="470" spans="1:16" x14ac:dyDescent="0.3">
      <c r="A470" s="1">
        <v>44140</v>
      </c>
      <c r="B470" s="2">
        <v>146.029999</v>
      </c>
      <c r="C470" s="2">
        <v>223.29</v>
      </c>
      <c r="F470" s="1">
        <v>44140</v>
      </c>
      <c r="G470" s="2">
        <f t="shared" si="14"/>
        <v>3.9839082765081767E-2</v>
      </c>
      <c r="H470" s="2">
        <f t="shared" si="15"/>
        <v>3.1389039856238025E-2</v>
      </c>
      <c r="I470" s="7">
        <v>0</v>
      </c>
      <c r="J470" s="7">
        <v>0</v>
      </c>
      <c r="K470" s="7">
        <v>0</v>
      </c>
      <c r="L470" s="7">
        <v>0</v>
      </c>
      <c r="M470" s="7">
        <v>0</v>
      </c>
      <c r="N470" s="7">
        <v>0</v>
      </c>
      <c r="O470" s="7">
        <v>3.9839082765081767E-2</v>
      </c>
      <c r="P470" s="7">
        <v>3.1389039856238025E-2</v>
      </c>
    </row>
    <row r="471" spans="1:16" x14ac:dyDescent="0.3">
      <c r="A471" s="1">
        <v>44141</v>
      </c>
      <c r="B471" s="2">
        <v>143.316666</v>
      </c>
      <c r="C471" s="2">
        <v>223.72</v>
      </c>
      <c r="F471" s="1">
        <v>44141</v>
      </c>
      <c r="G471" s="2">
        <f t="shared" si="14"/>
        <v>-1.8755443667380002E-2</v>
      </c>
      <c r="H471" s="2">
        <f t="shared" si="15"/>
        <v>1.9238949134582444E-3</v>
      </c>
      <c r="I471" s="7">
        <v>0</v>
      </c>
      <c r="J471" s="7">
        <v>0</v>
      </c>
      <c r="K471" s="7">
        <v>0</v>
      </c>
      <c r="L471" s="7">
        <v>0</v>
      </c>
      <c r="M471" s="7">
        <v>-1.8755443667380002E-2</v>
      </c>
      <c r="N471" s="7">
        <v>1.9238949134582444E-3</v>
      </c>
      <c r="O471" s="7">
        <v>0</v>
      </c>
      <c r="P471" s="7">
        <v>0</v>
      </c>
    </row>
    <row r="472" spans="1:16" x14ac:dyDescent="0.3">
      <c r="A472" s="1">
        <v>44144</v>
      </c>
      <c r="B472" s="2">
        <v>140.41999799999999</v>
      </c>
      <c r="C472" s="2">
        <v>218.39</v>
      </c>
      <c r="F472" s="1">
        <v>44144</v>
      </c>
      <c r="G472" s="2">
        <f t="shared" si="14"/>
        <v>-2.0418712190974794E-2</v>
      </c>
      <c r="H472" s="2">
        <f t="shared" si="15"/>
        <v>-2.4112814676706555E-2</v>
      </c>
      <c r="I472" s="7">
        <v>-2.0418712190974794E-2</v>
      </c>
      <c r="J472" s="7">
        <v>-2.4112814676706555E-2</v>
      </c>
      <c r="K472" s="7">
        <v>0</v>
      </c>
      <c r="L472" s="7">
        <v>0</v>
      </c>
      <c r="M472" s="7">
        <v>0</v>
      </c>
      <c r="N472" s="7">
        <v>0</v>
      </c>
      <c r="O472" s="7">
        <v>0</v>
      </c>
      <c r="P472" s="7">
        <v>0</v>
      </c>
    </row>
    <row r="473" spans="1:16" x14ac:dyDescent="0.3">
      <c r="A473" s="1">
        <v>44145</v>
      </c>
      <c r="B473" s="2">
        <v>136.78666699999999</v>
      </c>
      <c r="C473" s="2">
        <v>211.01</v>
      </c>
      <c r="F473" s="1">
        <v>44145</v>
      </c>
      <c r="G473" s="2">
        <f t="shared" si="14"/>
        <v>-2.6215380357830321E-2</v>
      </c>
      <c r="H473" s="2">
        <f t="shared" si="15"/>
        <v>-3.437692955871538E-2</v>
      </c>
      <c r="I473" s="7">
        <v>-2.6215380357830321E-2</v>
      </c>
      <c r="J473" s="7">
        <v>-3.437692955871538E-2</v>
      </c>
      <c r="K473" s="7">
        <v>0</v>
      </c>
      <c r="L473" s="7">
        <v>0</v>
      </c>
      <c r="M473" s="7">
        <v>0</v>
      </c>
      <c r="N473" s="7">
        <v>0</v>
      </c>
      <c r="O473" s="7">
        <v>0</v>
      </c>
      <c r="P473" s="7">
        <v>0</v>
      </c>
    </row>
    <row r="474" spans="1:16" x14ac:dyDescent="0.3">
      <c r="A474" s="1">
        <v>44146</v>
      </c>
      <c r="B474" s="2">
        <v>139.04333500000001</v>
      </c>
      <c r="C474" s="2">
        <v>216.55</v>
      </c>
      <c r="F474" s="1">
        <v>44146</v>
      </c>
      <c r="G474" s="2">
        <f t="shared" si="14"/>
        <v>1.6363110144475113E-2</v>
      </c>
      <c r="H474" s="2">
        <f t="shared" si="15"/>
        <v>2.5915941942670408E-2</v>
      </c>
      <c r="I474" s="7">
        <v>0</v>
      </c>
      <c r="J474" s="7">
        <v>0</v>
      </c>
      <c r="K474" s="7">
        <v>0</v>
      </c>
      <c r="L474" s="7">
        <v>0</v>
      </c>
      <c r="M474" s="7">
        <v>0</v>
      </c>
      <c r="N474" s="7">
        <v>0</v>
      </c>
      <c r="O474" s="7">
        <v>1.6363110144475113E-2</v>
      </c>
      <c r="P474" s="7">
        <v>2.5915941942670408E-2</v>
      </c>
    </row>
    <row r="475" spans="1:16" x14ac:dyDescent="0.3">
      <c r="A475" s="1">
        <v>44147</v>
      </c>
      <c r="B475" s="2">
        <v>137.25332599999999</v>
      </c>
      <c r="C475" s="2">
        <v>215.44</v>
      </c>
      <c r="F475" s="1">
        <v>44147</v>
      </c>
      <c r="G475" s="2">
        <f t="shared" si="14"/>
        <v>-1.2957333885556211E-2</v>
      </c>
      <c r="H475" s="2">
        <f t="shared" si="15"/>
        <v>-5.1390191572922407E-3</v>
      </c>
      <c r="I475" s="7">
        <v>-1.2957333885556211E-2</v>
      </c>
      <c r="J475" s="7">
        <v>-5.1390191572922407E-3</v>
      </c>
      <c r="K475" s="7">
        <v>0</v>
      </c>
      <c r="L475" s="7">
        <v>0</v>
      </c>
      <c r="M475" s="7">
        <v>0</v>
      </c>
      <c r="N475" s="7">
        <v>0</v>
      </c>
      <c r="O475" s="7">
        <v>0</v>
      </c>
      <c r="P475" s="7">
        <v>0</v>
      </c>
    </row>
    <row r="476" spans="1:16" x14ac:dyDescent="0.3">
      <c r="A476" s="1">
        <v>44148</v>
      </c>
      <c r="B476" s="2">
        <v>136.16667200000001</v>
      </c>
      <c r="C476" s="2">
        <v>216.51</v>
      </c>
      <c r="F476" s="1">
        <v>44148</v>
      </c>
      <c r="G476" s="2">
        <f t="shared" si="14"/>
        <v>-7.9486484475719734E-3</v>
      </c>
      <c r="H476" s="2">
        <f t="shared" si="15"/>
        <v>4.9542872489481086E-3</v>
      </c>
      <c r="I476" s="7">
        <v>0</v>
      </c>
      <c r="J476" s="7">
        <v>0</v>
      </c>
      <c r="K476" s="7">
        <v>0</v>
      </c>
      <c r="L476" s="7">
        <v>0</v>
      </c>
      <c r="M476" s="7">
        <v>-7.9486484475719734E-3</v>
      </c>
      <c r="N476" s="7">
        <v>4.9542872489481086E-3</v>
      </c>
      <c r="O476" s="7">
        <v>0</v>
      </c>
      <c r="P476" s="7">
        <v>0</v>
      </c>
    </row>
    <row r="477" spans="1:16" x14ac:dyDescent="0.3">
      <c r="A477" s="1">
        <v>44151</v>
      </c>
      <c r="B477" s="2">
        <v>136.029999</v>
      </c>
      <c r="C477" s="2">
        <v>217.23</v>
      </c>
      <c r="F477" s="1">
        <v>44151</v>
      </c>
      <c r="G477" s="2">
        <f t="shared" si="14"/>
        <v>-1.0042225056146946E-3</v>
      </c>
      <c r="H477" s="2">
        <f t="shared" si="15"/>
        <v>3.319964316547558E-3</v>
      </c>
      <c r="I477" s="7">
        <v>0</v>
      </c>
      <c r="J477" s="7">
        <v>0</v>
      </c>
      <c r="K477" s="7">
        <v>0</v>
      </c>
      <c r="L477" s="7">
        <v>0</v>
      </c>
      <c r="M477" s="7">
        <v>-1.0042225056146946E-3</v>
      </c>
      <c r="N477" s="7">
        <v>3.319964316547558E-3</v>
      </c>
      <c r="O477" s="7">
        <v>0</v>
      </c>
      <c r="P477" s="7">
        <v>0</v>
      </c>
    </row>
    <row r="478" spans="1:16" x14ac:dyDescent="0.3">
      <c r="A478" s="1">
        <v>44152</v>
      </c>
      <c r="B478" s="2">
        <v>147.203339</v>
      </c>
      <c r="C478" s="2">
        <v>214.46</v>
      </c>
      <c r="F478" s="1">
        <v>44152</v>
      </c>
      <c r="G478" s="2">
        <f t="shared" si="14"/>
        <v>7.8939447167404891E-2</v>
      </c>
      <c r="H478" s="2">
        <f t="shared" si="15"/>
        <v>-1.2833459276839376E-2</v>
      </c>
      <c r="I478" s="7">
        <v>0</v>
      </c>
      <c r="J478" s="7">
        <v>0</v>
      </c>
      <c r="K478" s="7">
        <v>7.8939447167404891E-2</v>
      </c>
      <c r="L478" s="7">
        <v>-1.2833459276839376E-2</v>
      </c>
      <c r="M478" s="7">
        <v>0</v>
      </c>
      <c r="N478" s="7">
        <v>0</v>
      </c>
      <c r="O478" s="7">
        <v>0</v>
      </c>
      <c r="P478" s="7">
        <v>0</v>
      </c>
    </row>
    <row r="479" spans="1:16" x14ac:dyDescent="0.3">
      <c r="A479" s="1">
        <v>44153</v>
      </c>
      <c r="B479" s="2">
        <v>162.21333300000001</v>
      </c>
      <c r="C479" s="2">
        <v>211.08</v>
      </c>
      <c r="F479" s="1">
        <v>44153</v>
      </c>
      <c r="G479" s="2">
        <f t="shared" si="14"/>
        <v>9.7097449828009219E-2</v>
      </c>
      <c r="H479" s="2">
        <f t="shared" si="15"/>
        <v>-1.5886032254532407E-2</v>
      </c>
      <c r="I479" s="7">
        <v>0</v>
      </c>
      <c r="J479" s="7">
        <v>0</v>
      </c>
      <c r="K479" s="7">
        <v>9.7097449828009219E-2</v>
      </c>
      <c r="L479" s="7">
        <v>-1.5886032254532407E-2</v>
      </c>
      <c r="M479" s="7">
        <v>0</v>
      </c>
      <c r="N479" s="7">
        <v>0</v>
      </c>
      <c r="O479" s="7">
        <v>0</v>
      </c>
      <c r="P479" s="7">
        <v>0</v>
      </c>
    </row>
    <row r="480" spans="1:16" x14ac:dyDescent="0.3">
      <c r="A480" s="1">
        <v>44154</v>
      </c>
      <c r="B480" s="2">
        <v>166.42334</v>
      </c>
      <c r="C480" s="2">
        <v>212.42</v>
      </c>
      <c r="F480" s="1">
        <v>44154</v>
      </c>
      <c r="G480" s="2">
        <f t="shared" si="14"/>
        <v>2.5622443684617652E-2</v>
      </c>
      <c r="H480" s="2">
        <f t="shared" si="15"/>
        <v>6.3282383559263968E-3</v>
      </c>
      <c r="I480" s="7">
        <v>0</v>
      </c>
      <c r="J480" s="7">
        <v>0</v>
      </c>
      <c r="K480" s="7">
        <v>0</v>
      </c>
      <c r="L480" s="7">
        <v>0</v>
      </c>
      <c r="M480" s="7">
        <v>0</v>
      </c>
      <c r="N480" s="7">
        <v>0</v>
      </c>
      <c r="O480" s="7">
        <v>2.5622443684617652E-2</v>
      </c>
      <c r="P480" s="7">
        <v>6.3282383559263968E-3</v>
      </c>
    </row>
    <row r="481" spans="1:16" x14ac:dyDescent="0.3">
      <c r="A481" s="1">
        <v>44155</v>
      </c>
      <c r="B481" s="2">
        <v>163.203339</v>
      </c>
      <c r="C481" s="2">
        <v>210.39</v>
      </c>
      <c r="F481" s="1">
        <v>44155</v>
      </c>
      <c r="G481" s="2">
        <f t="shared" si="14"/>
        <v>-1.9537881094514459E-2</v>
      </c>
      <c r="H481" s="2">
        <f t="shared" si="15"/>
        <v>-9.6024956764647687E-3</v>
      </c>
      <c r="I481" s="7">
        <v>-1.9537881094514459E-2</v>
      </c>
      <c r="J481" s="7">
        <v>-9.6024956764647687E-3</v>
      </c>
      <c r="K481" s="7">
        <v>0</v>
      </c>
      <c r="L481" s="7">
        <v>0</v>
      </c>
      <c r="M481" s="7">
        <v>0</v>
      </c>
      <c r="N481" s="7">
        <v>0</v>
      </c>
      <c r="O481" s="7">
        <v>0</v>
      </c>
      <c r="P481" s="7">
        <v>0</v>
      </c>
    </row>
    <row r="482" spans="1:16" x14ac:dyDescent="0.3">
      <c r="A482" s="1">
        <v>44158</v>
      </c>
      <c r="B482" s="2">
        <v>173.949997</v>
      </c>
      <c r="C482" s="2">
        <v>210.11</v>
      </c>
      <c r="F482" s="1">
        <v>44158</v>
      </c>
      <c r="G482" s="2">
        <f t="shared" si="14"/>
        <v>6.3770982472079435E-2</v>
      </c>
      <c r="H482" s="2">
        <f t="shared" si="15"/>
        <v>-1.3317481159708241E-3</v>
      </c>
      <c r="I482" s="7">
        <v>0</v>
      </c>
      <c r="J482" s="7">
        <v>0</v>
      </c>
      <c r="K482" s="7">
        <v>6.3770982472079435E-2</v>
      </c>
      <c r="L482" s="7">
        <v>-1.3317481159708241E-3</v>
      </c>
      <c r="M482" s="7">
        <v>0</v>
      </c>
      <c r="N482" s="7">
        <v>0</v>
      </c>
      <c r="O482" s="7">
        <v>0</v>
      </c>
      <c r="P482" s="7">
        <v>0</v>
      </c>
    </row>
    <row r="483" spans="1:16" x14ac:dyDescent="0.3">
      <c r="A483" s="1">
        <v>44159</v>
      </c>
      <c r="B483" s="2">
        <v>185.12666300000001</v>
      </c>
      <c r="C483" s="2">
        <v>213.86</v>
      </c>
      <c r="F483" s="1">
        <v>44159</v>
      </c>
      <c r="G483" s="2">
        <f t="shared" si="14"/>
        <v>6.2272371315512998E-2</v>
      </c>
      <c r="H483" s="2">
        <f t="shared" si="15"/>
        <v>1.7690392227552754E-2</v>
      </c>
      <c r="I483" s="7">
        <v>0</v>
      </c>
      <c r="J483" s="7">
        <v>0</v>
      </c>
      <c r="K483" s="7">
        <v>0</v>
      </c>
      <c r="L483" s="7">
        <v>0</v>
      </c>
      <c r="M483" s="7">
        <v>0</v>
      </c>
      <c r="N483" s="7">
        <v>0</v>
      </c>
      <c r="O483" s="7">
        <v>6.2272371315512998E-2</v>
      </c>
      <c r="P483" s="7">
        <v>1.7690392227552754E-2</v>
      </c>
    </row>
    <row r="484" spans="1:16" x14ac:dyDescent="0.3">
      <c r="A484" s="1">
        <v>44160</v>
      </c>
      <c r="B484" s="2">
        <v>191.33332799999999</v>
      </c>
      <c r="C484" s="2">
        <v>213.87</v>
      </c>
      <c r="F484" s="1">
        <v>44160</v>
      </c>
      <c r="G484" s="2">
        <f t="shared" si="14"/>
        <v>3.297682410976311E-2</v>
      </c>
      <c r="H484" s="2">
        <f t="shared" si="15"/>
        <v>4.6758469136099666E-5</v>
      </c>
      <c r="I484" s="7">
        <v>0</v>
      </c>
      <c r="J484" s="7">
        <v>0</v>
      </c>
      <c r="K484" s="7">
        <v>0</v>
      </c>
      <c r="L484" s="7">
        <v>0</v>
      </c>
      <c r="M484" s="7">
        <v>0</v>
      </c>
      <c r="N484" s="7">
        <v>0</v>
      </c>
      <c r="O484" s="7">
        <v>3.297682410976311E-2</v>
      </c>
      <c r="P484" s="7">
        <v>4.6758469136099666E-5</v>
      </c>
    </row>
    <row r="485" spans="1:16" x14ac:dyDescent="0.3">
      <c r="A485" s="1">
        <v>44162</v>
      </c>
      <c r="B485" s="2">
        <v>195.25332599999999</v>
      </c>
      <c r="C485" s="2">
        <v>215.23</v>
      </c>
      <c r="F485" s="1">
        <v>44162</v>
      </c>
      <c r="G485" s="2">
        <f t="shared" si="14"/>
        <v>2.0280743368879559E-2</v>
      </c>
      <c r="H485" s="2">
        <f t="shared" si="15"/>
        <v>6.3388699784408574E-3</v>
      </c>
      <c r="I485" s="7">
        <v>0</v>
      </c>
      <c r="J485" s="7">
        <v>0</v>
      </c>
      <c r="K485" s="7">
        <v>0</v>
      </c>
      <c r="L485" s="7">
        <v>0</v>
      </c>
      <c r="M485" s="7">
        <v>0</v>
      </c>
      <c r="N485" s="7">
        <v>0</v>
      </c>
      <c r="O485" s="7">
        <v>2.0280743368879559E-2</v>
      </c>
      <c r="P485" s="7">
        <v>6.3388699784408574E-3</v>
      </c>
    </row>
    <row r="486" spans="1:16" x14ac:dyDescent="0.3">
      <c r="A486" s="1">
        <v>44165</v>
      </c>
      <c r="B486" s="2">
        <v>189.199997</v>
      </c>
      <c r="C486" s="2">
        <v>214.07</v>
      </c>
      <c r="F486" s="1">
        <v>44165</v>
      </c>
      <c r="G486" s="2">
        <f t="shared" si="14"/>
        <v>-3.1493182384230364E-2</v>
      </c>
      <c r="H486" s="2">
        <f t="shared" si="15"/>
        <v>-5.4041594369566162E-3</v>
      </c>
      <c r="I486" s="7">
        <v>-3.1493182384230364E-2</v>
      </c>
      <c r="J486" s="7">
        <v>-5.4041594369566162E-3</v>
      </c>
      <c r="K486" s="7">
        <v>0</v>
      </c>
      <c r="L486" s="7">
        <v>0</v>
      </c>
      <c r="M486" s="7">
        <v>0</v>
      </c>
      <c r="N486" s="7">
        <v>0</v>
      </c>
      <c r="O486" s="7">
        <v>0</v>
      </c>
      <c r="P486" s="7">
        <v>0</v>
      </c>
    </row>
    <row r="487" spans="1:16" x14ac:dyDescent="0.3">
      <c r="A487" s="1">
        <v>44166</v>
      </c>
      <c r="B487" s="2">
        <v>194.91999799999999</v>
      </c>
      <c r="C487" s="2">
        <v>216.21</v>
      </c>
      <c r="F487" s="1">
        <v>44166</v>
      </c>
      <c r="G487" s="2">
        <f t="shared" si="14"/>
        <v>2.9784566953144534E-2</v>
      </c>
      <c r="H487" s="2">
        <f t="shared" si="15"/>
        <v>9.9470932653283953E-3</v>
      </c>
      <c r="I487" s="7">
        <v>0</v>
      </c>
      <c r="J487" s="7">
        <v>0</v>
      </c>
      <c r="K487" s="7">
        <v>0</v>
      </c>
      <c r="L487" s="7">
        <v>0</v>
      </c>
      <c r="M487" s="7">
        <v>0</v>
      </c>
      <c r="N487" s="7">
        <v>0</v>
      </c>
      <c r="O487" s="7">
        <v>2.9784566953144534E-2</v>
      </c>
      <c r="P487" s="7">
        <v>9.9470932653283953E-3</v>
      </c>
    </row>
    <row r="488" spans="1:16" x14ac:dyDescent="0.3">
      <c r="A488" s="1">
        <v>44167</v>
      </c>
      <c r="B488" s="2">
        <v>189.606674</v>
      </c>
      <c r="C488" s="2">
        <v>215.37</v>
      </c>
      <c r="F488" s="1">
        <v>44167</v>
      </c>
      <c r="G488" s="2">
        <f t="shared" si="14"/>
        <v>-2.7637418091343621E-2</v>
      </c>
      <c r="H488" s="2">
        <f t="shared" si="15"/>
        <v>-3.8926783479580019E-3</v>
      </c>
      <c r="I488" s="7">
        <v>-2.7637418091343621E-2</v>
      </c>
      <c r="J488" s="7">
        <v>-3.8926783479580019E-3</v>
      </c>
      <c r="K488" s="7">
        <v>0</v>
      </c>
      <c r="L488" s="7">
        <v>0</v>
      </c>
      <c r="M488" s="7">
        <v>0</v>
      </c>
      <c r="N488" s="7">
        <v>0</v>
      </c>
      <c r="O488" s="7">
        <v>0</v>
      </c>
      <c r="P488" s="7">
        <v>0</v>
      </c>
    </row>
    <row r="489" spans="1:16" x14ac:dyDescent="0.3">
      <c r="A489" s="1">
        <v>44168</v>
      </c>
      <c r="B489" s="2">
        <v>197.79333500000001</v>
      </c>
      <c r="C489" s="2">
        <v>214.24</v>
      </c>
      <c r="F489" s="1">
        <v>44168</v>
      </c>
      <c r="G489" s="2">
        <f t="shared" si="14"/>
        <v>4.2270933345384717E-2</v>
      </c>
      <c r="H489" s="2">
        <f t="shared" si="15"/>
        <v>-5.2605973136389331E-3</v>
      </c>
      <c r="I489" s="7">
        <v>0</v>
      </c>
      <c r="J489" s="7">
        <v>0</v>
      </c>
      <c r="K489" s="7">
        <v>4.2270933345384717E-2</v>
      </c>
      <c r="L489" s="7">
        <v>-5.2605973136389331E-3</v>
      </c>
      <c r="M489" s="7">
        <v>0</v>
      </c>
      <c r="N489" s="7">
        <v>0</v>
      </c>
      <c r="O489" s="7">
        <v>0</v>
      </c>
      <c r="P489" s="7">
        <v>0</v>
      </c>
    </row>
    <row r="490" spans="1:16" x14ac:dyDescent="0.3">
      <c r="A490" s="1">
        <v>44169</v>
      </c>
      <c r="B490" s="2">
        <v>199.679993</v>
      </c>
      <c r="C490" s="2">
        <v>214.36</v>
      </c>
      <c r="F490" s="1">
        <v>44169</v>
      </c>
      <c r="G490" s="2">
        <f t="shared" si="14"/>
        <v>9.4933271562458836E-3</v>
      </c>
      <c r="H490" s="2">
        <f t="shared" si="15"/>
        <v>5.599626837870875E-4</v>
      </c>
      <c r="I490" s="7">
        <v>0</v>
      </c>
      <c r="J490" s="7">
        <v>0</v>
      </c>
      <c r="K490" s="7">
        <v>0</v>
      </c>
      <c r="L490" s="7">
        <v>0</v>
      </c>
      <c r="M490" s="7">
        <v>0</v>
      </c>
      <c r="N490" s="7">
        <v>0</v>
      </c>
      <c r="O490" s="7">
        <v>9.4933271562458836E-3</v>
      </c>
      <c r="P490" s="7">
        <v>5.599626837870875E-4</v>
      </c>
    </row>
    <row r="491" spans="1:16" x14ac:dyDescent="0.3">
      <c r="A491" s="1">
        <v>44172</v>
      </c>
      <c r="B491" s="2">
        <v>213.91999799999999</v>
      </c>
      <c r="C491" s="2">
        <v>214.29</v>
      </c>
      <c r="F491" s="1">
        <v>44172</v>
      </c>
      <c r="G491" s="2">
        <f t="shared" si="14"/>
        <v>6.8886053879370954E-2</v>
      </c>
      <c r="H491" s="2">
        <f t="shared" si="15"/>
        <v>-3.2660679165883626E-4</v>
      </c>
      <c r="I491" s="7">
        <v>0</v>
      </c>
      <c r="J491" s="7">
        <v>0</v>
      </c>
      <c r="K491" s="7">
        <v>6.8886053879370954E-2</v>
      </c>
      <c r="L491" s="7">
        <v>-3.2660679165883626E-4</v>
      </c>
      <c r="M491" s="7">
        <v>0</v>
      </c>
      <c r="N491" s="7">
        <v>0</v>
      </c>
      <c r="O491" s="7">
        <v>0</v>
      </c>
      <c r="P491" s="7">
        <v>0</v>
      </c>
    </row>
    <row r="492" spans="1:16" x14ac:dyDescent="0.3">
      <c r="A492" s="1">
        <v>44173</v>
      </c>
      <c r="B492" s="2">
        <v>216.62666300000001</v>
      </c>
      <c r="C492" s="2">
        <v>216.01</v>
      </c>
      <c r="F492" s="1">
        <v>44173</v>
      </c>
      <c r="G492" s="2">
        <f t="shared" si="14"/>
        <v>1.2573320862894456E-2</v>
      </c>
      <c r="H492" s="2">
        <f t="shared" si="15"/>
        <v>7.9944650738299934E-3</v>
      </c>
      <c r="I492" s="7">
        <v>0</v>
      </c>
      <c r="J492" s="7">
        <v>0</v>
      </c>
      <c r="K492" s="7">
        <v>0</v>
      </c>
      <c r="L492" s="7">
        <v>0</v>
      </c>
      <c r="M492" s="7">
        <v>0</v>
      </c>
      <c r="N492" s="7">
        <v>0</v>
      </c>
      <c r="O492" s="7">
        <v>1.2573320862894456E-2</v>
      </c>
      <c r="P492" s="7">
        <v>7.9944650738299934E-3</v>
      </c>
    </row>
    <row r="493" spans="1:16" x14ac:dyDescent="0.3">
      <c r="A493" s="1">
        <v>44174</v>
      </c>
      <c r="B493" s="2">
        <v>201.49333200000001</v>
      </c>
      <c r="C493" s="2">
        <v>211.8</v>
      </c>
      <c r="F493" s="1">
        <v>44174</v>
      </c>
      <c r="G493" s="2">
        <f t="shared" si="14"/>
        <v>-7.2419135839460788E-2</v>
      </c>
      <c r="H493" s="2">
        <f t="shared" si="15"/>
        <v>-1.9682269741514696E-2</v>
      </c>
      <c r="I493" s="7">
        <v>-7.2419135839460788E-2</v>
      </c>
      <c r="J493" s="7">
        <v>-1.9682269741514696E-2</v>
      </c>
      <c r="K493" s="7">
        <v>0</v>
      </c>
      <c r="L493" s="7">
        <v>0</v>
      </c>
      <c r="M493" s="7">
        <v>0</v>
      </c>
      <c r="N493" s="7">
        <v>0</v>
      </c>
      <c r="O493" s="7">
        <v>0</v>
      </c>
      <c r="P493" s="7">
        <v>0</v>
      </c>
    </row>
    <row r="494" spans="1:16" x14ac:dyDescent="0.3">
      <c r="A494" s="1">
        <v>44175</v>
      </c>
      <c r="B494" s="2">
        <v>209.02333100000001</v>
      </c>
      <c r="C494" s="2">
        <v>210.52</v>
      </c>
      <c r="F494" s="1">
        <v>44175</v>
      </c>
      <c r="G494" s="2">
        <f t="shared" si="14"/>
        <v>3.6689588285640048E-2</v>
      </c>
      <c r="H494" s="2">
        <f t="shared" si="15"/>
        <v>-6.0617726817278764E-3</v>
      </c>
      <c r="I494" s="7">
        <v>0</v>
      </c>
      <c r="J494" s="7">
        <v>0</v>
      </c>
      <c r="K494" s="7">
        <v>3.6689588285640048E-2</v>
      </c>
      <c r="L494" s="7">
        <v>-6.0617726817278764E-3</v>
      </c>
      <c r="M494" s="7">
        <v>0</v>
      </c>
      <c r="N494" s="7">
        <v>0</v>
      </c>
      <c r="O494" s="7">
        <v>0</v>
      </c>
      <c r="P494" s="7">
        <v>0</v>
      </c>
    </row>
    <row r="495" spans="1:16" x14ac:dyDescent="0.3">
      <c r="A495" s="1">
        <v>44176</v>
      </c>
      <c r="B495" s="2">
        <v>203.33000200000001</v>
      </c>
      <c r="C495" s="2">
        <v>213.26</v>
      </c>
      <c r="F495" s="1">
        <v>44176</v>
      </c>
      <c r="G495" s="2">
        <f t="shared" si="14"/>
        <v>-2.7615592554940224E-2</v>
      </c>
      <c r="H495" s="2">
        <f t="shared" si="15"/>
        <v>1.2931418104455262E-2</v>
      </c>
      <c r="I495" s="7">
        <v>0</v>
      </c>
      <c r="J495" s="7">
        <v>0</v>
      </c>
      <c r="K495" s="7">
        <v>0</v>
      </c>
      <c r="L495" s="7">
        <v>0</v>
      </c>
      <c r="M495" s="7">
        <v>-2.7615592554940224E-2</v>
      </c>
      <c r="N495" s="7">
        <v>1.2931418104455262E-2</v>
      </c>
      <c r="O495" s="7">
        <v>0</v>
      </c>
      <c r="P495" s="7">
        <v>0</v>
      </c>
    </row>
    <row r="496" spans="1:16" x14ac:dyDescent="0.3">
      <c r="A496" s="1">
        <v>44179</v>
      </c>
      <c r="B496" s="2">
        <v>213.27667199999999</v>
      </c>
      <c r="C496" s="2">
        <v>214.2</v>
      </c>
      <c r="F496" s="1">
        <v>44179</v>
      </c>
      <c r="G496" s="2">
        <f t="shared" si="14"/>
        <v>4.7759967649203927E-2</v>
      </c>
      <c r="H496" s="2">
        <f t="shared" si="15"/>
        <v>4.3980794236148577E-3</v>
      </c>
      <c r="I496" s="7">
        <v>0</v>
      </c>
      <c r="J496" s="7">
        <v>0</v>
      </c>
      <c r="K496" s="7">
        <v>0</v>
      </c>
      <c r="L496" s="7">
        <v>0</v>
      </c>
      <c r="M496" s="7">
        <v>0</v>
      </c>
      <c r="N496" s="7">
        <v>0</v>
      </c>
      <c r="O496" s="7">
        <v>4.7759967649203927E-2</v>
      </c>
      <c r="P496" s="7">
        <v>4.3980794236148577E-3</v>
      </c>
    </row>
    <row r="497" spans="1:16" x14ac:dyDescent="0.3">
      <c r="A497" s="1">
        <v>44180</v>
      </c>
      <c r="B497" s="2">
        <v>211.08332799999999</v>
      </c>
      <c r="C497" s="2">
        <v>214.13</v>
      </c>
      <c r="F497" s="1">
        <v>44180</v>
      </c>
      <c r="G497" s="2">
        <f t="shared" si="14"/>
        <v>-1.0337277460488993E-2</v>
      </c>
      <c r="H497" s="2">
        <f t="shared" si="15"/>
        <v>-3.2685079552299937E-4</v>
      </c>
      <c r="I497" s="7">
        <v>-1.0337277460488993E-2</v>
      </c>
      <c r="J497" s="7">
        <v>-3.2685079552299937E-4</v>
      </c>
      <c r="K497" s="7">
        <v>0</v>
      </c>
      <c r="L497" s="7">
        <v>0</v>
      </c>
      <c r="M497" s="7">
        <v>0</v>
      </c>
      <c r="N497" s="7">
        <v>0</v>
      </c>
      <c r="O497" s="7">
        <v>0</v>
      </c>
      <c r="P497" s="7">
        <v>0</v>
      </c>
    </row>
    <row r="498" spans="1:16" x14ac:dyDescent="0.3">
      <c r="A498" s="1">
        <v>44181</v>
      </c>
      <c r="B498" s="2">
        <v>207.58999600000001</v>
      </c>
      <c r="C498" s="2">
        <v>219.28</v>
      </c>
      <c r="F498" s="1">
        <v>44181</v>
      </c>
      <c r="G498" s="2">
        <f t="shared" si="14"/>
        <v>-1.6688013641240031E-2</v>
      </c>
      <c r="H498" s="2">
        <f t="shared" si="15"/>
        <v>2.3766144776405075E-2</v>
      </c>
      <c r="I498" s="7">
        <v>0</v>
      </c>
      <c r="J498" s="7">
        <v>0</v>
      </c>
      <c r="K498" s="7">
        <v>0</v>
      </c>
      <c r="L498" s="7">
        <v>0</v>
      </c>
      <c r="M498" s="7">
        <v>-1.6688013641240031E-2</v>
      </c>
      <c r="N498" s="7">
        <v>2.3766144776405075E-2</v>
      </c>
      <c r="O498" s="7">
        <v>0</v>
      </c>
      <c r="P498" s="7">
        <v>0</v>
      </c>
    </row>
    <row r="499" spans="1:16" x14ac:dyDescent="0.3">
      <c r="A499" s="1">
        <v>44182</v>
      </c>
      <c r="B499" s="2">
        <v>218.633331</v>
      </c>
      <c r="C499" s="2">
        <v>219.42</v>
      </c>
      <c r="F499" s="1">
        <v>44182</v>
      </c>
      <c r="G499" s="2">
        <f t="shared" si="14"/>
        <v>5.1831077653269338E-2</v>
      </c>
      <c r="H499" s="2">
        <f t="shared" si="15"/>
        <v>6.3824939481452528E-4</v>
      </c>
      <c r="I499" s="7">
        <v>0</v>
      </c>
      <c r="J499" s="7">
        <v>0</v>
      </c>
      <c r="K499" s="7">
        <v>0</v>
      </c>
      <c r="L499" s="7">
        <v>0</v>
      </c>
      <c r="M499" s="7">
        <v>0</v>
      </c>
      <c r="N499" s="7">
        <v>0</v>
      </c>
      <c r="O499" s="7">
        <v>5.1831077653269338E-2</v>
      </c>
      <c r="P499" s="7">
        <v>6.3824939481452528E-4</v>
      </c>
    </row>
    <row r="500" spans="1:16" x14ac:dyDescent="0.3">
      <c r="A500" s="1">
        <v>44183</v>
      </c>
      <c r="B500" s="2">
        <v>231.66667200000001</v>
      </c>
      <c r="C500" s="2">
        <v>218.59</v>
      </c>
      <c r="F500" s="1">
        <v>44183</v>
      </c>
      <c r="G500" s="2">
        <f t="shared" si="14"/>
        <v>5.7903540959043369E-2</v>
      </c>
      <c r="H500" s="2">
        <f t="shared" si="15"/>
        <v>-3.7898723474338136E-3</v>
      </c>
      <c r="I500" s="7">
        <v>0</v>
      </c>
      <c r="J500" s="7">
        <v>0</v>
      </c>
      <c r="K500" s="7">
        <v>5.7903540959043369E-2</v>
      </c>
      <c r="L500" s="7">
        <v>-3.7898723474338136E-3</v>
      </c>
      <c r="M500" s="7">
        <v>0</v>
      </c>
      <c r="N500" s="7">
        <v>0</v>
      </c>
      <c r="O500" s="7">
        <v>0</v>
      </c>
      <c r="P500" s="7">
        <v>0</v>
      </c>
    </row>
    <row r="501" spans="1:16" x14ac:dyDescent="0.3">
      <c r="A501" s="1">
        <v>44186</v>
      </c>
      <c r="B501" s="2">
        <v>216.61999499999999</v>
      </c>
      <c r="C501" s="2">
        <v>222.59</v>
      </c>
      <c r="F501" s="1">
        <v>44186</v>
      </c>
      <c r="G501" s="2">
        <f t="shared" si="14"/>
        <v>-6.715493659256877E-2</v>
      </c>
      <c r="H501" s="2">
        <f t="shared" si="15"/>
        <v>1.8133685160607718E-2</v>
      </c>
      <c r="I501" s="7">
        <v>0</v>
      </c>
      <c r="J501" s="7">
        <v>0</v>
      </c>
      <c r="K501" s="7">
        <v>0</v>
      </c>
      <c r="L501" s="7">
        <v>0</v>
      </c>
      <c r="M501" s="7">
        <v>-6.715493659256877E-2</v>
      </c>
      <c r="N501" s="7">
        <v>1.8133685160607718E-2</v>
      </c>
      <c r="O501" s="7">
        <v>0</v>
      </c>
      <c r="P501" s="7">
        <v>0</v>
      </c>
    </row>
    <row r="502" spans="1:16" x14ac:dyDescent="0.3">
      <c r="A502" s="1">
        <v>44187</v>
      </c>
      <c r="B502" s="2">
        <v>213.44667100000001</v>
      </c>
      <c r="C502" s="2">
        <v>223.94</v>
      </c>
      <c r="F502" s="1">
        <v>44187</v>
      </c>
      <c r="G502" s="2">
        <f t="shared" si="14"/>
        <v>-1.4757626401697305E-2</v>
      </c>
      <c r="H502" s="2">
        <f t="shared" si="15"/>
        <v>6.0466446295322288E-3</v>
      </c>
      <c r="I502" s="7">
        <v>0</v>
      </c>
      <c r="J502" s="7">
        <v>0</v>
      </c>
      <c r="K502" s="7">
        <v>0</v>
      </c>
      <c r="L502" s="7">
        <v>0</v>
      </c>
      <c r="M502" s="7">
        <v>-1.4757626401697305E-2</v>
      </c>
      <c r="N502" s="7">
        <v>6.0466446295322288E-3</v>
      </c>
      <c r="O502" s="7">
        <v>0</v>
      </c>
      <c r="P502" s="7">
        <v>0</v>
      </c>
    </row>
    <row r="503" spans="1:16" x14ac:dyDescent="0.3">
      <c r="A503" s="1">
        <v>44188</v>
      </c>
      <c r="B503" s="2">
        <v>215.32666</v>
      </c>
      <c r="C503" s="2">
        <v>221.02</v>
      </c>
      <c r="F503" s="1">
        <v>44188</v>
      </c>
      <c r="G503" s="2">
        <f t="shared" si="14"/>
        <v>8.769206998196926E-3</v>
      </c>
      <c r="H503" s="2">
        <f t="shared" si="15"/>
        <v>-1.3124963671414658E-2</v>
      </c>
      <c r="I503" s="7">
        <v>0</v>
      </c>
      <c r="J503" s="7">
        <v>0</v>
      </c>
      <c r="K503" s="7">
        <v>8.769206998196926E-3</v>
      </c>
      <c r="L503" s="7">
        <v>-1.3124963671414658E-2</v>
      </c>
      <c r="M503" s="7">
        <v>0</v>
      </c>
      <c r="N503" s="7">
        <v>0</v>
      </c>
      <c r="O503" s="7">
        <v>0</v>
      </c>
      <c r="P503" s="7">
        <v>0</v>
      </c>
    </row>
    <row r="504" spans="1:16" x14ac:dyDescent="0.3">
      <c r="A504" s="1">
        <v>44189</v>
      </c>
      <c r="B504" s="2">
        <v>220.58999600000001</v>
      </c>
      <c r="C504" s="2">
        <v>222.75</v>
      </c>
      <c r="F504" s="1">
        <v>44189</v>
      </c>
      <c r="G504" s="2">
        <f t="shared" si="14"/>
        <v>2.4149532820856488E-2</v>
      </c>
      <c r="H504" s="2">
        <f t="shared" si="15"/>
        <v>7.7968711902824386E-3</v>
      </c>
      <c r="I504" s="7">
        <v>0</v>
      </c>
      <c r="J504" s="7">
        <v>0</v>
      </c>
      <c r="K504" s="7">
        <v>0</v>
      </c>
      <c r="L504" s="7">
        <v>0</v>
      </c>
      <c r="M504" s="7">
        <v>0</v>
      </c>
      <c r="N504" s="7">
        <v>0</v>
      </c>
      <c r="O504" s="7">
        <v>2.4149532820856488E-2</v>
      </c>
      <c r="P504" s="7">
        <v>7.7968711902824386E-3</v>
      </c>
    </row>
    <row r="505" spans="1:16" x14ac:dyDescent="0.3">
      <c r="A505" s="1">
        <v>44193</v>
      </c>
      <c r="B505" s="2">
        <v>221.229996</v>
      </c>
      <c r="C505" s="2">
        <v>224.96</v>
      </c>
      <c r="F505" s="1">
        <v>44193</v>
      </c>
      <c r="G505" s="2">
        <f t="shared" si="14"/>
        <v>2.8971094981123623E-3</v>
      </c>
      <c r="H505" s="2">
        <f t="shared" si="15"/>
        <v>9.872542271381431E-3</v>
      </c>
      <c r="I505" s="7">
        <v>0</v>
      </c>
      <c r="J505" s="7">
        <v>0</v>
      </c>
      <c r="K505" s="7">
        <v>0</v>
      </c>
      <c r="L505" s="7">
        <v>0</v>
      </c>
      <c r="M505" s="7">
        <v>0</v>
      </c>
      <c r="N505" s="7">
        <v>0</v>
      </c>
      <c r="O505" s="7">
        <v>2.8971094981123623E-3</v>
      </c>
      <c r="P505" s="7">
        <v>9.872542271381431E-3</v>
      </c>
    </row>
    <row r="506" spans="1:16" x14ac:dyDescent="0.3">
      <c r="A506" s="1">
        <v>44194</v>
      </c>
      <c r="B506" s="2">
        <v>221.99667400000001</v>
      </c>
      <c r="C506" s="2">
        <v>224.15</v>
      </c>
      <c r="F506" s="1">
        <v>44194</v>
      </c>
      <c r="G506" s="2">
        <f t="shared" si="14"/>
        <v>3.459533536901926E-3</v>
      </c>
      <c r="H506" s="2">
        <f t="shared" si="15"/>
        <v>-3.607138020851588E-3</v>
      </c>
      <c r="I506" s="7">
        <v>0</v>
      </c>
      <c r="J506" s="7">
        <v>0</v>
      </c>
      <c r="K506" s="7">
        <v>3.459533536901926E-3</v>
      </c>
      <c r="L506" s="7">
        <v>-3.607138020851588E-3</v>
      </c>
      <c r="M506" s="7">
        <v>0</v>
      </c>
      <c r="N506" s="7">
        <v>0</v>
      </c>
      <c r="O506" s="7">
        <v>0</v>
      </c>
      <c r="P506" s="7">
        <v>0</v>
      </c>
    </row>
    <row r="507" spans="1:16" x14ac:dyDescent="0.3">
      <c r="A507" s="1">
        <v>44195</v>
      </c>
      <c r="B507" s="2">
        <v>231.59333799999999</v>
      </c>
      <c r="C507" s="2">
        <v>221.68</v>
      </c>
      <c r="F507" s="1">
        <v>44195</v>
      </c>
      <c r="G507" s="2">
        <f t="shared" si="14"/>
        <v>4.2320580394787415E-2</v>
      </c>
      <c r="H507" s="2">
        <f t="shared" si="15"/>
        <v>-1.1080570046725515E-2</v>
      </c>
      <c r="I507" s="7">
        <v>0</v>
      </c>
      <c r="J507" s="7">
        <v>0</v>
      </c>
      <c r="K507" s="7">
        <v>4.2320580394787415E-2</v>
      </c>
      <c r="L507" s="7">
        <v>-1.1080570046725515E-2</v>
      </c>
      <c r="M507" s="7">
        <v>0</v>
      </c>
      <c r="N507" s="7">
        <v>0</v>
      </c>
      <c r="O507" s="7">
        <v>0</v>
      </c>
      <c r="P507" s="7">
        <v>0</v>
      </c>
    </row>
    <row r="508" spans="1:16" x14ac:dyDescent="0.3">
      <c r="A508" s="1">
        <v>44196</v>
      </c>
      <c r="B508" s="2">
        <v>235.22332800000001</v>
      </c>
      <c r="C508" s="2">
        <v>222.42</v>
      </c>
      <c r="F508" s="1">
        <v>44196</v>
      </c>
      <c r="G508" s="2">
        <f t="shared" si="14"/>
        <v>1.5552414606712113E-2</v>
      </c>
      <c r="H508" s="2">
        <f t="shared" si="15"/>
        <v>3.332585835972862E-3</v>
      </c>
      <c r="I508" s="7">
        <v>0</v>
      </c>
      <c r="J508" s="7">
        <v>0</v>
      </c>
      <c r="K508" s="7">
        <v>0</v>
      </c>
      <c r="L508" s="7">
        <v>0</v>
      </c>
      <c r="M508" s="7">
        <v>0</v>
      </c>
      <c r="N508" s="7">
        <v>0</v>
      </c>
      <c r="O508" s="7">
        <v>1.5552414606712113E-2</v>
      </c>
      <c r="P508" s="7">
        <v>3.332585835972862E-3</v>
      </c>
    </row>
    <row r="509" spans="1:16" x14ac:dyDescent="0.3">
      <c r="A509" s="1">
        <v>44200</v>
      </c>
      <c r="B509" s="2">
        <v>243.25666799999999</v>
      </c>
      <c r="C509" s="2">
        <v>217.69</v>
      </c>
      <c r="F509" s="1">
        <v>44200</v>
      </c>
      <c r="G509" s="2">
        <f t="shared" si="14"/>
        <v>3.3581738038283911E-2</v>
      </c>
      <c r="H509" s="2">
        <f t="shared" si="15"/>
        <v>-2.1495453977850937E-2</v>
      </c>
      <c r="I509" s="7">
        <v>0</v>
      </c>
      <c r="J509" s="7">
        <v>0</v>
      </c>
      <c r="K509" s="7">
        <v>3.3581738038283911E-2</v>
      </c>
      <c r="L509" s="7">
        <v>-2.1495453977850937E-2</v>
      </c>
      <c r="M509" s="7">
        <v>0</v>
      </c>
      <c r="N509" s="7">
        <v>0</v>
      </c>
      <c r="O509" s="7">
        <v>0</v>
      </c>
      <c r="P509" s="7">
        <v>0</v>
      </c>
    </row>
    <row r="510" spans="1:16" x14ac:dyDescent="0.3">
      <c r="A510" s="1">
        <v>44201</v>
      </c>
      <c r="B510" s="2">
        <v>245.03666699999999</v>
      </c>
      <c r="C510" s="2">
        <v>217.9</v>
      </c>
      <c r="F510" s="1">
        <v>44201</v>
      </c>
      <c r="G510" s="2">
        <f t="shared" si="14"/>
        <v>7.290727753243265E-3</v>
      </c>
      <c r="H510" s="2">
        <f t="shared" si="15"/>
        <v>9.6420953772923174E-4</v>
      </c>
      <c r="I510" s="7">
        <v>0</v>
      </c>
      <c r="J510" s="7">
        <v>0</v>
      </c>
      <c r="K510" s="7">
        <v>0</v>
      </c>
      <c r="L510" s="7">
        <v>0</v>
      </c>
      <c r="M510" s="7">
        <v>0</v>
      </c>
      <c r="N510" s="7">
        <v>0</v>
      </c>
      <c r="O510" s="7">
        <v>7.290727753243265E-3</v>
      </c>
      <c r="P510" s="7">
        <v>9.6420953772923174E-4</v>
      </c>
    </row>
    <row r="511" spans="1:16" x14ac:dyDescent="0.3">
      <c r="A511" s="1">
        <v>44202</v>
      </c>
      <c r="B511" s="2">
        <v>251.99333200000001</v>
      </c>
      <c r="C511" s="2">
        <v>212.25</v>
      </c>
      <c r="F511" s="1">
        <v>44202</v>
      </c>
      <c r="G511" s="2">
        <f t="shared" si="14"/>
        <v>2.7994766272789726E-2</v>
      </c>
      <c r="H511" s="2">
        <f t="shared" si="15"/>
        <v>-2.6271416759117483E-2</v>
      </c>
      <c r="I511" s="7">
        <v>0</v>
      </c>
      <c r="J511" s="7">
        <v>0</v>
      </c>
      <c r="K511" s="7">
        <v>2.7994766272789726E-2</v>
      </c>
      <c r="L511" s="7">
        <v>-2.6271416759117483E-2</v>
      </c>
      <c r="M511" s="7">
        <v>0</v>
      </c>
      <c r="N511" s="7">
        <v>0</v>
      </c>
      <c r="O511" s="7">
        <v>0</v>
      </c>
      <c r="P511" s="7">
        <v>0</v>
      </c>
    </row>
    <row r="512" spans="1:16" x14ac:dyDescent="0.3">
      <c r="A512" s="1">
        <v>44203</v>
      </c>
      <c r="B512" s="2">
        <v>272.01333599999998</v>
      </c>
      <c r="C512" s="2">
        <v>218.29</v>
      </c>
      <c r="F512" s="1">
        <v>44203</v>
      </c>
      <c r="G512" s="2">
        <f t="shared" si="14"/>
        <v>7.6448467661976993E-2</v>
      </c>
      <c r="H512" s="2">
        <f t="shared" si="15"/>
        <v>2.8059628794814277E-2</v>
      </c>
      <c r="I512" s="7">
        <v>0</v>
      </c>
      <c r="J512" s="7">
        <v>0</v>
      </c>
      <c r="K512" s="7">
        <v>0</v>
      </c>
      <c r="L512" s="7">
        <v>0</v>
      </c>
      <c r="M512" s="7">
        <v>0</v>
      </c>
      <c r="N512" s="7">
        <v>0</v>
      </c>
      <c r="O512" s="7">
        <v>7.6448467661976993E-2</v>
      </c>
      <c r="P512" s="7">
        <v>2.8059628794814277E-2</v>
      </c>
    </row>
    <row r="513" spans="1:16" x14ac:dyDescent="0.3">
      <c r="A513" s="1">
        <v>44204</v>
      </c>
      <c r="B513" s="2">
        <v>293.33999599999999</v>
      </c>
      <c r="C513" s="2">
        <v>219.62</v>
      </c>
      <c r="F513" s="1">
        <v>44204</v>
      </c>
      <c r="G513" s="2">
        <f t="shared" si="14"/>
        <v>7.5481237676695678E-2</v>
      </c>
      <c r="H513" s="2">
        <f t="shared" si="15"/>
        <v>6.0743261832960837E-3</v>
      </c>
      <c r="I513" s="7">
        <v>0</v>
      </c>
      <c r="J513" s="7">
        <v>0</v>
      </c>
      <c r="K513" s="7">
        <v>0</v>
      </c>
      <c r="L513" s="7">
        <v>0</v>
      </c>
      <c r="M513" s="7">
        <v>0</v>
      </c>
      <c r="N513" s="7">
        <v>0</v>
      </c>
      <c r="O513" s="7">
        <v>7.5481237676695678E-2</v>
      </c>
      <c r="P513" s="7">
        <v>6.0743261832960837E-3</v>
      </c>
    </row>
    <row r="514" spans="1:16" x14ac:dyDescent="0.3">
      <c r="A514" s="1">
        <v>44207</v>
      </c>
      <c r="B514" s="2">
        <v>270.39666699999998</v>
      </c>
      <c r="C514" s="2">
        <v>217.49</v>
      </c>
      <c r="F514" s="1">
        <v>44207</v>
      </c>
      <c r="G514" s="2">
        <f t="shared" si="14"/>
        <v>-8.1442314273146355E-2</v>
      </c>
      <c r="H514" s="2">
        <f t="shared" si="15"/>
        <v>-9.7459077092977853E-3</v>
      </c>
      <c r="I514" s="7">
        <v>-8.1442314273146355E-2</v>
      </c>
      <c r="J514" s="7">
        <v>-9.7459077092977853E-3</v>
      </c>
      <c r="K514" s="7">
        <v>0</v>
      </c>
      <c r="L514" s="7">
        <v>0</v>
      </c>
      <c r="M514" s="7">
        <v>0</v>
      </c>
      <c r="N514" s="7">
        <v>0</v>
      </c>
      <c r="O514" s="7">
        <v>0</v>
      </c>
      <c r="P514" s="7">
        <v>0</v>
      </c>
    </row>
    <row r="515" spans="1:16" x14ac:dyDescent="0.3">
      <c r="A515" s="1">
        <v>44208</v>
      </c>
      <c r="B515" s="2">
        <v>283.14666699999998</v>
      </c>
      <c r="C515" s="2">
        <v>214.93</v>
      </c>
      <c r="F515" s="1">
        <v>44208</v>
      </c>
      <c r="G515" s="2">
        <f t="shared" si="14"/>
        <v>4.6075003435088836E-2</v>
      </c>
      <c r="H515" s="2">
        <f t="shared" si="15"/>
        <v>-1.1840478741084941E-2</v>
      </c>
      <c r="I515" s="7">
        <v>0</v>
      </c>
      <c r="J515" s="7">
        <v>0</v>
      </c>
      <c r="K515" s="7">
        <v>4.6075003435088836E-2</v>
      </c>
      <c r="L515" s="7">
        <v>-1.1840478741084941E-2</v>
      </c>
      <c r="M515" s="7">
        <v>0</v>
      </c>
      <c r="N515" s="7">
        <v>0</v>
      </c>
      <c r="O515" s="7">
        <v>0</v>
      </c>
      <c r="P515" s="7">
        <v>0</v>
      </c>
    </row>
    <row r="516" spans="1:16" x14ac:dyDescent="0.3">
      <c r="A516" s="1">
        <v>44209</v>
      </c>
      <c r="B516" s="2">
        <v>284.80334499999998</v>
      </c>
      <c r="C516" s="2">
        <v>216.34</v>
      </c>
      <c r="F516" s="1">
        <v>44209</v>
      </c>
      <c r="G516" s="2">
        <f t="shared" si="14"/>
        <v>5.8339032086195414E-3</v>
      </c>
      <c r="H516" s="2">
        <f t="shared" si="15"/>
        <v>6.538850482959005E-3</v>
      </c>
      <c r="I516" s="7">
        <v>0</v>
      </c>
      <c r="J516" s="7">
        <v>0</v>
      </c>
      <c r="K516" s="7">
        <v>0</v>
      </c>
      <c r="L516" s="7">
        <v>0</v>
      </c>
      <c r="M516" s="7">
        <v>0</v>
      </c>
      <c r="N516" s="7">
        <v>0</v>
      </c>
      <c r="O516" s="7">
        <v>5.8339032086195414E-3</v>
      </c>
      <c r="P516" s="7">
        <v>6.538850482959005E-3</v>
      </c>
    </row>
    <row r="517" spans="1:16" x14ac:dyDescent="0.3">
      <c r="A517" s="1">
        <v>44210</v>
      </c>
      <c r="B517" s="2">
        <v>281.66665599999999</v>
      </c>
      <c r="C517" s="2">
        <v>213.02</v>
      </c>
      <c r="F517" s="1">
        <v>44210</v>
      </c>
      <c r="G517" s="2">
        <f t="shared" si="14"/>
        <v>-1.1074623733876363E-2</v>
      </c>
      <c r="H517" s="2">
        <f t="shared" si="15"/>
        <v>-1.5465186187123848E-2</v>
      </c>
      <c r="I517" s="7">
        <v>-1.1074623733876363E-2</v>
      </c>
      <c r="J517" s="7">
        <v>-1.5465186187123848E-2</v>
      </c>
      <c r="K517" s="7">
        <v>0</v>
      </c>
      <c r="L517" s="7">
        <v>0</v>
      </c>
      <c r="M517" s="7">
        <v>0</v>
      </c>
      <c r="N517" s="7">
        <v>0</v>
      </c>
      <c r="O517" s="7">
        <v>0</v>
      </c>
      <c r="P517" s="7">
        <v>0</v>
      </c>
    </row>
    <row r="518" spans="1:16" x14ac:dyDescent="0.3">
      <c r="A518" s="1">
        <v>44211</v>
      </c>
      <c r="B518" s="2">
        <v>275.38665800000001</v>
      </c>
      <c r="C518" s="2">
        <v>212.65</v>
      </c>
      <c r="F518" s="1">
        <v>44211</v>
      </c>
      <c r="G518" s="2">
        <f t="shared" ref="G518:G581" si="16">LN(B518/B517)</f>
        <v>-2.2548161595104043E-2</v>
      </c>
      <c r="H518" s="2">
        <f t="shared" ref="H518:H581" si="17">LN(C518/C517)</f>
        <v>-1.7384363153771869E-3</v>
      </c>
      <c r="I518" s="7">
        <v>-2.2548161595104043E-2</v>
      </c>
      <c r="J518" s="7">
        <v>-1.7384363153771869E-3</v>
      </c>
      <c r="K518" s="7">
        <v>0</v>
      </c>
      <c r="L518" s="7">
        <v>0</v>
      </c>
      <c r="M518" s="7">
        <v>0</v>
      </c>
      <c r="N518" s="7">
        <v>0</v>
      </c>
      <c r="O518" s="7">
        <v>0</v>
      </c>
      <c r="P518" s="7">
        <v>0</v>
      </c>
    </row>
    <row r="519" spans="1:16" x14ac:dyDescent="0.3">
      <c r="A519" s="1">
        <v>44215</v>
      </c>
      <c r="B519" s="2">
        <v>281.51666299999999</v>
      </c>
      <c r="C519" s="2">
        <v>216.44</v>
      </c>
      <c r="F519" s="1">
        <v>44215</v>
      </c>
      <c r="G519" s="2">
        <f t="shared" si="16"/>
        <v>2.201550020941969E-2</v>
      </c>
      <c r="H519" s="2">
        <f t="shared" si="17"/>
        <v>1.7665751074891912E-2</v>
      </c>
      <c r="I519" s="7">
        <v>0</v>
      </c>
      <c r="J519" s="7">
        <v>0</v>
      </c>
      <c r="K519" s="7">
        <v>0</v>
      </c>
      <c r="L519" s="7">
        <v>0</v>
      </c>
      <c r="M519" s="7">
        <v>0</v>
      </c>
      <c r="N519" s="7">
        <v>0</v>
      </c>
      <c r="O519" s="7">
        <v>2.201550020941969E-2</v>
      </c>
      <c r="P519" s="7">
        <v>1.7665751074891912E-2</v>
      </c>
    </row>
    <row r="520" spans="1:16" x14ac:dyDescent="0.3">
      <c r="A520" s="1">
        <v>44216</v>
      </c>
      <c r="B520" s="2">
        <v>283.48333700000001</v>
      </c>
      <c r="C520" s="2">
        <v>224.34</v>
      </c>
      <c r="F520" s="1">
        <v>44216</v>
      </c>
      <c r="G520" s="2">
        <f t="shared" si="16"/>
        <v>6.9617059927633545E-3</v>
      </c>
      <c r="H520" s="2">
        <f t="shared" si="17"/>
        <v>3.5849385442542785E-2</v>
      </c>
      <c r="I520" s="7">
        <v>0</v>
      </c>
      <c r="J520" s="7">
        <v>0</v>
      </c>
      <c r="K520" s="7">
        <v>0</v>
      </c>
      <c r="L520" s="7">
        <v>0</v>
      </c>
      <c r="M520" s="7">
        <v>0</v>
      </c>
      <c r="N520" s="7">
        <v>0</v>
      </c>
      <c r="O520" s="7">
        <v>6.9617059927633545E-3</v>
      </c>
      <c r="P520" s="7">
        <v>3.5849385442542785E-2</v>
      </c>
    </row>
    <row r="521" spans="1:16" x14ac:dyDescent="0.3">
      <c r="A521" s="1">
        <v>44217</v>
      </c>
      <c r="B521" s="2">
        <v>281.66332999999997</v>
      </c>
      <c r="C521" s="2">
        <v>224.97</v>
      </c>
      <c r="F521" s="1">
        <v>44217</v>
      </c>
      <c r="G521" s="2">
        <f t="shared" si="16"/>
        <v>-6.4408529612681948E-3</v>
      </c>
      <c r="H521" s="2">
        <f t="shared" si="17"/>
        <v>2.8043017643304248E-3</v>
      </c>
      <c r="I521" s="7">
        <v>0</v>
      </c>
      <c r="J521" s="7">
        <v>0</v>
      </c>
      <c r="K521" s="7">
        <v>0</v>
      </c>
      <c r="L521" s="7">
        <v>0</v>
      </c>
      <c r="M521" s="7">
        <v>-6.4408529612681948E-3</v>
      </c>
      <c r="N521" s="7">
        <v>2.8043017643304248E-3</v>
      </c>
      <c r="O521" s="7">
        <v>0</v>
      </c>
      <c r="P521" s="7">
        <v>0</v>
      </c>
    </row>
    <row r="522" spans="1:16" x14ac:dyDescent="0.3">
      <c r="A522" s="1">
        <v>44218</v>
      </c>
      <c r="B522" s="2">
        <v>282.21331800000002</v>
      </c>
      <c r="C522" s="2">
        <v>225.95</v>
      </c>
      <c r="F522" s="1">
        <v>44218</v>
      </c>
      <c r="G522" s="2">
        <f t="shared" si="16"/>
        <v>1.9507393198863682E-3</v>
      </c>
      <c r="H522" s="2">
        <f t="shared" si="17"/>
        <v>4.3466758758810339E-3</v>
      </c>
      <c r="I522" s="7">
        <v>0</v>
      </c>
      <c r="J522" s="7">
        <v>0</v>
      </c>
      <c r="K522" s="7">
        <v>0</v>
      </c>
      <c r="L522" s="7">
        <v>0</v>
      </c>
      <c r="M522" s="7">
        <v>0</v>
      </c>
      <c r="N522" s="7">
        <v>0</v>
      </c>
      <c r="O522" s="7">
        <v>1.9507393198863682E-3</v>
      </c>
      <c r="P522" s="7">
        <v>4.3466758758810339E-3</v>
      </c>
    </row>
    <row r="523" spans="1:16" x14ac:dyDescent="0.3">
      <c r="A523" s="1">
        <v>44221</v>
      </c>
      <c r="B523" s="2">
        <v>293.60000600000001</v>
      </c>
      <c r="C523" s="2">
        <v>229.53</v>
      </c>
      <c r="F523" s="1">
        <v>44221</v>
      </c>
      <c r="G523" s="2">
        <f t="shared" si="16"/>
        <v>3.9555085391389619E-2</v>
      </c>
      <c r="H523" s="2">
        <f t="shared" si="17"/>
        <v>1.5720004054581484E-2</v>
      </c>
      <c r="I523" s="7">
        <v>0</v>
      </c>
      <c r="J523" s="7">
        <v>0</v>
      </c>
      <c r="K523" s="7">
        <v>0</v>
      </c>
      <c r="L523" s="7">
        <v>0</v>
      </c>
      <c r="M523" s="7">
        <v>0</v>
      </c>
      <c r="N523" s="7">
        <v>0</v>
      </c>
      <c r="O523" s="7">
        <v>3.9555085391389619E-2</v>
      </c>
      <c r="P523" s="7">
        <v>1.5720004054581484E-2</v>
      </c>
    </row>
    <row r="524" spans="1:16" x14ac:dyDescent="0.3">
      <c r="A524" s="1">
        <v>44222</v>
      </c>
      <c r="B524" s="2">
        <v>294.36334199999999</v>
      </c>
      <c r="C524" s="2">
        <v>232.33</v>
      </c>
      <c r="F524" s="1">
        <v>44222</v>
      </c>
      <c r="G524" s="2">
        <f t="shared" si="16"/>
        <v>2.5965442623823243E-3</v>
      </c>
      <c r="H524" s="2">
        <f t="shared" si="17"/>
        <v>1.2125034875326434E-2</v>
      </c>
      <c r="I524" s="7">
        <v>0</v>
      </c>
      <c r="J524" s="7">
        <v>0</v>
      </c>
      <c r="K524" s="7">
        <v>0</v>
      </c>
      <c r="L524" s="7">
        <v>0</v>
      </c>
      <c r="M524" s="7">
        <v>0</v>
      </c>
      <c r="N524" s="7">
        <v>0</v>
      </c>
      <c r="O524" s="7">
        <v>2.5965442623823243E-3</v>
      </c>
      <c r="P524" s="7">
        <v>1.2125034875326434E-2</v>
      </c>
    </row>
    <row r="525" spans="1:16" x14ac:dyDescent="0.3">
      <c r="A525" s="1">
        <v>44223</v>
      </c>
      <c r="B525" s="2">
        <v>288.05334499999998</v>
      </c>
      <c r="C525" s="2">
        <v>232.9</v>
      </c>
      <c r="F525" s="1">
        <v>44223</v>
      </c>
      <c r="G525" s="2">
        <f t="shared" si="16"/>
        <v>-2.1669172760480512E-2</v>
      </c>
      <c r="H525" s="2">
        <f t="shared" si="17"/>
        <v>2.450402103098711E-3</v>
      </c>
      <c r="I525" s="7">
        <v>0</v>
      </c>
      <c r="J525" s="7">
        <v>0</v>
      </c>
      <c r="K525" s="7">
        <v>0</v>
      </c>
      <c r="L525" s="7">
        <v>0</v>
      </c>
      <c r="M525" s="7">
        <v>-2.1669172760480512E-2</v>
      </c>
      <c r="N525" s="7">
        <v>2.450402103098711E-3</v>
      </c>
      <c r="O525" s="7">
        <v>0</v>
      </c>
      <c r="P525" s="7">
        <v>0</v>
      </c>
    </row>
    <row r="526" spans="1:16" x14ac:dyDescent="0.3">
      <c r="A526" s="1">
        <v>44224</v>
      </c>
      <c r="B526" s="2">
        <v>278.476654</v>
      </c>
      <c r="C526" s="2">
        <v>238.93</v>
      </c>
      <c r="F526" s="1">
        <v>44224</v>
      </c>
      <c r="G526" s="2">
        <f t="shared" si="16"/>
        <v>-3.3811460472739238E-2</v>
      </c>
      <c r="H526" s="2">
        <f t="shared" si="17"/>
        <v>2.5561445112144004E-2</v>
      </c>
      <c r="I526" s="7">
        <v>0</v>
      </c>
      <c r="J526" s="7">
        <v>0</v>
      </c>
      <c r="K526" s="7">
        <v>0</v>
      </c>
      <c r="L526" s="7">
        <v>0</v>
      </c>
      <c r="M526" s="7">
        <v>-3.3811460472739238E-2</v>
      </c>
      <c r="N526" s="7">
        <v>2.5561445112144004E-2</v>
      </c>
      <c r="O526" s="7">
        <v>0</v>
      </c>
      <c r="P526" s="7">
        <v>0</v>
      </c>
    </row>
    <row r="527" spans="1:16" x14ac:dyDescent="0.3">
      <c r="A527" s="1">
        <v>44225</v>
      </c>
      <c r="B527" s="2">
        <v>264.51001000000002</v>
      </c>
      <c r="C527" s="2">
        <v>231.96</v>
      </c>
      <c r="F527" s="1">
        <v>44225</v>
      </c>
      <c r="G527" s="2">
        <f t="shared" si="16"/>
        <v>-5.1455132632691337E-2</v>
      </c>
      <c r="H527" s="2">
        <f t="shared" si="17"/>
        <v>-2.9605678994199372E-2</v>
      </c>
      <c r="I527" s="7">
        <v>-5.1455132632691337E-2</v>
      </c>
      <c r="J527" s="7">
        <v>-2.9605678994199372E-2</v>
      </c>
      <c r="K527" s="7">
        <v>0</v>
      </c>
      <c r="L527" s="7">
        <v>0</v>
      </c>
      <c r="M527" s="7">
        <v>0</v>
      </c>
      <c r="N527" s="7">
        <v>0</v>
      </c>
      <c r="O527" s="7">
        <v>0</v>
      </c>
      <c r="P527" s="7">
        <v>0</v>
      </c>
    </row>
    <row r="528" spans="1:16" x14ac:dyDescent="0.3">
      <c r="A528" s="1">
        <v>44228</v>
      </c>
      <c r="B528" s="2">
        <v>279.93667599999998</v>
      </c>
      <c r="C528" s="2">
        <v>239.65</v>
      </c>
      <c r="F528" s="1">
        <v>44228</v>
      </c>
      <c r="G528" s="2">
        <f t="shared" si="16"/>
        <v>5.6684324876210515E-2</v>
      </c>
      <c r="H528" s="2">
        <f t="shared" si="17"/>
        <v>3.2614582597400396E-2</v>
      </c>
      <c r="I528" s="7">
        <v>0</v>
      </c>
      <c r="J528" s="7">
        <v>0</v>
      </c>
      <c r="K528" s="7">
        <v>0</v>
      </c>
      <c r="L528" s="7">
        <v>0</v>
      </c>
      <c r="M528" s="7">
        <v>0</v>
      </c>
      <c r="N528" s="7">
        <v>0</v>
      </c>
      <c r="O528" s="7">
        <v>5.6684324876210515E-2</v>
      </c>
      <c r="P528" s="7">
        <v>3.2614582597400396E-2</v>
      </c>
    </row>
    <row r="529" spans="1:16" x14ac:dyDescent="0.3">
      <c r="A529" s="1">
        <v>44229</v>
      </c>
      <c r="B529" s="2">
        <v>290.92999300000002</v>
      </c>
      <c r="C529" s="2">
        <v>239.51</v>
      </c>
      <c r="F529" s="1">
        <v>44229</v>
      </c>
      <c r="G529" s="2">
        <f t="shared" si="16"/>
        <v>3.8519243896783247E-2</v>
      </c>
      <c r="H529" s="2">
        <f t="shared" si="17"/>
        <v>-5.8435597288530102E-4</v>
      </c>
      <c r="I529" s="7">
        <v>0</v>
      </c>
      <c r="J529" s="7">
        <v>0</v>
      </c>
      <c r="K529" s="7">
        <v>3.8519243896783247E-2</v>
      </c>
      <c r="L529" s="7">
        <v>-5.8435597288530102E-4</v>
      </c>
      <c r="M529" s="7">
        <v>0</v>
      </c>
      <c r="N529" s="7">
        <v>0</v>
      </c>
      <c r="O529" s="7">
        <v>0</v>
      </c>
      <c r="P529" s="7">
        <v>0</v>
      </c>
    </row>
    <row r="530" spans="1:16" x14ac:dyDescent="0.3">
      <c r="A530" s="1">
        <v>44230</v>
      </c>
      <c r="B530" s="2">
        <v>284.89666699999998</v>
      </c>
      <c r="C530" s="2">
        <v>243</v>
      </c>
      <c r="F530" s="1">
        <v>44230</v>
      </c>
      <c r="G530" s="2">
        <f t="shared" si="16"/>
        <v>-2.0956121752060818E-2</v>
      </c>
      <c r="H530" s="2">
        <f t="shared" si="17"/>
        <v>1.4466273707793423E-2</v>
      </c>
      <c r="I530" s="7">
        <v>0</v>
      </c>
      <c r="J530" s="7">
        <v>0</v>
      </c>
      <c r="K530" s="7">
        <v>0</v>
      </c>
      <c r="L530" s="7">
        <v>0</v>
      </c>
      <c r="M530" s="7">
        <v>-2.0956121752060818E-2</v>
      </c>
      <c r="N530" s="7">
        <v>1.4466273707793423E-2</v>
      </c>
      <c r="O530" s="7">
        <v>0</v>
      </c>
      <c r="P530" s="7">
        <v>0</v>
      </c>
    </row>
    <row r="531" spans="1:16" x14ac:dyDescent="0.3">
      <c r="A531" s="1">
        <v>44231</v>
      </c>
      <c r="B531" s="2">
        <v>283.32998700000002</v>
      </c>
      <c r="C531" s="2">
        <v>242.01</v>
      </c>
      <c r="F531" s="1">
        <v>44231</v>
      </c>
      <c r="G531" s="2">
        <f t="shared" si="16"/>
        <v>-5.5142924354600591E-3</v>
      </c>
      <c r="H531" s="2">
        <f t="shared" si="17"/>
        <v>-4.0823957235558176E-3</v>
      </c>
      <c r="I531" s="7">
        <v>-5.5142924354600591E-3</v>
      </c>
      <c r="J531" s="7">
        <v>-4.0823957235558176E-3</v>
      </c>
      <c r="K531" s="7">
        <v>0</v>
      </c>
      <c r="L531" s="7">
        <v>0</v>
      </c>
      <c r="M531" s="7">
        <v>0</v>
      </c>
      <c r="N531" s="7">
        <v>0</v>
      </c>
      <c r="O531" s="7">
        <v>0</v>
      </c>
      <c r="P531" s="7">
        <v>0</v>
      </c>
    </row>
    <row r="532" spans="1:16" x14ac:dyDescent="0.3">
      <c r="A532" s="1">
        <v>44232</v>
      </c>
      <c r="B532" s="2">
        <v>284.07666</v>
      </c>
      <c r="C532" s="2">
        <v>242.2</v>
      </c>
      <c r="F532" s="1">
        <v>44232</v>
      </c>
      <c r="G532" s="2">
        <f t="shared" si="16"/>
        <v>2.6318811559654081E-3</v>
      </c>
      <c r="H532" s="2">
        <f t="shared" si="17"/>
        <v>7.8478350199910401E-4</v>
      </c>
      <c r="I532" s="7">
        <v>0</v>
      </c>
      <c r="J532" s="7">
        <v>0</v>
      </c>
      <c r="K532" s="7">
        <v>0</v>
      </c>
      <c r="L532" s="7">
        <v>0</v>
      </c>
      <c r="M532" s="7">
        <v>0</v>
      </c>
      <c r="N532" s="7">
        <v>0</v>
      </c>
      <c r="O532" s="7">
        <v>2.6318811559654081E-3</v>
      </c>
      <c r="P532" s="7">
        <v>7.8478350199910401E-4</v>
      </c>
    </row>
    <row r="533" spans="1:16" x14ac:dyDescent="0.3">
      <c r="A533" s="1">
        <v>44235</v>
      </c>
      <c r="B533" s="2">
        <v>287.80667099999999</v>
      </c>
      <c r="C533" s="2">
        <v>242.47</v>
      </c>
      <c r="F533" s="1">
        <v>44235</v>
      </c>
      <c r="G533" s="2">
        <f t="shared" si="16"/>
        <v>1.304484216156928E-2</v>
      </c>
      <c r="H533" s="2">
        <f t="shared" si="17"/>
        <v>1.1141602654608418E-3</v>
      </c>
      <c r="I533" s="7">
        <v>0</v>
      </c>
      <c r="J533" s="7">
        <v>0</v>
      </c>
      <c r="K533" s="7">
        <v>0</v>
      </c>
      <c r="L533" s="7">
        <v>0</v>
      </c>
      <c r="M533" s="7">
        <v>0</v>
      </c>
      <c r="N533" s="7">
        <v>0</v>
      </c>
      <c r="O533" s="7">
        <v>1.304484216156928E-2</v>
      </c>
      <c r="P533" s="7">
        <v>1.1141602654608418E-3</v>
      </c>
    </row>
    <row r="534" spans="1:16" x14ac:dyDescent="0.3">
      <c r="A534" s="1">
        <v>44236</v>
      </c>
      <c r="B534" s="2">
        <v>283.15332000000001</v>
      </c>
      <c r="C534" s="2">
        <v>243.77</v>
      </c>
      <c r="F534" s="1">
        <v>44236</v>
      </c>
      <c r="G534" s="2">
        <f t="shared" si="16"/>
        <v>-1.6300455750757347E-2</v>
      </c>
      <c r="H534" s="2">
        <f t="shared" si="17"/>
        <v>5.3471664095328343E-3</v>
      </c>
      <c r="I534" s="7">
        <v>0</v>
      </c>
      <c r="J534" s="7">
        <v>0</v>
      </c>
      <c r="K534" s="7">
        <v>0</v>
      </c>
      <c r="L534" s="7">
        <v>0</v>
      </c>
      <c r="M534" s="7">
        <v>-1.6300455750757347E-2</v>
      </c>
      <c r="N534" s="7">
        <v>5.3471664095328343E-3</v>
      </c>
      <c r="O534" s="7">
        <v>0</v>
      </c>
      <c r="P534" s="7">
        <v>0</v>
      </c>
    </row>
    <row r="535" spans="1:16" x14ac:dyDescent="0.3">
      <c r="A535" s="1">
        <v>44237</v>
      </c>
      <c r="B535" s="2">
        <v>268.273346</v>
      </c>
      <c r="C535" s="2">
        <v>242.82</v>
      </c>
      <c r="F535" s="1">
        <v>44237</v>
      </c>
      <c r="G535" s="2">
        <f t="shared" si="16"/>
        <v>-5.3982109246304658E-2</v>
      </c>
      <c r="H535" s="2">
        <f t="shared" si="17"/>
        <v>-3.9047296781563713E-3</v>
      </c>
      <c r="I535" s="7">
        <v>-5.3982109246304658E-2</v>
      </c>
      <c r="J535" s="7">
        <v>-3.9047296781563713E-3</v>
      </c>
      <c r="K535" s="7">
        <v>0</v>
      </c>
      <c r="L535" s="7">
        <v>0</v>
      </c>
      <c r="M535" s="7">
        <v>0</v>
      </c>
      <c r="N535" s="7">
        <v>0</v>
      </c>
      <c r="O535" s="7">
        <v>0</v>
      </c>
      <c r="P535" s="7">
        <v>0</v>
      </c>
    </row>
    <row r="536" spans="1:16" x14ac:dyDescent="0.3">
      <c r="A536" s="1">
        <v>44238</v>
      </c>
      <c r="B536" s="2">
        <v>270.55334499999998</v>
      </c>
      <c r="C536" s="2">
        <v>244.49</v>
      </c>
      <c r="F536" s="1">
        <v>44238</v>
      </c>
      <c r="G536" s="2">
        <f t="shared" si="16"/>
        <v>8.462879237136893E-3</v>
      </c>
      <c r="H536" s="2">
        <f t="shared" si="17"/>
        <v>6.8539801671770222E-3</v>
      </c>
      <c r="I536" s="7">
        <v>0</v>
      </c>
      <c r="J536" s="7">
        <v>0</v>
      </c>
      <c r="K536" s="7">
        <v>0</v>
      </c>
      <c r="L536" s="7">
        <v>0</v>
      </c>
      <c r="M536" s="7">
        <v>0</v>
      </c>
      <c r="N536" s="7">
        <v>0</v>
      </c>
      <c r="O536" s="7">
        <v>8.462879237136893E-3</v>
      </c>
      <c r="P536" s="7">
        <v>6.8539801671770222E-3</v>
      </c>
    </row>
    <row r="537" spans="1:16" x14ac:dyDescent="0.3">
      <c r="A537" s="1">
        <v>44239</v>
      </c>
      <c r="B537" s="2">
        <v>272.040009</v>
      </c>
      <c r="C537" s="2">
        <v>244.99</v>
      </c>
      <c r="F537" s="1">
        <v>44239</v>
      </c>
      <c r="G537" s="2">
        <f t="shared" si="16"/>
        <v>5.4798596749264916E-3</v>
      </c>
      <c r="H537" s="2">
        <f t="shared" si="17"/>
        <v>2.0429851021811331E-3</v>
      </c>
      <c r="I537" s="7">
        <v>0</v>
      </c>
      <c r="J537" s="7">
        <v>0</v>
      </c>
      <c r="K537" s="7">
        <v>0</v>
      </c>
      <c r="L537" s="7">
        <v>0</v>
      </c>
      <c r="M537" s="7">
        <v>0</v>
      </c>
      <c r="N537" s="7">
        <v>0</v>
      </c>
      <c r="O537" s="7">
        <v>5.4798596749264916E-3</v>
      </c>
      <c r="P537" s="7">
        <v>2.0429851021811331E-3</v>
      </c>
    </row>
    <row r="538" spans="1:16" x14ac:dyDescent="0.3">
      <c r="A538" s="1">
        <v>44243</v>
      </c>
      <c r="B538" s="2">
        <v>265.406677</v>
      </c>
      <c r="C538" s="2">
        <v>243.7</v>
      </c>
      <c r="F538" s="1">
        <v>44243</v>
      </c>
      <c r="G538" s="2">
        <f t="shared" si="16"/>
        <v>-2.4685867557468277E-2</v>
      </c>
      <c r="H538" s="2">
        <f t="shared" si="17"/>
        <v>-5.2794327540269526E-3</v>
      </c>
      <c r="I538" s="7">
        <v>-2.4685867557468277E-2</v>
      </c>
      <c r="J538" s="7">
        <v>-5.2794327540269526E-3</v>
      </c>
      <c r="K538" s="7">
        <v>0</v>
      </c>
      <c r="L538" s="7">
        <v>0</v>
      </c>
      <c r="M538" s="7">
        <v>0</v>
      </c>
      <c r="N538" s="7">
        <v>0</v>
      </c>
      <c r="O538" s="7">
        <v>0</v>
      </c>
      <c r="P538" s="7">
        <v>0</v>
      </c>
    </row>
    <row r="539" spans="1:16" x14ac:dyDescent="0.3">
      <c r="A539" s="1">
        <v>44244</v>
      </c>
      <c r="B539" s="2">
        <v>266.04998799999998</v>
      </c>
      <c r="C539" s="2">
        <v>244.2</v>
      </c>
      <c r="F539" s="1">
        <v>44244</v>
      </c>
      <c r="G539" s="2">
        <f t="shared" si="16"/>
        <v>2.4209361047344015E-3</v>
      </c>
      <c r="H539" s="2">
        <f t="shared" si="17"/>
        <v>2.0496010454437901E-3</v>
      </c>
      <c r="I539" s="7">
        <v>0</v>
      </c>
      <c r="J539" s="7">
        <v>0</v>
      </c>
      <c r="K539" s="7">
        <v>0</v>
      </c>
      <c r="L539" s="7">
        <v>0</v>
      </c>
      <c r="M539" s="7">
        <v>0</v>
      </c>
      <c r="N539" s="7">
        <v>0</v>
      </c>
      <c r="O539" s="7">
        <v>2.4209361047344015E-3</v>
      </c>
      <c r="P539" s="7">
        <v>2.0496010454437901E-3</v>
      </c>
    </row>
    <row r="540" spans="1:16" x14ac:dyDescent="0.3">
      <c r="A540" s="1">
        <v>44245</v>
      </c>
      <c r="B540" s="2">
        <v>262.459991</v>
      </c>
      <c r="C540" s="2">
        <v>243.79</v>
      </c>
      <c r="F540" s="1">
        <v>44245</v>
      </c>
      <c r="G540" s="2">
        <f t="shared" si="16"/>
        <v>-1.3585560760873036E-2</v>
      </c>
      <c r="H540" s="2">
        <f t="shared" si="17"/>
        <v>-1.6803626978980956E-3</v>
      </c>
      <c r="I540" s="7">
        <v>-1.3585560760873036E-2</v>
      </c>
      <c r="J540" s="7">
        <v>-1.6803626978980956E-3</v>
      </c>
      <c r="K540" s="7">
        <v>0</v>
      </c>
      <c r="L540" s="7">
        <v>0</v>
      </c>
      <c r="M540" s="7">
        <v>0</v>
      </c>
      <c r="N540" s="7">
        <v>0</v>
      </c>
      <c r="O540" s="7">
        <v>0</v>
      </c>
      <c r="P540" s="7">
        <v>0</v>
      </c>
    </row>
    <row r="541" spans="1:16" x14ac:dyDescent="0.3">
      <c r="A541" s="1">
        <v>44246</v>
      </c>
      <c r="B541" s="2">
        <v>260.43331899999998</v>
      </c>
      <c r="C541" s="2">
        <v>240.97</v>
      </c>
      <c r="F541" s="1">
        <v>44246</v>
      </c>
      <c r="G541" s="2">
        <f t="shared" si="16"/>
        <v>-7.7517998790907336E-3</v>
      </c>
      <c r="H541" s="2">
        <f t="shared" si="17"/>
        <v>-1.1634754564295583E-2</v>
      </c>
      <c r="I541" s="7">
        <v>-7.7517998790907336E-3</v>
      </c>
      <c r="J541" s="7">
        <v>-1.1634754564295583E-2</v>
      </c>
      <c r="K541" s="7">
        <v>0</v>
      </c>
      <c r="L541" s="7">
        <v>0</v>
      </c>
      <c r="M541" s="7">
        <v>0</v>
      </c>
      <c r="N541" s="7">
        <v>0</v>
      </c>
      <c r="O541" s="7">
        <v>0</v>
      </c>
      <c r="P541" s="7">
        <v>0</v>
      </c>
    </row>
    <row r="542" spans="1:16" x14ac:dyDescent="0.3">
      <c r="A542" s="1">
        <v>44249</v>
      </c>
      <c r="B542" s="2">
        <v>238.16667200000001</v>
      </c>
      <c r="C542" s="2">
        <v>234.51</v>
      </c>
      <c r="F542" s="1">
        <v>44249</v>
      </c>
      <c r="G542" s="2">
        <f t="shared" si="16"/>
        <v>-8.937612420301555E-2</v>
      </c>
      <c r="H542" s="2">
        <f t="shared" si="17"/>
        <v>-2.7174213514061924E-2</v>
      </c>
      <c r="I542" s="7">
        <v>-8.937612420301555E-2</v>
      </c>
      <c r="J542" s="7">
        <v>-2.7174213514061924E-2</v>
      </c>
      <c r="K542" s="7">
        <v>0</v>
      </c>
      <c r="L542" s="7">
        <v>0</v>
      </c>
      <c r="M542" s="7">
        <v>0</v>
      </c>
      <c r="N542" s="7">
        <v>0</v>
      </c>
      <c r="O542" s="7">
        <v>0</v>
      </c>
      <c r="P542" s="7">
        <v>0</v>
      </c>
    </row>
    <row r="543" spans="1:16" x14ac:dyDescent="0.3">
      <c r="A543" s="1">
        <v>44250</v>
      </c>
      <c r="B543" s="2">
        <v>232.94667100000001</v>
      </c>
      <c r="C543" s="2">
        <v>233.27</v>
      </c>
      <c r="F543" s="1">
        <v>44250</v>
      </c>
      <c r="G543" s="2">
        <f t="shared" si="16"/>
        <v>-2.2161183554705113E-2</v>
      </c>
      <c r="H543" s="2">
        <f t="shared" si="17"/>
        <v>-5.3016499398840034E-3</v>
      </c>
      <c r="I543" s="7">
        <v>-2.2161183554705113E-2</v>
      </c>
      <c r="J543" s="7">
        <v>-5.3016499398840034E-3</v>
      </c>
      <c r="K543" s="7">
        <v>0</v>
      </c>
      <c r="L543" s="7">
        <v>0</v>
      </c>
      <c r="M543" s="7">
        <v>0</v>
      </c>
      <c r="N543" s="7">
        <v>0</v>
      </c>
      <c r="O543" s="7">
        <v>0</v>
      </c>
      <c r="P543" s="7">
        <v>0</v>
      </c>
    </row>
    <row r="544" spans="1:16" x14ac:dyDescent="0.3">
      <c r="A544" s="1">
        <v>44251</v>
      </c>
      <c r="B544" s="2">
        <v>247.33999600000001</v>
      </c>
      <c r="C544" s="2">
        <v>234.55</v>
      </c>
      <c r="F544" s="1">
        <v>44251</v>
      </c>
      <c r="G544" s="2">
        <f t="shared" si="16"/>
        <v>5.9954344601451062E-2</v>
      </c>
      <c r="H544" s="2">
        <f t="shared" si="17"/>
        <v>5.47220381400237E-3</v>
      </c>
      <c r="I544" s="7">
        <v>0</v>
      </c>
      <c r="J544" s="7">
        <v>0</v>
      </c>
      <c r="K544" s="7">
        <v>0</v>
      </c>
      <c r="L544" s="7">
        <v>0</v>
      </c>
      <c r="M544" s="7">
        <v>0</v>
      </c>
      <c r="N544" s="7">
        <v>0</v>
      </c>
      <c r="O544" s="7">
        <v>5.9954344601451062E-2</v>
      </c>
      <c r="P544" s="7">
        <v>5.47220381400237E-3</v>
      </c>
    </row>
    <row r="545" spans="1:16" x14ac:dyDescent="0.3">
      <c r="A545" s="1">
        <v>44252</v>
      </c>
      <c r="B545" s="2">
        <v>227.40666200000001</v>
      </c>
      <c r="C545" s="2">
        <v>228.99</v>
      </c>
      <c r="F545" s="1">
        <v>44252</v>
      </c>
      <c r="G545" s="2">
        <f t="shared" si="16"/>
        <v>-8.4024014860516028E-2</v>
      </c>
      <c r="H545" s="2">
        <f t="shared" si="17"/>
        <v>-2.3990450295978374E-2</v>
      </c>
      <c r="I545" s="7">
        <v>-8.4024014860516028E-2</v>
      </c>
      <c r="J545" s="7">
        <v>-2.3990450295978374E-2</v>
      </c>
      <c r="K545" s="7">
        <v>0</v>
      </c>
      <c r="L545" s="7">
        <v>0</v>
      </c>
      <c r="M545" s="7">
        <v>0</v>
      </c>
      <c r="N545" s="7">
        <v>0</v>
      </c>
      <c r="O545" s="7">
        <v>0</v>
      </c>
      <c r="P545" s="7">
        <v>0</v>
      </c>
    </row>
    <row r="546" spans="1:16" x14ac:dyDescent="0.3">
      <c r="A546" s="1">
        <v>44253</v>
      </c>
      <c r="B546" s="2">
        <v>225.16667200000001</v>
      </c>
      <c r="C546" s="2">
        <v>232.38</v>
      </c>
      <c r="F546" s="1">
        <v>44253</v>
      </c>
      <c r="G546" s="2">
        <f t="shared" si="16"/>
        <v>-9.8989848630220683E-3</v>
      </c>
      <c r="H546" s="2">
        <f t="shared" si="17"/>
        <v>1.4695628276227099E-2</v>
      </c>
      <c r="I546" s="7">
        <v>0</v>
      </c>
      <c r="J546" s="7">
        <v>0</v>
      </c>
      <c r="K546" s="7">
        <v>0</v>
      </c>
      <c r="L546" s="7">
        <v>0</v>
      </c>
      <c r="M546" s="7">
        <v>-9.8989848630220683E-3</v>
      </c>
      <c r="N546" s="7">
        <v>1.4695628276227099E-2</v>
      </c>
      <c r="O546" s="7">
        <v>0</v>
      </c>
      <c r="P546" s="7">
        <v>0</v>
      </c>
    </row>
    <row r="547" spans="1:16" x14ac:dyDescent="0.3">
      <c r="A547" s="1">
        <v>44256</v>
      </c>
      <c r="B547" s="2">
        <v>239.47666899999999</v>
      </c>
      <c r="C547" s="2">
        <v>236.94</v>
      </c>
      <c r="F547" s="1">
        <v>44256</v>
      </c>
      <c r="G547" s="2">
        <f t="shared" si="16"/>
        <v>6.1615104238622993E-2</v>
      </c>
      <c r="H547" s="2">
        <f t="shared" si="17"/>
        <v>1.9432981771897336E-2</v>
      </c>
      <c r="I547" s="7">
        <v>0</v>
      </c>
      <c r="J547" s="7">
        <v>0</v>
      </c>
      <c r="K547" s="7">
        <v>0</v>
      </c>
      <c r="L547" s="7">
        <v>0</v>
      </c>
      <c r="M547" s="7">
        <v>0</v>
      </c>
      <c r="N547" s="7">
        <v>0</v>
      </c>
      <c r="O547" s="7">
        <v>6.1615104238622993E-2</v>
      </c>
      <c r="P547" s="7">
        <v>1.9432981771897336E-2</v>
      </c>
    </row>
    <row r="548" spans="1:16" x14ac:dyDescent="0.3">
      <c r="A548" s="1">
        <v>44257</v>
      </c>
      <c r="B548" s="2">
        <v>228.81333900000001</v>
      </c>
      <c r="C548" s="2">
        <v>233.87</v>
      </c>
      <c r="F548" s="1">
        <v>44257</v>
      </c>
      <c r="G548" s="2">
        <f t="shared" si="16"/>
        <v>-4.5549439025476188E-2</v>
      </c>
      <c r="H548" s="2">
        <f t="shared" si="17"/>
        <v>-1.304153910263451E-2</v>
      </c>
      <c r="I548" s="7">
        <v>-4.5549439025476188E-2</v>
      </c>
      <c r="J548" s="7">
        <v>-1.304153910263451E-2</v>
      </c>
      <c r="K548" s="7">
        <v>0</v>
      </c>
      <c r="L548" s="7">
        <v>0</v>
      </c>
      <c r="M548" s="7">
        <v>0</v>
      </c>
      <c r="N548" s="7">
        <v>0</v>
      </c>
      <c r="O548" s="7">
        <v>0</v>
      </c>
      <c r="P548" s="7">
        <v>0</v>
      </c>
    </row>
    <row r="549" spans="1:16" x14ac:dyDescent="0.3">
      <c r="A549" s="1">
        <v>44258</v>
      </c>
      <c r="B549" s="2">
        <v>217.73333700000001</v>
      </c>
      <c r="C549" s="2">
        <v>227.56</v>
      </c>
      <c r="F549" s="1">
        <v>44258</v>
      </c>
      <c r="G549" s="2">
        <f t="shared" si="16"/>
        <v>-4.9635468363077258E-2</v>
      </c>
      <c r="H549" s="2">
        <f t="shared" si="17"/>
        <v>-2.7351465541531846E-2</v>
      </c>
      <c r="I549" s="7">
        <v>-4.9635468363077258E-2</v>
      </c>
      <c r="J549" s="7">
        <v>-2.7351465541531846E-2</v>
      </c>
      <c r="K549" s="7">
        <v>0</v>
      </c>
      <c r="L549" s="7">
        <v>0</v>
      </c>
      <c r="M549" s="7">
        <v>0</v>
      </c>
      <c r="N549" s="7">
        <v>0</v>
      </c>
      <c r="O549" s="7">
        <v>0</v>
      </c>
      <c r="P549" s="7">
        <v>0</v>
      </c>
    </row>
    <row r="550" spans="1:16" x14ac:dyDescent="0.3">
      <c r="A550" s="1">
        <v>44259</v>
      </c>
      <c r="B550" s="2">
        <v>207.14666700000001</v>
      </c>
      <c r="C550" s="2">
        <v>226.73</v>
      </c>
      <c r="F550" s="1">
        <v>44259</v>
      </c>
      <c r="G550" s="2">
        <f t="shared" si="16"/>
        <v>-4.9844010664410153E-2</v>
      </c>
      <c r="H550" s="2">
        <f t="shared" si="17"/>
        <v>-3.654057643895496E-3</v>
      </c>
      <c r="I550" s="7">
        <v>-4.9844010664410153E-2</v>
      </c>
      <c r="J550" s="7">
        <v>-3.654057643895496E-3</v>
      </c>
      <c r="K550" s="7">
        <v>0</v>
      </c>
      <c r="L550" s="7">
        <v>0</v>
      </c>
      <c r="M550" s="7">
        <v>0</v>
      </c>
      <c r="N550" s="7">
        <v>0</v>
      </c>
      <c r="O550" s="7">
        <v>0</v>
      </c>
      <c r="P550" s="7">
        <v>0</v>
      </c>
    </row>
    <row r="551" spans="1:16" x14ac:dyDescent="0.3">
      <c r="A551" s="1">
        <v>44260</v>
      </c>
      <c r="B551" s="2">
        <v>199.316666</v>
      </c>
      <c r="C551" s="2">
        <v>231.6</v>
      </c>
      <c r="F551" s="1">
        <v>44260</v>
      </c>
      <c r="G551" s="2">
        <f t="shared" si="16"/>
        <v>-3.8532232202016112E-2</v>
      </c>
      <c r="H551" s="2">
        <f t="shared" si="17"/>
        <v>2.1251863460288959E-2</v>
      </c>
      <c r="I551" s="7">
        <v>0</v>
      </c>
      <c r="J551" s="7">
        <v>0</v>
      </c>
      <c r="K551" s="7">
        <v>0</v>
      </c>
      <c r="L551" s="7">
        <v>0</v>
      </c>
      <c r="M551" s="7">
        <v>-3.8532232202016112E-2</v>
      </c>
      <c r="N551" s="7">
        <v>2.1251863460288959E-2</v>
      </c>
      <c r="O551" s="7">
        <v>0</v>
      </c>
      <c r="P551" s="7">
        <v>0</v>
      </c>
    </row>
    <row r="552" spans="1:16" x14ac:dyDescent="0.3">
      <c r="A552" s="1">
        <v>44263</v>
      </c>
      <c r="B552" s="2">
        <v>187.66667200000001</v>
      </c>
      <c r="C552" s="2">
        <v>227.39</v>
      </c>
      <c r="F552" s="1">
        <v>44263</v>
      </c>
      <c r="G552" s="2">
        <f t="shared" si="16"/>
        <v>-6.0227478511182188E-2</v>
      </c>
      <c r="H552" s="2">
        <f t="shared" si="17"/>
        <v>-1.8345140723140273E-2</v>
      </c>
      <c r="I552" s="7">
        <v>-6.0227478511182188E-2</v>
      </c>
      <c r="J552" s="7">
        <v>-1.8345140723140273E-2</v>
      </c>
      <c r="K552" s="7">
        <v>0</v>
      </c>
      <c r="L552" s="7">
        <v>0</v>
      </c>
      <c r="M552" s="7">
        <v>0</v>
      </c>
      <c r="N552" s="7">
        <v>0</v>
      </c>
      <c r="O552" s="7">
        <v>0</v>
      </c>
      <c r="P552" s="7">
        <v>0</v>
      </c>
    </row>
    <row r="553" spans="1:16" x14ac:dyDescent="0.3">
      <c r="A553" s="1">
        <v>44264</v>
      </c>
      <c r="B553" s="2">
        <v>224.52667199999999</v>
      </c>
      <c r="C553" s="2">
        <v>233.78</v>
      </c>
      <c r="F553" s="1">
        <v>44264</v>
      </c>
      <c r="G553" s="2">
        <f t="shared" si="16"/>
        <v>0.17932713847072396</v>
      </c>
      <c r="H553" s="2">
        <f t="shared" si="17"/>
        <v>2.7713897203924476E-2</v>
      </c>
      <c r="I553" s="7">
        <v>0</v>
      </c>
      <c r="J553" s="7">
        <v>0</v>
      </c>
      <c r="K553" s="7">
        <v>0</v>
      </c>
      <c r="L553" s="7">
        <v>0</v>
      </c>
      <c r="M553" s="7">
        <v>0</v>
      </c>
      <c r="N553" s="7">
        <v>0</v>
      </c>
      <c r="O553" s="7">
        <v>0.17932713847072396</v>
      </c>
      <c r="P553" s="7">
        <v>2.7713897203924476E-2</v>
      </c>
    </row>
    <row r="554" spans="1:16" x14ac:dyDescent="0.3">
      <c r="A554" s="1">
        <v>44265</v>
      </c>
      <c r="B554" s="2">
        <v>222.68666099999999</v>
      </c>
      <c r="C554" s="2">
        <v>232.42</v>
      </c>
      <c r="F554" s="1">
        <v>44265</v>
      </c>
      <c r="G554" s="2">
        <f t="shared" si="16"/>
        <v>-8.2288306140931907E-3</v>
      </c>
      <c r="H554" s="2">
        <f t="shared" si="17"/>
        <v>-5.834422384896603E-3</v>
      </c>
      <c r="I554" s="7">
        <v>-8.2288306140931907E-3</v>
      </c>
      <c r="J554" s="7">
        <v>-5.834422384896603E-3</v>
      </c>
      <c r="K554" s="7">
        <v>0</v>
      </c>
      <c r="L554" s="7">
        <v>0</v>
      </c>
      <c r="M554" s="7">
        <v>0</v>
      </c>
      <c r="N554" s="7">
        <v>0</v>
      </c>
      <c r="O554" s="7">
        <v>0</v>
      </c>
      <c r="P554" s="7">
        <v>0</v>
      </c>
    </row>
    <row r="555" spans="1:16" x14ac:dyDescent="0.3">
      <c r="A555" s="1">
        <v>44266</v>
      </c>
      <c r="B555" s="2">
        <v>233.199997</v>
      </c>
      <c r="C555" s="2">
        <v>237.13</v>
      </c>
      <c r="F555" s="1">
        <v>44266</v>
      </c>
      <c r="G555" s="2">
        <f t="shared" si="16"/>
        <v>4.6130765864449121E-2</v>
      </c>
      <c r="H555" s="2">
        <f t="shared" si="17"/>
        <v>2.0062434163290697E-2</v>
      </c>
      <c r="I555" s="7">
        <v>0</v>
      </c>
      <c r="J555" s="7">
        <v>0</v>
      </c>
      <c r="K555" s="7">
        <v>0</v>
      </c>
      <c r="L555" s="7">
        <v>0</v>
      </c>
      <c r="M555" s="7">
        <v>0</v>
      </c>
      <c r="N555" s="7">
        <v>0</v>
      </c>
      <c r="O555" s="7">
        <v>4.6130765864449121E-2</v>
      </c>
      <c r="P555" s="7">
        <v>2.0062434163290697E-2</v>
      </c>
    </row>
    <row r="556" spans="1:16" x14ac:dyDescent="0.3">
      <c r="A556" s="1">
        <v>44267</v>
      </c>
      <c r="B556" s="2">
        <v>231.24333200000001</v>
      </c>
      <c r="C556" s="2">
        <v>235.75</v>
      </c>
      <c r="F556" s="1">
        <v>44267</v>
      </c>
      <c r="G556" s="2">
        <f t="shared" si="16"/>
        <v>-8.4259002296280718E-3</v>
      </c>
      <c r="H556" s="2">
        <f t="shared" si="17"/>
        <v>-5.8365924444513141E-3</v>
      </c>
      <c r="I556" s="7">
        <v>-8.4259002296280718E-3</v>
      </c>
      <c r="J556" s="7">
        <v>-5.8365924444513141E-3</v>
      </c>
      <c r="K556" s="7">
        <v>0</v>
      </c>
      <c r="L556" s="7">
        <v>0</v>
      </c>
      <c r="M556" s="7">
        <v>0</v>
      </c>
      <c r="N556" s="7">
        <v>0</v>
      </c>
      <c r="O556" s="7">
        <v>0</v>
      </c>
      <c r="P556" s="7">
        <v>0</v>
      </c>
    </row>
    <row r="557" spans="1:16" x14ac:dyDescent="0.3">
      <c r="A557" s="1">
        <v>44270</v>
      </c>
      <c r="B557" s="2">
        <v>235.979996</v>
      </c>
      <c r="C557" s="2">
        <v>234.81</v>
      </c>
      <c r="F557" s="1">
        <v>44270</v>
      </c>
      <c r="G557" s="2">
        <f t="shared" si="16"/>
        <v>2.0276497338968948E-2</v>
      </c>
      <c r="H557" s="2">
        <f t="shared" si="17"/>
        <v>-3.9952450287103793E-3</v>
      </c>
      <c r="I557" s="7">
        <v>0</v>
      </c>
      <c r="J557" s="7">
        <v>0</v>
      </c>
      <c r="K557" s="7">
        <v>2.0276497338968948E-2</v>
      </c>
      <c r="L557" s="7">
        <v>-3.9952450287103793E-3</v>
      </c>
      <c r="M557" s="7">
        <v>0</v>
      </c>
      <c r="N557" s="7">
        <v>0</v>
      </c>
      <c r="O557" s="7">
        <v>0</v>
      </c>
      <c r="P557" s="7">
        <v>0</v>
      </c>
    </row>
    <row r="558" spans="1:16" x14ac:dyDescent="0.3">
      <c r="A558" s="1">
        <v>44271</v>
      </c>
      <c r="B558" s="2">
        <v>225.62666300000001</v>
      </c>
      <c r="C558" s="2">
        <v>237.71</v>
      </c>
      <c r="F558" s="1">
        <v>44271</v>
      </c>
      <c r="G558" s="2">
        <f t="shared" si="16"/>
        <v>-4.4865339024082546E-2</v>
      </c>
      <c r="H558" s="2">
        <f t="shared" si="17"/>
        <v>1.2274766832308631E-2</v>
      </c>
      <c r="I558" s="7">
        <v>0</v>
      </c>
      <c r="J558" s="7">
        <v>0</v>
      </c>
      <c r="K558" s="7">
        <v>0</v>
      </c>
      <c r="L558" s="7">
        <v>0</v>
      </c>
      <c r="M558" s="7">
        <v>-4.4865339024082546E-2</v>
      </c>
      <c r="N558" s="7">
        <v>1.2274766832308631E-2</v>
      </c>
      <c r="O558" s="7">
        <v>0</v>
      </c>
      <c r="P558" s="7">
        <v>0</v>
      </c>
    </row>
    <row r="559" spans="1:16" x14ac:dyDescent="0.3">
      <c r="A559" s="1">
        <v>44272</v>
      </c>
      <c r="B559" s="2">
        <v>233.93666099999999</v>
      </c>
      <c r="C559" s="2">
        <v>237.04</v>
      </c>
      <c r="F559" s="1">
        <v>44272</v>
      </c>
      <c r="G559" s="2">
        <f t="shared" si="16"/>
        <v>3.6168699533115939E-2</v>
      </c>
      <c r="H559" s="2">
        <f t="shared" si="17"/>
        <v>-2.8225400518554584E-3</v>
      </c>
      <c r="I559" s="7">
        <v>0</v>
      </c>
      <c r="J559" s="7">
        <v>0</v>
      </c>
      <c r="K559" s="7">
        <v>3.6168699533115939E-2</v>
      </c>
      <c r="L559" s="7">
        <v>-2.8225400518554584E-3</v>
      </c>
      <c r="M559" s="7">
        <v>0</v>
      </c>
      <c r="N559" s="7">
        <v>0</v>
      </c>
      <c r="O559" s="7">
        <v>0</v>
      </c>
      <c r="P559" s="7">
        <v>0</v>
      </c>
    </row>
    <row r="560" spans="1:16" x14ac:dyDescent="0.3">
      <c r="A560" s="1">
        <v>44273</v>
      </c>
      <c r="B560" s="2">
        <v>217.720001</v>
      </c>
      <c r="C560" s="2">
        <v>230.72</v>
      </c>
      <c r="F560" s="1">
        <v>44273</v>
      </c>
      <c r="G560" s="2">
        <f t="shared" si="16"/>
        <v>-7.184056107116292E-2</v>
      </c>
      <c r="H560" s="2">
        <f t="shared" si="17"/>
        <v>-2.7024049168725462E-2</v>
      </c>
      <c r="I560" s="7">
        <v>-7.184056107116292E-2</v>
      </c>
      <c r="J560" s="7">
        <v>-2.7024049168725462E-2</v>
      </c>
      <c r="K560" s="7">
        <v>0</v>
      </c>
      <c r="L560" s="7">
        <v>0</v>
      </c>
      <c r="M560" s="7">
        <v>0</v>
      </c>
      <c r="N560" s="7">
        <v>0</v>
      </c>
      <c r="O560" s="7">
        <v>0</v>
      </c>
      <c r="P560" s="7">
        <v>0</v>
      </c>
    </row>
    <row r="561" spans="1:16" x14ac:dyDescent="0.3">
      <c r="A561" s="1">
        <v>44274</v>
      </c>
      <c r="B561" s="2">
        <v>218.28999300000001</v>
      </c>
      <c r="C561" s="2">
        <v>230.35</v>
      </c>
      <c r="F561" s="1">
        <v>44274</v>
      </c>
      <c r="G561" s="2">
        <f t="shared" si="16"/>
        <v>2.6145837597827469E-3</v>
      </c>
      <c r="H561" s="2">
        <f t="shared" si="17"/>
        <v>-1.6049627146583368E-3</v>
      </c>
      <c r="I561" s="7">
        <v>0</v>
      </c>
      <c r="J561" s="7">
        <v>0</v>
      </c>
      <c r="K561" s="7">
        <v>2.6145837597827469E-3</v>
      </c>
      <c r="L561" s="7">
        <v>-1.6049627146583368E-3</v>
      </c>
      <c r="M561" s="7">
        <v>0</v>
      </c>
      <c r="N561" s="7">
        <v>0</v>
      </c>
      <c r="O561" s="7">
        <v>0</v>
      </c>
      <c r="P561" s="7">
        <v>0</v>
      </c>
    </row>
    <row r="562" spans="1:16" x14ac:dyDescent="0.3">
      <c r="A562" s="1">
        <v>44277</v>
      </c>
      <c r="B562" s="2">
        <v>223.33332799999999</v>
      </c>
      <c r="C562" s="2">
        <v>235.99</v>
      </c>
      <c r="F562" s="1">
        <v>44277</v>
      </c>
      <c r="G562" s="2">
        <f t="shared" si="16"/>
        <v>2.2840977917467326E-2</v>
      </c>
      <c r="H562" s="2">
        <f t="shared" si="17"/>
        <v>2.4189539864572236E-2</v>
      </c>
      <c r="I562" s="7">
        <v>0</v>
      </c>
      <c r="J562" s="7">
        <v>0</v>
      </c>
      <c r="K562" s="7">
        <v>0</v>
      </c>
      <c r="L562" s="7">
        <v>0</v>
      </c>
      <c r="M562" s="7">
        <v>0</v>
      </c>
      <c r="N562" s="7">
        <v>0</v>
      </c>
      <c r="O562" s="7">
        <v>2.2840977917467326E-2</v>
      </c>
      <c r="P562" s="7">
        <v>2.4189539864572236E-2</v>
      </c>
    </row>
    <row r="563" spans="1:16" x14ac:dyDescent="0.3">
      <c r="A563" s="1">
        <v>44278</v>
      </c>
      <c r="B563" s="2">
        <v>220.720001</v>
      </c>
      <c r="C563" s="2">
        <v>237.58</v>
      </c>
      <c r="F563" s="1">
        <v>44278</v>
      </c>
      <c r="G563" s="2">
        <f t="shared" si="16"/>
        <v>-1.1770465396647122E-2</v>
      </c>
      <c r="H563" s="2">
        <f t="shared" si="17"/>
        <v>6.7149776148953564E-3</v>
      </c>
      <c r="I563" s="7">
        <v>0</v>
      </c>
      <c r="J563" s="7">
        <v>0</v>
      </c>
      <c r="K563" s="7">
        <v>0</v>
      </c>
      <c r="L563" s="7">
        <v>0</v>
      </c>
      <c r="M563" s="7">
        <v>-1.1770465396647122E-2</v>
      </c>
      <c r="N563" s="7">
        <v>6.7149776148953564E-3</v>
      </c>
      <c r="O563" s="7">
        <v>0</v>
      </c>
      <c r="P563" s="7">
        <v>0</v>
      </c>
    </row>
    <row r="564" spans="1:16" x14ac:dyDescent="0.3">
      <c r="A564" s="1">
        <v>44279</v>
      </c>
      <c r="B564" s="2">
        <v>210.08999600000001</v>
      </c>
      <c r="C564" s="2">
        <v>235.46</v>
      </c>
      <c r="F564" s="1">
        <v>44279</v>
      </c>
      <c r="G564" s="2">
        <f t="shared" si="16"/>
        <v>-4.9358943143581011E-2</v>
      </c>
      <c r="H564" s="2">
        <f t="shared" si="17"/>
        <v>-8.9633612113428109E-3</v>
      </c>
      <c r="I564" s="7">
        <v>-4.9358943143581011E-2</v>
      </c>
      <c r="J564" s="7">
        <v>-8.9633612113428109E-3</v>
      </c>
      <c r="K564" s="7">
        <v>0</v>
      </c>
      <c r="L564" s="7">
        <v>0</v>
      </c>
      <c r="M564" s="7">
        <v>0</v>
      </c>
      <c r="N564" s="7">
        <v>0</v>
      </c>
      <c r="O564" s="7">
        <v>0</v>
      </c>
      <c r="P564" s="7">
        <v>0</v>
      </c>
    </row>
    <row r="565" spans="1:16" x14ac:dyDescent="0.3">
      <c r="A565" s="1">
        <v>44280</v>
      </c>
      <c r="B565" s="2">
        <v>213.46333300000001</v>
      </c>
      <c r="C565" s="2">
        <v>232.34</v>
      </c>
      <c r="F565" s="1">
        <v>44280</v>
      </c>
      <c r="G565" s="2">
        <f t="shared" si="16"/>
        <v>1.592908423443094E-2</v>
      </c>
      <c r="H565" s="2">
        <f t="shared" si="17"/>
        <v>-1.3339231564721997E-2</v>
      </c>
      <c r="I565" s="7">
        <v>0</v>
      </c>
      <c r="J565" s="7">
        <v>0</v>
      </c>
      <c r="K565" s="7">
        <v>1.592908423443094E-2</v>
      </c>
      <c r="L565" s="7">
        <v>-1.3339231564721997E-2</v>
      </c>
      <c r="M565" s="7">
        <v>0</v>
      </c>
      <c r="N565" s="7">
        <v>0</v>
      </c>
      <c r="O565" s="7">
        <v>0</v>
      </c>
      <c r="P565" s="7">
        <v>0</v>
      </c>
    </row>
    <row r="566" spans="1:16" x14ac:dyDescent="0.3">
      <c r="A566" s="1">
        <v>44281</v>
      </c>
      <c r="B566" s="2">
        <v>206.23666399999999</v>
      </c>
      <c r="C566" s="2">
        <v>236.48</v>
      </c>
      <c r="F566" s="1">
        <v>44281</v>
      </c>
      <c r="G566" s="2">
        <f t="shared" si="16"/>
        <v>-3.4440711800165467E-2</v>
      </c>
      <c r="H566" s="2">
        <f t="shared" si="17"/>
        <v>1.7661821674508152E-2</v>
      </c>
      <c r="I566" s="7">
        <v>0</v>
      </c>
      <c r="J566" s="7">
        <v>0</v>
      </c>
      <c r="K566" s="7">
        <v>0</v>
      </c>
      <c r="L566" s="7">
        <v>0</v>
      </c>
      <c r="M566" s="7">
        <v>-3.4440711800165467E-2</v>
      </c>
      <c r="N566" s="7">
        <v>1.7661821674508152E-2</v>
      </c>
      <c r="O566" s="7">
        <v>0</v>
      </c>
      <c r="P566" s="7">
        <v>0</v>
      </c>
    </row>
    <row r="567" spans="1:16" x14ac:dyDescent="0.3">
      <c r="A567" s="1">
        <v>44284</v>
      </c>
      <c r="B567" s="2">
        <v>203.76333600000001</v>
      </c>
      <c r="C567" s="2">
        <v>235.24</v>
      </c>
      <c r="F567" s="1">
        <v>44284</v>
      </c>
      <c r="G567" s="2">
        <f t="shared" si="16"/>
        <v>-1.206516099057235E-2</v>
      </c>
      <c r="H567" s="2">
        <f t="shared" si="17"/>
        <v>-5.2573681680816919E-3</v>
      </c>
      <c r="I567" s="7">
        <v>-1.206516099057235E-2</v>
      </c>
      <c r="J567" s="7">
        <v>-5.2573681680816919E-3</v>
      </c>
      <c r="K567" s="7">
        <v>0</v>
      </c>
      <c r="L567" s="7">
        <v>0</v>
      </c>
      <c r="M567" s="7">
        <v>0</v>
      </c>
      <c r="N567" s="7">
        <v>0</v>
      </c>
      <c r="O567" s="7">
        <v>0</v>
      </c>
      <c r="P567" s="7">
        <v>0</v>
      </c>
    </row>
    <row r="568" spans="1:16" x14ac:dyDescent="0.3">
      <c r="A568" s="1">
        <v>44285</v>
      </c>
      <c r="B568" s="2">
        <v>211.87333699999999</v>
      </c>
      <c r="C568" s="2">
        <v>231.85</v>
      </c>
      <c r="F568" s="1">
        <v>44285</v>
      </c>
      <c r="G568" s="2">
        <f t="shared" si="16"/>
        <v>3.9029426396589947E-2</v>
      </c>
      <c r="H568" s="2">
        <f t="shared" si="17"/>
        <v>-1.4515658754285472E-2</v>
      </c>
      <c r="I568" s="7">
        <v>0</v>
      </c>
      <c r="J568" s="7">
        <v>0</v>
      </c>
      <c r="K568" s="7">
        <v>3.9029426396589947E-2</v>
      </c>
      <c r="L568" s="7">
        <v>-1.4515658754285472E-2</v>
      </c>
      <c r="M568" s="7">
        <v>0</v>
      </c>
      <c r="N568" s="7">
        <v>0</v>
      </c>
      <c r="O568" s="7">
        <v>0</v>
      </c>
      <c r="P568" s="7">
        <v>0</v>
      </c>
    </row>
    <row r="569" spans="1:16" x14ac:dyDescent="0.3">
      <c r="A569" s="1">
        <v>44286</v>
      </c>
      <c r="B569" s="2">
        <v>222.643326</v>
      </c>
      <c r="C569" s="2">
        <v>235.77</v>
      </c>
      <c r="F569" s="1">
        <v>44286</v>
      </c>
      <c r="G569" s="2">
        <f t="shared" si="16"/>
        <v>4.9582426884531135E-2</v>
      </c>
      <c r="H569" s="2">
        <f t="shared" si="17"/>
        <v>1.6766142708723539E-2</v>
      </c>
      <c r="I569" s="7">
        <v>0</v>
      </c>
      <c r="J569" s="7">
        <v>0</v>
      </c>
      <c r="K569" s="7">
        <v>0</v>
      </c>
      <c r="L569" s="7">
        <v>0</v>
      </c>
      <c r="M569" s="7">
        <v>0</v>
      </c>
      <c r="N569" s="7">
        <v>0</v>
      </c>
      <c r="O569" s="7">
        <v>4.9582426884531135E-2</v>
      </c>
      <c r="P569" s="7">
        <v>1.6766142708723539E-2</v>
      </c>
    </row>
    <row r="570" spans="1:16" x14ac:dyDescent="0.3">
      <c r="A570" s="1">
        <v>44287</v>
      </c>
      <c r="B570" s="2">
        <v>220.58332799999999</v>
      </c>
      <c r="C570" s="2">
        <v>242.35</v>
      </c>
      <c r="F570" s="1">
        <v>44287</v>
      </c>
      <c r="G570" s="2">
        <f t="shared" si="16"/>
        <v>-9.2955277601054365E-3</v>
      </c>
      <c r="H570" s="2">
        <f t="shared" si="17"/>
        <v>2.7526208745191651E-2</v>
      </c>
      <c r="I570" s="7">
        <v>0</v>
      </c>
      <c r="J570" s="7">
        <v>0</v>
      </c>
      <c r="K570" s="7">
        <v>0</v>
      </c>
      <c r="L570" s="7">
        <v>0</v>
      </c>
      <c r="M570" s="7">
        <v>-9.2955277601054365E-3</v>
      </c>
      <c r="N570" s="7">
        <v>2.7526208745191651E-2</v>
      </c>
      <c r="O570" s="7">
        <v>0</v>
      </c>
      <c r="P570" s="7">
        <v>0</v>
      </c>
    </row>
    <row r="571" spans="1:16" x14ac:dyDescent="0.3">
      <c r="A571" s="1">
        <v>44291</v>
      </c>
      <c r="B571" s="2">
        <v>230.35000600000001</v>
      </c>
      <c r="C571" s="2">
        <v>249.07</v>
      </c>
      <c r="F571" s="1">
        <v>44291</v>
      </c>
      <c r="G571" s="2">
        <f t="shared" si="16"/>
        <v>4.3324389168459411E-2</v>
      </c>
      <c r="H571" s="2">
        <f t="shared" si="17"/>
        <v>2.7351019163227245E-2</v>
      </c>
      <c r="I571" s="7">
        <v>0</v>
      </c>
      <c r="J571" s="7">
        <v>0</v>
      </c>
      <c r="K571" s="7">
        <v>0</v>
      </c>
      <c r="L571" s="7">
        <v>0</v>
      </c>
      <c r="M571" s="7">
        <v>0</v>
      </c>
      <c r="N571" s="7">
        <v>0</v>
      </c>
      <c r="O571" s="7">
        <v>4.3324389168459411E-2</v>
      </c>
      <c r="P571" s="7">
        <v>2.7351019163227245E-2</v>
      </c>
    </row>
    <row r="572" spans="1:16" x14ac:dyDescent="0.3">
      <c r="A572" s="1">
        <v>44292</v>
      </c>
      <c r="B572" s="2">
        <v>230.53999300000001</v>
      </c>
      <c r="C572" s="2">
        <v>247.86</v>
      </c>
      <c r="F572" s="1">
        <v>44292</v>
      </c>
      <c r="G572" s="2">
        <f t="shared" si="16"/>
        <v>8.2443538012665063E-4</v>
      </c>
      <c r="H572" s="2">
        <f t="shared" si="17"/>
        <v>-4.8699108178839228E-3</v>
      </c>
      <c r="I572" s="7">
        <v>0</v>
      </c>
      <c r="J572" s="7">
        <v>0</v>
      </c>
      <c r="K572" s="7">
        <v>8.2443538012665063E-4</v>
      </c>
      <c r="L572" s="7">
        <v>-4.8699108178839228E-3</v>
      </c>
      <c r="M572" s="7">
        <v>0</v>
      </c>
      <c r="N572" s="7">
        <v>0</v>
      </c>
      <c r="O572" s="7">
        <v>0</v>
      </c>
      <c r="P572" s="7">
        <v>0</v>
      </c>
    </row>
    <row r="573" spans="1:16" x14ac:dyDescent="0.3">
      <c r="A573" s="1">
        <v>44293</v>
      </c>
      <c r="B573" s="2">
        <v>223.65666200000001</v>
      </c>
      <c r="C573" s="2">
        <v>249.9</v>
      </c>
      <c r="F573" s="1">
        <v>44293</v>
      </c>
      <c r="G573" s="2">
        <f t="shared" si="16"/>
        <v>-3.0312235759580412E-2</v>
      </c>
      <c r="H573" s="2">
        <f t="shared" si="17"/>
        <v>8.1967672041784907E-3</v>
      </c>
      <c r="I573" s="7">
        <v>0</v>
      </c>
      <c r="J573" s="7">
        <v>0</v>
      </c>
      <c r="K573" s="7">
        <v>0</v>
      </c>
      <c r="L573" s="7">
        <v>0</v>
      </c>
      <c r="M573" s="7">
        <v>-3.0312235759580412E-2</v>
      </c>
      <c r="N573" s="7">
        <v>8.1967672041784907E-3</v>
      </c>
      <c r="O573" s="7">
        <v>0</v>
      </c>
      <c r="P573" s="7">
        <v>0</v>
      </c>
    </row>
    <row r="574" spans="1:16" x14ac:dyDescent="0.3">
      <c r="A574" s="1">
        <v>44294</v>
      </c>
      <c r="B574" s="2">
        <v>227.933334</v>
      </c>
      <c r="C574" s="2">
        <v>253.25</v>
      </c>
      <c r="F574" s="1">
        <v>44294</v>
      </c>
      <c r="G574" s="2">
        <f t="shared" si="16"/>
        <v>1.8941074412131609E-2</v>
      </c>
      <c r="H574" s="2">
        <f t="shared" si="17"/>
        <v>1.3316305287886111E-2</v>
      </c>
      <c r="I574" s="7">
        <v>0</v>
      </c>
      <c r="J574" s="7">
        <v>0</v>
      </c>
      <c r="K574" s="7">
        <v>0</v>
      </c>
      <c r="L574" s="7">
        <v>0</v>
      </c>
      <c r="M574" s="7">
        <v>0</v>
      </c>
      <c r="N574" s="7">
        <v>0</v>
      </c>
      <c r="O574" s="7">
        <v>1.8941074412131609E-2</v>
      </c>
      <c r="P574" s="7">
        <v>1.3316305287886111E-2</v>
      </c>
    </row>
    <row r="575" spans="1:16" x14ac:dyDescent="0.3">
      <c r="A575" s="1">
        <v>44295</v>
      </c>
      <c r="B575" s="2">
        <v>225.67334</v>
      </c>
      <c r="C575" s="2">
        <v>255.85</v>
      </c>
      <c r="F575" s="1">
        <v>44295</v>
      </c>
      <c r="G575" s="2">
        <f t="shared" si="16"/>
        <v>-9.9646360154036721E-3</v>
      </c>
      <c r="H575" s="2">
        <f t="shared" si="17"/>
        <v>1.0214192122307978E-2</v>
      </c>
      <c r="I575" s="7">
        <v>0</v>
      </c>
      <c r="J575" s="7">
        <v>0</v>
      </c>
      <c r="K575" s="7">
        <v>0</v>
      </c>
      <c r="L575" s="7">
        <v>0</v>
      </c>
      <c r="M575" s="7">
        <v>-9.9646360154036721E-3</v>
      </c>
      <c r="N575" s="7">
        <v>1.0214192122307978E-2</v>
      </c>
      <c r="O575" s="7">
        <v>0</v>
      </c>
      <c r="P575" s="7">
        <v>0</v>
      </c>
    </row>
    <row r="576" spans="1:16" x14ac:dyDescent="0.3">
      <c r="A576" s="1">
        <v>44298</v>
      </c>
      <c r="B576" s="2">
        <v>233.99333200000001</v>
      </c>
      <c r="C576" s="2">
        <v>255.91</v>
      </c>
      <c r="F576" s="1">
        <v>44298</v>
      </c>
      <c r="G576" s="2">
        <f t="shared" si="16"/>
        <v>3.6204063778675438E-2</v>
      </c>
      <c r="H576" s="2">
        <f t="shared" si="17"/>
        <v>2.3448491587822789E-4</v>
      </c>
      <c r="I576" s="7">
        <v>0</v>
      </c>
      <c r="J576" s="7">
        <v>0</v>
      </c>
      <c r="K576" s="7">
        <v>0</v>
      </c>
      <c r="L576" s="7">
        <v>0</v>
      </c>
      <c r="M576" s="7">
        <v>0</v>
      </c>
      <c r="N576" s="7">
        <v>0</v>
      </c>
      <c r="O576" s="7">
        <v>3.6204063778675438E-2</v>
      </c>
      <c r="P576" s="7">
        <v>2.3448491587822789E-4</v>
      </c>
    </row>
    <row r="577" spans="1:16" x14ac:dyDescent="0.3">
      <c r="A577" s="1">
        <v>44299</v>
      </c>
      <c r="B577" s="2">
        <v>254.106674</v>
      </c>
      <c r="C577" s="2">
        <v>258.49</v>
      </c>
      <c r="F577" s="1">
        <v>44299</v>
      </c>
      <c r="G577" s="2">
        <f t="shared" si="16"/>
        <v>8.2461536005899505E-2</v>
      </c>
      <c r="H577" s="2">
        <f t="shared" si="17"/>
        <v>1.0031188313696083E-2</v>
      </c>
      <c r="I577" s="7">
        <v>0</v>
      </c>
      <c r="J577" s="7">
        <v>0</v>
      </c>
      <c r="K577" s="7">
        <v>0</v>
      </c>
      <c r="L577" s="7">
        <v>0</v>
      </c>
      <c r="M577" s="7">
        <v>0</v>
      </c>
      <c r="N577" s="7">
        <v>0</v>
      </c>
      <c r="O577" s="7">
        <v>8.2461536005899505E-2</v>
      </c>
      <c r="P577" s="7">
        <v>1.0031188313696083E-2</v>
      </c>
    </row>
    <row r="578" spans="1:16" x14ac:dyDescent="0.3">
      <c r="A578" s="1">
        <v>44300</v>
      </c>
      <c r="B578" s="2">
        <v>244.07666</v>
      </c>
      <c r="C578" s="2">
        <v>255.59</v>
      </c>
      <c r="F578" s="1">
        <v>44300</v>
      </c>
      <c r="G578" s="2">
        <f t="shared" si="16"/>
        <v>-4.0271798954327774E-2</v>
      </c>
      <c r="H578" s="2">
        <f t="shared" si="17"/>
        <v>-1.1282410373317397E-2</v>
      </c>
      <c r="I578" s="7">
        <v>-4.0271798954327774E-2</v>
      </c>
      <c r="J578" s="7">
        <v>-1.1282410373317397E-2</v>
      </c>
      <c r="K578" s="7">
        <v>0</v>
      </c>
      <c r="L578" s="7">
        <v>0</v>
      </c>
      <c r="M578" s="7">
        <v>0</v>
      </c>
      <c r="N578" s="7">
        <v>0</v>
      </c>
      <c r="O578" s="7">
        <v>0</v>
      </c>
      <c r="P578" s="7">
        <v>0</v>
      </c>
    </row>
    <row r="579" spans="1:16" x14ac:dyDescent="0.3">
      <c r="A579" s="1">
        <v>44301</v>
      </c>
      <c r="B579" s="2">
        <v>246.28334000000001</v>
      </c>
      <c r="C579" s="2">
        <v>259.5</v>
      </c>
      <c r="F579" s="1">
        <v>44301</v>
      </c>
      <c r="G579" s="2">
        <f t="shared" si="16"/>
        <v>9.0003054738601977E-3</v>
      </c>
      <c r="H579" s="2">
        <f t="shared" si="17"/>
        <v>1.5182104498585642E-2</v>
      </c>
      <c r="I579" s="7">
        <v>0</v>
      </c>
      <c r="J579" s="7">
        <v>0</v>
      </c>
      <c r="K579" s="7">
        <v>0</v>
      </c>
      <c r="L579" s="7">
        <v>0</v>
      </c>
      <c r="M579" s="7">
        <v>0</v>
      </c>
      <c r="N579" s="7">
        <v>0</v>
      </c>
      <c r="O579" s="7">
        <v>9.0003054738601977E-3</v>
      </c>
      <c r="P579" s="7">
        <v>1.5182104498585642E-2</v>
      </c>
    </row>
    <row r="580" spans="1:16" x14ac:dyDescent="0.3">
      <c r="A580" s="1">
        <v>44302</v>
      </c>
      <c r="B580" s="2">
        <v>246.59333799999999</v>
      </c>
      <c r="C580" s="2">
        <v>260.74</v>
      </c>
      <c r="F580" s="1">
        <v>44302</v>
      </c>
      <c r="G580" s="2">
        <f t="shared" si="16"/>
        <v>1.2579132051240979E-3</v>
      </c>
      <c r="H580" s="2">
        <f t="shared" si="17"/>
        <v>4.7670396286894172E-3</v>
      </c>
      <c r="I580" s="7">
        <v>0</v>
      </c>
      <c r="J580" s="7">
        <v>0</v>
      </c>
      <c r="K580" s="7">
        <v>0</v>
      </c>
      <c r="L580" s="7">
        <v>0</v>
      </c>
      <c r="M580" s="7">
        <v>0</v>
      </c>
      <c r="N580" s="7">
        <v>0</v>
      </c>
      <c r="O580" s="7">
        <v>1.2579132051240979E-3</v>
      </c>
      <c r="P580" s="7">
        <v>4.7670396286894172E-3</v>
      </c>
    </row>
    <row r="581" spans="1:16" x14ac:dyDescent="0.3">
      <c r="A581" s="1">
        <v>44305</v>
      </c>
      <c r="B581" s="2">
        <v>238.21000699999999</v>
      </c>
      <c r="C581" s="2">
        <v>258.74</v>
      </c>
      <c r="F581" s="1">
        <v>44305</v>
      </c>
      <c r="G581" s="2">
        <f t="shared" si="16"/>
        <v>-3.4587908001787758E-2</v>
      </c>
      <c r="H581" s="2">
        <f t="shared" si="17"/>
        <v>-7.7000457448768191E-3</v>
      </c>
      <c r="I581" s="7">
        <v>-3.4587908001787758E-2</v>
      </c>
      <c r="J581" s="7">
        <v>-7.7000457448768191E-3</v>
      </c>
      <c r="K581" s="7">
        <v>0</v>
      </c>
      <c r="L581" s="7">
        <v>0</v>
      </c>
      <c r="M581" s="7">
        <v>0</v>
      </c>
      <c r="N581" s="7">
        <v>0</v>
      </c>
      <c r="O581" s="7">
        <v>0</v>
      </c>
      <c r="P581" s="7">
        <v>0</v>
      </c>
    </row>
    <row r="582" spans="1:16" x14ac:dyDescent="0.3">
      <c r="A582" s="1">
        <v>44306</v>
      </c>
      <c r="B582" s="2">
        <v>239.66333</v>
      </c>
      <c r="C582" s="2">
        <v>258.26</v>
      </c>
      <c r="F582" s="1">
        <v>44306</v>
      </c>
      <c r="G582" s="2">
        <f t="shared" ref="G582:G645" si="18">LN(B582/B581)</f>
        <v>6.0824798880130789E-3</v>
      </c>
      <c r="H582" s="2">
        <f t="shared" ref="H582:H645" si="19">LN(C582/C581)</f>
        <v>-1.8568670712503898E-3</v>
      </c>
      <c r="I582" s="7">
        <v>0</v>
      </c>
      <c r="J582" s="7">
        <v>0</v>
      </c>
      <c r="K582" s="7">
        <v>6.0824798880130789E-3</v>
      </c>
      <c r="L582" s="7">
        <v>-1.8568670712503898E-3</v>
      </c>
      <c r="M582" s="7">
        <v>0</v>
      </c>
      <c r="N582" s="7">
        <v>0</v>
      </c>
      <c r="O582" s="7">
        <v>0</v>
      </c>
      <c r="P582" s="7">
        <v>0</v>
      </c>
    </row>
    <row r="583" spans="1:16" x14ac:dyDescent="0.3">
      <c r="A583" s="1">
        <v>44307</v>
      </c>
      <c r="B583" s="2">
        <v>248.03999300000001</v>
      </c>
      <c r="C583" s="2">
        <v>260.58</v>
      </c>
      <c r="F583" s="1">
        <v>44307</v>
      </c>
      <c r="G583" s="2">
        <f t="shared" si="18"/>
        <v>3.4354848418446084E-2</v>
      </c>
      <c r="H583" s="2">
        <f t="shared" si="19"/>
        <v>8.9430863562799407E-3</v>
      </c>
      <c r="I583" s="7">
        <v>0</v>
      </c>
      <c r="J583" s="7">
        <v>0</v>
      </c>
      <c r="K583" s="7">
        <v>0</v>
      </c>
      <c r="L583" s="7">
        <v>0</v>
      </c>
      <c r="M583" s="7">
        <v>0</v>
      </c>
      <c r="N583" s="7">
        <v>0</v>
      </c>
      <c r="O583" s="7">
        <v>3.4354848418446084E-2</v>
      </c>
      <c r="P583" s="7">
        <v>8.9430863562799407E-3</v>
      </c>
    </row>
    <row r="584" spans="1:16" x14ac:dyDescent="0.3">
      <c r="A584" s="1">
        <v>44308</v>
      </c>
      <c r="B584" s="2">
        <v>239.89666700000001</v>
      </c>
      <c r="C584" s="2">
        <v>257.17</v>
      </c>
      <c r="F584" s="1">
        <v>44308</v>
      </c>
      <c r="G584" s="2">
        <f t="shared" si="18"/>
        <v>-3.3381718800156279E-2</v>
      </c>
      <c r="H584" s="2">
        <f t="shared" si="19"/>
        <v>-1.3172570960882771E-2</v>
      </c>
      <c r="I584" s="7">
        <v>-3.3381718800156279E-2</v>
      </c>
      <c r="J584" s="7">
        <v>-1.3172570960882771E-2</v>
      </c>
      <c r="K584" s="7">
        <v>0</v>
      </c>
      <c r="L584" s="7">
        <v>0</v>
      </c>
      <c r="M584" s="7">
        <v>0</v>
      </c>
      <c r="N584" s="7">
        <v>0</v>
      </c>
      <c r="O584" s="7">
        <v>0</v>
      </c>
      <c r="P584" s="7">
        <v>0</v>
      </c>
    </row>
    <row r="585" spans="1:16" x14ac:dyDescent="0.3">
      <c r="A585" s="1">
        <v>44309</v>
      </c>
      <c r="B585" s="2">
        <v>243.133331</v>
      </c>
      <c r="C585" s="2">
        <v>261.14999999999998</v>
      </c>
      <c r="F585" s="1">
        <v>44309</v>
      </c>
      <c r="G585" s="2">
        <f t="shared" si="18"/>
        <v>1.3401703649275098E-2</v>
      </c>
      <c r="H585" s="2">
        <f t="shared" si="19"/>
        <v>1.5357610068404972E-2</v>
      </c>
      <c r="I585" s="7">
        <v>0</v>
      </c>
      <c r="J585" s="7">
        <v>0</v>
      </c>
      <c r="K585" s="7">
        <v>0</v>
      </c>
      <c r="L585" s="7">
        <v>0</v>
      </c>
      <c r="M585" s="7">
        <v>0</v>
      </c>
      <c r="N585" s="7">
        <v>0</v>
      </c>
      <c r="O585" s="7">
        <v>1.3401703649275098E-2</v>
      </c>
      <c r="P585" s="7">
        <v>1.5357610068404972E-2</v>
      </c>
    </row>
    <row r="586" spans="1:16" x14ac:dyDescent="0.3">
      <c r="A586" s="1">
        <v>44312</v>
      </c>
      <c r="B586" s="2">
        <v>246.066666</v>
      </c>
      <c r="C586" s="2">
        <v>261.55</v>
      </c>
      <c r="F586" s="1">
        <v>44312</v>
      </c>
      <c r="G586" s="2">
        <f t="shared" si="18"/>
        <v>1.1992519108954549E-2</v>
      </c>
      <c r="H586" s="2">
        <f t="shared" si="19"/>
        <v>1.5305149343124748E-3</v>
      </c>
      <c r="I586" s="7">
        <v>0</v>
      </c>
      <c r="J586" s="7">
        <v>0</v>
      </c>
      <c r="K586" s="7">
        <v>0</v>
      </c>
      <c r="L586" s="7">
        <v>0</v>
      </c>
      <c r="M586" s="7">
        <v>0</v>
      </c>
      <c r="N586" s="7">
        <v>0</v>
      </c>
      <c r="O586" s="7">
        <v>1.1992519108954549E-2</v>
      </c>
      <c r="P586" s="7">
        <v>1.5305149343124748E-3</v>
      </c>
    </row>
    <row r="587" spans="1:16" x14ac:dyDescent="0.3">
      <c r="A587" s="1">
        <v>44313</v>
      </c>
      <c r="B587" s="2">
        <v>234.91333</v>
      </c>
      <c r="C587" s="2">
        <v>261.97000000000003</v>
      </c>
      <c r="F587" s="1">
        <v>44313</v>
      </c>
      <c r="G587" s="2">
        <f t="shared" si="18"/>
        <v>-4.6385861611560018E-2</v>
      </c>
      <c r="H587" s="2">
        <f t="shared" si="19"/>
        <v>1.604523571620534E-3</v>
      </c>
      <c r="I587" s="7">
        <v>0</v>
      </c>
      <c r="J587" s="7">
        <v>0</v>
      </c>
      <c r="K587" s="7">
        <v>0</v>
      </c>
      <c r="L587" s="7">
        <v>0</v>
      </c>
      <c r="M587" s="7">
        <v>-4.6385861611560018E-2</v>
      </c>
      <c r="N587" s="7">
        <v>1.604523571620534E-3</v>
      </c>
      <c r="O587" s="7">
        <v>0</v>
      </c>
      <c r="P587" s="7">
        <v>0</v>
      </c>
    </row>
    <row r="588" spans="1:16" x14ac:dyDescent="0.3">
      <c r="A588" s="1">
        <v>44314</v>
      </c>
      <c r="B588" s="2">
        <v>231.46665999999999</v>
      </c>
      <c r="C588" s="2">
        <v>254.56</v>
      </c>
      <c r="F588" s="1">
        <v>44314</v>
      </c>
      <c r="G588" s="2">
        <f t="shared" si="18"/>
        <v>-1.4780791730748625E-2</v>
      </c>
      <c r="H588" s="2">
        <f t="shared" si="19"/>
        <v>-2.8693428798763861E-2</v>
      </c>
      <c r="I588" s="7">
        <v>-1.4780791730748625E-2</v>
      </c>
      <c r="J588" s="7">
        <v>-2.8693428798763861E-2</v>
      </c>
      <c r="K588" s="7">
        <v>0</v>
      </c>
      <c r="L588" s="7">
        <v>0</v>
      </c>
      <c r="M588" s="7">
        <v>0</v>
      </c>
      <c r="N588" s="7">
        <v>0</v>
      </c>
      <c r="O588" s="7">
        <v>0</v>
      </c>
      <c r="P588" s="7">
        <v>0</v>
      </c>
    </row>
    <row r="589" spans="1:16" x14ac:dyDescent="0.3">
      <c r="A589" s="1">
        <v>44315</v>
      </c>
      <c r="B589" s="2">
        <v>225.66667200000001</v>
      </c>
      <c r="C589" s="2">
        <v>252.51</v>
      </c>
      <c r="F589" s="1">
        <v>44315</v>
      </c>
      <c r="G589" s="2">
        <f t="shared" si="18"/>
        <v>-2.5376837998343924E-2</v>
      </c>
      <c r="H589" s="2">
        <f t="shared" si="19"/>
        <v>-8.085712697882318E-3</v>
      </c>
      <c r="I589" s="7">
        <v>-2.5376837998343924E-2</v>
      </c>
      <c r="J589" s="7">
        <v>-8.085712697882318E-3</v>
      </c>
      <c r="K589" s="7">
        <v>0</v>
      </c>
      <c r="L589" s="7">
        <v>0</v>
      </c>
      <c r="M589" s="7">
        <v>0</v>
      </c>
      <c r="N589" s="7">
        <v>0</v>
      </c>
      <c r="O589" s="7">
        <v>0</v>
      </c>
      <c r="P589" s="7">
        <v>0</v>
      </c>
    </row>
    <row r="590" spans="1:16" x14ac:dyDescent="0.3">
      <c r="A590" s="1">
        <v>44316</v>
      </c>
      <c r="B590" s="2">
        <v>236.479996</v>
      </c>
      <c r="C590" s="2">
        <v>252.18</v>
      </c>
      <c r="F590" s="1">
        <v>44316</v>
      </c>
      <c r="G590" s="2">
        <f t="shared" si="18"/>
        <v>4.6804612967244197E-2</v>
      </c>
      <c r="H590" s="2">
        <f t="shared" si="19"/>
        <v>-1.3077336465140339E-3</v>
      </c>
      <c r="I590" s="7">
        <v>0</v>
      </c>
      <c r="J590" s="7">
        <v>0</v>
      </c>
      <c r="K590" s="7">
        <v>4.6804612967244197E-2</v>
      </c>
      <c r="L590" s="7">
        <v>-1.3077336465140339E-3</v>
      </c>
      <c r="M590" s="7">
        <v>0</v>
      </c>
      <c r="N590" s="7">
        <v>0</v>
      </c>
      <c r="O590" s="7">
        <v>0</v>
      </c>
      <c r="P590" s="7">
        <v>0</v>
      </c>
    </row>
    <row r="591" spans="1:16" x14ac:dyDescent="0.3">
      <c r="A591" s="1">
        <v>44319</v>
      </c>
      <c r="B591" s="2">
        <v>228.300003</v>
      </c>
      <c r="C591" s="2">
        <v>251.86</v>
      </c>
      <c r="F591" s="1">
        <v>44319</v>
      </c>
      <c r="G591" s="2">
        <f t="shared" si="18"/>
        <v>-3.5203054168732942E-2</v>
      </c>
      <c r="H591" s="2">
        <f t="shared" si="19"/>
        <v>-1.2697406673799784E-3</v>
      </c>
      <c r="I591" s="7">
        <v>-3.5203054168732942E-2</v>
      </c>
      <c r="J591" s="7">
        <v>-1.2697406673799784E-3</v>
      </c>
      <c r="K591" s="7">
        <v>0</v>
      </c>
      <c r="L591" s="7">
        <v>0</v>
      </c>
      <c r="M591" s="7">
        <v>0</v>
      </c>
      <c r="N591" s="7">
        <v>0</v>
      </c>
      <c r="O591" s="7">
        <v>0</v>
      </c>
      <c r="P591" s="7">
        <v>0</v>
      </c>
    </row>
    <row r="592" spans="1:16" x14ac:dyDescent="0.3">
      <c r="A592" s="1">
        <v>44320</v>
      </c>
      <c r="B592" s="2">
        <v>224.53334000000001</v>
      </c>
      <c r="C592" s="2">
        <v>247.79</v>
      </c>
      <c r="F592" s="1">
        <v>44320</v>
      </c>
      <c r="G592" s="2">
        <f t="shared" si="18"/>
        <v>-1.663636272513596E-2</v>
      </c>
      <c r="H592" s="2">
        <f t="shared" si="19"/>
        <v>-1.6291764322049221E-2</v>
      </c>
      <c r="I592" s="7">
        <v>-1.663636272513596E-2</v>
      </c>
      <c r="J592" s="7">
        <v>-1.6291764322049221E-2</v>
      </c>
      <c r="K592" s="7">
        <v>0</v>
      </c>
      <c r="L592" s="7">
        <v>0</v>
      </c>
      <c r="M592" s="7">
        <v>0</v>
      </c>
      <c r="N592" s="7">
        <v>0</v>
      </c>
      <c r="O592" s="7">
        <v>0</v>
      </c>
      <c r="P592" s="7">
        <v>0</v>
      </c>
    </row>
    <row r="593" spans="1:16" x14ac:dyDescent="0.3">
      <c r="A593" s="1">
        <v>44321</v>
      </c>
      <c r="B593" s="2">
        <v>223.64666700000001</v>
      </c>
      <c r="C593" s="2">
        <v>246.47</v>
      </c>
      <c r="F593" s="1">
        <v>44321</v>
      </c>
      <c r="G593" s="2">
        <f t="shared" si="18"/>
        <v>-3.9567769332405035E-3</v>
      </c>
      <c r="H593" s="2">
        <f t="shared" si="19"/>
        <v>-5.3413310333767731E-3</v>
      </c>
      <c r="I593" s="7">
        <v>-3.9567769332405035E-3</v>
      </c>
      <c r="J593" s="7">
        <v>-5.3413310333767731E-3</v>
      </c>
      <c r="K593" s="7">
        <v>0</v>
      </c>
      <c r="L593" s="7">
        <v>0</v>
      </c>
      <c r="M593" s="7">
        <v>0</v>
      </c>
      <c r="N593" s="7">
        <v>0</v>
      </c>
      <c r="O593" s="7">
        <v>0</v>
      </c>
      <c r="P593" s="7">
        <v>0</v>
      </c>
    </row>
    <row r="594" spans="1:16" x14ac:dyDescent="0.3">
      <c r="A594" s="1">
        <v>44322</v>
      </c>
      <c r="B594" s="2">
        <v>221.179993</v>
      </c>
      <c r="C594" s="2">
        <v>249.73</v>
      </c>
      <c r="F594" s="1">
        <v>44322</v>
      </c>
      <c r="G594" s="2">
        <f t="shared" si="18"/>
        <v>-1.1090609019195475E-2</v>
      </c>
      <c r="H594" s="2">
        <f t="shared" si="19"/>
        <v>1.3140052019727578E-2</v>
      </c>
      <c r="I594" s="7">
        <v>0</v>
      </c>
      <c r="J594" s="7">
        <v>0</v>
      </c>
      <c r="K594" s="7">
        <v>0</v>
      </c>
      <c r="L594" s="7">
        <v>0</v>
      </c>
      <c r="M594" s="7">
        <v>-1.1090609019195475E-2</v>
      </c>
      <c r="N594" s="7">
        <v>1.3140052019727578E-2</v>
      </c>
      <c r="O594" s="7">
        <v>0</v>
      </c>
      <c r="P594" s="7">
        <v>0</v>
      </c>
    </row>
    <row r="595" spans="1:16" x14ac:dyDescent="0.3">
      <c r="A595" s="1">
        <v>44323</v>
      </c>
      <c r="B595" s="2">
        <v>224.12333699999999</v>
      </c>
      <c r="C595" s="2">
        <v>252.46</v>
      </c>
      <c r="F595" s="1">
        <v>44323</v>
      </c>
      <c r="G595" s="2">
        <f t="shared" si="18"/>
        <v>1.3219693932450011E-2</v>
      </c>
      <c r="H595" s="2">
        <f t="shared" si="19"/>
        <v>1.087248608271364E-2</v>
      </c>
      <c r="I595" s="7">
        <v>0</v>
      </c>
      <c r="J595" s="7">
        <v>0</v>
      </c>
      <c r="K595" s="7">
        <v>0</v>
      </c>
      <c r="L595" s="7">
        <v>0</v>
      </c>
      <c r="M595" s="7">
        <v>0</v>
      </c>
      <c r="N595" s="7">
        <v>0</v>
      </c>
      <c r="O595" s="7">
        <v>1.3219693932450011E-2</v>
      </c>
      <c r="P595" s="7">
        <v>1.087248608271364E-2</v>
      </c>
    </row>
    <row r="596" spans="1:16" x14ac:dyDescent="0.3">
      <c r="A596" s="1">
        <v>44326</v>
      </c>
      <c r="B596" s="2">
        <v>209.679993</v>
      </c>
      <c r="C596" s="2">
        <v>247.18</v>
      </c>
      <c r="F596" s="1">
        <v>44326</v>
      </c>
      <c r="G596" s="2">
        <f t="shared" si="18"/>
        <v>-6.6613986300286504E-2</v>
      </c>
      <c r="H596" s="2">
        <f t="shared" si="19"/>
        <v>-2.1136004163126231E-2</v>
      </c>
      <c r="I596" s="7">
        <v>-6.6613986300286504E-2</v>
      </c>
      <c r="J596" s="7">
        <v>-2.1136004163126231E-2</v>
      </c>
      <c r="K596" s="7">
        <v>0</v>
      </c>
      <c r="L596" s="7">
        <v>0</v>
      </c>
      <c r="M596" s="7">
        <v>0</v>
      </c>
      <c r="N596" s="7">
        <v>0</v>
      </c>
      <c r="O596" s="7">
        <v>0</v>
      </c>
      <c r="P596" s="7">
        <v>0</v>
      </c>
    </row>
    <row r="597" spans="1:16" x14ac:dyDescent="0.3">
      <c r="A597" s="1">
        <v>44327</v>
      </c>
      <c r="B597" s="2">
        <v>205.73333700000001</v>
      </c>
      <c r="C597" s="2">
        <v>246.23</v>
      </c>
      <c r="F597" s="1">
        <v>44327</v>
      </c>
      <c r="G597" s="2">
        <f t="shared" si="18"/>
        <v>-1.900167598762607E-2</v>
      </c>
      <c r="H597" s="2">
        <f t="shared" si="19"/>
        <v>-3.8507576818855222E-3</v>
      </c>
      <c r="I597" s="7">
        <v>-1.900167598762607E-2</v>
      </c>
      <c r="J597" s="7">
        <v>-3.8507576818855222E-3</v>
      </c>
      <c r="K597" s="7">
        <v>0</v>
      </c>
      <c r="L597" s="7">
        <v>0</v>
      </c>
      <c r="M597" s="7">
        <v>0</v>
      </c>
      <c r="N597" s="7">
        <v>0</v>
      </c>
      <c r="O597" s="7">
        <v>0</v>
      </c>
      <c r="P597" s="7">
        <v>0</v>
      </c>
    </row>
    <row r="598" spans="1:16" x14ac:dyDescent="0.3">
      <c r="A598" s="1">
        <v>44328</v>
      </c>
      <c r="B598" s="2">
        <v>196.63000500000001</v>
      </c>
      <c r="C598" s="2">
        <v>239</v>
      </c>
      <c r="F598" s="1">
        <v>44328</v>
      </c>
      <c r="G598" s="2">
        <f t="shared" si="18"/>
        <v>-4.5257034043384721E-2</v>
      </c>
      <c r="H598" s="2">
        <f t="shared" si="19"/>
        <v>-2.9802506548193289E-2</v>
      </c>
      <c r="I598" s="7">
        <v>-4.5257034043384721E-2</v>
      </c>
      <c r="J598" s="7">
        <v>-2.9802506548193289E-2</v>
      </c>
      <c r="K598" s="7">
        <v>0</v>
      </c>
      <c r="L598" s="7">
        <v>0</v>
      </c>
      <c r="M598" s="7">
        <v>0</v>
      </c>
      <c r="N598" s="7">
        <v>0</v>
      </c>
      <c r="O598" s="7">
        <v>0</v>
      </c>
      <c r="P598" s="7">
        <v>0</v>
      </c>
    </row>
    <row r="599" spans="1:16" x14ac:dyDescent="0.3">
      <c r="A599" s="1">
        <v>44329</v>
      </c>
      <c r="B599" s="2">
        <v>190.56333900000001</v>
      </c>
      <c r="C599" s="2">
        <v>243.03</v>
      </c>
      <c r="F599" s="1">
        <v>44329</v>
      </c>
      <c r="G599" s="2">
        <f t="shared" si="18"/>
        <v>-3.1339188106151925E-2</v>
      </c>
      <c r="H599" s="2">
        <f t="shared" si="19"/>
        <v>1.6721340578998951E-2</v>
      </c>
      <c r="I599" s="7">
        <v>0</v>
      </c>
      <c r="J599" s="7">
        <v>0</v>
      </c>
      <c r="K599" s="7">
        <v>0</v>
      </c>
      <c r="L599" s="7">
        <v>0</v>
      </c>
      <c r="M599" s="7">
        <v>-3.1339188106151925E-2</v>
      </c>
      <c r="N599" s="7">
        <v>1.6721340578998951E-2</v>
      </c>
      <c r="O599" s="7">
        <v>0</v>
      </c>
      <c r="P599" s="7">
        <v>0</v>
      </c>
    </row>
    <row r="600" spans="1:16" x14ac:dyDescent="0.3">
      <c r="A600" s="1">
        <v>44330</v>
      </c>
      <c r="B600" s="2">
        <v>196.58000200000001</v>
      </c>
      <c r="C600" s="2">
        <v>248.15</v>
      </c>
      <c r="F600" s="1">
        <v>44330</v>
      </c>
      <c r="G600" s="2">
        <f t="shared" si="18"/>
        <v>3.1084855818675126E-2</v>
      </c>
      <c r="H600" s="2">
        <f t="shared" si="19"/>
        <v>2.0848509522940189E-2</v>
      </c>
      <c r="I600" s="7">
        <v>0</v>
      </c>
      <c r="J600" s="7">
        <v>0</v>
      </c>
      <c r="K600" s="7">
        <v>0</v>
      </c>
      <c r="L600" s="7">
        <v>0</v>
      </c>
      <c r="M600" s="7">
        <v>0</v>
      </c>
      <c r="N600" s="7">
        <v>0</v>
      </c>
      <c r="O600" s="7">
        <v>3.1084855818675126E-2</v>
      </c>
      <c r="P600" s="7">
        <v>2.0848509522940189E-2</v>
      </c>
    </row>
    <row r="601" spans="1:16" x14ac:dyDescent="0.3">
      <c r="A601" s="1">
        <v>44333</v>
      </c>
      <c r="B601" s="2">
        <v>192.27667199999999</v>
      </c>
      <c r="C601" s="2">
        <v>245.18</v>
      </c>
      <c r="F601" s="1">
        <v>44333</v>
      </c>
      <c r="G601" s="2">
        <f t="shared" si="18"/>
        <v>-2.2134148528850428E-2</v>
      </c>
      <c r="H601" s="2">
        <f t="shared" si="19"/>
        <v>-1.2040767366601623E-2</v>
      </c>
      <c r="I601" s="7">
        <v>-2.2134148528850428E-2</v>
      </c>
      <c r="J601" s="7">
        <v>-1.2040767366601623E-2</v>
      </c>
      <c r="K601" s="7">
        <v>0</v>
      </c>
      <c r="L601" s="7">
        <v>0</v>
      </c>
      <c r="M601" s="7">
        <v>0</v>
      </c>
      <c r="N601" s="7">
        <v>0</v>
      </c>
      <c r="O601" s="7">
        <v>0</v>
      </c>
      <c r="P601" s="7">
        <v>0</v>
      </c>
    </row>
    <row r="602" spans="1:16" x14ac:dyDescent="0.3">
      <c r="A602" s="1">
        <v>44334</v>
      </c>
      <c r="B602" s="2">
        <v>192.62333699999999</v>
      </c>
      <c r="C602" s="2">
        <v>243.08</v>
      </c>
      <c r="F602" s="1">
        <v>44334</v>
      </c>
      <c r="G602" s="2">
        <f t="shared" si="18"/>
        <v>1.8013254644399549E-3</v>
      </c>
      <c r="H602" s="2">
        <f t="shared" si="19"/>
        <v>-8.6020273996936375E-3</v>
      </c>
      <c r="I602" s="7">
        <v>0</v>
      </c>
      <c r="J602" s="7">
        <v>0</v>
      </c>
      <c r="K602" s="7">
        <v>1.8013254644399549E-3</v>
      </c>
      <c r="L602" s="7">
        <v>-8.6020273996936375E-3</v>
      </c>
      <c r="M602" s="7">
        <v>0</v>
      </c>
      <c r="N602" s="7">
        <v>0</v>
      </c>
      <c r="O602" s="7">
        <v>0</v>
      </c>
      <c r="P602" s="7">
        <v>0</v>
      </c>
    </row>
    <row r="603" spans="1:16" x14ac:dyDescent="0.3">
      <c r="A603" s="1">
        <v>44335</v>
      </c>
      <c r="B603" s="2">
        <v>187.820007</v>
      </c>
      <c r="C603" s="2">
        <v>243.12</v>
      </c>
      <c r="F603" s="1">
        <v>44335</v>
      </c>
      <c r="G603" s="2">
        <f t="shared" si="18"/>
        <v>-2.5252565601854619E-2</v>
      </c>
      <c r="H603" s="2">
        <f t="shared" si="19"/>
        <v>1.6454134138308837E-4</v>
      </c>
      <c r="I603" s="7">
        <v>0</v>
      </c>
      <c r="J603" s="7">
        <v>0</v>
      </c>
      <c r="K603" s="7">
        <v>0</v>
      </c>
      <c r="L603" s="7">
        <v>0</v>
      </c>
      <c r="M603" s="7">
        <v>-2.5252565601854619E-2</v>
      </c>
      <c r="N603" s="7">
        <v>1.6454134138308837E-4</v>
      </c>
      <c r="O603" s="7">
        <v>0</v>
      </c>
      <c r="P603" s="7">
        <v>0</v>
      </c>
    </row>
    <row r="604" spans="1:16" x14ac:dyDescent="0.3">
      <c r="A604" s="1">
        <v>44336</v>
      </c>
      <c r="B604" s="2">
        <v>195.59333799999999</v>
      </c>
      <c r="C604" s="2">
        <v>246.48</v>
      </c>
      <c r="F604" s="1">
        <v>44336</v>
      </c>
      <c r="G604" s="2">
        <f t="shared" si="18"/>
        <v>4.0553603069788911E-2</v>
      </c>
      <c r="H604" s="2">
        <f t="shared" si="19"/>
        <v>1.3725705679874824E-2</v>
      </c>
      <c r="I604" s="7">
        <v>0</v>
      </c>
      <c r="J604" s="7">
        <v>0</v>
      </c>
      <c r="K604" s="7">
        <v>0</v>
      </c>
      <c r="L604" s="7">
        <v>0</v>
      </c>
      <c r="M604" s="7">
        <v>0</v>
      </c>
      <c r="N604" s="7">
        <v>0</v>
      </c>
      <c r="O604" s="7">
        <v>4.0553603069788911E-2</v>
      </c>
      <c r="P604" s="7">
        <v>1.3725705679874824E-2</v>
      </c>
    </row>
    <row r="605" spans="1:16" x14ac:dyDescent="0.3">
      <c r="A605" s="1">
        <v>44337</v>
      </c>
      <c r="B605" s="2">
        <v>193.62666300000001</v>
      </c>
      <c r="C605" s="2">
        <v>245.17</v>
      </c>
      <c r="F605" s="1">
        <v>44337</v>
      </c>
      <c r="G605" s="2">
        <f t="shared" si="18"/>
        <v>-1.0105810248886205E-2</v>
      </c>
      <c r="H605" s="2">
        <f t="shared" si="19"/>
        <v>-5.3290068143913806E-3</v>
      </c>
      <c r="I605" s="7">
        <v>-1.0105810248886205E-2</v>
      </c>
      <c r="J605" s="7">
        <v>-5.3290068143913806E-3</v>
      </c>
      <c r="K605" s="7">
        <v>0</v>
      </c>
      <c r="L605" s="7">
        <v>0</v>
      </c>
      <c r="M605" s="7">
        <v>0</v>
      </c>
      <c r="N605" s="7">
        <v>0</v>
      </c>
      <c r="O605" s="7">
        <v>0</v>
      </c>
      <c r="P605" s="7">
        <v>0</v>
      </c>
    </row>
    <row r="606" spans="1:16" x14ac:dyDescent="0.3">
      <c r="A606" s="1">
        <v>44340</v>
      </c>
      <c r="B606" s="2">
        <v>202.14666700000001</v>
      </c>
      <c r="C606" s="2">
        <v>250.78</v>
      </c>
      <c r="F606" s="1">
        <v>44340</v>
      </c>
      <c r="G606" s="2">
        <f t="shared" si="18"/>
        <v>4.3061620727143049E-2</v>
      </c>
      <c r="H606" s="2">
        <f t="shared" si="19"/>
        <v>2.2624213288370842E-2</v>
      </c>
      <c r="I606" s="7">
        <v>0</v>
      </c>
      <c r="J606" s="7">
        <v>0</v>
      </c>
      <c r="K606" s="7">
        <v>0</v>
      </c>
      <c r="L606" s="7">
        <v>0</v>
      </c>
      <c r="M606" s="7">
        <v>0</v>
      </c>
      <c r="N606" s="7">
        <v>0</v>
      </c>
      <c r="O606" s="7">
        <v>4.3061620727143049E-2</v>
      </c>
      <c r="P606" s="7">
        <v>2.2624213288370842E-2</v>
      </c>
    </row>
    <row r="607" spans="1:16" x14ac:dyDescent="0.3">
      <c r="A607" s="1">
        <v>44341</v>
      </c>
      <c r="B607" s="2">
        <v>201.56333900000001</v>
      </c>
      <c r="C607" s="2">
        <v>251.72</v>
      </c>
      <c r="F607" s="1">
        <v>44341</v>
      </c>
      <c r="G607" s="2">
        <f t="shared" si="18"/>
        <v>-2.8898387321902846E-3</v>
      </c>
      <c r="H607" s="2">
        <f t="shared" si="19"/>
        <v>3.741297896340983E-3</v>
      </c>
      <c r="I607" s="7">
        <v>0</v>
      </c>
      <c r="J607" s="7">
        <v>0</v>
      </c>
      <c r="K607" s="7">
        <v>0</v>
      </c>
      <c r="L607" s="7">
        <v>0</v>
      </c>
      <c r="M607" s="7">
        <v>-2.8898387321902846E-3</v>
      </c>
      <c r="N607" s="7">
        <v>3.741297896340983E-3</v>
      </c>
      <c r="O607" s="7">
        <v>0</v>
      </c>
      <c r="P607" s="7">
        <v>0</v>
      </c>
    </row>
    <row r="608" spans="1:16" x14ac:dyDescent="0.3">
      <c r="A608" s="1">
        <v>44342</v>
      </c>
      <c r="B608" s="2">
        <v>206.37666300000001</v>
      </c>
      <c r="C608" s="2">
        <v>251.49</v>
      </c>
      <c r="F608" s="1">
        <v>44342</v>
      </c>
      <c r="G608" s="2">
        <f t="shared" si="18"/>
        <v>2.3599290892354571E-2</v>
      </c>
      <c r="H608" s="2">
        <f t="shared" si="19"/>
        <v>-9.1413134085714361E-4</v>
      </c>
      <c r="I608" s="7">
        <v>0</v>
      </c>
      <c r="J608" s="7">
        <v>0</v>
      </c>
      <c r="K608" s="7">
        <v>2.3599290892354571E-2</v>
      </c>
      <c r="L608" s="7">
        <v>-9.1413134085714361E-4</v>
      </c>
      <c r="M608" s="7">
        <v>0</v>
      </c>
      <c r="N608" s="7">
        <v>0</v>
      </c>
      <c r="O608" s="7">
        <v>0</v>
      </c>
      <c r="P608" s="7">
        <v>0</v>
      </c>
    </row>
    <row r="609" spans="1:16" x14ac:dyDescent="0.3">
      <c r="A609" s="1">
        <v>44343</v>
      </c>
      <c r="B609" s="2">
        <v>210.28334000000001</v>
      </c>
      <c r="C609" s="2">
        <v>249.31</v>
      </c>
      <c r="F609" s="1">
        <v>44343</v>
      </c>
      <c r="G609" s="2">
        <f t="shared" si="18"/>
        <v>1.8752899054494437E-2</v>
      </c>
      <c r="H609" s="2">
        <f t="shared" si="19"/>
        <v>-8.7061252783603871E-3</v>
      </c>
      <c r="I609" s="7">
        <v>0</v>
      </c>
      <c r="J609" s="7">
        <v>0</v>
      </c>
      <c r="K609" s="7">
        <v>1.8752899054494437E-2</v>
      </c>
      <c r="L609" s="7">
        <v>-8.7061252783603871E-3</v>
      </c>
      <c r="M609" s="7">
        <v>0</v>
      </c>
      <c r="N609" s="7">
        <v>0</v>
      </c>
      <c r="O609" s="7">
        <v>0</v>
      </c>
      <c r="P609" s="7">
        <v>0</v>
      </c>
    </row>
    <row r="610" spans="1:16" x14ac:dyDescent="0.3">
      <c r="A610" s="1">
        <v>44344</v>
      </c>
      <c r="B610" s="2">
        <v>208.40666200000001</v>
      </c>
      <c r="C610" s="2">
        <v>249.68</v>
      </c>
      <c r="F610" s="1">
        <v>44344</v>
      </c>
      <c r="G610" s="2">
        <f t="shared" si="18"/>
        <v>-8.9645826701897843E-3</v>
      </c>
      <c r="H610" s="2">
        <f t="shared" si="19"/>
        <v>1.4829959230085934E-3</v>
      </c>
      <c r="I610" s="7">
        <v>0</v>
      </c>
      <c r="J610" s="7">
        <v>0</v>
      </c>
      <c r="K610" s="7">
        <v>0</v>
      </c>
      <c r="L610" s="7">
        <v>0</v>
      </c>
      <c r="M610" s="7">
        <v>-8.9645826701897843E-3</v>
      </c>
      <c r="N610" s="7">
        <v>1.4829959230085934E-3</v>
      </c>
      <c r="O610" s="7">
        <v>0</v>
      </c>
      <c r="P610" s="7">
        <v>0</v>
      </c>
    </row>
    <row r="611" spans="1:16" x14ac:dyDescent="0.3">
      <c r="A611" s="1">
        <v>44348</v>
      </c>
      <c r="B611" s="2">
        <v>207.96665999999999</v>
      </c>
      <c r="C611" s="2">
        <v>247.4</v>
      </c>
      <c r="F611" s="1">
        <v>44348</v>
      </c>
      <c r="G611" s="2">
        <f t="shared" si="18"/>
        <v>-2.1134983464967242E-3</v>
      </c>
      <c r="H611" s="2">
        <f t="shared" si="19"/>
        <v>-9.173638004136524E-3</v>
      </c>
      <c r="I611" s="7">
        <v>-2.1134983464967242E-3</v>
      </c>
      <c r="J611" s="7">
        <v>-9.173638004136524E-3</v>
      </c>
      <c r="K611" s="7">
        <v>0</v>
      </c>
      <c r="L611" s="7">
        <v>0</v>
      </c>
      <c r="M611" s="7">
        <v>0</v>
      </c>
      <c r="N611" s="7">
        <v>0</v>
      </c>
      <c r="O611" s="7">
        <v>0</v>
      </c>
      <c r="P611" s="7">
        <v>0</v>
      </c>
    </row>
    <row r="612" spans="1:16" x14ac:dyDescent="0.3">
      <c r="A612" s="1">
        <v>44349</v>
      </c>
      <c r="B612" s="2">
        <v>201.70666499999999</v>
      </c>
      <c r="C612" s="2">
        <v>247.3</v>
      </c>
      <c r="F612" s="1">
        <v>44349</v>
      </c>
      <c r="G612" s="2">
        <f t="shared" si="18"/>
        <v>-3.0563289853052195E-2</v>
      </c>
      <c r="H612" s="2">
        <f t="shared" si="19"/>
        <v>-4.0428543101701521E-4</v>
      </c>
      <c r="I612" s="7">
        <v>-3.0563289853052195E-2</v>
      </c>
      <c r="J612" s="7">
        <v>-4.0428543101701521E-4</v>
      </c>
      <c r="K612" s="7">
        <v>0</v>
      </c>
      <c r="L612" s="7">
        <v>0</v>
      </c>
      <c r="M612" s="7">
        <v>0</v>
      </c>
      <c r="N612" s="7">
        <v>0</v>
      </c>
      <c r="O612" s="7">
        <v>0</v>
      </c>
      <c r="P612" s="7">
        <v>0</v>
      </c>
    </row>
    <row r="613" spans="1:16" x14ac:dyDescent="0.3">
      <c r="A613" s="1">
        <v>44350</v>
      </c>
      <c r="B613" s="2">
        <v>190.94667100000001</v>
      </c>
      <c r="C613" s="2">
        <v>245.71</v>
      </c>
      <c r="F613" s="1">
        <v>44350</v>
      </c>
      <c r="G613" s="2">
        <f t="shared" si="18"/>
        <v>-5.482030890282108E-2</v>
      </c>
      <c r="H613" s="2">
        <f t="shared" si="19"/>
        <v>-6.4501957877612448E-3</v>
      </c>
      <c r="I613" s="7">
        <v>-5.482030890282108E-2</v>
      </c>
      <c r="J613" s="7">
        <v>-6.4501957877612448E-3</v>
      </c>
      <c r="K613" s="7">
        <v>0</v>
      </c>
      <c r="L613" s="7">
        <v>0</v>
      </c>
      <c r="M613" s="7">
        <v>0</v>
      </c>
      <c r="N613" s="7">
        <v>0</v>
      </c>
      <c r="O613" s="7">
        <v>0</v>
      </c>
      <c r="P613" s="7">
        <v>0</v>
      </c>
    </row>
    <row r="614" spans="1:16" x14ac:dyDescent="0.3">
      <c r="A614" s="1">
        <v>44351</v>
      </c>
      <c r="B614" s="2">
        <v>199.683334</v>
      </c>
      <c r="C614" s="2">
        <v>250.79</v>
      </c>
      <c r="F614" s="1">
        <v>44351</v>
      </c>
      <c r="G614" s="2">
        <f t="shared" si="18"/>
        <v>4.4738602120079907E-2</v>
      </c>
      <c r="H614" s="2">
        <f t="shared" si="19"/>
        <v>2.0463956815937118E-2</v>
      </c>
      <c r="I614" s="7">
        <v>0</v>
      </c>
      <c r="J614" s="7">
        <v>0</v>
      </c>
      <c r="K614" s="7">
        <v>0</v>
      </c>
      <c r="L614" s="7">
        <v>0</v>
      </c>
      <c r="M614" s="7">
        <v>0</v>
      </c>
      <c r="N614" s="7">
        <v>0</v>
      </c>
      <c r="O614" s="7">
        <v>4.4738602120079907E-2</v>
      </c>
      <c r="P614" s="7">
        <v>2.0463956815937118E-2</v>
      </c>
    </row>
    <row r="615" spans="1:16" x14ac:dyDescent="0.3">
      <c r="A615" s="1">
        <v>44354</v>
      </c>
      <c r="B615" s="2">
        <v>201.71000699999999</v>
      </c>
      <c r="C615" s="2">
        <v>253.81</v>
      </c>
      <c r="F615" s="1">
        <v>44354</v>
      </c>
      <c r="G615" s="2">
        <f t="shared" si="18"/>
        <v>1.0098275260109766E-2</v>
      </c>
      <c r="H615" s="2">
        <f t="shared" si="19"/>
        <v>1.1970020051768568E-2</v>
      </c>
      <c r="I615" s="7">
        <v>0</v>
      </c>
      <c r="J615" s="7">
        <v>0</v>
      </c>
      <c r="K615" s="7">
        <v>0</v>
      </c>
      <c r="L615" s="7">
        <v>0</v>
      </c>
      <c r="M615" s="7">
        <v>0</v>
      </c>
      <c r="N615" s="7">
        <v>0</v>
      </c>
      <c r="O615" s="7">
        <v>1.0098275260109766E-2</v>
      </c>
      <c r="P615" s="7">
        <v>1.1970020051768568E-2</v>
      </c>
    </row>
    <row r="616" spans="1:16" x14ac:dyDescent="0.3">
      <c r="A616" s="1">
        <v>44355</v>
      </c>
      <c r="B616" s="2">
        <v>201.19667100000001</v>
      </c>
      <c r="C616" s="2">
        <v>252.57</v>
      </c>
      <c r="F616" s="1">
        <v>44355</v>
      </c>
      <c r="G616" s="2">
        <f t="shared" si="18"/>
        <v>-2.5481646534715953E-3</v>
      </c>
      <c r="H616" s="2">
        <f t="shared" si="19"/>
        <v>-4.8975175896327919E-3</v>
      </c>
      <c r="I616" s="7">
        <v>-2.5481646534715953E-3</v>
      </c>
      <c r="J616" s="7">
        <v>-4.8975175896327919E-3</v>
      </c>
      <c r="K616" s="7">
        <v>0</v>
      </c>
      <c r="L616" s="7">
        <v>0</v>
      </c>
      <c r="M616" s="7">
        <v>0</v>
      </c>
      <c r="N616" s="7">
        <v>0</v>
      </c>
      <c r="O616" s="7">
        <v>0</v>
      </c>
      <c r="P616" s="7">
        <v>0</v>
      </c>
    </row>
    <row r="617" spans="1:16" x14ac:dyDescent="0.3">
      <c r="A617" s="1">
        <v>44356</v>
      </c>
      <c r="B617" s="2">
        <v>199.59333799999999</v>
      </c>
      <c r="C617" s="2">
        <v>253.59</v>
      </c>
      <c r="F617" s="1">
        <v>44356</v>
      </c>
      <c r="G617" s="2">
        <f t="shared" si="18"/>
        <v>-8.000905796215721E-3</v>
      </c>
      <c r="H617" s="2">
        <f t="shared" si="19"/>
        <v>4.030351591263779E-3</v>
      </c>
      <c r="I617" s="7">
        <v>0</v>
      </c>
      <c r="J617" s="7">
        <v>0</v>
      </c>
      <c r="K617" s="7">
        <v>0</v>
      </c>
      <c r="L617" s="7">
        <v>0</v>
      </c>
      <c r="M617" s="7">
        <v>-8.000905796215721E-3</v>
      </c>
      <c r="N617" s="7">
        <v>4.030351591263779E-3</v>
      </c>
      <c r="O617" s="7">
        <v>0</v>
      </c>
      <c r="P617" s="7">
        <v>0</v>
      </c>
    </row>
    <row r="618" spans="1:16" x14ac:dyDescent="0.3">
      <c r="A618" s="1">
        <v>44357</v>
      </c>
      <c r="B618" s="2">
        <v>203.37333699999999</v>
      </c>
      <c r="C618" s="2">
        <v>257.24</v>
      </c>
      <c r="F618" s="1">
        <v>44357</v>
      </c>
      <c r="G618" s="2">
        <f t="shared" si="18"/>
        <v>1.8761401926022287E-2</v>
      </c>
      <c r="H618" s="2">
        <f t="shared" si="19"/>
        <v>1.4290711657716349E-2</v>
      </c>
      <c r="I618" s="7">
        <v>0</v>
      </c>
      <c r="J618" s="7">
        <v>0</v>
      </c>
      <c r="K618" s="7">
        <v>0</v>
      </c>
      <c r="L618" s="7">
        <v>0</v>
      </c>
      <c r="M618" s="7">
        <v>0</v>
      </c>
      <c r="N618" s="7">
        <v>0</v>
      </c>
      <c r="O618" s="7">
        <v>1.8761401926022287E-2</v>
      </c>
      <c r="P618" s="7">
        <v>1.4290711657716349E-2</v>
      </c>
    </row>
    <row r="619" spans="1:16" x14ac:dyDescent="0.3">
      <c r="A619" s="1">
        <v>44358</v>
      </c>
      <c r="B619" s="2">
        <v>203.296661</v>
      </c>
      <c r="C619" s="2">
        <v>257.89</v>
      </c>
      <c r="F619" s="1">
        <v>44358</v>
      </c>
      <c r="G619" s="2">
        <f t="shared" si="18"/>
        <v>-3.7709199737221148E-4</v>
      </c>
      <c r="H619" s="2">
        <f t="shared" si="19"/>
        <v>2.5236361499944788E-3</v>
      </c>
      <c r="I619" s="7">
        <v>0</v>
      </c>
      <c r="J619" s="7">
        <v>0</v>
      </c>
      <c r="K619" s="7">
        <v>0</v>
      </c>
      <c r="L619" s="7">
        <v>0</v>
      </c>
      <c r="M619" s="7">
        <v>-3.7709199737221148E-4</v>
      </c>
      <c r="N619" s="7">
        <v>2.5236361499944788E-3</v>
      </c>
      <c r="O619" s="7">
        <v>0</v>
      </c>
      <c r="P619" s="7">
        <v>0</v>
      </c>
    </row>
    <row r="620" spans="1:16" x14ac:dyDescent="0.3">
      <c r="A620" s="1">
        <v>44361</v>
      </c>
      <c r="B620" s="2">
        <v>205.89666700000001</v>
      </c>
      <c r="C620" s="2">
        <v>259.89</v>
      </c>
      <c r="F620" s="1">
        <v>44361</v>
      </c>
      <c r="G620" s="2">
        <f t="shared" si="18"/>
        <v>1.2708129937589395E-2</v>
      </c>
      <c r="H620" s="2">
        <f t="shared" si="19"/>
        <v>7.7253271535015671E-3</v>
      </c>
      <c r="I620" s="7">
        <v>0</v>
      </c>
      <c r="J620" s="7">
        <v>0</v>
      </c>
      <c r="K620" s="7">
        <v>0</v>
      </c>
      <c r="L620" s="7">
        <v>0</v>
      </c>
      <c r="M620" s="7">
        <v>0</v>
      </c>
      <c r="N620" s="7">
        <v>0</v>
      </c>
      <c r="O620" s="7">
        <v>1.2708129937589395E-2</v>
      </c>
      <c r="P620" s="7">
        <v>7.7253271535015671E-3</v>
      </c>
    </row>
    <row r="621" spans="1:16" x14ac:dyDescent="0.3">
      <c r="A621" s="1">
        <v>44362</v>
      </c>
      <c r="B621" s="2">
        <v>199.78666699999999</v>
      </c>
      <c r="C621" s="2">
        <v>258.36</v>
      </c>
      <c r="F621" s="1">
        <v>44362</v>
      </c>
      <c r="G621" s="2">
        <f t="shared" si="18"/>
        <v>-3.0124294177019562E-2</v>
      </c>
      <c r="H621" s="2">
        <f t="shared" si="19"/>
        <v>-5.9045034058865563E-3</v>
      </c>
      <c r="I621" s="7">
        <v>-3.0124294177019562E-2</v>
      </c>
      <c r="J621" s="7">
        <v>-5.9045034058865563E-3</v>
      </c>
      <c r="K621" s="7">
        <v>0</v>
      </c>
      <c r="L621" s="7">
        <v>0</v>
      </c>
      <c r="M621" s="7">
        <v>0</v>
      </c>
      <c r="N621" s="7">
        <v>0</v>
      </c>
      <c r="O621" s="7">
        <v>0</v>
      </c>
      <c r="P621" s="7">
        <v>0</v>
      </c>
    </row>
    <row r="622" spans="1:16" x14ac:dyDescent="0.3">
      <c r="A622" s="1">
        <v>44363</v>
      </c>
      <c r="B622" s="2">
        <v>201.62333699999999</v>
      </c>
      <c r="C622" s="2">
        <v>257.38</v>
      </c>
      <c r="F622" s="1">
        <v>44363</v>
      </c>
      <c r="G622" s="2">
        <f t="shared" si="18"/>
        <v>9.1511561701767986E-3</v>
      </c>
      <c r="H622" s="2">
        <f t="shared" si="19"/>
        <v>-3.8003690987532071E-3</v>
      </c>
      <c r="I622" s="7">
        <v>0</v>
      </c>
      <c r="J622" s="7">
        <v>0</v>
      </c>
      <c r="K622" s="7">
        <v>9.1511561701767986E-3</v>
      </c>
      <c r="L622" s="7">
        <v>-3.8003690987532071E-3</v>
      </c>
      <c r="M622" s="7">
        <v>0</v>
      </c>
      <c r="N622" s="7">
        <v>0</v>
      </c>
      <c r="O622" s="7">
        <v>0</v>
      </c>
      <c r="P622" s="7">
        <v>0</v>
      </c>
    </row>
    <row r="623" spans="1:16" x14ac:dyDescent="0.3">
      <c r="A623" s="1">
        <v>44364</v>
      </c>
      <c r="B623" s="2">
        <v>205.53334000000001</v>
      </c>
      <c r="C623" s="2">
        <v>260.89999999999998</v>
      </c>
      <c r="F623" s="1">
        <v>44364</v>
      </c>
      <c r="G623" s="2">
        <f t="shared" si="18"/>
        <v>1.9206970793641712E-2</v>
      </c>
      <c r="H623" s="2">
        <f t="shared" si="19"/>
        <v>1.3583600077163881E-2</v>
      </c>
      <c r="I623" s="7">
        <v>0</v>
      </c>
      <c r="J623" s="7">
        <v>0</v>
      </c>
      <c r="K623" s="7">
        <v>0</v>
      </c>
      <c r="L623" s="7">
        <v>0</v>
      </c>
      <c r="M623" s="7">
        <v>0</v>
      </c>
      <c r="N623" s="7">
        <v>0</v>
      </c>
      <c r="O623" s="7">
        <v>1.9206970793641712E-2</v>
      </c>
      <c r="P623" s="7">
        <v>1.3583600077163881E-2</v>
      </c>
    </row>
    <row r="624" spans="1:16" x14ac:dyDescent="0.3">
      <c r="A624" s="1">
        <v>44365</v>
      </c>
      <c r="B624" s="2">
        <v>207.770004</v>
      </c>
      <c r="C624" s="2">
        <v>259.43</v>
      </c>
      <c r="F624" s="1">
        <v>44365</v>
      </c>
      <c r="G624" s="2">
        <f t="shared" si="18"/>
        <v>1.0823458688873275E-2</v>
      </c>
      <c r="H624" s="2">
        <f t="shared" si="19"/>
        <v>-5.6502754439891863E-3</v>
      </c>
      <c r="I624" s="7">
        <v>0</v>
      </c>
      <c r="J624" s="7">
        <v>0</v>
      </c>
      <c r="K624" s="7">
        <v>1.0823458688873275E-2</v>
      </c>
      <c r="L624" s="7">
        <v>-5.6502754439891863E-3</v>
      </c>
      <c r="M624" s="7">
        <v>0</v>
      </c>
      <c r="N624" s="7">
        <v>0</v>
      </c>
      <c r="O624" s="7">
        <v>0</v>
      </c>
      <c r="P624" s="7">
        <v>0</v>
      </c>
    </row>
    <row r="625" spans="1:16" x14ac:dyDescent="0.3">
      <c r="A625" s="1">
        <v>44368</v>
      </c>
      <c r="B625" s="2">
        <v>206.94332900000001</v>
      </c>
      <c r="C625" s="2">
        <v>262.63</v>
      </c>
      <c r="F625" s="1">
        <v>44368</v>
      </c>
      <c r="G625" s="2">
        <f t="shared" si="18"/>
        <v>-3.9867350728973842E-3</v>
      </c>
      <c r="H625" s="2">
        <f t="shared" si="19"/>
        <v>1.2259280838310032E-2</v>
      </c>
      <c r="I625" s="7">
        <v>0</v>
      </c>
      <c r="J625" s="7">
        <v>0</v>
      </c>
      <c r="K625" s="7">
        <v>0</v>
      </c>
      <c r="L625" s="7">
        <v>0</v>
      </c>
      <c r="M625" s="7">
        <v>-3.9867350728973842E-3</v>
      </c>
      <c r="N625" s="7">
        <v>1.2259280838310032E-2</v>
      </c>
      <c r="O625" s="7">
        <v>0</v>
      </c>
      <c r="P625" s="7">
        <v>0</v>
      </c>
    </row>
    <row r="626" spans="1:16" x14ac:dyDescent="0.3">
      <c r="A626" s="1">
        <v>44369</v>
      </c>
      <c r="B626" s="2">
        <v>207.903336</v>
      </c>
      <c r="C626" s="2">
        <v>265.51</v>
      </c>
      <c r="F626" s="1">
        <v>44369</v>
      </c>
      <c r="G626" s="2">
        <f t="shared" si="18"/>
        <v>4.6282580754201316E-3</v>
      </c>
      <c r="H626" s="2">
        <f t="shared" si="19"/>
        <v>1.0906307219117407E-2</v>
      </c>
      <c r="I626" s="7">
        <v>0</v>
      </c>
      <c r="J626" s="7">
        <v>0</v>
      </c>
      <c r="K626" s="7">
        <v>0</v>
      </c>
      <c r="L626" s="7">
        <v>0</v>
      </c>
      <c r="M626" s="7">
        <v>0</v>
      </c>
      <c r="N626" s="7">
        <v>0</v>
      </c>
      <c r="O626" s="7">
        <v>4.6282580754201316E-3</v>
      </c>
      <c r="P626" s="7">
        <v>1.0906307219117407E-2</v>
      </c>
    </row>
    <row r="627" spans="1:16" x14ac:dyDescent="0.3">
      <c r="A627" s="1">
        <v>44370</v>
      </c>
      <c r="B627" s="2">
        <v>218.856674</v>
      </c>
      <c r="C627" s="2">
        <v>265.27</v>
      </c>
      <c r="F627" s="1">
        <v>44370</v>
      </c>
      <c r="G627" s="2">
        <f t="shared" si="18"/>
        <v>5.1343818034003529E-2</v>
      </c>
      <c r="H627" s="2">
        <f t="shared" si="19"/>
        <v>-9.0432953900393745E-4</v>
      </c>
      <c r="I627" s="7">
        <v>0</v>
      </c>
      <c r="J627" s="7">
        <v>0</v>
      </c>
      <c r="K627" s="7">
        <v>5.1343818034003529E-2</v>
      </c>
      <c r="L627" s="7">
        <v>-9.0432953900393745E-4</v>
      </c>
      <c r="M627" s="7">
        <v>0</v>
      </c>
      <c r="N627" s="7">
        <v>0</v>
      </c>
      <c r="O627" s="7">
        <v>0</v>
      </c>
      <c r="P627" s="7">
        <v>0</v>
      </c>
    </row>
    <row r="628" spans="1:16" x14ac:dyDescent="0.3">
      <c r="A628" s="1">
        <v>44371</v>
      </c>
      <c r="B628" s="2">
        <v>226.606674</v>
      </c>
      <c r="C628" s="2">
        <v>266.69</v>
      </c>
      <c r="F628" s="1">
        <v>44371</v>
      </c>
      <c r="G628" s="2">
        <f t="shared" si="18"/>
        <v>3.4798741995132366E-2</v>
      </c>
      <c r="H628" s="2">
        <f t="shared" si="19"/>
        <v>5.3387599547988921E-3</v>
      </c>
      <c r="I628" s="7">
        <v>0</v>
      </c>
      <c r="J628" s="7">
        <v>0</v>
      </c>
      <c r="K628" s="7">
        <v>0</v>
      </c>
      <c r="L628" s="7">
        <v>0</v>
      </c>
      <c r="M628" s="7">
        <v>0</v>
      </c>
      <c r="N628" s="7">
        <v>0</v>
      </c>
      <c r="O628" s="7">
        <v>3.4798741995132366E-2</v>
      </c>
      <c r="P628" s="7">
        <v>5.3387599547988921E-3</v>
      </c>
    </row>
    <row r="629" spans="1:16" x14ac:dyDescent="0.3">
      <c r="A629" s="1">
        <v>44372</v>
      </c>
      <c r="B629" s="2">
        <v>223.95666499999999</v>
      </c>
      <c r="C629" s="2">
        <v>265.02</v>
      </c>
      <c r="F629" s="1">
        <v>44372</v>
      </c>
      <c r="G629" s="2">
        <f t="shared" si="18"/>
        <v>-1.1763227622564688E-2</v>
      </c>
      <c r="H629" s="2">
        <f t="shared" si="19"/>
        <v>-6.281640335425844E-3</v>
      </c>
      <c r="I629" s="7">
        <v>-1.1763227622564688E-2</v>
      </c>
      <c r="J629" s="7">
        <v>-6.281640335425844E-3</v>
      </c>
      <c r="K629" s="7">
        <v>0</v>
      </c>
      <c r="L629" s="7">
        <v>0</v>
      </c>
      <c r="M629" s="7">
        <v>0</v>
      </c>
      <c r="N629" s="7">
        <v>0</v>
      </c>
      <c r="O629" s="7">
        <v>0</v>
      </c>
      <c r="P629" s="7">
        <v>0</v>
      </c>
    </row>
    <row r="630" spans="1:16" x14ac:dyDescent="0.3">
      <c r="A630" s="1">
        <v>44375</v>
      </c>
      <c r="B630" s="2">
        <v>229.57333399999999</v>
      </c>
      <c r="C630" s="2">
        <v>268.72000000000003</v>
      </c>
      <c r="F630" s="1">
        <v>44375</v>
      </c>
      <c r="G630" s="2">
        <f t="shared" si="18"/>
        <v>2.4769943267680984E-2</v>
      </c>
      <c r="H630" s="2">
        <f t="shared" si="19"/>
        <v>1.3864650467547403E-2</v>
      </c>
      <c r="I630" s="7">
        <v>0</v>
      </c>
      <c r="J630" s="7">
        <v>0</v>
      </c>
      <c r="K630" s="7">
        <v>0</v>
      </c>
      <c r="L630" s="7">
        <v>0</v>
      </c>
      <c r="M630" s="7">
        <v>0</v>
      </c>
      <c r="N630" s="7">
        <v>0</v>
      </c>
      <c r="O630" s="7">
        <v>2.4769943267680984E-2</v>
      </c>
      <c r="P630" s="7">
        <v>1.3864650467547403E-2</v>
      </c>
    </row>
    <row r="631" spans="1:16" x14ac:dyDescent="0.3">
      <c r="A631" s="1">
        <v>44376</v>
      </c>
      <c r="B631" s="2">
        <v>226.91999799999999</v>
      </c>
      <c r="C631" s="2">
        <v>271.39999999999998</v>
      </c>
      <c r="F631" s="1">
        <v>44376</v>
      </c>
      <c r="G631" s="2">
        <f t="shared" si="18"/>
        <v>-1.162499294083965E-2</v>
      </c>
      <c r="H631" s="2">
        <f t="shared" si="19"/>
        <v>9.9238020967312331E-3</v>
      </c>
      <c r="I631" s="7">
        <v>0</v>
      </c>
      <c r="J631" s="7">
        <v>0</v>
      </c>
      <c r="K631" s="7">
        <v>0</v>
      </c>
      <c r="L631" s="7">
        <v>0</v>
      </c>
      <c r="M631" s="7">
        <v>-1.162499294083965E-2</v>
      </c>
      <c r="N631" s="7">
        <v>9.9238020967312331E-3</v>
      </c>
      <c r="O631" s="7">
        <v>0</v>
      </c>
      <c r="P631" s="7">
        <v>0</v>
      </c>
    </row>
    <row r="632" spans="1:16" x14ac:dyDescent="0.3">
      <c r="A632" s="1">
        <v>44377</v>
      </c>
      <c r="B632" s="2">
        <v>226.566666</v>
      </c>
      <c r="C632" s="2">
        <v>270.89999999999998</v>
      </c>
      <c r="F632" s="1">
        <v>44377</v>
      </c>
      <c r="G632" s="2">
        <f t="shared" si="18"/>
        <v>-1.5582909026792746E-3</v>
      </c>
      <c r="H632" s="2">
        <f t="shared" si="19"/>
        <v>-1.8439983097193683E-3</v>
      </c>
      <c r="I632" s="7">
        <v>-1.5582909026792746E-3</v>
      </c>
      <c r="J632" s="7">
        <v>-1.8439983097193683E-3</v>
      </c>
      <c r="K632" s="7">
        <v>0</v>
      </c>
      <c r="L632" s="7">
        <v>0</v>
      </c>
      <c r="M632" s="7">
        <v>0</v>
      </c>
      <c r="N632" s="7">
        <v>0</v>
      </c>
      <c r="O632" s="7">
        <v>0</v>
      </c>
      <c r="P632" s="7">
        <v>0</v>
      </c>
    </row>
    <row r="633" spans="1:16" x14ac:dyDescent="0.3">
      <c r="A633" s="1">
        <v>44378</v>
      </c>
      <c r="B633" s="2">
        <v>225.97332800000001</v>
      </c>
      <c r="C633" s="2">
        <v>271.60000000000002</v>
      </c>
      <c r="F633" s="1">
        <v>44378</v>
      </c>
      <c r="G633" s="2">
        <f t="shared" si="18"/>
        <v>-2.6222581334739677E-3</v>
      </c>
      <c r="H633" s="2">
        <f t="shared" si="19"/>
        <v>2.580646593491713E-3</v>
      </c>
      <c r="I633" s="7">
        <v>0</v>
      </c>
      <c r="J633" s="7">
        <v>0</v>
      </c>
      <c r="K633" s="7">
        <v>0</v>
      </c>
      <c r="L633" s="7">
        <v>0</v>
      </c>
      <c r="M633" s="7">
        <v>-2.6222581334739677E-3</v>
      </c>
      <c r="N633" s="7">
        <v>2.580646593491713E-3</v>
      </c>
      <c r="O633" s="7">
        <v>0</v>
      </c>
      <c r="P633" s="7">
        <v>0</v>
      </c>
    </row>
    <row r="634" spans="1:16" x14ac:dyDescent="0.3">
      <c r="A634" s="1">
        <v>44379</v>
      </c>
      <c r="B634" s="2">
        <v>226.300003</v>
      </c>
      <c r="C634" s="2">
        <v>277.64999999999998</v>
      </c>
      <c r="F634" s="1">
        <v>44379</v>
      </c>
      <c r="G634" s="2">
        <f t="shared" si="18"/>
        <v>1.4445912876961439E-3</v>
      </c>
      <c r="H634" s="2">
        <f t="shared" si="19"/>
        <v>2.2030932003075064E-2</v>
      </c>
      <c r="I634" s="7">
        <v>0</v>
      </c>
      <c r="J634" s="7">
        <v>0</v>
      </c>
      <c r="K634" s="7">
        <v>0</v>
      </c>
      <c r="L634" s="7">
        <v>0</v>
      </c>
      <c r="M634" s="7">
        <v>0</v>
      </c>
      <c r="N634" s="7">
        <v>0</v>
      </c>
      <c r="O634" s="7">
        <v>1.4445912876961439E-3</v>
      </c>
      <c r="P634" s="7">
        <v>2.2030932003075064E-2</v>
      </c>
    </row>
    <row r="635" spans="1:16" x14ac:dyDescent="0.3">
      <c r="A635" s="1">
        <v>44383</v>
      </c>
      <c r="B635" s="2">
        <v>219.86000100000001</v>
      </c>
      <c r="C635" s="2">
        <v>277.66000000000003</v>
      </c>
      <c r="F635" s="1">
        <v>44383</v>
      </c>
      <c r="G635" s="2">
        <f t="shared" si="18"/>
        <v>-2.887058119716375E-2</v>
      </c>
      <c r="H635" s="2">
        <f t="shared" si="19"/>
        <v>3.6015919040201323E-5</v>
      </c>
      <c r="I635" s="7">
        <v>0</v>
      </c>
      <c r="J635" s="7">
        <v>0</v>
      </c>
      <c r="K635" s="7">
        <v>0</v>
      </c>
      <c r="L635" s="7">
        <v>0</v>
      </c>
      <c r="M635" s="7">
        <v>-2.887058119716375E-2</v>
      </c>
      <c r="N635" s="7">
        <v>3.6015919040201323E-5</v>
      </c>
      <c r="O635" s="7">
        <v>0</v>
      </c>
      <c r="P635" s="7">
        <v>0</v>
      </c>
    </row>
    <row r="636" spans="1:16" x14ac:dyDescent="0.3">
      <c r="A636" s="1">
        <v>44384</v>
      </c>
      <c r="B636" s="2">
        <v>214.883331</v>
      </c>
      <c r="C636" s="2">
        <v>279.93</v>
      </c>
      <c r="F636" s="1">
        <v>44384</v>
      </c>
      <c r="G636" s="2">
        <f t="shared" si="18"/>
        <v>-2.2895750368935257E-2</v>
      </c>
      <c r="H636" s="2">
        <f t="shared" si="19"/>
        <v>8.1422283073840241E-3</v>
      </c>
      <c r="I636" s="7">
        <v>0</v>
      </c>
      <c r="J636" s="7">
        <v>0</v>
      </c>
      <c r="K636" s="7">
        <v>0</v>
      </c>
      <c r="L636" s="7">
        <v>0</v>
      </c>
      <c r="M636" s="7">
        <v>-2.2895750368935257E-2</v>
      </c>
      <c r="N636" s="7">
        <v>8.1422283073840241E-3</v>
      </c>
      <c r="O636" s="7">
        <v>0</v>
      </c>
      <c r="P636" s="7">
        <v>0</v>
      </c>
    </row>
    <row r="637" spans="1:16" x14ac:dyDescent="0.3">
      <c r="A637" s="1">
        <v>44385</v>
      </c>
      <c r="B637" s="2">
        <v>217.60333299999999</v>
      </c>
      <c r="C637" s="2">
        <v>277.42</v>
      </c>
      <c r="F637" s="1">
        <v>44385</v>
      </c>
      <c r="G637" s="2">
        <f t="shared" si="18"/>
        <v>1.2578597629938839E-2</v>
      </c>
      <c r="H637" s="2">
        <f t="shared" si="19"/>
        <v>-9.0069685788962527E-3</v>
      </c>
      <c r="I637" s="7">
        <v>0</v>
      </c>
      <c r="J637" s="7">
        <v>0</v>
      </c>
      <c r="K637" s="7">
        <v>1.2578597629938839E-2</v>
      </c>
      <c r="L637" s="7">
        <v>-9.0069685788962527E-3</v>
      </c>
      <c r="M637" s="7">
        <v>0</v>
      </c>
      <c r="N637" s="7">
        <v>0</v>
      </c>
      <c r="O637" s="7">
        <v>0</v>
      </c>
      <c r="P637" s="7">
        <v>0</v>
      </c>
    </row>
    <row r="638" spans="1:16" x14ac:dyDescent="0.3">
      <c r="A638" s="1">
        <v>44386</v>
      </c>
      <c r="B638" s="2">
        <v>218.98333700000001</v>
      </c>
      <c r="C638" s="2">
        <v>277.94</v>
      </c>
      <c r="F638" s="1">
        <v>44386</v>
      </c>
      <c r="G638" s="2">
        <f t="shared" si="18"/>
        <v>6.3218082036955092E-3</v>
      </c>
      <c r="H638" s="2">
        <f t="shared" si="19"/>
        <v>1.8726597232918325E-3</v>
      </c>
      <c r="I638" s="7">
        <v>0</v>
      </c>
      <c r="J638" s="7">
        <v>0</v>
      </c>
      <c r="K638" s="7">
        <v>0</v>
      </c>
      <c r="L638" s="7">
        <v>0</v>
      </c>
      <c r="M638" s="7">
        <v>0</v>
      </c>
      <c r="N638" s="7">
        <v>0</v>
      </c>
      <c r="O638" s="7">
        <v>6.3218082036955092E-3</v>
      </c>
      <c r="P638" s="7">
        <v>1.8726597232918325E-3</v>
      </c>
    </row>
    <row r="639" spans="1:16" x14ac:dyDescent="0.3">
      <c r="A639" s="1">
        <v>44389</v>
      </c>
      <c r="B639" s="2">
        <v>228.566666</v>
      </c>
      <c r="C639" s="2">
        <v>277.32</v>
      </c>
      <c r="F639" s="1">
        <v>44389</v>
      </c>
      <c r="G639" s="2">
        <f t="shared" si="18"/>
        <v>4.2832282541715797E-2</v>
      </c>
      <c r="H639" s="2">
        <f t="shared" si="19"/>
        <v>-2.233188984146226E-3</v>
      </c>
      <c r="I639" s="7">
        <v>0</v>
      </c>
      <c r="J639" s="7">
        <v>0</v>
      </c>
      <c r="K639" s="7">
        <v>4.2832282541715797E-2</v>
      </c>
      <c r="L639" s="7">
        <v>-2.233188984146226E-3</v>
      </c>
      <c r="M639" s="7">
        <v>0</v>
      </c>
      <c r="N639" s="7">
        <v>0</v>
      </c>
      <c r="O639" s="7">
        <v>0</v>
      </c>
      <c r="P639" s="7">
        <v>0</v>
      </c>
    </row>
    <row r="640" spans="1:16" x14ac:dyDescent="0.3">
      <c r="A640" s="1">
        <v>44390</v>
      </c>
      <c r="B640" s="2">
        <v>222.846664</v>
      </c>
      <c r="C640" s="2">
        <v>280.98</v>
      </c>
      <c r="F640" s="1">
        <v>44390</v>
      </c>
      <c r="G640" s="2">
        <f t="shared" si="18"/>
        <v>-2.5343993135531602E-2</v>
      </c>
      <c r="H640" s="2">
        <f t="shared" si="19"/>
        <v>1.3111418349215869E-2</v>
      </c>
      <c r="I640" s="7">
        <v>0</v>
      </c>
      <c r="J640" s="7">
        <v>0</v>
      </c>
      <c r="K640" s="7">
        <v>0</v>
      </c>
      <c r="L640" s="7">
        <v>0</v>
      </c>
      <c r="M640" s="7">
        <v>-2.5343993135531602E-2</v>
      </c>
      <c r="N640" s="7">
        <v>1.3111418349215869E-2</v>
      </c>
      <c r="O640" s="7">
        <v>0</v>
      </c>
      <c r="P640" s="7">
        <v>0</v>
      </c>
    </row>
    <row r="641" spans="1:16" x14ac:dyDescent="0.3">
      <c r="A641" s="1">
        <v>44391</v>
      </c>
      <c r="B641" s="2">
        <v>217.79333500000001</v>
      </c>
      <c r="C641" s="2">
        <v>282.51</v>
      </c>
      <c r="F641" s="1">
        <v>44391</v>
      </c>
      <c r="G641" s="2">
        <f t="shared" si="18"/>
        <v>-2.2937321008562134E-2</v>
      </c>
      <c r="H641" s="2">
        <f t="shared" si="19"/>
        <v>5.4304557665760212E-3</v>
      </c>
      <c r="I641" s="7">
        <v>0</v>
      </c>
      <c r="J641" s="7">
        <v>0</v>
      </c>
      <c r="K641" s="7">
        <v>0</v>
      </c>
      <c r="L641" s="7">
        <v>0</v>
      </c>
      <c r="M641" s="7">
        <v>-2.2937321008562134E-2</v>
      </c>
      <c r="N641" s="7">
        <v>5.4304557665760212E-3</v>
      </c>
      <c r="O641" s="7">
        <v>0</v>
      </c>
      <c r="P641" s="7">
        <v>0</v>
      </c>
    </row>
    <row r="642" spans="1:16" x14ac:dyDescent="0.3">
      <c r="A642" s="1">
        <v>44392</v>
      </c>
      <c r="B642" s="2">
        <v>216.866669</v>
      </c>
      <c r="C642" s="2">
        <v>281.02999999999997</v>
      </c>
      <c r="F642" s="1">
        <v>44392</v>
      </c>
      <c r="G642" s="2">
        <f t="shared" si="18"/>
        <v>-4.2638724309473968E-3</v>
      </c>
      <c r="H642" s="2">
        <f t="shared" si="19"/>
        <v>-5.2525229891099076E-3</v>
      </c>
      <c r="I642" s="7">
        <v>-4.2638724309473968E-3</v>
      </c>
      <c r="J642" s="7">
        <v>-5.2525229891099076E-3</v>
      </c>
      <c r="K642" s="7">
        <v>0</v>
      </c>
      <c r="L642" s="7">
        <v>0</v>
      </c>
      <c r="M642" s="7">
        <v>0</v>
      </c>
      <c r="N642" s="7">
        <v>0</v>
      </c>
      <c r="O642" s="7">
        <v>0</v>
      </c>
      <c r="P642" s="7">
        <v>0</v>
      </c>
    </row>
    <row r="643" spans="1:16" x14ac:dyDescent="0.3">
      <c r="A643" s="1">
        <v>44393</v>
      </c>
      <c r="B643" s="2">
        <v>214.740005</v>
      </c>
      <c r="C643" s="2">
        <v>280.75</v>
      </c>
      <c r="F643" s="1">
        <v>44393</v>
      </c>
      <c r="G643" s="2">
        <f t="shared" si="18"/>
        <v>-9.8547188404800121E-3</v>
      </c>
      <c r="H643" s="2">
        <f t="shared" si="19"/>
        <v>-9.9683158241899834E-4</v>
      </c>
      <c r="I643" s="7">
        <v>-9.8547188404800121E-3</v>
      </c>
      <c r="J643" s="7">
        <v>-9.9683158241899834E-4</v>
      </c>
      <c r="K643" s="7">
        <v>0</v>
      </c>
      <c r="L643" s="7">
        <v>0</v>
      </c>
      <c r="M643" s="7">
        <v>0</v>
      </c>
      <c r="N643" s="7">
        <v>0</v>
      </c>
      <c r="O643" s="7">
        <v>0</v>
      </c>
      <c r="P643" s="7">
        <v>0</v>
      </c>
    </row>
    <row r="644" spans="1:16" x14ac:dyDescent="0.3">
      <c r="A644" s="1">
        <v>44396</v>
      </c>
      <c r="B644" s="2">
        <v>215.40666200000001</v>
      </c>
      <c r="C644" s="2">
        <v>277.01</v>
      </c>
      <c r="F644" s="1">
        <v>44396</v>
      </c>
      <c r="G644" s="2">
        <f t="shared" si="18"/>
        <v>3.0996754591582814E-3</v>
      </c>
      <c r="H644" s="2">
        <f t="shared" si="19"/>
        <v>-1.3410986999810052E-2</v>
      </c>
      <c r="I644" s="7">
        <v>0</v>
      </c>
      <c r="J644" s="7">
        <v>0</v>
      </c>
      <c r="K644" s="7">
        <v>3.0996754591582814E-3</v>
      </c>
      <c r="L644" s="7">
        <v>-1.3410986999810052E-2</v>
      </c>
      <c r="M644" s="7">
        <v>0</v>
      </c>
      <c r="N644" s="7">
        <v>0</v>
      </c>
      <c r="O644" s="7">
        <v>0</v>
      </c>
      <c r="P644" s="7">
        <v>0</v>
      </c>
    </row>
    <row r="645" spans="1:16" x14ac:dyDescent="0.3">
      <c r="A645" s="1">
        <v>44397</v>
      </c>
      <c r="B645" s="2">
        <v>220.16667200000001</v>
      </c>
      <c r="C645" s="2">
        <v>279.32</v>
      </c>
      <c r="F645" s="1">
        <v>44397</v>
      </c>
      <c r="G645" s="2">
        <f t="shared" si="18"/>
        <v>2.1857166769224157E-2</v>
      </c>
      <c r="H645" s="2">
        <f t="shared" si="19"/>
        <v>8.3044713590919531E-3</v>
      </c>
      <c r="I645" s="7">
        <v>0</v>
      </c>
      <c r="J645" s="7">
        <v>0</v>
      </c>
      <c r="K645" s="7">
        <v>0</v>
      </c>
      <c r="L645" s="7">
        <v>0</v>
      </c>
      <c r="M645" s="7">
        <v>0</v>
      </c>
      <c r="N645" s="7">
        <v>0</v>
      </c>
      <c r="O645" s="7">
        <v>2.1857166769224157E-2</v>
      </c>
      <c r="P645" s="7">
        <v>8.3044713590919531E-3</v>
      </c>
    </row>
    <row r="646" spans="1:16" x14ac:dyDescent="0.3">
      <c r="A646" s="1">
        <v>44398</v>
      </c>
      <c r="B646" s="2">
        <v>218.429993</v>
      </c>
      <c r="C646" s="2">
        <v>281.39999999999998</v>
      </c>
      <c r="F646" s="1">
        <v>44398</v>
      </c>
      <c r="G646" s="2">
        <f t="shared" ref="G646:G709" si="20">LN(B646/B645)</f>
        <v>-7.9192944904939045E-3</v>
      </c>
      <c r="H646" s="2">
        <f t="shared" ref="H646:H709" si="21">LN(C646/C645)</f>
        <v>7.4190667024540387E-3</v>
      </c>
      <c r="I646" s="7">
        <v>0</v>
      </c>
      <c r="J646" s="7">
        <v>0</v>
      </c>
      <c r="K646" s="7">
        <v>0</v>
      </c>
      <c r="L646" s="7">
        <v>0</v>
      </c>
      <c r="M646" s="7">
        <v>-7.9192944904939045E-3</v>
      </c>
      <c r="N646" s="7">
        <v>7.4190667024540387E-3</v>
      </c>
      <c r="O646" s="7">
        <v>0</v>
      </c>
      <c r="P646" s="7">
        <v>0</v>
      </c>
    </row>
    <row r="647" spans="1:16" x14ac:dyDescent="0.3">
      <c r="A647" s="1">
        <v>44399</v>
      </c>
      <c r="B647" s="2">
        <v>216.41999799999999</v>
      </c>
      <c r="C647" s="2">
        <v>286.14</v>
      </c>
      <c r="F647" s="1">
        <v>44399</v>
      </c>
      <c r="G647" s="2">
        <f t="shared" si="20"/>
        <v>-9.2446101256363992E-3</v>
      </c>
      <c r="H647" s="2">
        <f t="shared" si="21"/>
        <v>1.6704056857899399E-2</v>
      </c>
      <c r="I647" s="7">
        <v>0</v>
      </c>
      <c r="J647" s="7">
        <v>0</v>
      </c>
      <c r="K647" s="7">
        <v>0</v>
      </c>
      <c r="L647" s="7">
        <v>0</v>
      </c>
      <c r="M647" s="7">
        <v>-9.2446101256363992E-3</v>
      </c>
      <c r="N647" s="7">
        <v>1.6704056857899399E-2</v>
      </c>
      <c r="O647" s="7">
        <v>0</v>
      </c>
      <c r="P647" s="7">
        <v>0</v>
      </c>
    </row>
    <row r="648" spans="1:16" x14ac:dyDescent="0.3">
      <c r="A648" s="1">
        <v>44400</v>
      </c>
      <c r="B648" s="2">
        <v>214.46000699999999</v>
      </c>
      <c r="C648" s="2">
        <v>289.67</v>
      </c>
      <c r="F648" s="1">
        <v>44400</v>
      </c>
      <c r="G648" s="2">
        <f t="shared" si="20"/>
        <v>-9.0976814700940937E-3</v>
      </c>
      <c r="H648" s="2">
        <f t="shared" si="21"/>
        <v>1.2261142472745878E-2</v>
      </c>
      <c r="I648" s="7">
        <v>0</v>
      </c>
      <c r="J648" s="7">
        <v>0</v>
      </c>
      <c r="K648" s="7">
        <v>0</v>
      </c>
      <c r="L648" s="7">
        <v>0</v>
      </c>
      <c r="M648" s="7">
        <v>-9.0976814700940937E-3</v>
      </c>
      <c r="N648" s="7">
        <v>1.2261142472745878E-2</v>
      </c>
      <c r="O648" s="7">
        <v>0</v>
      </c>
      <c r="P648" s="7">
        <v>0</v>
      </c>
    </row>
    <row r="649" spans="1:16" x14ac:dyDescent="0.3">
      <c r="A649" s="1">
        <v>44403</v>
      </c>
      <c r="B649" s="2">
        <v>219.20666499999999</v>
      </c>
      <c r="C649" s="2">
        <v>289.05</v>
      </c>
      <c r="F649" s="1">
        <v>44403</v>
      </c>
      <c r="G649" s="2">
        <f t="shared" si="20"/>
        <v>2.1891687201386185E-2</v>
      </c>
      <c r="H649" s="2">
        <f t="shared" si="21"/>
        <v>-2.1426604824486004E-3</v>
      </c>
      <c r="I649" s="7">
        <v>0</v>
      </c>
      <c r="J649" s="7">
        <v>0</v>
      </c>
      <c r="K649" s="7">
        <v>2.1891687201386185E-2</v>
      </c>
      <c r="L649" s="7">
        <v>-2.1426604824486004E-3</v>
      </c>
      <c r="M649" s="7">
        <v>0</v>
      </c>
      <c r="N649" s="7">
        <v>0</v>
      </c>
      <c r="O649" s="7">
        <v>0</v>
      </c>
      <c r="P649" s="7">
        <v>0</v>
      </c>
    </row>
    <row r="650" spans="1:16" x14ac:dyDescent="0.3">
      <c r="A650" s="1">
        <v>44404</v>
      </c>
      <c r="B650" s="2">
        <v>214.92666600000001</v>
      </c>
      <c r="C650" s="2">
        <v>286.54000000000002</v>
      </c>
      <c r="F650" s="1">
        <v>44404</v>
      </c>
      <c r="G650" s="2">
        <f t="shared" si="20"/>
        <v>-1.9718079061804381E-2</v>
      </c>
      <c r="H650" s="2">
        <f t="shared" si="21"/>
        <v>-8.721541063258887E-3</v>
      </c>
      <c r="I650" s="7">
        <v>-1.9718079061804381E-2</v>
      </c>
      <c r="J650" s="7">
        <v>-8.721541063258887E-3</v>
      </c>
      <c r="K650" s="7">
        <v>0</v>
      </c>
      <c r="L650" s="7">
        <v>0</v>
      </c>
      <c r="M650" s="7">
        <v>0</v>
      </c>
      <c r="N650" s="7">
        <v>0</v>
      </c>
      <c r="O650" s="7">
        <v>0</v>
      </c>
      <c r="P650" s="7">
        <v>0</v>
      </c>
    </row>
    <row r="651" spans="1:16" x14ac:dyDescent="0.3">
      <c r="A651" s="1">
        <v>44405</v>
      </c>
      <c r="B651" s="2">
        <v>215.66000399999999</v>
      </c>
      <c r="C651" s="2">
        <v>286.22000000000003</v>
      </c>
      <c r="F651" s="1">
        <v>44405</v>
      </c>
      <c r="G651" s="2">
        <f t="shared" si="20"/>
        <v>3.4062304299400112E-3</v>
      </c>
      <c r="H651" s="2">
        <f t="shared" si="21"/>
        <v>-1.1173965824964702E-3</v>
      </c>
      <c r="I651" s="7">
        <v>0</v>
      </c>
      <c r="J651" s="7">
        <v>0</v>
      </c>
      <c r="K651" s="7">
        <v>3.4062304299400112E-3</v>
      </c>
      <c r="L651" s="7">
        <v>-1.1173965824964702E-3</v>
      </c>
      <c r="M651" s="7">
        <v>0</v>
      </c>
      <c r="N651" s="7">
        <v>0</v>
      </c>
      <c r="O651" s="7">
        <v>0</v>
      </c>
      <c r="P651" s="7">
        <v>0</v>
      </c>
    </row>
    <row r="652" spans="1:16" x14ac:dyDescent="0.3">
      <c r="A652" s="1">
        <v>44406</v>
      </c>
      <c r="B652" s="2">
        <v>225.78334000000001</v>
      </c>
      <c r="C652" s="2">
        <v>286.5</v>
      </c>
      <c r="F652" s="1">
        <v>44406</v>
      </c>
      <c r="G652" s="2">
        <f t="shared" si="20"/>
        <v>4.5872754883827853E-2</v>
      </c>
      <c r="H652" s="2">
        <f t="shared" si="21"/>
        <v>9.7779027206441036E-4</v>
      </c>
      <c r="I652" s="7">
        <v>0</v>
      </c>
      <c r="J652" s="7">
        <v>0</v>
      </c>
      <c r="K652" s="7">
        <v>0</v>
      </c>
      <c r="L652" s="7">
        <v>0</v>
      </c>
      <c r="M652" s="7">
        <v>0</v>
      </c>
      <c r="N652" s="7">
        <v>0</v>
      </c>
      <c r="O652" s="7">
        <v>4.5872754883827853E-2</v>
      </c>
      <c r="P652" s="7">
        <v>9.7779027206441036E-4</v>
      </c>
    </row>
    <row r="653" spans="1:16" x14ac:dyDescent="0.3">
      <c r="A653" s="1">
        <v>44407</v>
      </c>
      <c r="B653" s="2">
        <v>229.066666</v>
      </c>
      <c r="C653" s="2">
        <v>284.91000000000003</v>
      </c>
      <c r="F653" s="1">
        <v>44407</v>
      </c>
      <c r="G653" s="2">
        <f t="shared" si="20"/>
        <v>1.4437212206107266E-2</v>
      </c>
      <c r="H653" s="2">
        <f t="shared" si="21"/>
        <v>-5.5651952318233793E-3</v>
      </c>
      <c r="I653" s="7">
        <v>0</v>
      </c>
      <c r="J653" s="7">
        <v>0</v>
      </c>
      <c r="K653" s="7">
        <v>1.4437212206107266E-2</v>
      </c>
      <c r="L653" s="7">
        <v>-5.5651952318233793E-3</v>
      </c>
      <c r="M653" s="7">
        <v>0</v>
      </c>
      <c r="N653" s="7">
        <v>0</v>
      </c>
      <c r="O653" s="7">
        <v>0</v>
      </c>
      <c r="P653" s="7">
        <v>0</v>
      </c>
    </row>
    <row r="654" spans="1:16" x14ac:dyDescent="0.3">
      <c r="A654" s="1">
        <v>44410</v>
      </c>
      <c r="B654" s="2">
        <v>236.55667099999999</v>
      </c>
      <c r="C654" s="2">
        <v>284.82</v>
      </c>
      <c r="F654" s="1">
        <v>44410</v>
      </c>
      <c r="G654" s="2">
        <f t="shared" si="20"/>
        <v>3.2174723813891297E-2</v>
      </c>
      <c r="H654" s="2">
        <f t="shared" si="21"/>
        <v>-3.1593913168921671E-4</v>
      </c>
      <c r="I654" s="7">
        <v>0</v>
      </c>
      <c r="J654" s="7">
        <v>0</v>
      </c>
      <c r="K654" s="7">
        <v>3.2174723813891297E-2</v>
      </c>
      <c r="L654" s="7">
        <v>-3.1593913168921671E-4</v>
      </c>
      <c r="M654" s="7">
        <v>0</v>
      </c>
      <c r="N654" s="7">
        <v>0</v>
      </c>
      <c r="O654" s="7">
        <v>0</v>
      </c>
      <c r="P654" s="7">
        <v>0</v>
      </c>
    </row>
    <row r="655" spans="1:16" x14ac:dyDescent="0.3">
      <c r="A655" s="1">
        <v>44411</v>
      </c>
      <c r="B655" s="2">
        <v>236.58000200000001</v>
      </c>
      <c r="C655" s="2">
        <v>287.12</v>
      </c>
      <c r="F655" s="1">
        <v>44411</v>
      </c>
      <c r="G655" s="2">
        <f t="shared" si="20"/>
        <v>9.8622665924349008E-5</v>
      </c>
      <c r="H655" s="2">
        <f t="shared" si="21"/>
        <v>8.042845048070138E-3</v>
      </c>
      <c r="I655" s="7">
        <v>0</v>
      </c>
      <c r="J655" s="7">
        <v>0</v>
      </c>
      <c r="K655" s="7">
        <v>0</v>
      </c>
      <c r="L655" s="7">
        <v>0</v>
      </c>
      <c r="M655" s="7">
        <v>0</v>
      </c>
      <c r="N655" s="7">
        <v>0</v>
      </c>
      <c r="O655" s="7">
        <v>9.8622665924349008E-5</v>
      </c>
      <c r="P655" s="7">
        <v>8.042845048070138E-3</v>
      </c>
    </row>
    <row r="656" spans="1:16" x14ac:dyDescent="0.3">
      <c r="A656" s="1">
        <v>44412</v>
      </c>
      <c r="B656" s="2">
        <v>236.97332800000001</v>
      </c>
      <c r="C656" s="2">
        <v>286.51</v>
      </c>
      <c r="F656" s="1">
        <v>44412</v>
      </c>
      <c r="G656" s="2">
        <f t="shared" si="20"/>
        <v>1.6611691462417009E-3</v>
      </c>
      <c r="H656" s="2">
        <f t="shared" si="21"/>
        <v>-2.1268072797269821E-3</v>
      </c>
      <c r="I656" s="7">
        <v>0</v>
      </c>
      <c r="J656" s="7">
        <v>0</v>
      </c>
      <c r="K656" s="7">
        <v>1.6611691462417009E-3</v>
      </c>
      <c r="L656" s="7">
        <v>-2.1268072797269821E-3</v>
      </c>
      <c r="M656" s="7">
        <v>0</v>
      </c>
      <c r="N656" s="7">
        <v>0</v>
      </c>
      <c r="O656" s="7">
        <v>0</v>
      </c>
      <c r="P656" s="7">
        <v>0</v>
      </c>
    </row>
    <row r="657" spans="1:16" x14ac:dyDescent="0.3">
      <c r="A657" s="1">
        <v>44413</v>
      </c>
      <c r="B657" s="2">
        <v>238.21000699999999</v>
      </c>
      <c r="C657" s="2">
        <v>289.52</v>
      </c>
      <c r="F657" s="1">
        <v>44413</v>
      </c>
      <c r="G657" s="2">
        <f t="shared" si="20"/>
        <v>5.2050722363305556E-3</v>
      </c>
      <c r="H657" s="2">
        <f t="shared" si="21"/>
        <v>1.0450939695861921E-2</v>
      </c>
      <c r="I657" s="7">
        <v>0</v>
      </c>
      <c r="J657" s="7">
        <v>0</v>
      </c>
      <c r="K657" s="7">
        <v>0</v>
      </c>
      <c r="L657" s="7">
        <v>0</v>
      </c>
      <c r="M657" s="7">
        <v>0</v>
      </c>
      <c r="N657" s="7">
        <v>0</v>
      </c>
      <c r="O657" s="7">
        <v>5.2050722363305556E-3</v>
      </c>
      <c r="P657" s="7">
        <v>1.0450939695861921E-2</v>
      </c>
    </row>
    <row r="658" spans="1:16" x14ac:dyDescent="0.3">
      <c r="A658" s="1">
        <v>44414</v>
      </c>
      <c r="B658" s="2">
        <v>233.03334000000001</v>
      </c>
      <c r="C658" s="2">
        <v>289.45999999999998</v>
      </c>
      <c r="F658" s="1">
        <v>44414</v>
      </c>
      <c r="G658" s="2">
        <f t="shared" si="20"/>
        <v>-2.1971133495923199E-2</v>
      </c>
      <c r="H658" s="2">
        <f t="shared" si="21"/>
        <v>-2.0726104602853974E-4</v>
      </c>
      <c r="I658" s="7">
        <v>-2.1971133495923199E-2</v>
      </c>
      <c r="J658" s="7">
        <v>-2.0726104602853974E-4</v>
      </c>
      <c r="K658" s="7">
        <v>0</v>
      </c>
      <c r="L658" s="7">
        <v>0</v>
      </c>
      <c r="M658" s="7">
        <v>0</v>
      </c>
      <c r="N658" s="7">
        <v>0</v>
      </c>
      <c r="O658" s="7">
        <v>0</v>
      </c>
      <c r="P658" s="7">
        <v>0</v>
      </c>
    </row>
    <row r="659" spans="1:16" x14ac:dyDescent="0.3">
      <c r="A659" s="1">
        <v>44417</v>
      </c>
      <c r="B659" s="2">
        <v>237.91999799999999</v>
      </c>
      <c r="C659" s="2">
        <v>288.33</v>
      </c>
      <c r="F659" s="1">
        <v>44417</v>
      </c>
      <c r="G659" s="2">
        <f t="shared" si="20"/>
        <v>2.0752940847617946E-2</v>
      </c>
      <c r="H659" s="2">
        <f t="shared" si="21"/>
        <v>-3.9114607061557964E-3</v>
      </c>
      <c r="I659" s="7">
        <v>0</v>
      </c>
      <c r="J659" s="7">
        <v>0</v>
      </c>
      <c r="K659" s="7">
        <v>2.0752940847617946E-2</v>
      </c>
      <c r="L659" s="7">
        <v>-3.9114607061557964E-3</v>
      </c>
      <c r="M659" s="7">
        <v>0</v>
      </c>
      <c r="N659" s="7">
        <v>0</v>
      </c>
      <c r="O659" s="7">
        <v>0</v>
      </c>
      <c r="P659" s="7">
        <v>0</v>
      </c>
    </row>
    <row r="660" spans="1:16" x14ac:dyDescent="0.3">
      <c r="A660" s="1">
        <v>44418</v>
      </c>
      <c r="B660" s="2">
        <v>236.66333</v>
      </c>
      <c r="C660" s="2">
        <v>286.44</v>
      </c>
      <c r="F660" s="1">
        <v>44418</v>
      </c>
      <c r="G660" s="2">
        <f t="shared" si="20"/>
        <v>-5.2958916293418213E-3</v>
      </c>
      <c r="H660" s="2">
        <f t="shared" si="21"/>
        <v>-6.5765673645636017E-3</v>
      </c>
      <c r="I660" s="7">
        <v>-5.2958916293418213E-3</v>
      </c>
      <c r="J660" s="7">
        <v>-6.5765673645636017E-3</v>
      </c>
      <c r="K660" s="7">
        <v>0</v>
      </c>
      <c r="L660" s="7">
        <v>0</v>
      </c>
      <c r="M660" s="7">
        <v>0</v>
      </c>
      <c r="N660" s="7">
        <v>0</v>
      </c>
      <c r="O660" s="7">
        <v>0</v>
      </c>
      <c r="P660" s="7">
        <v>0</v>
      </c>
    </row>
    <row r="661" spans="1:16" x14ac:dyDescent="0.3">
      <c r="A661" s="1">
        <v>44419</v>
      </c>
      <c r="B661" s="2">
        <v>235.94000199999999</v>
      </c>
      <c r="C661" s="2">
        <v>286.95</v>
      </c>
      <c r="F661" s="1">
        <v>44419</v>
      </c>
      <c r="G661" s="2">
        <f t="shared" si="20"/>
        <v>-3.0610387858883551E-3</v>
      </c>
      <c r="H661" s="2">
        <f t="shared" si="21"/>
        <v>1.7788944156325662E-3</v>
      </c>
      <c r="I661" s="7">
        <v>0</v>
      </c>
      <c r="J661" s="7">
        <v>0</v>
      </c>
      <c r="K661" s="7">
        <v>0</v>
      </c>
      <c r="L661" s="7">
        <v>0</v>
      </c>
      <c r="M661" s="7">
        <v>-3.0610387858883551E-3</v>
      </c>
      <c r="N661" s="7">
        <v>1.7788944156325662E-3</v>
      </c>
      <c r="O661" s="7">
        <v>0</v>
      </c>
      <c r="P661" s="7">
        <v>0</v>
      </c>
    </row>
    <row r="662" spans="1:16" x14ac:dyDescent="0.3">
      <c r="A662" s="1">
        <v>44420</v>
      </c>
      <c r="B662" s="2">
        <v>240.75</v>
      </c>
      <c r="C662" s="2">
        <v>289.81</v>
      </c>
      <c r="F662" s="1">
        <v>44420</v>
      </c>
      <c r="G662" s="2">
        <f t="shared" si="20"/>
        <v>2.0181506787807252E-2</v>
      </c>
      <c r="H662" s="2">
        <f t="shared" si="21"/>
        <v>9.9175512931185383E-3</v>
      </c>
      <c r="I662" s="7">
        <v>0</v>
      </c>
      <c r="J662" s="7">
        <v>0</v>
      </c>
      <c r="K662" s="7">
        <v>0</v>
      </c>
      <c r="L662" s="7">
        <v>0</v>
      </c>
      <c r="M662" s="7">
        <v>0</v>
      </c>
      <c r="N662" s="7">
        <v>0</v>
      </c>
      <c r="O662" s="7">
        <v>2.0181506787807252E-2</v>
      </c>
      <c r="P662" s="7">
        <v>9.9175512931185383E-3</v>
      </c>
    </row>
    <row r="663" spans="1:16" x14ac:dyDescent="0.3">
      <c r="A663" s="1">
        <v>44421</v>
      </c>
      <c r="B663" s="2">
        <v>239.05667099999999</v>
      </c>
      <c r="C663" s="2">
        <v>292.85000000000002</v>
      </c>
      <c r="F663" s="1">
        <v>44421</v>
      </c>
      <c r="G663" s="2">
        <f t="shared" si="20"/>
        <v>-7.0584096997419778E-3</v>
      </c>
      <c r="H663" s="2">
        <f t="shared" si="21"/>
        <v>1.0434996688301102E-2</v>
      </c>
      <c r="I663" s="7">
        <v>0</v>
      </c>
      <c r="J663" s="7">
        <v>0</v>
      </c>
      <c r="K663" s="7">
        <v>0</v>
      </c>
      <c r="L663" s="7">
        <v>0</v>
      </c>
      <c r="M663" s="7">
        <v>-7.0584096997419778E-3</v>
      </c>
      <c r="N663" s="7">
        <v>1.0434996688301102E-2</v>
      </c>
      <c r="O663" s="7">
        <v>0</v>
      </c>
      <c r="P663" s="7">
        <v>0</v>
      </c>
    </row>
    <row r="664" spans="1:16" x14ac:dyDescent="0.3">
      <c r="A664" s="1">
        <v>44424</v>
      </c>
      <c r="B664" s="2">
        <v>228.72332800000001</v>
      </c>
      <c r="C664" s="2">
        <v>294.60000000000002</v>
      </c>
      <c r="F664" s="1">
        <v>44424</v>
      </c>
      <c r="G664" s="2">
        <f t="shared" si="20"/>
        <v>-4.4187542528147057E-2</v>
      </c>
      <c r="H664" s="2">
        <f t="shared" si="21"/>
        <v>5.9579714927386141E-3</v>
      </c>
      <c r="I664" s="7">
        <v>0</v>
      </c>
      <c r="J664" s="7">
        <v>0</v>
      </c>
      <c r="K664" s="7">
        <v>0</v>
      </c>
      <c r="L664" s="7">
        <v>0</v>
      </c>
      <c r="M664" s="7">
        <v>-4.4187542528147057E-2</v>
      </c>
      <c r="N664" s="7">
        <v>5.9579714927386141E-3</v>
      </c>
      <c r="O664" s="7">
        <v>0</v>
      </c>
      <c r="P664" s="7">
        <v>0</v>
      </c>
    </row>
    <row r="665" spans="1:16" x14ac:dyDescent="0.3">
      <c r="A665" s="1">
        <v>44425</v>
      </c>
      <c r="B665" s="2">
        <v>221.903336</v>
      </c>
      <c r="C665" s="2">
        <v>293.08</v>
      </c>
      <c r="F665" s="1">
        <v>44425</v>
      </c>
      <c r="G665" s="2">
        <f t="shared" si="20"/>
        <v>-3.0271234825795596E-2</v>
      </c>
      <c r="H665" s="2">
        <f t="shared" si="21"/>
        <v>-5.1728947367668966E-3</v>
      </c>
      <c r="I665" s="7">
        <v>-3.0271234825795596E-2</v>
      </c>
      <c r="J665" s="7">
        <v>-5.1728947367668966E-3</v>
      </c>
      <c r="K665" s="7">
        <v>0</v>
      </c>
      <c r="L665" s="7">
        <v>0</v>
      </c>
      <c r="M665" s="7">
        <v>0</v>
      </c>
      <c r="N665" s="7">
        <v>0</v>
      </c>
      <c r="O665" s="7">
        <v>0</v>
      </c>
      <c r="P665" s="7">
        <v>0</v>
      </c>
    </row>
    <row r="666" spans="1:16" x14ac:dyDescent="0.3">
      <c r="A666" s="1">
        <v>44426</v>
      </c>
      <c r="B666" s="2">
        <v>229.66333</v>
      </c>
      <c r="C666" s="2">
        <v>290.73</v>
      </c>
      <c r="F666" s="1">
        <v>44426</v>
      </c>
      <c r="G666" s="2">
        <f t="shared" si="20"/>
        <v>3.4372590313574959E-2</v>
      </c>
      <c r="H666" s="2">
        <f t="shared" si="21"/>
        <v>-8.0506078771945752E-3</v>
      </c>
      <c r="I666" s="7">
        <v>0</v>
      </c>
      <c r="J666" s="7">
        <v>0</v>
      </c>
      <c r="K666" s="7">
        <v>3.4372590313574959E-2</v>
      </c>
      <c r="L666" s="7">
        <v>-8.0506078771945752E-3</v>
      </c>
      <c r="M666" s="7">
        <v>0</v>
      </c>
      <c r="N666" s="7">
        <v>0</v>
      </c>
      <c r="O666" s="7">
        <v>0</v>
      </c>
      <c r="P666" s="7">
        <v>0</v>
      </c>
    </row>
    <row r="667" spans="1:16" x14ac:dyDescent="0.3">
      <c r="A667" s="1">
        <v>44427</v>
      </c>
      <c r="B667" s="2">
        <v>224.490005</v>
      </c>
      <c r="C667" s="2">
        <v>296.77</v>
      </c>
      <c r="F667" s="1">
        <v>44427</v>
      </c>
      <c r="G667" s="2">
        <f t="shared" si="20"/>
        <v>-2.2783268905041627E-2</v>
      </c>
      <c r="H667" s="2">
        <f t="shared" si="21"/>
        <v>2.0562426602798858E-2</v>
      </c>
      <c r="I667" s="7">
        <v>0</v>
      </c>
      <c r="J667" s="7">
        <v>0</v>
      </c>
      <c r="K667" s="7">
        <v>0</v>
      </c>
      <c r="L667" s="7">
        <v>0</v>
      </c>
      <c r="M667" s="7">
        <v>-2.2783268905041627E-2</v>
      </c>
      <c r="N667" s="7">
        <v>2.0562426602798858E-2</v>
      </c>
      <c r="O667" s="7">
        <v>0</v>
      </c>
      <c r="P667" s="7">
        <v>0</v>
      </c>
    </row>
    <row r="668" spans="1:16" x14ac:dyDescent="0.3">
      <c r="A668" s="1">
        <v>44428</v>
      </c>
      <c r="B668" s="2">
        <v>226.75332599999999</v>
      </c>
      <c r="C668" s="2">
        <v>304.36</v>
      </c>
      <c r="F668" s="1">
        <v>44428</v>
      </c>
      <c r="G668" s="2">
        <f t="shared" si="20"/>
        <v>1.0031571991300677E-2</v>
      </c>
      <c r="H668" s="2">
        <f t="shared" si="21"/>
        <v>2.5253783290954908E-2</v>
      </c>
      <c r="I668" s="7">
        <v>0</v>
      </c>
      <c r="J668" s="7">
        <v>0</v>
      </c>
      <c r="K668" s="7">
        <v>0</v>
      </c>
      <c r="L668" s="7">
        <v>0</v>
      </c>
      <c r="M668" s="7">
        <v>0</v>
      </c>
      <c r="N668" s="7">
        <v>0</v>
      </c>
      <c r="O668" s="7">
        <v>1.0031571991300677E-2</v>
      </c>
      <c r="P668" s="7">
        <v>2.5253783290954908E-2</v>
      </c>
    </row>
    <row r="669" spans="1:16" x14ac:dyDescent="0.3">
      <c r="A669" s="1">
        <v>44431</v>
      </c>
      <c r="B669" s="2">
        <v>235.433334</v>
      </c>
      <c r="C669" s="2">
        <v>304.64999999999998</v>
      </c>
      <c r="F669" s="1">
        <v>44431</v>
      </c>
      <c r="G669" s="2">
        <f t="shared" si="20"/>
        <v>3.7565033554040478E-2</v>
      </c>
      <c r="H669" s="2">
        <f t="shared" si="21"/>
        <v>9.5236538618125304E-4</v>
      </c>
      <c r="I669" s="7">
        <v>0</v>
      </c>
      <c r="J669" s="7">
        <v>0</v>
      </c>
      <c r="K669" s="7">
        <v>0</v>
      </c>
      <c r="L669" s="7">
        <v>0</v>
      </c>
      <c r="M669" s="7">
        <v>0</v>
      </c>
      <c r="N669" s="7">
        <v>0</v>
      </c>
      <c r="O669" s="7">
        <v>3.7565033554040478E-2</v>
      </c>
      <c r="P669" s="7">
        <v>9.5236538618125304E-4</v>
      </c>
    </row>
    <row r="670" spans="1:16" x14ac:dyDescent="0.3">
      <c r="A670" s="1">
        <v>44432</v>
      </c>
      <c r="B670" s="2">
        <v>236.16333</v>
      </c>
      <c r="C670" s="2">
        <v>302.62</v>
      </c>
      <c r="F670" s="1">
        <v>44432</v>
      </c>
      <c r="G670" s="2">
        <f t="shared" si="20"/>
        <v>3.0958513440262972E-3</v>
      </c>
      <c r="H670" s="2">
        <f t="shared" si="21"/>
        <v>-6.6856836710785673E-3</v>
      </c>
      <c r="I670" s="7">
        <v>0</v>
      </c>
      <c r="J670" s="7">
        <v>0</v>
      </c>
      <c r="K670" s="7">
        <v>3.0958513440262972E-3</v>
      </c>
      <c r="L670" s="7">
        <v>-6.6856836710785673E-3</v>
      </c>
      <c r="M670" s="7">
        <v>0</v>
      </c>
      <c r="N670" s="7">
        <v>0</v>
      </c>
      <c r="O670" s="7">
        <v>0</v>
      </c>
      <c r="P670" s="7">
        <v>0</v>
      </c>
    </row>
    <row r="671" spans="1:16" x14ac:dyDescent="0.3">
      <c r="A671" s="1">
        <v>44433</v>
      </c>
      <c r="B671" s="2">
        <v>237.066666</v>
      </c>
      <c r="C671" s="2">
        <v>302.01</v>
      </c>
      <c r="F671" s="1">
        <v>44433</v>
      </c>
      <c r="G671" s="2">
        <f t="shared" si="20"/>
        <v>3.8177507969855656E-3</v>
      </c>
      <c r="H671" s="2">
        <f t="shared" si="21"/>
        <v>-2.0177636139831548E-3</v>
      </c>
      <c r="I671" s="7">
        <v>0</v>
      </c>
      <c r="J671" s="7">
        <v>0</v>
      </c>
      <c r="K671" s="7">
        <v>3.8177507969855656E-3</v>
      </c>
      <c r="L671" s="7">
        <v>-2.0177636139831548E-3</v>
      </c>
      <c r="M671" s="7">
        <v>0</v>
      </c>
      <c r="N671" s="7">
        <v>0</v>
      </c>
      <c r="O671" s="7">
        <v>0</v>
      </c>
      <c r="P671" s="7">
        <v>0</v>
      </c>
    </row>
    <row r="672" spans="1:16" x14ac:dyDescent="0.3">
      <c r="A672" s="1">
        <v>44434</v>
      </c>
      <c r="B672" s="2">
        <v>233.720001</v>
      </c>
      <c r="C672" s="2">
        <v>299.08999999999997</v>
      </c>
      <c r="F672" s="1">
        <v>44434</v>
      </c>
      <c r="G672" s="2">
        <f t="shared" si="20"/>
        <v>-1.4217570754576423E-2</v>
      </c>
      <c r="H672" s="2">
        <f t="shared" si="21"/>
        <v>-9.7155979666918267E-3</v>
      </c>
      <c r="I672" s="7">
        <v>-1.4217570754576423E-2</v>
      </c>
      <c r="J672" s="7">
        <v>-9.7155979666918267E-3</v>
      </c>
      <c r="K672" s="7">
        <v>0</v>
      </c>
      <c r="L672" s="7">
        <v>0</v>
      </c>
      <c r="M672" s="7">
        <v>0</v>
      </c>
      <c r="N672" s="7">
        <v>0</v>
      </c>
      <c r="O672" s="7">
        <v>0</v>
      </c>
      <c r="P672" s="7">
        <v>0</v>
      </c>
    </row>
    <row r="673" spans="1:16" x14ac:dyDescent="0.3">
      <c r="A673" s="1">
        <v>44435</v>
      </c>
      <c r="B673" s="2">
        <v>237.30667099999999</v>
      </c>
      <c r="C673" s="2">
        <v>299.72000000000003</v>
      </c>
      <c r="F673" s="1">
        <v>44435</v>
      </c>
      <c r="G673" s="2">
        <f t="shared" si="20"/>
        <v>1.5229453176115317E-2</v>
      </c>
      <c r="H673" s="2">
        <f t="shared" si="21"/>
        <v>2.1041740533601877E-3</v>
      </c>
      <c r="I673" s="7">
        <v>0</v>
      </c>
      <c r="J673" s="7">
        <v>0</v>
      </c>
      <c r="K673" s="7">
        <v>0</v>
      </c>
      <c r="L673" s="7">
        <v>0</v>
      </c>
      <c r="M673" s="7">
        <v>0</v>
      </c>
      <c r="N673" s="7">
        <v>0</v>
      </c>
      <c r="O673" s="7">
        <v>1.5229453176115317E-2</v>
      </c>
      <c r="P673" s="7">
        <v>2.1041740533601877E-3</v>
      </c>
    </row>
    <row r="674" spans="1:16" x14ac:dyDescent="0.3">
      <c r="A674" s="1">
        <v>44438</v>
      </c>
      <c r="B674" s="2">
        <v>243.636673</v>
      </c>
      <c r="C674" s="2">
        <v>303.58999999999997</v>
      </c>
      <c r="F674" s="1">
        <v>44438</v>
      </c>
      <c r="G674" s="2">
        <f t="shared" si="20"/>
        <v>2.6324795340869525E-2</v>
      </c>
      <c r="H674" s="2">
        <f t="shared" si="21"/>
        <v>1.2829401406478015E-2</v>
      </c>
      <c r="I674" s="7">
        <v>0</v>
      </c>
      <c r="J674" s="7">
        <v>0</v>
      </c>
      <c r="K674" s="7">
        <v>0</v>
      </c>
      <c r="L674" s="7">
        <v>0</v>
      </c>
      <c r="M674" s="7">
        <v>0</v>
      </c>
      <c r="N674" s="7">
        <v>0</v>
      </c>
      <c r="O674" s="7">
        <v>2.6324795340869525E-2</v>
      </c>
      <c r="P674" s="7">
        <v>1.2829401406478015E-2</v>
      </c>
    </row>
    <row r="675" spans="1:16" x14ac:dyDescent="0.3">
      <c r="A675" s="1">
        <v>44439</v>
      </c>
      <c r="B675" s="2">
        <v>245.240005</v>
      </c>
      <c r="C675" s="2">
        <v>301.88</v>
      </c>
      <c r="F675" s="1">
        <v>44439</v>
      </c>
      <c r="G675" s="2">
        <f t="shared" si="20"/>
        <v>6.5592728008330332E-3</v>
      </c>
      <c r="H675" s="2">
        <f t="shared" si="21"/>
        <v>-5.6485194859204543E-3</v>
      </c>
      <c r="I675" s="7">
        <v>0</v>
      </c>
      <c r="J675" s="7">
        <v>0</v>
      </c>
      <c r="K675" s="7">
        <v>6.5592728008330332E-3</v>
      </c>
      <c r="L675" s="7">
        <v>-5.6485194859204543E-3</v>
      </c>
      <c r="M675" s="7">
        <v>0</v>
      </c>
      <c r="N675" s="7">
        <v>0</v>
      </c>
      <c r="O675" s="7">
        <v>0</v>
      </c>
      <c r="P675" s="7">
        <v>0</v>
      </c>
    </row>
    <row r="676" spans="1:16" x14ac:dyDescent="0.3">
      <c r="A676" s="1">
        <v>44440</v>
      </c>
      <c r="B676" s="2">
        <v>244.69667100000001</v>
      </c>
      <c r="C676" s="2">
        <v>301.83</v>
      </c>
      <c r="F676" s="1">
        <v>44440</v>
      </c>
      <c r="G676" s="2">
        <f t="shared" si="20"/>
        <v>-2.2179773401605762E-3</v>
      </c>
      <c r="H676" s="2">
        <f t="shared" si="21"/>
        <v>-1.6564244459867376E-4</v>
      </c>
      <c r="I676" s="7">
        <v>-2.2179773401605762E-3</v>
      </c>
      <c r="J676" s="7">
        <v>-1.6564244459867376E-4</v>
      </c>
      <c r="K676" s="7">
        <v>0</v>
      </c>
      <c r="L676" s="7">
        <v>0</v>
      </c>
      <c r="M676" s="7">
        <v>0</v>
      </c>
      <c r="N676" s="7">
        <v>0</v>
      </c>
      <c r="O676" s="7">
        <v>0</v>
      </c>
      <c r="P676" s="7">
        <v>0</v>
      </c>
    </row>
    <row r="677" spans="1:16" x14ac:dyDescent="0.3">
      <c r="A677" s="1">
        <v>44441</v>
      </c>
      <c r="B677" s="2">
        <v>244.13000500000001</v>
      </c>
      <c r="C677" s="2">
        <v>301.14999999999998</v>
      </c>
      <c r="F677" s="1">
        <v>44441</v>
      </c>
      <c r="G677" s="2">
        <f t="shared" si="20"/>
        <v>-2.3184751637186267E-3</v>
      </c>
      <c r="H677" s="2">
        <f t="shared" si="21"/>
        <v>-2.2554654823390028E-3</v>
      </c>
      <c r="I677" s="7">
        <v>-2.3184751637186267E-3</v>
      </c>
      <c r="J677" s="7">
        <v>-2.2554654823390028E-3</v>
      </c>
      <c r="K677" s="7">
        <v>0</v>
      </c>
      <c r="L677" s="7">
        <v>0</v>
      </c>
      <c r="M677" s="7">
        <v>0</v>
      </c>
      <c r="N677" s="7">
        <v>0</v>
      </c>
      <c r="O677" s="7">
        <v>0</v>
      </c>
      <c r="P677" s="7">
        <v>0</v>
      </c>
    </row>
    <row r="678" spans="1:16" x14ac:dyDescent="0.3">
      <c r="A678" s="1">
        <v>44442</v>
      </c>
      <c r="B678" s="2">
        <v>244.52333100000001</v>
      </c>
      <c r="C678" s="2">
        <v>301.14</v>
      </c>
      <c r="F678" s="1">
        <v>44442</v>
      </c>
      <c r="G678" s="2">
        <f t="shared" si="20"/>
        <v>1.6098368964965026E-3</v>
      </c>
      <c r="H678" s="2">
        <f t="shared" si="21"/>
        <v>-3.3206594832745763E-5</v>
      </c>
      <c r="I678" s="7">
        <v>0</v>
      </c>
      <c r="J678" s="7">
        <v>0</v>
      </c>
      <c r="K678" s="7">
        <v>1.6098368964965026E-3</v>
      </c>
      <c r="L678" s="7">
        <v>-3.3206594832745763E-5</v>
      </c>
      <c r="M678" s="7">
        <v>0</v>
      </c>
      <c r="N678" s="7">
        <v>0</v>
      </c>
      <c r="O678" s="7">
        <v>0</v>
      </c>
      <c r="P678" s="7">
        <v>0</v>
      </c>
    </row>
    <row r="679" spans="1:16" x14ac:dyDescent="0.3">
      <c r="A679" s="1">
        <v>44446</v>
      </c>
      <c r="B679" s="2">
        <v>250.97332800000001</v>
      </c>
      <c r="C679" s="2">
        <v>300.18</v>
      </c>
      <c r="F679" s="1">
        <v>44446</v>
      </c>
      <c r="G679" s="2">
        <f t="shared" si="20"/>
        <v>2.6035942861974151E-2</v>
      </c>
      <c r="H679" s="2">
        <f t="shared" si="21"/>
        <v>-3.1929781667285979E-3</v>
      </c>
      <c r="I679" s="7">
        <v>0</v>
      </c>
      <c r="J679" s="7">
        <v>0</v>
      </c>
      <c r="K679" s="7">
        <v>2.6035942861974151E-2</v>
      </c>
      <c r="L679" s="7">
        <v>-3.1929781667285979E-3</v>
      </c>
      <c r="M679" s="7">
        <v>0</v>
      </c>
      <c r="N679" s="7">
        <v>0</v>
      </c>
      <c r="O679" s="7">
        <v>0</v>
      </c>
      <c r="P679" s="7">
        <v>0</v>
      </c>
    </row>
    <row r="680" spans="1:16" x14ac:dyDescent="0.3">
      <c r="A680" s="1">
        <v>44447</v>
      </c>
      <c r="B680" s="2">
        <v>251.28999300000001</v>
      </c>
      <c r="C680" s="2">
        <v>300.20999999999998</v>
      </c>
      <c r="F680" s="1">
        <v>44447</v>
      </c>
      <c r="G680" s="2">
        <f t="shared" si="20"/>
        <v>1.2609522882444503E-3</v>
      </c>
      <c r="H680" s="2">
        <f t="shared" si="21"/>
        <v>9.9935042305554416E-5</v>
      </c>
      <c r="I680" s="7">
        <v>0</v>
      </c>
      <c r="J680" s="7">
        <v>0</v>
      </c>
      <c r="K680" s="7">
        <v>0</v>
      </c>
      <c r="L680" s="7">
        <v>0</v>
      </c>
      <c r="M680" s="7">
        <v>0</v>
      </c>
      <c r="N680" s="7">
        <v>0</v>
      </c>
      <c r="O680" s="7">
        <v>1.2609522882444503E-3</v>
      </c>
      <c r="P680" s="7">
        <v>9.9935042305554416E-5</v>
      </c>
    </row>
    <row r="681" spans="1:16" x14ac:dyDescent="0.3">
      <c r="A681" s="1">
        <v>44448</v>
      </c>
      <c r="B681" s="2">
        <v>251.61999499999999</v>
      </c>
      <c r="C681" s="2">
        <v>297.25</v>
      </c>
      <c r="F681" s="1">
        <v>44448</v>
      </c>
      <c r="G681" s="2">
        <f t="shared" si="20"/>
        <v>1.3123702262358848E-3</v>
      </c>
      <c r="H681" s="2">
        <f t="shared" si="21"/>
        <v>-9.9086941995831217E-3</v>
      </c>
      <c r="I681" s="7">
        <v>0</v>
      </c>
      <c r="J681" s="7">
        <v>0</v>
      </c>
      <c r="K681" s="7">
        <v>1.3123702262358848E-3</v>
      </c>
      <c r="L681" s="7">
        <v>-9.9086941995831217E-3</v>
      </c>
      <c r="M681" s="7">
        <v>0</v>
      </c>
      <c r="N681" s="7">
        <v>0</v>
      </c>
      <c r="O681" s="7">
        <v>0</v>
      </c>
      <c r="P681" s="7">
        <v>0</v>
      </c>
    </row>
    <row r="682" spans="1:16" x14ac:dyDescent="0.3">
      <c r="A682" s="1">
        <v>44449</v>
      </c>
      <c r="B682" s="2">
        <v>245.42334</v>
      </c>
      <c r="C682" s="2">
        <v>295.70999999999998</v>
      </c>
      <c r="F682" s="1">
        <v>44449</v>
      </c>
      <c r="G682" s="2">
        <f t="shared" si="20"/>
        <v>-2.4935355273160823E-2</v>
      </c>
      <c r="H682" s="2">
        <f t="shared" si="21"/>
        <v>-5.1942912254339555E-3</v>
      </c>
      <c r="I682" s="7">
        <v>-2.4935355273160823E-2</v>
      </c>
      <c r="J682" s="7">
        <v>-5.1942912254339555E-3</v>
      </c>
      <c r="K682" s="7">
        <v>0</v>
      </c>
      <c r="L682" s="7">
        <v>0</v>
      </c>
      <c r="M682" s="7">
        <v>0</v>
      </c>
      <c r="N682" s="7">
        <v>0</v>
      </c>
      <c r="O682" s="7">
        <v>0</v>
      </c>
      <c r="P682" s="7">
        <v>0</v>
      </c>
    </row>
    <row r="683" spans="1:16" x14ac:dyDescent="0.3">
      <c r="A683" s="1">
        <v>44452</v>
      </c>
      <c r="B683" s="2">
        <v>247.66667200000001</v>
      </c>
      <c r="C683" s="2">
        <v>296.99</v>
      </c>
      <c r="F683" s="1">
        <v>44452</v>
      </c>
      <c r="G683" s="2">
        <f t="shared" si="20"/>
        <v>9.0991398053803813E-3</v>
      </c>
      <c r="H683" s="2">
        <f t="shared" si="21"/>
        <v>4.3192238567239753E-3</v>
      </c>
      <c r="I683" s="7">
        <v>0</v>
      </c>
      <c r="J683" s="7">
        <v>0</v>
      </c>
      <c r="K683" s="7">
        <v>0</v>
      </c>
      <c r="L683" s="7">
        <v>0</v>
      </c>
      <c r="M683" s="7">
        <v>0</v>
      </c>
      <c r="N683" s="7">
        <v>0</v>
      </c>
      <c r="O683" s="7">
        <v>9.0991398053803813E-3</v>
      </c>
      <c r="P683" s="7">
        <v>4.3192238567239753E-3</v>
      </c>
    </row>
    <row r="684" spans="1:16" x14ac:dyDescent="0.3">
      <c r="A684" s="1">
        <v>44453</v>
      </c>
      <c r="B684" s="2">
        <v>248.16333</v>
      </c>
      <c r="C684" s="2">
        <v>299.79000000000002</v>
      </c>
      <c r="F684" s="1">
        <v>44453</v>
      </c>
      <c r="G684" s="2">
        <f t="shared" si="20"/>
        <v>2.003340516317348E-3</v>
      </c>
      <c r="H684" s="2">
        <f t="shared" si="21"/>
        <v>9.3837613396264494E-3</v>
      </c>
      <c r="I684" s="7">
        <v>0</v>
      </c>
      <c r="J684" s="7">
        <v>0</v>
      </c>
      <c r="K684" s="7">
        <v>0</v>
      </c>
      <c r="L684" s="7">
        <v>0</v>
      </c>
      <c r="M684" s="7">
        <v>0</v>
      </c>
      <c r="N684" s="7">
        <v>0</v>
      </c>
      <c r="O684" s="7">
        <v>2.003340516317348E-3</v>
      </c>
      <c r="P684" s="7">
        <v>9.3837613396264494E-3</v>
      </c>
    </row>
    <row r="685" spans="1:16" x14ac:dyDescent="0.3">
      <c r="A685" s="1">
        <v>44454</v>
      </c>
      <c r="B685" s="2">
        <v>251.94332900000001</v>
      </c>
      <c r="C685" s="2">
        <v>304.82</v>
      </c>
      <c r="F685" s="1">
        <v>44454</v>
      </c>
      <c r="G685" s="2">
        <f t="shared" si="20"/>
        <v>1.511705920009598E-2</v>
      </c>
      <c r="H685" s="2">
        <f t="shared" si="21"/>
        <v>1.6639208915895796E-2</v>
      </c>
      <c r="I685" s="7">
        <v>0</v>
      </c>
      <c r="J685" s="7">
        <v>0</v>
      </c>
      <c r="K685" s="7">
        <v>0</v>
      </c>
      <c r="L685" s="7">
        <v>0</v>
      </c>
      <c r="M685" s="7">
        <v>0</v>
      </c>
      <c r="N685" s="7">
        <v>0</v>
      </c>
      <c r="O685" s="7">
        <v>1.511705920009598E-2</v>
      </c>
      <c r="P685" s="7">
        <v>1.6639208915895796E-2</v>
      </c>
    </row>
    <row r="686" spans="1:16" x14ac:dyDescent="0.3">
      <c r="A686" s="1">
        <v>44455</v>
      </c>
      <c r="B686" s="2">
        <v>252.33000200000001</v>
      </c>
      <c r="C686" s="2">
        <v>305.22000000000003</v>
      </c>
      <c r="F686" s="1">
        <v>44455</v>
      </c>
      <c r="G686" s="2">
        <f t="shared" si="20"/>
        <v>1.5335852682010485E-3</v>
      </c>
      <c r="H686" s="2">
        <f t="shared" si="21"/>
        <v>1.3113896050253094E-3</v>
      </c>
      <c r="I686" s="7">
        <v>0</v>
      </c>
      <c r="J686" s="7">
        <v>0</v>
      </c>
      <c r="K686" s="7">
        <v>0</v>
      </c>
      <c r="L686" s="7">
        <v>0</v>
      </c>
      <c r="M686" s="7">
        <v>0</v>
      </c>
      <c r="N686" s="7">
        <v>0</v>
      </c>
      <c r="O686" s="7">
        <v>1.5335852682010485E-3</v>
      </c>
      <c r="P686" s="7">
        <v>1.3113896050253094E-3</v>
      </c>
    </row>
    <row r="687" spans="1:16" x14ac:dyDescent="0.3">
      <c r="A687" s="1">
        <v>44456</v>
      </c>
      <c r="B687" s="2">
        <v>253.16333</v>
      </c>
      <c r="C687" s="2">
        <v>299.87</v>
      </c>
      <c r="F687" s="1">
        <v>44456</v>
      </c>
      <c r="G687" s="2">
        <f t="shared" si="20"/>
        <v>3.2970909887781149E-3</v>
      </c>
      <c r="H687" s="2">
        <f t="shared" si="21"/>
        <v>-1.7683780655882171E-2</v>
      </c>
      <c r="I687" s="7">
        <v>0</v>
      </c>
      <c r="J687" s="7">
        <v>0</v>
      </c>
      <c r="K687" s="7">
        <v>3.2970909887781149E-3</v>
      </c>
      <c r="L687" s="7">
        <v>-1.7683780655882171E-2</v>
      </c>
      <c r="M687" s="7">
        <v>0</v>
      </c>
      <c r="N687" s="7">
        <v>0</v>
      </c>
      <c r="O687" s="7">
        <v>0</v>
      </c>
      <c r="P687" s="7">
        <v>0</v>
      </c>
    </row>
    <row r="688" spans="1:16" x14ac:dyDescent="0.3">
      <c r="A688" s="1">
        <v>44459</v>
      </c>
      <c r="B688" s="2">
        <v>243.38999899999999</v>
      </c>
      <c r="C688" s="2">
        <v>294.3</v>
      </c>
      <c r="F688" s="1">
        <v>44459</v>
      </c>
      <c r="G688" s="2">
        <f t="shared" si="20"/>
        <v>-3.9369762590911239E-2</v>
      </c>
      <c r="H688" s="2">
        <f t="shared" si="21"/>
        <v>-1.8749392167419429E-2</v>
      </c>
      <c r="I688" s="7">
        <v>-3.9369762590911239E-2</v>
      </c>
      <c r="J688" s="7">
        <v>-1.8749392167419429E-2</v>
      </c>
      <c r="K688" s="7">
        <v>0</v>
      </c>
      <c r="L688" s="7">
        <v>0</v>
      </c>
      <c r="M688" s="7">
        <v>0</v>
      </c>
      <c r="N688" s="7">
        <v>0</v>
      </c>
      <c r="O688" s="7">
        <v>0</v>
      </c>
      <c r="P688" s="7">
        <v>0</v>
      </c>
    </row>
    <row r="689" spans="1:16" x14ac:dyDescent="0.3">
      <c r="A689" s="1">
        <v>44460</v>
      </c>
      <c r="B689" s="2">
        <v>246.46000699999999</v>
      </c>
      <c r="C689" s="2">
        <v>294.8</v>
      </c>
      <c r="F689" s="1">
        <v>44460</v>
      </c>
      <c r="G689" s="2">
        <f t="shared" si="20"/>
        <v>1.2534645945700381E-2</v>
      </c>
      <c r="H689" s="2">
        <f t="shared" si="21"/>
        <v>1.6975050757543722E-3</v>
      </c>
      <c r="I689" s="7">
        <v>0</v>
      </c>
      <c r="J689" s="7">
        <v>0</v>
      </c>
      <c r="K689" s="7">
        <v>0</v>
      </c>
      <c r="L689" s="7">
        <v>0</v>
      </c>
      <c r="M689" s="7">
        <v>0</v>
      </c>
      <c r="N689" s="7">
        <v>0</v>
      </c>
      <c r="O689" s="7">
        <v>1.2534645945700381E-2</v>
      </c>
      <c r="P689" s="7">
        <v>1.6975050757543722E-3</v>
      </c>
    </row>
    <row r="690" spans="1:16" x14ac:dyDescent="0.3">
      <c r="A690" s="1">
        <v>44461</v>
      </c>
      <c r="B690" s="2">
        <v>250.64666700000001</v>
      </c>
      <c r="C690" s="2">
        <v>298.58</v>
      </c>
      <c r="F690" s="1">
        <v>44461</v>
      </c>
      <c r="G690" s="2">
        <f t="shared" si="20"/>
        <v>1.6844509282258811E-2</v>
      </c>
      <c r="H690" s="2">
        <f t="shared" si="21"/>
        <v>1.2740743310262558E-2</v>
      </c>
      <c r="I690" s="7">
        <v>0</v>
      </c>
      <c r="J690" s="7">
        <v>0</v>
      </c>
      <c r="K690" s="7">
        <v>0</v>
      </c>
      <c r="L690" s="7">
        <v>0</v>
      </c>
      <c r="M690" s="7">
        <v>0</v>
      </c>
      <c r="N690" s="7">
        <v>0</v>
      </c>
      <c r="O690" s="7">
        <v>1.6844509282258811E-2</v>
      </c>
      <c r="P690" s="7">
        <v>1.2740743310262558E-2</v>
      </c>
    </row>
    <row r="691" spans="1:16" x14ac:dyDescent="0.3">
      <c r="A691" s="1">
        <v>44462</v>
      </c>
      <c r="B691" s="2">
        <v>251.21333300000001</v>
      </c>
      <c r="C691" s="2">
        <v>299.56</v>
      </c>
      <c r="F691" s="1">
        <v>44462</v>
      </c>
      <c r="G691" s="2">
        <f t="shared" si="20"/>
        <v>2.2582642203863947E-3</v>
      </c>
      <c r="H691" s="2">
        <f t="shared" si="21"/>
        <v>3.276827755722403E-3</v>
      </c>
      <c r="I691" s="7">
        <v>0</v>
      </c>
      <c r="J691" s="7">
        <v>0</v>
      </c>
      <c r="K691" s="7">
        <v>0</v>
      </c>
      <c r="L691" s="7">
        <v>0</v>
      </c>
      <c r="M691" s="7">
        <v>0</v>
      </c>
      <c r="N691" s="7">
        <v>0</v>
      </c>
      <c r="O691" s="7">
        <v>2.2582642203863947E-3</v>
      </c>
      <c r="P691" s="7">
        <v>3.276827755722403E-3</v>
      </c>
    </row>
    <row r="692" spans="1:16" x14ac:dyDescent="0.3">
      <c r="A692" s="1">
        <v>44463</v>
      </c>
      <c r="B692" s="2">
        <v>258.13000499999998</v>
      </c>
      <c r="C692" s="2">
        <v>299.35000000000002</v>
      </c>
      <c r="F692" s="1">
        <v>44463</v>
      </c>
      <c r="G692" s="2">
        <f t="shared" si="20"/>
        <v>2.7160842943028497E-2</v>
      </c>
      <c r="H692" s="2">
        <f t="shared" si="21"/>
        <v>-7.0127400980523778E-4</v>
      </c>
      <c r="I692" s="7">
        <v>0</v>
      </c>
      <c r="J692" s="7">
        <v>0</v>
      </c>
      <c r="K692" s="7">
        <v>2.7160842943028497E-2</v>
      </c>
      <c r="L692" s="7">
        <v>-7.0127400980523778E-4</v>
      </c>
      <c r="M692" s="7">
        <v>0</v>
      </c>
      <c r="N692" s="7">
        <v>0</v>
      </c>
      <c r="O692" s="7">
        <v>0</v>
      </c>
      <c r="P692" s="7">
        <v>0</v>
      </c>
    </row>
    <row r="693" spans="1:16" x14ac:dyDescent="0.3">
      <c r="A693" s="1">
        <v>44466</v>
      </c>
      <c r="B693" s="2">
        <v>263.78668199999998</v>
      </c>
      <c r="C693" s="2">
        <v>294.17</v>
      </c>
      <c r="F693" s="1">
        <v>44466</v>
      </c>
      <c r="G693" s="2">
        <f t="shared" si="20"/>
        <v>2.1677400434894613E-2</v>
      </c>
      <c r="H693" s="2">
        <f t="shared" si="21"/>
        <v>-1.7455625851460106E-2</v>
      </c>
      <c r="I693" s="7">
        <v>0</v>
      </c>
      <c r="J693" s="7">
        <v>0</v>
      </c>
      <c r="K693" s="7">
        <v>2.1677400434894613E-2</v>
      </c>
      <c r="L693" s="7">
        <v>-1.7455625851460106E-2</v>
      </c>
      <c r="M693" s="7">
        <v>0</v>
      </c>
      <c r="N693" s="7">
        <v>0</v>
      </c>
      <c r="O693" s="7">
        <v>0</v>
      </c>
      <c r="P693" s="7">
        <v>0</v>
      </c>
    </row>
    <row r="694" spans="1:16" x14ac:dyDescent="0.3">
      <c r="A694" s="1">
        <v>44467</v>
      </c>
      <c r="B694" s="2">
        <v>259.18667599999998</v>
      </c>
      <c r="C694" s="2">
        <v>283.52</v>
      </c>
      <c r="F694" s="1">
        <v>44467</v>
      </c>
      <c r="G694" s="2">
        <f t="shared" si="20"/>
        <v>-1.759219495683545E-2</v>
      </c>
      <c r="H694" s="2">
        <f t="shared" si="21"/>
        <v>-3.6875164103184997E-2</v>
      </c>
      <c r="I694" s="7">
        <v>-1.759219495683545E-2</v>
      </c>
      <c r="J694" s="7">
        <v>-3.6875164103184997E-2</v>
      </c>
      <c r="K694" s="7">
        <v>0</v>
      </c>
      <c r="L694" s="7">
        <v>0</v>
      </c>
      <c r="M694" s="7">
        <v>0</v>
      </c>
      <c r="N694" s="7">
        <v>0</v>
      </c>
      <c r="O694" s="7">
        <v>0</v>
      </c>
      <c r="P694" s="7">
        <v>0</v>
      </c>
    </row>
    <row r="695" spans="1:16" x14ac:dyDescent="0.3">
      <c r="A695" s="1">
        <v>44468</v>
      </c>
      <c r="B695" s="2">
        <v>260.43667599999998</v>
      </c>
      <c r="C695" s="2">
        <v>284</v>
      </c>
      <c r="F695" s="1">
        <v>44468</v>
      </c>
      <c r="G695" s="2">
        <f t="shared" si="20"/>
        <v>4.8111864348949181E-3</v>
      </c>
      <c r="H695" s="2">
        <f t="shared" si="21"/>
        <v>1.6915707444900548E-3</v>
      </c>
      <c r="I695" s="7">
        <v>0</v>
      </c>
      <c r="J695" s="7">
        <v>0</v>
      </c>
      <c r="K695" s="7">
        <v>0</v>
      </c>
      <c r="L695" s="7">
        <v>0</v>
      </c>
      <c r="M695" s="7">
        <v>0</v>
      </c>
      <c r="N695" s="7">
        <v>0</v>
      </c>
      <c r="O695" s="7">
        <v>4.8111864348949181E-3</v>
      </c>
      <c r="P695" s="7">
        <v>1.6915707444900548E-3</v>
      </c>
    </row>
    <row r="696" spans="1:16" x14ac:dyDescent="0.3">
      <c r="A696" s="1">
        <v>44469</v>
      </c>
      <c r="B696" s="2">
        <v>258.49334700000003</v>
      </c>
      <c r="C696" s="2">
        <v>281.92</v>
      </c>
      <c r="F696" s="1">
        <v>44469</v>
      </c>
      <c r="G696" s="2">
        <f t="shared" si="20"/>
        <v>-7.4897885974035665E-3</v>
      </c>
      <c r="H696" s="2">
        <f t="shared" si="21"/>
        <v>-7.3508954133912757E-3</v>
      </c>
      <c r="I696" s="7">
        <v>-7.4897885974035665E-3</v>
      </c>
      <c r="J696" s="7">
        <v>-7.3508954133912757E-3</v>
      </c>
      <c r="K696" s="7">
        <v>0</v>
      </c>
      <c r="L696" s="7">
        <v>0</v>
      </c>
      <c r="M696" s="7">
        <v>0</v>
      </c>
      <c r="N696" s="7">
        <v>0</v>
      </c>
      <c r="O696" s="7">
        <v>0</v>
      </c>
      <c r="P696" s="7">
        <v>0</v>
      </c>
    </row>
    <row r="697" spans="1:16" x14ac:dyDescent="0.3">
      <c r="A697" s="1">
        <v>44470</v>
      </c>
      <c r="B697" s="2">
        <v>258.406677</v>
      </c>
      <c r="C697" s="2">
        <v>289.10000000000002</v>
      </c>
      <c r="F697" s="1">
        <v>44470</v>
      </c>
      <c r="G697" s="2">
        <f t="shared" si="20"/>
        <v>-3.3534531548885333E-4</v>
      </c>
      <c r="H697" s="2">
        <f t="shared" si="21"/>
        <v>2.5149306274485618E-2</v>
      </c>
      <c r="I697" s="7">
        <v>0</v>
      </c>
      <c r="J697" s="7">
        <v>0</v>
      </c>
      <c r="K697" s="7">
        <v>0</v>
      </c>
      <c r="L697" s="7">
        <v>0</v>
      </c>
      <c r="M697" s="7">
        <v>-3.3534531548885333E-4</v>
      </c>
      <c r="N697" s="7">
        <v>2.5149306274485618E-2</v>
      </c>
      <c r="O697" s="7">
        <v>0</v>
      </c>
      <c r="P697" s="7">
        <v>0</v>
      </c>
    </row>
    <row r="698" spans="1:16" x14ac:dyDescent="0.3">
      <c r="A698" s="1">
        <v>44473</v>
      </c>
      <c r="B698" s="2">
        <v>260.51001000000002</v>
      </c>
      <c r="C698" s="2">
        <v>283.11</v>
      </c>
      <c r="F698" s="1">
        <v>44473</v>
      </c>
      <c r="G698" s="2">
        <f t="shared" si="20"/>
        <v>8.1066752009176738E-3</v>
      </c>
      <c r="H698" s="2">
        <f t="shared" si="21"/>
        <v>-2.0937134320949045E-2</v>
      </c>
      <c r="I698" s="7">
        <v>0</v>
      </c>
      <c r="J698" s="7">
        <v>0</v>
      </c>
      <c r="K698" s="7">
        <v>8.1066752009176738E-3</v>
      </c>
      <c r="L698" s="7">
        <v>-2.0937134320949045E-2</v>
      </c>
      <c r="M698" s="7">
        <v>0</v>
      </c>
      <c r="N698" s="7">
        <v>0</v>
      </c>
      <c r="O698" s="7">
        <v>0</v>
      </c>
      <c r="P698" s="7">
        <v>0</v>
      </c>
    </row>
    <row r="699" spans="1:16" x14ac:dyDescent="0.3">
      <c r="A699" s="1">
        <v>44474</v>
      </c>
      <c r="B699" s="2">
        <v>260.19665500000002</v>
      </c>
      <c r="C699" s="2">
        <v>288.76</v>
      </c>
      <c r="F699" s="1">
        <v>44474</v>
      </c>
      <c r="G699" s="2">
        <f t="shared" si="20"/>
        <v>-1.2035760588048072E-3</v>
      </c>
      <c r="H699" s="2">
        <f t="shared" si="21"/>
        <v>1.9760378569608793E-2</v>
      </c>
      <c r="I699" s="7">
        <v>0</v>
      </c>
      <c r="J699" s="7">
        <v>0</v>
      </c>
      <c r="K699" s="7">
        <v>0</v>
      </c>
      <c r="L699" s="7">
        <v>0</v>
      </c>
      <c r="M699" s="7">
        <v>-1.2035760588048072E-3</v>
      </c>
      <c r="N699" s="7">
        <v>1.9760378569608793E-2</v>
      </c>
      <c r="O699" s="7">
        <v>0</v>
      </c>
      <c r="P699" s="7">
        <v>0</v>
      </c>
    </row>
    <row r="700" spans="1:16" x14ac:dyDescent="0.3">
      <c r="A700" s="1">
        <v>44475</v>
      </c>
      <c r="B700" s="2">
        <v>260.91665599999999</v>
      </c>
      <c r="C700" s="2">
        <v>293.11</v>
      </c>
      <c r="F700" s="1">
        <v>44475</v>
      </c>
      <c r="G700" s="2">
        <f t="shared" si="20"/>
        <v>2.7633201568971178E-3</v>
      </c>
      <c r="H700" s="2">
        <f t="shared" si="21"/>
        <v>1.4952071912326807E-2</v>
      </c>
      <c r="I700" s="7">
        <v>0</v>
      </c>
      <c r="J700" s="7">
        <v>0</v>
      </c>
      <c r="K700" s="7">
        <v>0</v>
      </c>
      <c r="L700" s="7">
        <v>0</v>
      </c>
      <c r="M700" s="7">
        <v>0</v>
      </c>
      <c r="N700" s="7">
        <v>0</v>
      </c>
      <c r="O700" s="7">
        <v>2.7633201568971178E-3</v>
      </c>
      <c r="P700" s="7">
        <v>1.4952071912326807E-2</v>
      </c>
    </row>
    <row r="701" spans="1:16" x14ac:dyDescent="0.3">
      <c r="A701" s="1">
        <v>44476</v>
      </c>
      <c r="B701" s="2">
        <v>264.53668199999998</v>
      </c>
      <c r="C701" s="2">
        <v>294.85000000000002</v>
      </c>
      <c r="F701" s="1">
        <v>44476</v>
      </c>
      <c r="G701" s="2">
        <f t="shared" si="20"/>
        <v>1.3778895335696104E-2</v>
      </c>
      <c r="H701" s="2">
        <f t="shared" si="21"/>
        <v>5.918787263226275E-3</v>
      </c>
      <c r="I701" s="7">
        <v>0</v>
      </c>
      <c r="J701" s="7">
        <v>0</v>
      </c>
      <c r="K701" s="7">
        <v>0</v>
      </c>
      <c r="L701" s="7">
        <v>0</v>
      </c>
      <c r="M701" s="7">
        <v>0</v>
      </c>
      <c r="N701" s="7">
        <v>0</v>
      </c>
      <c r="O701" s="7">
        <v>1.3778895335696104E-2</v>
      </c>
      <c r="P701" s="7">
        <v>5.918787263226275E-3</v>
      </c>
    </row>
    <row r="702" spans="1:16" x14ac:dyDescent="0.3">
      <c r="A702" s="1">
        <v>44477</v>
      </c>
      <c r="B702" s="2">
        <v>261.82998700000002</v>
      </c>
      <c r="C702" s="2">
        <v>294.85000000000002</v>
      </c>
      <c r="F702" s="1">
        <v>44477</v>
      </c>
      <c r="G702" s="2">
        <f t="shared" si="20"/>
        <v>-1.0284537441349809E-2</v>
      </c>
      <c r="H702" s="2">
        <f t="shared" si="21"/>
        <v>0</v>
      </c>
      <c r="I702" s="7">
        <v>-1.0284537441349809E-2</v>
      </c>
      <c r="J702" s="7">
        <v>0</v>
      </c>
      <c r="K702" s="7">
        <v>0</v>
      </c>
      <c r="L702" s="7">
        <v>0</v>
      </c>
      <c r="M702" s="7">
        <v>-1.0284537441349809E-2</v>
      </c>
      <c r="N702" s="7">
        <v>0</v>
      </c>
      <c r="O702" s="7">
        <v>0</v>
      </c>
      <c r="P702" s="7">
        <v>0</v>
      </c>
    </row>
    <row r="703" spans="1:16" x14ac:dyDescent="0.3">
      <c r="A703" s="1">
        <v>44480</v>
      </c>
      <c r="B703" s="2">
        <v>263.98001099999999</v>
      </c>
      <c r="C703" s="2">
        <v>294.23</v>
      </c>
      <c r="F703" s="1">
        <v>44480</v>
      </c>
      <c r="G703" s="2">
        <f t="shared" si="20"/>
        <v>8.1779958193878531E-3</v>
      </c>
      <c r="H703" s="2">
        <f t="shared" si="21"/>
        <v>-2.1049780299160999E-3</v>
      </c>
      <c r="I703" s="7">
        <v>0</v>
      </c>
      <c r="J703" s="7">
        <v>0</v>
      </c>
      <c r="K703" s="7">
        <v>8.1779958193878531E-3</v>
      </c>
      <c r="L703" s="7">
        <v>-2.1049780299160999E-3</v>
      </c>
      <c r="M703" s="7">
        <v>0</v>
      </c>
      <c r="N703" s="7">
        <v>0</v>
      </c>
      <c r="O703" s="7">
        <v>0</v>
      </c>
      <c r="P703" s="7">
        <v>0</v>
      </c>
    </row>
    <row r="704" spans="1:16" x14ac:dyDescent="0.3">
      <c r="A704" s="1">
        <v>44481</v>
      </c>
      <c r="B704" s="2">
        <v>268.57333399999999</v>
      </c>
      <c r="C704" s="2">
        <v>292.88</v>
      </c>
      <c r="F704" s="1">
        <v>44481</v>
      </c>
      <c r="G704" s="2">
        <f t="shared" si="20"/>
        <v>1.7250617053734475E-2</v>
      </c>
      <c r="H704" s="2">
        <f t="shared" si="21"/>
        <v>-4.5988056046162911E-3</v>
      </c>
      <c r="I704" s="7">
        <v>0</v>
      </c>
      <c r="J704" s="7">
        <v>0</v>
      </c>
      <c r="K704" s="7">
        <v>1.7250617053734475E-2</v>
      </c>
      <c r="L704" s="7">
        <v>-4.5988056046162911E-3</v>
      </c>
      <c r="M704" s="7">
        <v>0</v>
      </c>
      <c r="N704" s="7">
        <v>0</v>
      </c>
      <c r="O704" s="7">
        <v>0</v>
      </c>
      <c r="P704" s="7">
        <v>0</v>
      </c>
    </row>
    <row r="705" spans="1:16" x14ac:dyDescent="0.3">
      <c r="A705" s="1">
        <v>44482</v>
      </c>
      <c r="B705" s="2">
        <v>270.35998499999999</v>
      </c>
      <c r="C705" s="2">
        <v>296.31</v>
      </c>
      <c r="F705" s="1">
        <v>44482</v>
      </c>
      <c r="G705" s="2">
        <f t="shared" si="20"/>
        <v>6.6303473262063033E-3</v>
      </c>
      <c r="H705" s="2">
        <f t="shared" si="21"/>
        <v>1.1643234776164984E-2</v>
      </c>
      <c r="I705" s="7">
        <v>0</v>
      </c>
      <c r="J705" s="7">
        <v>0</v>
      </c>
      <c r="K705" s="7">
        <v>0</v>
      </c>
      <c r="L705" s="7">
        <v>0</v>
      </c>
      <c r="M705" s="7">
        <v>0</v>
      </c>
      <c r="N705" s="7">
        <v>0</v>
      </c>
      <c r="O705" s="7">
        <v>6.6303473262063033E-3</v>
      </c>
      <c r="P705" s="7">
        <v>1.1643234776164984E-2</v>
      </c>
    </row>
    <row r="706" spans="1:16" x14ac:dyDescent="0.3">
      <c r="A706" s="1">
        <v>44483</v>
      </c>
      <c r="B706" s="2">
        <v>272.773346</v>
      </c>
      <c r="C706" s="2">
        <v>302.75</v>
      </c>
      <c r="F706" s="1">
        <v>44483</v>
      </c>
      <c r="G706" s="2">
        <f t="shared" si="20"/>
        <v>8.8868671666713171E-3</v>
      </c>
      <c r="H706" s="2">
        <f t="shared" si="21"/>
        <v>2.1501178845056035E-2</v>
      </c>
      <c r="I706" s="7">
        <v>0</v>
      </c>
      <c r="J706" s="7">
        <v>0</v>
      </c>
      <c r="K706" s="7">
        <v>0</v>
      </c>
      <c r="L706" s="7">
        <v>0</v>
      </c>
      <c r="M706" s="7">
        <v>0</v>
      </c>
      <c r="N706" s="7">
        <v>0</v>
      </c>
      <c r="O706" s="7">
        <v>8.8868671666713171E-3</v>
      </c>
      <c r="P706" s="7">
        <v>2.1501178845056035E-2</v>
      </c>
    </row>
    <row r="707" spans="1:16" x14ac:dyDescent="0.3">
      <c r="A707" s="1">
        <v>44484</v>
      </c>
      <c r="B707" s="2">
        <v>281.01001000000002</v>
      </c>
      <c r="C707" s="2">
        <v>304.20999999999998</v>
      </c>
      <c r="F707" s="1">
        <v>44484</v>
      </c>
      <c r="G707" s="2">
        <f t="shared" si="20"/>
        <v>2.9749075557827596E-2</v>
      </c>
      <c r="H707" s="2">
        <f t="shared" si="21"/>
        <v>4.8108699614781512E-3</v>
      </c>
      <c r="I707" s="7">
        <v>0</v>
      </c>
      <c r="J707" s="7">
        <v>0</v>
      </c>
      <c r="K707" s="7">
        <v>0</v>
      </c>
      <c r="L707" s="7">
        <v>0</v>
      </c>
      <c r="M707" s="7">
        <v>0</v>
      </c>
      <c r="N707" s="7">
        <v>0</v>
      </c>
      <c r="O707" s="7">
        <v>2.9749075557827596E-2</v>
      </c>
      <c r="P707" s="7">
        <v>4.8108699614781512E-3</v>
      </c>
    </row>
    <row r="708" spans="1:16" x14ac:dyDescent="0.3">
      <c r="A708" s="1">
        <v>44487</v>
      </c>
      <c r="B708" s="2">
        <v>290.03668199999998</v>
      </c>
      <c r="C708" s="2">
        <v>307.29000000000002</v>
      </c>
      <c r="F708" s="1">
        <v>44487</v>
      </c>
      <c r="G708" s="2">
        <f t="shared" si="20"/>
        <v>3.1617113161479575E-2</v>
      </c>
      <c r="H708" s="2">
        <f t="shared" si="21"/>
        <v>1.0073674721873132E-2</v>
      </c>
      <c r="I708" s="7">
        <v>0</v>
      </c>
      <c r="J708" s="7">
        <v>0</v>
      </c>
      <c r="K708" s="7">
        <v>0</v>
      </c>
      <c r="L708" s="7">
        <v>0</v>
      </c>
      <c r="M708" s="7">
        <v>0</v>
      </c>
      <c r="N708" s="7">
        <v>0</v>
      </c>
      <c r="O708" s="7">
        <v>3.1617113161479575E-2</v>
      </c>
      <c r="P708" s="7">
        <v>1.0073674721873132E-2</v>
      </c>
    </row>
    <row r="709" spans="1:16" x14ac:dyDescent="0.3">
      <c r="A709" s="1">
        <v>44488</v>
      </c>
      <c r="B709" s="2">
        <v>288.08999599999999</v>
      </c>
      <c r="C709" s="2">
        <v>308.23</v>
      </c>
      <c r="F709" s="1">
        <v>44488</v>
      </c>
      <c r="G709" s="2">
        <f t="shared" si="20"/>
        <v>-6.7344872031091891E-3</v>
      </c>
      <c r="H709" s="2">
        <f t="shared" si="21"/>
        <v>3.0543304222980113E-3</v>
      </c>
      <c r="I709" s="7">
        <v>0</v>
      </c>
      <c r="J709" s="7">
        <v>0</v>
      </c>
      <c r="K709" s="7">
        <v>0</v>
      </c>
      <c r="L709" s="7">
        <v>0</v>
      </c>
      <c r="M709" s="7">
        <v>-6.7344872031091891E-3</v>
      </c>
      <c r="N709" s="7">
        <v>3.0543304222980113E-3</v>
      </c>
      <c r="O709" s="7">
        <v>0</v>
      </c>
      <c r="P709" s="7">
        <v>0</v>
      </c>
    </row>
    <row r="710" spans="1:16" x14ac:dyDescent="0.3">
      <c r="A710" s="1">
        <v>44489</v>
      </c>
      <c r="B710" s="2">
        <v>288.60000600000001</v>
      </c>
      <c r="C710" s="2">
        <v>307.41000000000003</v>
      </c>
      <c r="F710" s="1">
        <v>44489</v>
      </c>
      <c r="G710" s="2">
        <f t="shared" ref="G710:G773" si="22">LN(B710/B709)</f>
        <v>1.7687496963500339E-3</v>
      </c>
      <c r="H710" s="2">
        <f t="shared" ref="H710:H773" si="23">LN(C710/C709)</f>
        <v>-2.6638960591145997E-3</v>
      </c>
      <c r="I710" s="7">
        <v>0</v>
      </c>
      <c r="J710" s="7">
        <v>0</v>
      </c>
      <c r="K710" s="7">
        <v>1.7687496963500339E-3</v>
      </c>
      <c r="L710" s="7">
        <v>-2.6638960591145997E-3</v>
      </c>
      <c r="M710" s="7">
        <v>0</v>
      </c>
      <c r="N710" s="7">
        <v>0</v>
      </c>
      <c r="O710" s="7">
        <v>0</v>
      </c>
      <c r="P710" s="7">
        <v>0</v>
      </c>
    </row>
    <row r="711" spans="1:16" x14ac:dyDescent="0.3">
      <c r="A711" s="1">
        <v>44490</v>
      </c>
      <c r="B711" s="2">
        <v>298</v>
      </c>
      <c r="C711" s="2">
        <v>310.76</v>
      </c>
      <c r="F711" s="1">
        <v>44490</v>
      </c>
      <c r="G711" s="2">
        <f t="shared" si="22"/>
        <v>3.2051819375613334E-2</v>
      </c>
      <c r="H711" s="2">
        <f t="shared" si="23"/>
        <v>1.0838548602483721E-2</v>
      </c>
      <c r="I711" s="7">
        <v>0</v>
      </c>
      <c r="J711" s="7">
        <v>0</v>
      </c>
      <c r="K711" s="7">
        <v>0</v>
      </c>
      <c r="L711" s="7">
        <v>0</v>
      </c>
      <c r="M711" s="7">
        <v>0</v>
      </c>
      <c r="N711" s="7">
        <v>0</v>
      </c>
      <c r="O711" s="7">
        <v>3.2051819375613334E-2</v>
      </c>
      <c r="P711" s="7">
        <v>1.0838548602483721E-2</v>
      </c>
    </row>
    <row r="712" spans="1:16" x14ac:dyDescent="0.3">
      <c r="A712" s="1">
        <v>44491</v>
      </c>
      <c r="B712" s="2">
        <v>303.226654</v>
      </c>
      <c r="C712" s="2">
        <v>309.16000000000003</v>
      </c>
      <c r="F712" s="1">
        <v>44491</v>
      </c>
      <c r="G712" s="2">
        <f t="shared" si="22"/>
        <v>1.7387072370021288E-2</v>
      </c>
      <c r="H712" s="2">
        <f t="shared" si="23"/>
        <v>-5.1619678435496676E-3</v>
      </c>
      <c r="I712" s="7">
        <v>0</v>
      </c>
      <c r="J712" s="7">
        <v>0</v>
      </c>
      <c r="K712" s="7">
        <v>1.7387072370021288E-2</v>
      </c>
      <c r="L712" s="7">
        <v>-5.1619678435496676E-3</v>
      </c>
      <c r="M712" s="7">
        <v>0</v>
      </c>
      <c r="N712" s="7">
        <v>0</v>
      </c>
      <c r="O712" s="7">
        <v>0</v>
      </c>
      <c r="P712" s="7">
        <v>0</v>
      </c>
    </row>
    <row r="713" spans="1:16" x14ac:dyDescent="0.3">
      <c r="A713" s="1">
        <v>44494</v>
      </c>
      <c r="B713" s="2">
        <v>341.61999500000002</v>
      </c>
      <c r="C713" s="2">
        <v>308.13</v>
      </c>
      <c r="F713" s="1">
        <v>44494</v>
      </c>
      <c r="G713" s="2">
        <f t="shared" si="22"/>
        <v>0.11921843469834342</v>
      </c>
      <c r="H713" s="2">
        <f t="shared" si="23"/>
        <v>-3.3371703928477161E-3</v>
      </c>
      <c r="I713" s="7">
        <v>0</v>
      </c>
      <c r="J713" s="7">
        <v>0</v>
      </c>
      <c r="K713" s="7">
        <v>0.11921843469834342</v>
      </c>
      <c r="L713" s="7">
        <v>-3.3371703928477161E-3</v>
      </c>
      <c r="M713" s="7">
        <v>0</v>
      </c>
      <c r="N713" s="7">
        <v>0</v>
      </c>
      <c r="O713" s="7">
        <v>0</v>
      </c>
      <c r="P713" s="7">
        <v>0</v>
      </c>
    </row>
    <row r="714" spans="1:16" x14ac:dyDescent="0.3">
      <c r="A714" s="1">
        <v>44495</v>
      </c>
      <c r="B714" s="2">
        <v>339.476654</v>
      </c>
      <c r="C714" s="2">
        <v>310.11</v>
      </c>
      <c r="F714" s="1">
        <v>44495</v>
      </c>
      <c r="G714" s="2">
        <f t="shared" si="22"/>
        <v>-6.2938147716026707E-3</v>
      </c>
      <c r="H714" s="2">
        <f t="shared" si="23"/>
        <v>6.4053014026805273E-3</v>
      </c>
      <c r="I714" s="7">
        <v>0</v>
      </c>
      <c r="J714" s="7">
        <v>0</v>
      </c>
      <c r="K714" s="7">
        <v>0</v>
      </c>
      <c r="L714" s="7">
        <v>0</v>
      </c>
      <c r="M714" s="7">
        <v>-6.2938147716026707E-3</v>
      </c>
      <c r="N714" s="7">
        <v>6.4053014026805273E-3</v>
      </c>
      <c r="O714" s="7">
        <v>0</v>
      </c>
      <c r="P714" s="7">
        <v>0</v>
      </c>
    </row>
    <row r="715" spans="1:16" x14ac:dyDescent="0.3">
      <c r="A715" s="1">
        <v>44496</v>
      </c>
      <c r="B715" s="2">
        <v>345.95333900000003</v>
      </c>
      <c r="C715" s="2">
        <v>323.17</v>
      </c>
      <c r="F715" s="1">
        <v>44496</v>
      </c>
      <c r="G715" s="2">
        <f t="shared" si="22"/>
        <v>1.8898728779845803E-2</v>
      </c>
      <c r="H715" s="2">
        <f t="shared" si="23"/>
        <v>4.1251427308050703E-2</v>
      </c>
      <c r="I715" s="7">
        <v>0</v>
      </c>
      <c r="J715" s="7">
        <v>0</v>
      </c>
      <c r="K715" s="7">
        <v>0</v>
      </c>
      <c r="L715" s="7">
        <v>0</v>
      </c>
      <c r="M715" s="7">
        <v>0</v>
      </c>
      <c r="N715" s="7">
        <v>0</v>
      </c>
      <c r="O715" s="7">
        <v>1.8898728779845803E-2</v>
      </c>
      <c r="P715" s="7">
        <v>4.1251427308050703E-2</v>
      </c>
    </row>
    <row r="716" spans="1:16" x14ac:dyDescent="0.3">
      <c r="A716" s="1">
        <v>44497</v>
      </c>
      <c r="B716" s="2">
        <v>359.01333599999998</v>
      </c>
      <c r="C716" s="2">
        <v>324.35000000000002</v>
      </c>
      <c r="F716" s="1">
        <v>44497</v>
      </c>
      <c r="G716" s="2">
        <f t="shared" si="22"/>
        <v>3.7055627848622395E-2</v>
      </c>
      <c r="H716" s="2">
        <f t="shared" si="23"/>
        <v>3.6446791025106511E-3</v>
      </c>
      <c r="I716" s="7">
        <v>0</v>
      </c>
      <c r="J716" s="7">
        <v>0</v>
      </c>
      <c r="K716" s="7">
        <v>0</v>
      </c>
      <c r="L716" s="7">
        <v>0</v>
      </c>
      <c r="M716" s="7">
        <v>0</v>
      </c>
      <c r="N716" s="7">
        <v>0</v>
      </c>
      <c r="O716" s="7">
        <v>3.7055627848622395E-2</v>
      </c>
      <c r="P716" s="7">
        <v>3.6446791025106511E-3</v>
      </c>
    </row>
    <row r="717" spans="1:16" x14ac:dyDescent="0.3">
      <c r="A717" s="1">
        <v>44498</v>
      </c>
      <c r="B717" s="2">
        <v>371.33334400000001</v>
      </c>
      <c r="C717" s="2">
        <v>331.62</v>
      </c>
      <c r="F717" s="1">
        <v>44498</v>
      </c>
      <c r="G717" s="2">
        <f t="shared" si="22"/>
        <v>3.3740625113798842E-2</v>
      </c>
      <c r="H717" s="2">
        <f t="shared" si="23"/>
        <v>2.216655541416216E-2</v>
      </c>
      <c r="I717" s="7">
        <v>0</v>
      </c>
      <c r="J717" s="7">
        <v>0</v>
      </c>
      <c r="K717" s="7">
        <v>0</v>
      </c>
      <c r="L717" s="7">
        <v>0</v>
      </c>
      <c r="M717" s="7">
        <v>0</v>
      </c>
      <c r="N717" s="7">
        <v>0</v>
      </c>
      <c r="O717" s="7">
        <v>3.3740625113798842E-2</v>
      </c>
      <c r="P717" s="7">
        <v>2.216655541416216E-2</v>
      </c>
    </row>
    <row r="718" spans="1:16" x14ac:dyDescent="0.3">
      <c r="A718" s="1">
        <v>44501</v>
      </c>
      <c r="B718" s="2">
        <v>402.86334199999999</v>
      </c>
      <c r="C718" s="2">
        <v>329.37</v>
      </c>
      <c r="F718" s="1">
        <v>44501</v>
      </c>
      <c r="G718" s="2">
        <f t="shared" si="22"/>
        <v>8.149724215728181E-2</v>
      </c>
      <c r="H718" s="2">
        <f t="shared" si="23"/>
        <v>-6.8079961584758368E-3</v>
      </c>
      <c r="I718" s="7">
        <v>0</v>
      </c>
      <c r="J718" s="7">
        <v>0</v>
      </c>
      <c r="K718" s="7">
        <v>8.149724215728181E-2</v>
      </c>
      <c r="L718" s="7">
        <v>-6.8079961584758368E-3</v>
      </c>
      <c r="M718" s="7">
        <v>0</v>
      </c>
      <c r="N718" s="7">
        <v>0</v>
      </c>
      <c r="O718" s="7">
        <v>0</v>
      </c>
      <c r="P718" s="7">
        <v>0</v>
      </c>
    </row>
    <row r="719" spans="1:16" x14ac:dyDescent="0.3">
      <c r="A719" s="1">
        <v>44502</v>
      </c>
      <c r="B719" s="2">
        <v>390.66665599999999</v>
      </c>
      <c r="C719" s="2">
        <v>333.13</v>
      </c>
      <c r="F719" s="1">
        <v>44502</v>
      </c>
      <c r="G719" s="2">
        <f t="shared" si="22"/>
        <v>-3.074274853662157E-2</v>
      </c>
      <c r="H719" s="2">
        <f t="shared" si="23"/>
        <v>1.1351065273581687E-2</v>
      </c>
      <c r="I719" s="7">
        <v>0</v>
      </c>
      <c r="J719" s="7">
        <v>0</v>
      </c>
      <c r="K719" s="7">
        <v>0</v>
      </c>
      <c r="L719" s="7">
        <v>0</v>
      </c>
      <c r="M719" s="7">
        <v>-3.074274853662157E-2</v>
      </c>
      <c r="N719" s="7">
        <v>1.1351065273581687E-2</v>
      </c>
      <c r="O719" s="7">
        <v>0</v>
      </c>
      <c r="P719" s="7">
        <v>0</v>
      </c>
    </row>
    <row r="720" spans="1:16" x14ac:dyDescent="0.3">
      <c r="A720" s="1">
        <v>44503</v>
      </c>
      <c r="B720" s="2">
        <v>404.61999500000002</v>
      </c>
      <c r="C720" s="2">
        <v>334</v>
      </c>
      <c r="F720" s="1">
        <v>44503</v>
      </c>
      <c r="G720" s="2">
        <f t="shared" si="22"/>
        <v>3.5093688526900528E-2</v>
      </c>
      <c r="H720" s="2">
        <f t="shared" si="23"/>
        <v>2.6081887883680709E-3</v>
      </c>
      <c r="I720" s="7">
        <v>0</v>
      </c>
      <c r="J720" s="7">
        <v>0</v>
      </c>
      <c r="K720" s="7">
        <v>0</v>
      </c>
      <c r="L720" s="7">
        <v>0</v>
      </c>
      <c r="M720" s="7">
        <v>0</v>
      </c>
      <c r="N720" s="7">
        <v>0</v>
      </c>
      <c r="O720" s="7">
        <v>3.5093688526900528E-2</v>
      </c>
      <c r="P720" s="7">
        <v>2.6081887883680709E-3</v>
      </c>
    </row>
    <row r="721" spans="1:16" x14ac:dyDescent="0.3">
      <c r="A721" s="1">
        <v>44504</v>
      </c>
      <c r="B721" s="2">
        <v>409.97000100000002</v>
      </c>
      <c r="C721" s="2">
        <v>336.44</v>
      </c>
      <c r="F721" s="1">
        <v>44504</v>
      </c>
      <c r="G721" s="2">
        <f t="shared" si="22"/>
        <v>1.3135646036746289E-2</v>
      </c>
      <c r="H721" s="2">
        <f t="shared" si="23"/>
        <v>7.2788341175361281E-3</v>
      </c>
      <c r="I721" s="7">
        <v>0</v>
      </c>
      <c r="J721" s="7">
        <v>0</v>
      </c>
      <c r="K721" s="7">
        <v>0</v>
      </c>
      <c r="L721" s="7">
        <v>0</v>
      </c>
      <c r="M721" s="7">
        <v>0</v>
      </c>
      <c r="N721" s="7">
        <v>0</v>
      </c>
      <c r="O721" s="7">
        <v>1.3135646036746289E-2</v>
      </c>
      <c r="P721" s="7">
        <v>7.2788341175361281E-3</v>
      </c>
    </row>
    <row r="722" spans="1:16" x14ac:dyDescent="0.3">
      <c r="A722" s="1">
        <v>44505</v>
      </c>
      <c r="B722" s="2">
        <v>407.36334199999999</v>
      </c>
      <c r="C722" s="2">
        <v>336.06</v>
      </c>
      <c r="F722" s="1">
        <v>44505</v>
      </c>
      <c r="G722" s="2">
        <f t="shared" si="22"/>
        <v>-6.3784693477901451E-3</v>
      </c>
      <c r="H722" s="2">
        <f t="shared" si="23"/>
        <v>-1.1301116444406192E-3</v>
      </c>
      <c r="I722" s="7">
        <v>-6.3784693477901451E-3</v>
      </c>
      <c r="J722" s="7">
        <v>-1.1301116444406192E-3</v>
      </c>
      <c r="K722" s="7">
        <v>0</v>
      </c>
      <c r="L722" s="7">
        <v>0</v>
      </c>
      <c r="M722" s="7">
        <v>0</v>
      </c>
      <c r="N722" s="7">
        <v>0</v>
      </c>
      <c r="O722" s="7">
        <v>0</v>
      </c>
      <c r="P722" s="7">
        <v>0</v>
      </c>
    </row>
    <row r="723" spans="1:16" x14ac:dyDescent="0.3">
      <c r="A723" s="1">
        <v>44508</v>
      </c>
      <c r="B723" s="2">
        <v>387.64666699999998</v>
      </c>
      <c r="C723" s="2">
        <v>336.99</v>
      </c>
      <c r="F723" s="1">
        <v>44508</v>
      </c>
      <c r="G723" s="2">
        <f t="shared" si="22"/>
        <v>-4.9611246715024281E-2</v>
      </c>
      <c r="H723" s="2">
        <f t="shared" si="23"/>
        <v>2.763540871791554E-3</v>
      </c>
      <c r="I723" s="7">
        <v>0</v>
      </c>
      <c r="J723" s="7">
        <v>0</v>
      </c>
      <c r="K723" s="7">
        <v>0</v>
      </c>
      <c r="L723" s="7">
        <v>0</v>
      </c>
      <c r="M723" s="7">
        <v>-4.9611246715024281E-2</v>
      </c>
      <c r="N723" s="7">
        <v>2.763540871791554E-3</v>
      </c>
      <c r="O723" s="7">
        <v>0</v>
      </c>
      <c r="P723" s="7">
        <v>0</v>
      </c>
    </row>
    <row r="724" spans="1:16" x14ac:dyDescent="0.3">
      <c r="A724" s="1">
        <v>44509</v>
      </c>
      <c r="B724" s="2">
        <v>341.16665599999999</v>
      </c>
      <c r="C724" s="2">
        <v>335.95</v>
      </c>
      <c r="F724" s="1">
        <v>44509</v>
      </c>
      <c r="G724" s="2">
        <f t="shared" si="22"/>
        <v>-0.1277231874979583</v>
      </c>
      <c r="H724" s="2">
        <f t="shared" si="23"/>
        <v>-3.090916955428619E-3</v>
      </c>
      <c r="I724" s="7">
        <v>-0.1277231874979583</v>
      </c>
      <c r="J724" s="7">
        <v>-3.090916955428619E-3</v>
      </c>
      <c r="K724" s="7">
        <v>0</v>
      </c>
      <c r="L724" s="7">
        <v>0</v>
      </c>
      <c r="M724" s="7">
        <v>0</v>
      </c>
      <c r="N724" s="7">
        <v>0</v>
      </c>
      <c r="O724" s="7">
        <v>0</v>
      </c>
      <c r="P724" s="7">
        <v>0</v>
      </c>
    </row>
    <row r="725" spans="1:16" x14ac:dyDescent="0.3">
      <c r="A725" s="1">
        <v>44510</v>
      </c>
      <c r="B725" s="2">
        <v>355.98333700000001</v>
      </c>
      <c r="C725" s="2">
        <v>330.8</v>
      </c>
      <c r="F725" s="1">
        <v>44510</v>
      </c>
      <c r="G725" s="2">
        <f t="shared" si="22"/>
        <v>4.2512838408843977E-2</v>
      </c>
      <c r="H725" s="2">
        <f t="shared" si="23"/>
        <v>-1.5448376216622603E-2</v>
      </c>
      <c r="I725" s="7">
        <v>0</v>
      </c>
      <c r="J725" s="7">
        <v>0</v>
      </c>
      <c r="K725" s="7">
        <v>4.2512838408843977E-2</v>
      </c>
      <c r="L725" s="7">
        <v>-1.5448376216622603E-2</v>
      </c>
      <c r="M725" s="7">
        <v>0</v>
      </c>
      <c r="N725" s="7">
        <v>0</v>
      </c>
      <c r="O725" s="7">
        <v>0</v>
      </c>
      <c r="P725" s="7">
        <v>0</v>
      </c>
    </row>
    <row r="726" spans="1:16" x14ac:dyDescent="0.3">
      <c r="A726" s="1">
        <v>44511</v>
      </c>
      <c r="B726" s="2">
        <v>354.50332600000002</v>
      </c>
      <c r="C726" s="2">
        <v>332.43</v>
      </c>
      <c r="F726" s="1">
        <v>44511</v>
      </c>
      <c r="G726" s="2">
        <f t="shared" si="22"/>
        <v>-4.1661954201515292E-3</v>
      </c>
      <c r="H726" s="2">
        <f t="shared" si="23"/>
        <v>4.9153484668075743E-3</v>
      </c>
      <c r="I726" s="7">
        <v>0</v>
      </c>
      <c r="J726" s="7">
        <v>0</v>
      </c>
      <c r="K726" s="7">
        <v>0</v>
      </c>
      <c r="L726" s="7">
        <v>0</v>
      </c>
      <c r="M726" s="7">
        <v>-4.1661954201515292E-3</v>
      </c>
      <c r="N726" s="7">
        <v>4.9153484668075743E-3</v>
      </c>
      <c r="O726" s="7">
        <v>0</v>
      </c>
      <c r="P726" s="7">
        <v>0</v>
      </c>
    </row>
    <row r="727" spans="1:16" x14ac:dyDescent="0.3">
      <c r="A727" s="1">
        <v>44512</v>
      </c>
      <c r="B727" s="2">
        <v>344.47332799999998</v>
      </c>
      <c r="C727" s="2">
        <v>336.72</v>
      </c>
      <c r="F727" s="1">
        <v>44512</v>
      </c>
      <c r="G727" s="2">
        <f t="shared" si="22"/>
        <v>-2.87010630514456E-2</v>
      </c>
      <c r="H727" s="2">
        <f t="shared" si="23"/>
        <v>1.2822412845971506E-2</v>
      </c>
      <c r="I727" s="7">
        <v>0</v>
      </c>
      <c r="J727" s="7">
        <v>0</v>
      </c>
      <c r="K727" s="7">
        <v>0</v>
      </c>
      <c r="L727" s="7">
        <v>0</v>
      </c>
      <c r="M727" s="7">
        <v>-2.87010630514456E-2</v>
      </c>
      <c r="N727" s="7">
        <v>1.2822412845971506E-2</v>
      </c>
      <c r="O727" s="7">
        <v>0</v>
      </c>
      <c r="P727" s="7">
        <v>0</v>
      </c>
    </row>
    <row r="728" spans="1:16" x14ac:dyDescent="0.3">
      <c r="A728" s="1">
        <v>44515</v>
      </c>
      <c r="B728" s="2">
        <v>337.79666099999997</v>
      </c>
      <c r="C728" s="2">
        <v>336.07</v>
      </c>
      <c r="F728" s="1">
        <v>44515</v>
      </c>
      <c r="G728" s="2">
        <f t="shared" si="22"/>
        <v>-1.9572545327436693E-2</v>
      </c>
      <c r="H728" s="2">
        <f t="shared" si="23"/>
        <v>-1.9322528641529486E-3</v>
      </c>
      <c r="I728" s="7">
        <v>-1.9572545327436693E-2</v>
      </c>
      <c r="J728" s="7">
        <v>-1.9322528641529486E-3</v>
      </c>
      <c r="K728" s="7">
        <v>0</v>
      </c>
      <c r="L728" s="7">
        <v>0</v>
      </c>
      <c r="M728" s="7">
        <v>0</v>
      </c>
      <c r="N728" s="7">
        <v>0</v>
      </c>
      <c r="O728" s="7">
        <v>0</v>
      </c>
      <c r="P728" s="7">
        <v>0</v>
      </c>
    </row>
    <row r="729" spans="1:16" x14ac:dyDescent="0.3">
      <c r="A729" s="1">
        <v>44516</v>
      </c>
      <c r="B729" s="2">
        <v>351.57666</v>
      </c>
      <c r="C729" s="2">
        <v>339.51</v>
      </c>
      <c r="F729" s="1">
        <v>44516</v>
      </c>
      <c r="G729" s="2">
        <f t="shared" si="22"/>
        <v>3.9983661577285098E-2</v>
      </c>
      <c r="H729" s="2">
        <f t="shared" si="23"/>
        <v>1.0183930047797688E-2</v>
      </c>
      <c r="I729" s="7">
        <v>0</v>
      </c>
      <c r="J729" s="7">
        <v>0</v>
      </c>
      <c r="K729" s="7">
        <v>0</v>
      </c>
      <c r="L729" s="7">
        <v>0</v>
      </c>
      <c r="M729" s="7">
        <v>0</v>
      </c>
      <c r="N729" s="7">
        <v>0</v>
      </c>
      <c r="O729" s="7">
        <v>3.9983661577285098E-2</v>
      </c>
      <c r="P729" s="7">
        <v>1.0183930047797688E-2</v>
      </c>
    </row>
    <row r="730" spans="1:16" x14ac:dyDescent="0.3">
      <c r="A730" s="1">
        <v>44517</v>
      </c>
      <c r="B730" s="2">
        <v>363.00332600000002</v>
      </c>
      <c r="C730" s="2">
        <v>339.12</v>
      </c>
      <c r="F730" s="1">
        <v>44517</v>
      </c>
      <c r="G730" s="2">
        <f t="shared" si="22"/>
        <v>3.1984215402247274E-2</v>
      </c>
      <c r="H730" s="2">
        <f t="shared" si="23"/>
        <v>-1.1493746015782179E-3</v>
      </c>
      <c r="I730" s="7">
        <v>0</v>
      </c>
      <c r="J730" s="7">
        <v>0</v>
      </c>
      <c r="K730" s="7">
        <v>3.1984215402247274E-2</v>
      </c>
      <c r="L730" s="7">
        <v>-1.1493746015782179E-3</v>
      </c>
      <c r="M730" s="7">
        <v>0</v>
      </c>
      <c r="N730" s="7">
        <v>0</v>
      </c>
      <c r="O730" s="7">
        <v>0</v>
      </c>
      <c r="P730" s="7">
        <v>0</v>
      </c>
    </row>
    <row r="731" spans="1:16" x14ac:dyDescent="0.3">
      <c r="A731" s="1">
        <v>44518</v>
      </c>
      <c r="B731" s="2">
        <v>365.459991</v>
      </c>
      <c r="C731" s="2">
        <v>341.27</v>
      </c>
      <c r="F731" s="1">
        <v>44518</v>
      </c>
      <c r="G731" s="2">
        <f t="shared" si="22"/>
        <v>6.7448126926395553E-3</v>
      </c>
      <c r="H731" s="2">
        <f t="shared" si="23"/>
        <v>6.3199257960105931E-3</v>
      </c>
      <c r="I731" s="7">
        <v>0</v>
      </c>
      <c r="J731" s="7">
        <v>0</v>
      </c>
      <c r="K731" s="7">
        <v>0</v>
      </c>
      <c r="L731" s="7">
        <v>0</v>
      </c>
      <c r="M731" s="7">
        <v>0</v>
      </c>
      <c r="N731" s="7">
        <v>0</v>
      </c>
      <c r="O731" s="7">
        <v>6.7448126926395553E-3</v>
      </c>
      <c r="P731" s="7">
        <v>6.3199257960105931E-3</v>
      </c>
    </row>
    <row r="732" spans="1:16" x14ac:dyDescent="0.3">
      <c r="A732" s="1">
        <v>44519</v>
      </c>
      <c r="B732" s="2">
        <v>379.01998900000001</v>
      </c>
      <c r="C732" s="2">
        <v>343.11</v>
      </c>
      <c r="F732" s="1">
        <v>44519</v>
      </c>
      <c r="G732" s="2">
        <f t="shared" si="22"/>
        <v>3.6432135666498597E-2</v>
      </c>
      <c r="H732" s="2">
        <f t="shared" si="23"/>
        <v>5.3771426208427649E-3</v>
      </c>
      <c r="I732" s="7">
        <v>0</v>
      </c>
      <c r="J732" s="7">
        <v>0</v>
      </c>
      <c r="K732" s="7">
        <v>0</v>
      </c>
      <c r="L732" s="7">
        <v>0</v>
      </c>
      <c r="M732" s="7">
        <v>0</v>
      </c>
      <c r="N732" s="7">
        <v>0</v>
      </c>
      <c r="O732" s="7">
        <v>3.6432135666498597E-2</v>
      </c>
      <c r="P732" s="7">
        <v>5.3771426208427649E-3</v>
      </c>
    </row>
    <row r="733" spans="1:16" x14ac:dyDescent="0.3">
      <c r="A733" s="1">
        <v>44522</v>
      </c>
      <c r="B733" s="2">
        <v>385.62332199999997</v>
      </c>
      <c r="C733" s="2">
        <v>339.83</v>
      </c>
      <c r="F733" s="1">
        <v>44522</v>
      </c>
      <c r="G733" s="2">
        <f t="shared" si="22"/>
        <v>1.7272098156102669E-2</v>
      </c>
      <c r="H733" s="2">
        <f t="shared" si="23"/>
        <v>-9.6056028927103236E-3</v>
      </c>
      <c r="I733" s="7">
        <v>0</v>
      </c>
      <c r="J733" s="7">
        <v>0</v>
      </c>
      <c r="K733" s="7">
        <v>1.7272098156102669E-2</v>
      </c>
      <c r="L733" s="7">
        <v>-9.6056028927103236E-3</v>
      </c>
      <c r="M733" s="7">
        <v>0</v>
      </c>
      <c r="N733" s="7">
        <v>0</v>
      </c>
      <c r="O733" s="7">
        <v>0</v>
      </c>
      <c r="P733" s="7">
        <v>0</v>
      </c>
    </row>
    <row r="734" spans="1:16" x14ac:dyDescent="0.3">
      <c r="A734" s="1">
        <v>44523</v>
      </c>
      <c r="B734" s="2">
        <v>369.67666600000001</v>
      </c>
      <c r="C734" s="2">
        <v>337.68</v>
      </c>
      <c r="F734" s="1">
        <v>44523</v>
      </c>
      <c r="G734" s="2">
        <f t="shared" si="22"/>
        <v>-4.2232295361898479E-2</v>
      </c>
      <c r="H734" s="2">
        <f t="shared" si="23"/>
        <v>-6.346791094281371E-3</v>
      </c>
      <c r="I734" s="7">
        <v>-4.2232295361898479E-2</v>
      </c>
      <c r="J734" s="7">
        <v>-6.346791094281371E-3</v>
      </c>
      <c r="K734" s="7">
        <v>0</v>
      </c>
      <c r="L734" s="7">
        <v>0</v>
      </c>
      <c r="M734" s="7">
        <v>0</v>
      </c>
      <c r="N734" s="7">
        <v>0</v>
      </c>
      <c r="O734" s="7">
        <v>0</v>
      </c>
      <c r="P734" s="7">
        <v>0</v>
      </c>
    </row>
    <row r="735" spans="1:16" x14ac:dyDescent="0.3">
      <c r="A735" s="1">
        <v>44524</v>
      </c>
      <c r="B735" s="2">
        <v>372</v>
      </c>
      <c r="C735" s="2">
        <v>337.91</v>
      </c>
      <c r="F735" s="1">
        <v>44524</v>
      </c>
      <c r="G735" s="2">
        <f t="shared" si="22"/>
        <v>6.2651063624939189E-3</v>
      </c>
      <c r="H735" s="2">
        <f t="shared" si="23"/>
        <v>6.8088636269270748E-4</v>
      </c>
      <c r="I735" s="7">
        <v>0</v>
      </c>
      <c r="J735" s="7">
        <v>0</v>
      </c>
      <c r="K735" s="7">
        <v>0</v>
      </c>
      <c r="L735" s="7">
        <v>0</v>
      </c>
      <c r="M735" s="7">
        <v>0</v>
      </c>
      <c r="N735" s="7">
        <v>0</v>
      </c>
      <c r="O735" s="7">
        <v>6.2651063624939189E-3</v>
      </c>
      <c r="P735" s="7">
        <v>6.8088636269270748E-4</v>
      </c>
    </row>
    <row r="736" spans="1:16" x14ac:dyDescent="0.3">
      <c r="A736" s="1">
        <v>44526</v>
      </c>
      <c r="B736" s="2">
        <v>360.64001500000001</v>
      </c>
      <c r="C736" s="2">
        <v>329.68</v>
      </c>
      <c r="F736" s="1">
        <v>44526</v>
      </c>
      <c r="G736" s="2">
        <f t="shared" si="22"/>
        <v>-3.1013581829011913E-2</v>
      </c>
      <c r="H736" s="2">
        <f t="shared" si="23"/>
        <v>-2.4657100806374201E-2</v>
      </c>
      <c r="I736" s="7">
        <v>-3.1013581829011913E-2</v>
      </c>
      <c r="J736" s="7">
        <v>-2.4657100806374201E-2</v>
      </c>
      <c r="K736" s="7">
        <v>0</v>
      </c>
      <c r="L736" s="7">
        <v>0</v>
      </c>
      <c r="M736" s="7">
        <v>0</v>
      </c>
      <c r="N736" s="7">
        <v>0</v>
      </c>
      <c r="O736" s="7">
        <v>0</v>
      </c>
      <c r="P736" s="7">
        <v>0</v>
      </c>
    </row>
    <row r="737" spans="1:16" x14ac:dyDescent="0.3">
      <c r="A737" s="1">
        <v>44529</v>
      </c>
      <c r="B737" s="2">
        <v>378.99667399999998</v>
      </c>
      <c r="C737" s="2">
        <v>336.63</v>
      </c>
      <c r="F737" s="1">
        <v>44529</v>
      </c>
      <c r="G737" s="2">
        <f t="shared" si="22"/>
        <v>4.9647156874191009E-2</v>
      </c>
      <c r="H737" s="2">
        <f t="shared" si="23"/>
        <v>2.0861917314322551E-2</v>
      </c>
      <c r="I737" s="7">
        <v>0</v>
      </c>
      <c r="J737" s="7">
        <v>0</v>
      </c>
      <c r="K737" s="7">
        <v>0</v>
      </c>
      <c r="L737" s="7">
        <v>0</v>
      </c>
      <c r="M737" s="7">
        <v>0</v>
      </c>
      <c r="N737" s="7">
        <v>0</v>
      </c>
      <c r="O737" s="7">
        <v>4.9647156874191009E-2</v>
      </c>
      <c r="P737" s="7">
        <v>2.0861917314322551E-2</v>
      </c>
    </row>
    <row r="738" spans="1:16" x14ac:dyDescent="0.3">
      <c r="A738" s="1">
        <v>44530</v>
      </c>
      <c r="B738" s="2">
        <v>381.58667000000003</v>
      </c>
      <c r="C738" s="2">
        <v>330.59</v>
      </c>
      <c r="F738" s="1">
        <v>44530</v>
      </c>
      <c r="G738" s="2">
        <f t="shared" si="22"/>
        <v>6.8105777798458059E-3</v>
      </c>
      <c r="H738" s="2">
        <f t="shared" si="23"/>
        <v>-1.8105467449319592E-2</v>
      </c>
      <c r="I738" s="7">
        <v>0</v>
      </c>
      <c r="J738" s="7">
        <v>0</v>
      </c>
      <c r="K738" s="7">
        <v>6.8105777798458059E-3</v>
      </c>
      <c r="L738" s="7">
        <v>-1.8105467449319592E-2</v>
      </c>
      <c r="M738" s="7">
        <v>0</v>
      </c>
      <c r="N738" s="7">
        <v>0</v>
      </c>
      <c r="O738" s="7">
        <v>0</v>
      </c>
      <c r="P738" s="7">
        <v>0</v>
      </c>
    </row>
    <row r="739" spans="1:16" x14ac:dyDescent="0.3">
      <c r="A739" s="1">
        <v>44531</v>
      </c>
      <c r="B739" s="2">
        <v>365</v>
      </c>
      <c r="C739" s="2">
        <v>330.08</v>
      </c>
      <c r="F739" s="1">
        <v>44531</v>
      </c>
      <c r="G739" s="2">
        <f t="shared" si="22"/>
        <v>-4.4440653515680141E-2</v>
      </c>
      <c r="H739" s="2">
        <f t="shared" si="23"/>
        <v>-1.5438875726232445E-3</v>
      </c>
      <c r="I739" s="7">
        <v>-4.4440653515680141E-2</v>
      </c>
      <c r="J739" s="7">
        <v>-1.5438875726232445E-3</v>
      </c>
      <c r="K739" s="7">
        <v>0</v>
      </c>
      <c r="L739" s="7">
        <v>0</v>
      </c>
      <c r="M739" s="7">
        <v>0</v>
      </c>
      <c r="N739" s="7">
        <v>0</v>
      </c>
      <c r="O739" s="7">
        <v>0</v>
      </c>
      <c r="P739" s="7">
        <v>0</v>
      </c>
    </row>
    <row r="740" spans="1:16" x14ac:dyDescent="0.3">
      <c r="A740" s="1">
        <v>44532</v>
      </c>
      <c r="B740" s="2">
        <v>361.53332499999999</v>
      </c>
      <c r="C740" s="2">
        <v>329.49</v>
      </c>
      <c r="F740" s="1">
        <v>44532</v>
      </c>
      <c r="G740" s="2">
        <f t="shared" si="22"/>
        <v>-9.543130893613536E-3</v>
      </c>
      <c r="H740" s="2">
        <f t="shared" si="23"/>
        <v>-1.7890448545774067E-3</v>
      </c>
      <c r="I740" s="7">
        <v>-9.543130893613536E-3</v>
      </c>
      <c r="J740" s="7">
        <v>-1.7890448545774067E-3</v>
      </c>
      <c r="K740" s="7">
        <v>0</v>
      </c>
      <c r="L740" s="7">
        <v>0</v>
      </c>
      <c r="M740" s="7">
        <v>0</v>
      </c>
      <c r="N740" s="7">
        <v>0</v>
      </c>
      <c r="O740" s="7">
        <v>0</v>
      </c>
      <c r="P740" s="7">
        <v>0</v>
      </c>
    </row>
    <row r="741" spans="1:16" x14ac:dyDescent="0.3">
      <c r="A741" s="1">
        <v>44533</v>
      </c>
      <c r="B741" s="2">
        <v>338.32333399999999</v>
      </c>
      <c r="C741" s="2">
        <v>323.01</v>
      </c>
      <c r="F741" s="1">
        <v>44533</v>
      </c>
      <c r="G741" s="2">
        <f t="shared" si="22"/>
        <v>-6.6352174997651073E-2</v>
      </c>
      <c r="H741" s="2">
        <f t="shared" si="23"/>
        <v>-1.9862721972629005E-2</v>
      </c>
      <c r="I741" s="7">
        <v>-6.6352174997651073E-2</v>
      </c>
      <c r="J741" s="7">
        <v>-1.9862721972629005E-2</v>
      </c>
      <c r="K741" s="7">
        <v>0</v>
      </c>
      <c r="L741" s="7">
        <v>0</v>
      </c>
      <c r="M741" s="7">
        <v>0</v>
      </c>
      <c r="N741" s="7">
        <v>0</v>
      </c>
      <c r="O741" s="7">
        <v>0</v>
      </c>
      <c r="P741" s="7">
        <v>0</v>
      </c>
    </row>
    <row r="742" spans="1:16" x14ac:dyDescent="0.3">
      <c r="A742" s="1">
        <v>44536</v>
      </c>
      <c r="B742" s="2">
        <v>336.33667000000003</v>
      </c>
      <c r="C742" s="2">
        <v>326.19</v>
      </c>
      <c r="F742" s="1">
        <v>44536</v>
      </c>
      <c r="G742" s="2">
        <f t="shared" si="22"/>
        <v>-5.8893953413597239E-3</v>
      </c>
      <c r="H742" s="2">
        <f t="shared" si="23"/>
        <v>9.7967511820325169E-3</v>
      </c>
      <c r="I742" s="7">
        <v>0</v>
      </c>
      <c r="J742" s="7">
        <v>0</v>
      </c>
      <c r="K742" s="7">
        <v>0</v>
      </c>
      <c r="L742" s="7">
        <v>0</v>
      </c>
      <c r="M742" s="7">
        <v>-5.8893953413597239E-3</v>
      </c>
      <c r="N742" s="7">
        <v>9.7967511820325169E-3</v>
      </c>
      <c r="O742" s="7">
        <v>0</v>
      </c>
      <c r="P742" s="7">
        <v>0</v>
      </c>
    </row>
    <row r="743" spans="1:16" x14ac:dyDescent="0.3">
      <c r="A743" s="1">
        <v>44537</v>
      </c>
      <c r="B743" s="2">
        <v>350.58334400000001</v>
      </c>
      <c r="C743" s="2">
        <v>334.92</v>
      </c>
      <c r="F743" s="1">
        <v>44537</v>
      </c>
      <c r="G743" s="2">
        <f t="shared" si="22"/>
        <v>4.1485811878134292E-2</v>
      </c>
      <c r="H743" s="2">
        <f t="shared" si="23"/>
        <v>2.6411663658463407E-2</v>
      </c>
      <c r="I743" s="7">
        <v>0</v>
      </c>
      <c r="J743" s="7">
        <v>0</v>
      </c>
      <c r="K743" s="7">
        <v>0</v>
      </c>
      <c r="L743" s="7">
        <v>0</v>
      </c>
      <c r="M743" s="7">
        <v>0</v>
      </c>
      <c r="N743" s="7">
        <v>0</v>
      </c>
      <c r="O743" s="7">
        <v>4.1485811878134292E-2</v>
      </c>
      <c r="P743" s="7">
        <v>2.6411663658463407E-2</v>
      </c>
    </row>
    <row r="744" spans="1:16" x14ac:dyDescent="0.3">
      <c r="A744" s="1">
        <v>44538</v>
      </c>
      <c r="B744" s="2">
        <v>356.32000699999998</v>
      </c>
      <c r="C744" s="2">
        <v>334.97</v>
      </c>
      <c r="F744" s="1">
        <v>44538</v>
      </c>
      <c r="G744" s="2">
        <f t="shared" si="22"/>
        <v>1.6230758926318489E-2</v>
      </c>
      <c r="H744" s="2">
        <f t="shared" si="23"/>
        <v>1.4927823998831251E-4</v>
      </c>
      <c r="I744" s="7">
        <v>0</v>
      </c>
      <c r="J744" s="7">
        <v>0</v>
      </c>
      <c r="K744" s="7">
        <v>0</v>
      </c>
      <c r="L744" s="7">
        <v>0</v>
      </c>
      <c r="M744" s="7">
        <v>0</v>
      </c>
      <c r="N744" s="7">
        <v>0</v>
      </c>
      <c r="O744" s="7">
        <v>1.6230758926318489E-2</v>
      </c>
      <c r="P744" s="7">
        <v>1.4927823998831251E-4</v>
      </c>
    </row>
    <row r="745" spans="1:16" x14ac:dyDescent="0.3">
      <c r="A745" s="1">
        <v>44539</v>
      </c>
      <c r="B745" s="2">
        <v>334.60000600000001</v>
      </c>
      <c r="C745" s="2">
        <v>333.1</v>
      </c>
      <c r="F745" s="1">
        <v>44539</v>
      </c>
      <c r="G745" s="2">
        <f t="shared" si="22"/>
        <v>-6.2893416669737467E-2</v>
      </c>
      <c r="H745" s="2">
        <f t="shared" si="23"/>
        <v>-5.598230376585394E-3</v>
      </c>
      <c r="I745" s="7">
        <v>-6.2893416669737467E-2</v>
      </c>
      <c r="J745" s="7">
        <v>-5.598230376585394E-3</v>
      </c>
      <c r="K745" s="7">
        <v>0</v>
      </c>
      <c r="L745" s="7">
        <v>0</v>
      </c>
      <c r="M745" s="7">
        <v>0</v>
      </c>
      <c r="N745" s="7">
        <v>0</v>
      </c>
      <c r="O745" s="7">
        <v>0</v>
      </c>
      <c r="P745" s="7">
        <v>0</v>
      </c>
    </row>
    <row r="746" spans="1:16" x14ac:dyDescent="0.3">
      <c r="A746" s="1">
        <v>44540</v>
      </c>
      <c r="B746" s="2">
        <v>339.01001000000002</v>
      </c>
      <c r="C746" s="2">
        <v>342.54</v>
      </c>
      <c r="F746" s="1">
        <v>44540</v>
      </c>
      <c r="G746" s="2">
        <f t="shared" si="22"/>
        <v>1.3093828483523253E-2</v>
      </c>
      <c r="H746" s="2">
        <f t="shared" si="23"/>
        <v>2.7945694004588788E-2</v>
      </c>
      <c r="I746" s="7">
        <v>0</v>
      </c>
      <c r="J746" s="7">
        <v>0</v>
      </c>
      <c r="K746" s="7">
        <v>0</v>
      </c>
      <c r="L746" s="7">
        <v>0</v>
      </c>
      <c r="M746" s="7">
        <v>0</v>
      </c>
      <c r="N746" s="7">
        <v>0</v>
      </c>
      <c r="O746" s="7">
        <v>1.3093828483523253E-2</v>
      </c>
      <c r="P746" s="7">
        <v>2.7945694004588788E-2</v>
      </c>
    </row>
    <row r="747" spans="1:16" x14ac:dyDescent="0.3">
      <c r="A747" s="1">
        <v>44543</v>
      </c>
      <c r="B747" s="2">
        <v>322.13665800000001</v>
      </c>
      <c r="C747" s="2">
        <v>339.4</v>
      </c>
      <c r="F747" s="1">
        <v>44543</v>
      </c>
      <c r="G747" s="2">
        <f t="shared" si="22"/>
        <v>-5.1053775730777982E-2</v>
      </c>
      <c r="H747" s="2">
        <f t="shared" si="23"/>
        <v>-9.209086404096985E-3</v>
      </c>
      <c r="I747" s="7">
        <v>-5.1053775730777982E-2</v>
      </c>
      <c r="J747" s="7">
        <v>-9.209086404096985E-3</v>
      </c>
      <c r="K747" s="7">
        <v>0</v>
      </c>
      <c r="L747" s="7">
        <v>0</v>
      </c>
      <c r="M747" s="7">
        <v>0</v>
      </c>
      <c r="N747" s="7">
        <v>0</v>
      </c>
      <c r="O747" s="7">
        <v>0</v>
      </c>
      <c r="P747" s="7">
        <v>0</v>
      </c>
    </row>
    <row r="748" spans="1:16" x14ac:dyDescent="0.3">
      <c r="A748" s="1">
        <v>44544</v>
      </c>
      <c r="B748" s="2">
        <v>319.50332600000002</v>
      </c>
      <c r="C748" s="2">
        <v>328.34</v>
      </c>
      <c r="F748" s="1">
        <v>44544</v>
      </c>
      <c r="G748" s="2">
        <f t="shared" si="22"/>
        <v>-8.208175458272569E-3</v>
      </c>
      <c r="H748" s="2">
        <f t="shared" si="23"/>
        <v>-3.3129695933753846E-2</v>
      </c>
      <c r="I748" s="7">
        <v>-8.208175458272569E-3</v>
      </c>
      <c r="J748" s="7">
        <v>-3.3129695933753846E-2</v>
      </c>
      <c r="K748" s="7">
        <v>0</v>
      </c>
      <c r="L748" s="7">
        <v>0</v>
      </c>
      <c r="M748" s="7">
        <v>0</v>
      </c>
      <c r="N748" s="7">
        <v>0</v>
      </c>
      <c r="O748" s="7">
        <v>0</v>
      </c>
      <c r="P748" s="7">
        <v>0</v>
      </c>
    </row>
    <row r="749" spans="1:16" x14ac:dyDescent="0.3">
      <c r="A749" s="1">
        <v>44545</v>
      </c>
      <c r="B749" s="2">
        <v>325.32998700000002</v>
      </c>
      <c r="C749" s="2">
        <v>334.65</v>
      </c>
      <c r="F749" s="1">
        <v>44545</v>
      </c>
      <c r="G749" s="2">
        <f t="shared" si="22"/>
        <v>1.8072328052372195E-2</v>
      </c>
      <c r="H749" s="2">
        <f t="shared" si="23"/>
        <v>1.9035552680279125E-2</v>
      </c>
      <c r="I749" s="7">
        <v>0</v>
      </c>
      <c r="J749" s="7">
        <v>0</v>
      </c>
      <c r="K749" s="7">
        <v>0</v>
      </c>
      <c r="L749" s="7">
        <v>0</v>
      </c>
      <c r="M749" s="7">
        <v>0</v>
      </c>
      <c r="N749" s="7">
        <v>0</v>
      </c>
      <c r="O749" s="7">
        <v>1.8072328052372195E-2</v>
      </c>
      <c r="P749" s="7">
        <v>1.9035552680279125E-2</v>
      </c>
    </row>
    <row r="750" spans="1:16" x14ac:dyDescent="0.3">
      <c r="A750" s="1">
        <v>44546</v>
      </c>
      <c r="B750" s="2">
        <v>308.97332799999998</v>
      </c>
      <c r="C750" s="2">
        <v>324.89999999999998</v>
      </c>
      <c r="F750" s="1">
        <v>44546</v>
      </c>
      <c r="G750" s="2">
        <f t="shared" si="22"/>
        <v>-5.1585055811325255E-2</v>
      </c>
      <c r="H750" s="2">
        <f t="shared" si="23"/>
        <v>-2.9567766871596565E-2</v>
      </c>
      <c r="I750" s="7">
        <v>-5.1585055811325255E-2</v>
      </c>
      <c r="J750" s="7">
        <v>-2.9567766871596565E-2</v>
      </c>
      <c r="K750" s="7">
        <v>0</v>
      </c>
      <c r="L750" s="7">
        <v>0</v>
      </c>
      <c r="M750" s="7">
        <v>0</v>
      </c>
      <c r="N750" s="7">
        <v>0</v>
      </c>
      <c r="O750" s="7">
        <v>0</v>
      </c>
      <c r="P750" s="7">
        <v>0</v>
      </c>
    </row>
    <row r="751" spans="1:16" x14ac:dyDescent="0.3">
      <c r="A751" s="1">
        <v>44547</v>
      </c>
      <c r="B751" s="2">
        <v>310.85665899999998</v>
      </c>
      <c r="C751" s="2">
        <v>323.8</v>
      </c>
      <c r="F751" s="1">
        <v>44547</v>
      </c>
      <c r="G751" s="2">
        <f t="shared" si="22"/>
        <v>6.0769463734712077E-3</v>
      </c>
      <c r="H751" s="2">
        <f t="shared" si="23"/>
        <v>-3.3914014315197193E-3</v>
      </c>
      <c r="I751" s="7">
        <v>0</v>
      </c>
      <c r="J751" s="7">
        <v>0</v>
      </c>
      <c r="K751" s="7">
        <v>6.0769463734712077E-3</v>
      </c>
      <c r="L751" s="7">
        <v>-3.3914014315197193E-3</v>
      </c>
      <c r="M751" s="7">
        <v>0</v>
      </c>
      <c r="N751" s="7">
        <v>0</v>
      </c>
      <c r="O751" s="7">
        <v>0</v>
      </c>
      <c r="P751" s="7">
        <v>0</v>
      </c>
    </row>
    <row r="752" spans="1:16" x14ac:dyDescent="0.3">
      <c r="A752" s="1">
        <v>44550</v>
      </c>
      <c r="B752" s="2">
        <v>299.98001099999999</v>
      </c>
      <c r="C752" s="2">
        <v>319.91000000000003</v>
      </c>
      <c r="F752" s="1">
        <v>44550</v>
      </c>
      <c r="G752" s="2">
        <f t="shared" si="22"/>
        <v>-3.5616059957249167E-2</v>
      </c>
      <c r="H752" s="2">
        <f t="shared" si="23"/>
        <v>-1.2086335007961085E-2</v>
      </c>
      <c r="I752" s="7">
        <v>-3.5616059957249167E-2</v>
      </c>
      <c r="J752" s="7">
        <v>-1.2086335007961085E-2</v>
      </c>
      <c r="K752" s="7">
        <v>0</v>
      </c>
      <c r="L752" s="7">
        <v>0</v>
      </c>
      <c r="M752" s="7">
        <v>0</v>
      </c>
      <c r="N752" s="7">
        <v>0</v>
      </c>
      <c r="O752" s="7">
        <v>0</v>
      </c>
      <c r="P752" s="7">
        <v>0</v>
      </c>
    </row>
    <row r="753" spans="1:16" x14ac:dyDescent="0.3">
      <c r="A753" s="1">
        <v>44551</v>
      </c>
      <c r="B753" s="2">
        <v>312.843323</v>
      </c>
      <c r="C753" s="2">
        <v>327.29000000000002</v>
      </c>
      <c r="F753" s="1">
        <v>44551</v>
      </c>
      <c r="G753" s="2">
        <f t="shared" si="22"/>
        <v>4.1986657283890269E-2</v>
      </c>
      <c r="H753" s="2">
        <f t="shared" si="23"/>
        <v>2.2806921795337061E-2</v>
      </c>
      <c r="I753" s="7">
        <v>0</v>
      </c>
      <c r="J753" s="7">
        <v>0</v>
      </c>
      <c r="K753" s="7">
        <v>0</v>
      </c>
      <c r="L753" s="7">
        <v>0</v>
      </c>
      <c r="M753" s="7">
        <v>0</v>
      </c>
      <c r="N753" s="7">
        <v>0</v>
      </c>
      <c r="O753" s="7">
        <v>4.1986657283890269E-2</v>
      </c>
      <c r="P753" s="7">
        <v>2.2806921795337061E-2</v>
      </c>
    </row>
    <row r="754" spans="1:16" x14ac:dyDescent="0.3">
      <c r="A754" s="1">
        <v>44552</v>
      </c>
      <c r="B754" s="2">
        <v>336.290009</v>
      </c>
      <c r="C754" s="2">
        <v>333.2</v>
      </c>
      <c r="F754" s="1">
        <v>44552</v>
      </c>
      <c r="G754" s="2">
        <f t="shared" si="22"/>
        <v>7.2271409991183005E-2</v>
      </c>
      <c r="H754" s="2">
        <f t="shared" si="23"/>
        <v>1.7896282261776791E-2</v>
      </c>
      <c r="I754" s="7">
        <v>0</v>
      </c>
      <c r="J754" s="7">
        <v>0</v>
      </c>
      <c r="K754" s="7">
        <v>0</v>
      </c>
      <c r="L754" s="7">
        <v>0</v>
      </c>
      <c r="M754" s="7">
        <v>0</v>
      </c>
      <c r="N754" s="7">
        <v>0</v>
      </c>
      <c r="O754" s="7">
        <v>7.2271409991183005E-2</v>
      </c>
      <c r="P754" s="7">
        <v>1.7896282261776791E-2</v>
      </c>
    </row>
    <row r="755" spans="1:16" x14ac:dyDescent="0.3">
      <c r="A755" s="1">
        <v>44553</v>
      </c>
      <c r="B755" s="2">
        <v>355.66665599999999</v>
      </c>
      <c r="C755" s="2">
        <v>334.69</v>
      </c>
      <c r="F755" s="1">
        <v>44553</v>
      </c>
      <c r="G755" s="2">
        <f t="shared" si="22"/>
        <v>5.6020022931617945E-2</v>
      </c>
      <c r="H755" s="2">
        <f t="shared" si="23"/>
        <v>4.4618199760109801E-3</v>
      </c>
      <c r="I755" s="7">
        <v>0</v>
      </c>
      <c r="J755" s="7">
        <v>0</v>
      </c>
      <c r="K755" s="7">
        <v>0</v>
      </c>
      <c r="L755" s="7">
        <v>0</v>
      </c>
      <c r="M755" s="7">
        <v>0</v>
      </c>
      <c r="N755" s="7">
        <v>0</v>
      </c>
      <c r="O755" s="7">
        <v>5.6020022931617945E-2</v>
      </c>
      <c r="P755" s="7">
        <v>4.4618199760109801E-3</v>
      </c>
    </row>
    <row r="756" spans="1:16" x14ac:dyDescent="0.3">
      <c r="A756" s="1">
        <v>44557</v>
      </c>
      <c r="B756" s="2">
        <v>364.64666699999998</v>
      </c>
      <c r="C756" s="2">
        <v>342.45</v>
      </c>
      <c r="F756" s="1">
        <v>44557</v>
      </c>
      <c r="G756" s="2">
        <f t="shared" si="22"/>
        <v>2.4934916473960886E-2</v>
      </c>
      <c r="H756" s="2">
        <f t="shared" si="23"/>
        <v>2.2920931375215555E-2</v>
      </c>
      <c r="I756" s="7">
        <v>0</v>
      </c>
      <c r="J756" s="7">
        <v>0</v>
      </c>
      <c r="K756" s="7">
        <v>0</v>
      </c>
      <c r="L756" s="7">
        <v>0</v>
      </c>
      <c r="M756" s="7">
        <v>0</v>
      </c>
      <c r="N756" s="7">
        <v>0</v>
      </c>
      <c r="O756" s="7">
        <v>2.4934916473960886E-2</v>
      </c>
      <c r="P756" s="7">
        <v>2.2920931375215555E-2</v>
      </c>
    </row>
    <row r="757" spans="1:16" x14ac:dyDescent="0.3">
      <c r="A757" s="1">
        <v>44558</v>
      </c>
      <c r="B757" s="2">
        <v>362.82333399999999</v>
      </c>
      <c r="C757" s="2">
        <v>341.25</v>
      </c>
      <c r="F757" s="1">
        <v>44558</v>
      </c>
      <c r="G757" s="2">
        <f t="shared" si="22"/>
        <v>-5.0128165164235756E-3</v>
      </c>
      <c r="H757" s="2">
        <f t="shared" si="23"/>
        <v>-3.510315144744655E-3</v>
      </c>
      <c r="I757" s="7">
        <v>-5.0128165164235756E-3</v>
      </c>
      <c r="J757" s="7">
        <v>-3.510315144744655E-3</v>
      </c>
      <c r="K757" s="7">
        <v>0</v>
      </c>
      <c r="L757" s="7">
        <v>0</v>
      </c>
      <c r="M757" s="7">
        <v>0</v>
      </c>
      <c r="N757" s="7">
        <v>0</v>
      </c>
      <c r="O757" s="7">
        <v>0</v>
      </c>
      <c r="P757" s="7">
        <v>0</v>
      </c>
    </row>
    <row r="758" spans="1:16" x14ac:dyDescent="0.3">
      <c r="A758" s="1">
        <v>44559</v>
      </c>
      <c r="B758" s="2">
        <v>362.06332400000002</v>
      </c>
      <c r="C758" s="2">
        <v>341.95</v>
      </c>
      <c r="F758" s="1">
        <v>44559</v>
      </c>
      <c r="G758" s="2">
        <f t="shared" si="22"/>
        <v>-2.0969078961354448E-3</v>
      </c>
      <c r="H758" s="2">
        <f t="shared" si="23"/>
        <v>2.0491810449354236E-3</v>
      </c>
      <c r="I758" s="7">
        <v>0</v>
      </c>
      <c r="J758" s="7">
        <v>0</v>
      </c>
      <c r="K758" s="7">
        <v>0</v>
      </c>
      <c r="L758" s="7">
        <v>0</v>
      </c>
      <c r="M758" s="7">
        <v>-2.0969078961354448E-3</v>
      </c>
      <c r="N758" s="7">
        <v>2.0491810449354236E-3</v>
      </c>
      <c r="O758" s="7">
        <v>0</v>
      </c>
      <c r="P758" s="7">
        <v>0</v>
      </c>
    </row>
    <row r="759" spans="1:16" x14ac:dyDescent="0.3">
      <c r="A759" s="1">
        <v>44560</v>
      </c>
      <c r="B759" s="2">
        <v>356.77999899999998</v>
      </c>
      <c r="C759" s="2">
        <v>339.32</v>
      </c>
      <c r="F759" s="1">
        <v>44560</v>
      </c>
      <c r="G759" s="2">
        <f t="shared" si="22"/>
        <v>-1.469978218414341E-2</v>
      </c>
      <c r="H759" s="2">
        <f t="shared" si="23"/>
        <v>-7.720912604571052E-3</v>
      </c>
      <c r="I759" s="7">
        <v>-1.469978218414341E-2</v>
      </c>
      <c r="J759" s="7">
        <v>-7.720912604571052E-3</v>
      </c>
      <c r="K759" s="7">
        <v>0</v>
      </c>
      <c r="L759" s="7">
        <v>0</v>
      </c>
      <c r="M759" s="7">
        <v>0</v>
      </c>
      <c r="N759" s="7">
        <v>0</v>
      </c>
      <c r="O759" s="7">
        <v>0</v>
      </c>
      <c r="P759" s="7">
        <v>0</v>
      </c>
    </row>
    <row r="760" spans="1:16" x14ac:dyDescent="0.3">
      <c r="A760" s="1">
        <v>44561</v>
      </c>
      <c r="B760" s="2">
        <v>352.26001000000002</v>
      </c>
      <c r="C760" s="2">
        <v>336.32</v>
      </c>
      <c r="F760" s="1">
        <v>44561</v>
      </c>
      <c r="G760" s="2">
        <f t="shared" si="22"/>
        <v>-1.2749774828002153E-2</v>
      </c>
      <c r="H760" s="2">
        <f t="shared" si="23"/>
        <v>-8.8805272509477409E-3</v>
      </c>
      <c r="I760" s="7">
        <v>-1.2749774828002153E-2</v>
      </c>
      <c r="J760" s="7">
        <v>-8.8805272509477409E-3</v>
      </c>
      <c r="K760" s="7">
        <v>0</v>
      </c>
      <c r="L760" s="7">
        <v>0</v>
      </c>
      <c r="M760" s="7">
        <v>0</v>
      </c>
      <c r="N760" s="7">
        <v>0</v>
      </c>
      <c r="O760" s="7">
        <v>0</v>
      </c>
      <c r="P760" s="7">
        <v>0</v>
      </c>
    </row>
    <row r="761" spans="1:16" x14ac:dyDescent="0.3">
      <c r="A761" s="1">
        <v>44564</v>
      </c>
      <c r="B761" s="2">
        <v>399.92666600000001</v>
      </c>
      <c r="C761" s="2">
        <v>334.75</v>
      </c>
      <c r="F761" s="1">
        <v>44564</v>
      </c>
      <c r="G761" s="2">
        <f t="shared" si="22"/>
        <v>0.12691162760779501</v>
      </c>
      <c r="H761" s="2">
        <f t="shared" si="23"/>
        <v>-4.67910311730444E-3</v>
      </c>
      <c r="I761" s="7">
        <v>0</v>
      </c>
      <c r="J761" s="7">
        <v>0</v>
      </c>
      <c r="K761" s="7">
        <v>0.12691162760779501</v>
      </c>
      <c r="L761" s="7">
        <v>-4.67910311730444E-3</v>
      </c>
      <c r="M761" s="7">
        <v>0</v>
      </c>
      <c r="N761" s="7">
        <v>0</v>
      </c>
      <c r="O761" s="7">
        <v>0</v>
      </c>
      <c r="P761" s="7">
        <v>0</v>
      </c>
    </row>
    <row r="762" spans="1:16" x14ac:dyDescent="0.3">
      <c r="A762" s="1">
        <v>44565</v>
      </c>
      <c r="B762" s="2">
        <v>383.19665500000002</v>
      </c>
      <c r="C762" s="2">
        <v>329.01</v>
      </c>
      <c r="F762" s="1">
        <v>44565</v>
      </c>
      <c r="G762" s="2">
        <f t="shared" si="22"/>
        <v>-4.2732878364633339E-2</v>
      </c>
      <c r="H762" s="2">
        <f t="shared" si="23"/>
        <v>-1.7295839131054723E-2</v>
      </c>
      <c r="I762" s="7">
        <v>-4.2732878364633339E-2</v>
      </c>
      <c r="J762" s="7">
        <v>-1.7295839131054723E-2</v>
      </c>
      <c r="K762" s="7">
        <v>0</v>
      </c>
      <c r="L762" s="7">
        <v>0</v>
      </c>
      <c r="M762" s="7">
        <v>0</v>
      </c>
      <c r="N762" s="7">
        <v>0</v>
      </c>
      <c r="O762" s="7">
        <v>0</v>
      </c>
      <c r="P762" s="7">
        <v>0</v>
      </c>
    </row>
    <row r="763" spans="1:16" x14ac:dyDescent="0.3">
      <c r="A763" s="1">
        <v>44566</v>
      </c>
      <c r="B763" s="2">
        <v>362.70666499999999</v>
      </c>
      <c r="C763" s="2">
        <v>316.38</v>
      </c>
      <c r="F763" s="1">
        <v>44566</v>
      </c>
      <c r="G763" s="2">
        <f t="shared" si="22"/>
        <v>-5.4953894747038372E-2</v>
      </c>
      <c r="H763" s="2">
        <f t="shared" si="23"/>
        <v>-3.9144122669793759E-2</v>
      </c>
      <c r="I763" s="7">
        <v>-5.4953894747038372E-2</v>
      </c>
      <c r="J763" s="7">
        <v>-3.9144122669793759E-2</v>
      </c>
      <c r="K763" s="7">
        <v>0</v>
      </c>
      <c r="L763" s="7">
        <v>0</v>
      </c>
      <c r="M763" s="7">
        <v>0</v>
      </c>
      <c r="N763" s="7">
        <v>0</v>
      </c>
      <c r="O763" s="7">
        <v>0</v>
      </c>
      <c r="P763" s="7">
        <v>0</v>
      </c>
    </row>
    <row r="764" spans="1:16" x14ac:dyDescent="0.3">
      <c r="A764" s="1">
        <v>44567</v>
      </c>
      <c r="B764" s="2">
        <v>354.89999399999999</v>
      </c>
      <c r="C764" s="2">
        <v>313.88</v>
      </c>
      <c r="F764" s="1">
        <v>44567</v>
      </c>
      <c r="G764" s="2">
        <f t="shared" si="22"/>
        <v>-2.1758379442114988E-2</v>
      </c>
      <c r="H764" s="2">
        <f t="shared" si="23"/>
        <v>-7.9332755111609608E-3</v>
      </c>
      <c r="I764" s="7">
        <v>-2.1758379442114988E-2</v>
      </c>
      <c r="J764" s="7">
        <v>-7.9332755111609608E-3</v>
      </c>
      <c r="K764" s="7">
        <v>0</v>
      </c>
      <c r="L764" s="7">
        <v>0</v>
      </c>
      <c r="M764" s="7">
        <v>0</v>
      </c>
      <c r="N764" s="7">
        <v>0</v>
      </c>
      <c r="O764" s="7">
        <v>0</v>
      </c>
      <c r="P764" s="7">
        <v>0</v>
      </c>
    </row>
    <row r="765" spans="1:16" x14ac:dyDescent="0.3">
      <c r="A765" s="1">
        <v>44568</v>
      </c>
      <c r="B765" s="2">
        <v>342.32000699999998</v>
      </c>
      <c r="C765" s="2">
        <v>314.04000000000002</v>
      </c>
      <c r="F765" s="1">
        <v>44568</v>
      </c>
      <c r="G765" s="2">
        <f t="shared" si="22"/>
        <v>-3.6090050189015829E-2</v>
      </c>
      <c r="H765" s="2">
        <f t="shared" si="23"/>
        <v>5.0961907078251353E-4</v>
      </c>
      <c r="I765" s="7">
        <v>0</v>
      </c>
      <c r="J765" s="7">
        <v>0</v>
      </c>
      <c r="K765" s="7">
        <v>0</v>
      </c>
      <c r="L765" s="7">
        <v>0</v>
      </c>
      <c r="M765" s="7">
        <v>-3.6090050189015829E-2</v>
      </c>
      <c r="N765" s="7">
        <v>5.0961907078251353E-4</v>
      </c>
      <c r="O765" s="7">
        <v>0</v>
      </c>
      <c r="P765" s="7">
        <v>0</v>
      </c>
    </row>
    <row r="766" spans="1:16" x14ac:dyDescent="0.3">
      <c r="A766" s="1">
        <v>44571</v>
      </c>
      <c r="B766" s="2">
        <v>352.70666499999999</v>
      </c>
      <c r="C766" s="2">
        <v>314.27</v>
      </c>
      <c r="F766" s="1">
        <v>44571</v>
      </c>
      <c r="G766" s="2">
        <f t="shared" si="22"/>
        <v>2.989074158586566E-2</v>
      </c>
      <c r="H766" s="2">
        <f t="shared" si="23"/>
        <v>7.321227109972463E-4</v>
      </c>
      <c r="I766" s="7">
        <v>0</v>
      </c>
      <c r="J766" s="7">
        <v>0</v>
      </c>
      <c r="K766" s="7">
        <v>0</v>
      </c>
      <c r="L766" s="7">
        <v>0</v>
      </c>
      <c r="M766" s="7">
        <v>0</v>
      </c>
      <c r="N766" s="7">
        <v>0</v>
      </c>
      <c r="O766" s="7">
        <v>2.989074158586566E-2</v>
      </c>
      <c r="P766" s="7">
        <v>7.321227109972463E-4</v>
      </c>
    </row>
    <row r="767" spans="1:16" x14ac:dyDescent="0.3">
      <c r="A767" s="1">
        <v>44572</v>
      </c>
      <c r="B767" s="2">
        <v>354.79998799999998</v>
      </c>
      <c r="C767" s="2">
        <v>314.98</v>
      </c>
      <c r="F767" s="1">
        <v>44572</v>
      </c>
      <c r="G767" s="2">
        <f t="shared" si="22"/>
        <v>5.9174824704225897E-3</v>
      </c>
      <c r="H767" s="2">
        <f t="shared" si="23"/>
        <v>2.2566557053825685E-3</v>
      </c>
      <c r="I767" s="7">
        <v>0</v>
      </c>
      <c r="J767" s="7">
        <v>0</v>
      </c>
      <c r="K767" s="7">
        <v>0</v>
      </c>
      <c r="L767" s="7">
        <v>0</v>
      </c>
      <c r="M767" s="7">
        <v>0</v>
      </c>
      <c r="N767" s="7">
        <v>0</v>
      </c>
      <c r="O767" s="7">
        <v>5.9174824704225897E-3</v>
      </c>
      <c r="P767" s="7">
        <v>2.2566557053825685E-3</v>
      </c>
    </row>
    <row r="768" spans="1:16" x14ac:dyDescent="0.3">
      <c r="A768" s="1">
        <v>44573</v>
      </c>
      <c r="B768" s="2">
        <v>368.73998999999998</v>
      </c>
      <c r="C768" s="2">
        <v>318.27</v>
      </c>
      <c r="F768" s="1">
        <v>44573</v>
      </c>
      <c r="G768" s="2">
        <f t="shared" si="22"/>
        <v>3.8537544909312368E-2</v>
      </c>
      <c r="H768" s="2">
        <f t="shared" si="23"/>
        <v>1.0390934392855156E-2</v>
      </c>
      <c r="I768" s="7">
        <v>0</v>
      </c>
      <c r="J768" s="7">
        <v>0</v>
      </c>
      <c r="K768" s="7">
        <v>0</v>
      </c>
      <c r="L768" s="7">
        <v>0</v>
      </c>
      <c r="M768" s="7">
        <v>0</v>
      </c>
      <c r="N768" s="7">
        <v>0</v>
      </c>
      <c r="O768" s="7">
        <v>3.8537544909312368E-2</v>
      </c>
      <c r="P768" s="7">
        <v>1.0390934392855156E-2</v>
      </c>
    </row>
    <row r="769" spans="1:16" x14ac:dyDescent="0.3">
      <c r="A769" s="1">
        <v>44574</v>
      </c>
      <c r="B769" s="2">
        <v>343.85333300000002</v>
      </c>
      <c r="C769" s="2">
        <v>304.8</v>
      </c>
      <c r="F769" s="1">
        <v>44574</v>
      </c>
      <c r="G769" s="2">
        <f t="shared" si="22"/>
        <v>-6.9876552623832328E-2</v>
      </c>
      <c r="H769" s="2">
        <f t="shared" si="23"/>
        <v>-4.324425532679859E-2</v>
      </c>
      <c r="I769" s="7">
        <v>-6.9876552623832328E-2</v>
      </c>
      <c r="J769" s="7">
        <v>-4.324425532679859E-2</v>
      </c>
      <c r="K769" s="7">
        <v>0</v>
      </c>
      <c r="L769" s="7">
        <v>0</v>
      </c>
      <c r="M769" s="7">
        <v>0</v>
      </c>
      <c r="N769" s="7">
        <v>0</v>
      </c>
      <c r="O769" s="7">
        <v>0</v>
      </c>
      <c r="P769" s="7">
        <v>0</v>
      </c>
    </row>
    <row r="770" spans="1:16" x14ac:dyDescent="0.3">
      <c r="A770" s="1">
        <v>44575</v>
      </c>
      <c r="B770" s="2">
        <v>349.86999500000002</v>
      </c>
      <c r="C770" s="2">
        <v>310.2</v>
      </c>
      <c r="F770" s="1">
        <v>44575</v>
      </c>
      <c r="G770" s="2">
        <f t="shared" si="22"/>
        <v>1.734643372529876E-2</v>
      </c>
      <c r="H770" s="2">
        <f t="shared" si="23"/>
        <v>1.7561426929947208E-2</v>
      </c>
      <c r="I770" s="7">
        <v>0</v>
      </c>
      <c r="J770" s="7">
        <v>0</v>
      </c>
      <c r="K770" s="7">
        <v>0</v>
      </c>
      <c r="L770" s="7">
        <v>0</v>
      </c>
      <c r="M770" s="7">
        <v>0</v>
      </c>
      <c r="N770" s="7">
        <v>0</v>
      </c>
      <c r="O770" s="7">
        <v>1.734643372529876E-2</v>
      </c>
      <c r="P770" s="7">
        <v>1.7561426929947208E-2</v>
      </c>
    </row>
    <row r="771" spans="1:16" x14ac:dyDescent="0.3">
      <c r="A771" s="1">
        <v>44579</v>
      </c>
      <c r="B771" s="2">
        <v>343.50332600000002</v>
      </c>
      <c r="C771" s="2">
        <v>302.64999999999998</v>
      </c>
      <c r="F771" s="1">
        <v>44579</v>
      </c>
      <c r="G771" s="2">
        <f t="shared" si="22"/>
        <v>-1.8364848330492321E-2</v>
      </c>
      <c r="H771" s="2">
        <f t="shared" si="23"/>
        <v>-2.4640228404742202E-2</v>
      </c>
      <c r="I771" s="7">
        <v>-1.8364848330492321E-2</v>
      </c>
      <c r="J771" s="7">
        <v>-2.4640228404742202E-2</v>
      </c>
      <c r="K771" s="7">
        <v>0</v>
      </c>
      <c r="L771" s="7">
        <v>0</v>
      </c>
      <c r="M771" s="7">
        <v>0</v>
      </c>
      <c r="N771" s="7">
        <v>0</v>
      </c>
      <c r="O771" s="7">
        <v>0</v>
      </c>
      <c r="P771" s="7">
        <v>0</v>
      </c>
    </row>
    <row r="772" spans="1:16" x14ac:dyDescent="0.3">
      <c r="A772" s="1">
        <v>44580</v>
      </c>
      <c r="B772" s="2">
        <v>331.883331</v>
      </c>
      <c r="C772" s="2">
        <v>303.33</v>
      </c>
      <c r="F772" s="1">
        <v>44580</v>
      </c>
      <c r="G772" s="2">
        <f t="shared" si="22"/>
        <v>-3.4413299787847365E-2</v>
      </c>
      <c r="H772" s="2">
        <f t="shared" si="23"/>
        <v>2.2442994337211241E-3</v>
      </c>
      <c r="I772" s="7">
        <v>0</v>
      </c>
      <c r="J772" s="7">
        <v>0</v>
      </c>
      <c r="K772" s="7">
        <v>0</v>
      </c>
      <c r="L772" s="7">
        <v>0</v>
      </c>
      <c r="M772" s="7">
        <v>-3.4413299787847365E-2</v>
      </c>
      <c r="N772" s="7">
        <v>2.2442994337211241E-3</v>
      </c>
      <c r="O772" s="7">
        <v>0</v>
      </c>
      <c r="P772" s="7">
        <v>0</v>
      </c>
    </row>
    <row r="773" spans="1:16" x14ac:dyDescent="0.3">
      <c r="A773" s="1">
        <v>44581</v>
      </c>
      <c r="B773" s="2">
        <v>332.08999599999999</v>
      </c>
      <c r="C773" s="2">
        <v>301.60000000000002</v>
      </c>
      <c r="F773" s="1">
        <v>44581</v>
      </c>
      <c r="G773" s="2">
        <f t="shared" si="22"/>
        <v>6.2250996619883636E-4</v>
      </c>
      <c r="H773" s="2">
        <f t="shared" si="23"/>
        <v>-5.719685637616303E-3</v>
      </c>
      <c r="I773" s="7">
        <v>0</v>
      </c>
      <c r="J773" s="7">
        <v>0</v>
      </c>
      <c r="K773" s="7">
        <v>6.2250996619883636E-4</v>
      </c>
      <c r="L773" s="7">
        <v>-5.719685637616303E-3</v>
      </c>
      <c r="M773" s="7">
        <v>0</v>
      </c>
      <c r="N773" s="7">
        <v>0</v>
      </c>
      <c r="O773" s="7">
        <v>0</v>
      </c>
      <c r="P773" s="7">
        <v>0</v>
      </c>
    </row>
    <row r="774" spans="1:16" x14ac:dyDescent="0.3">
      <c r="A774" s="1">
        <v>44582</v>
      </c>
      <c r="B774" s="2">
        <v>314.633331</v>
      </c>
      <c r="C774" s="2">
        <v>296.02999999999997</v>
      </c>
      <c r="F774" s="1">
        <v>44582</v>
      </c>
      <c r="G774" s="2">
        <f t="shared" ref="G774:G837" si="24">LN(B774/B773)</f>
        <v>-5.3998072225441111E-2</v>
      </c>
      <c r="H774" s="2">
        <f t="shared" ref="H774:H837" si="25">LN(C774/C773)</f>
        <v>-1.8640835594090695E-2</v>
      </c>
      <c r="I774" s="7">
        <v>-5.3998072225441111E-2</v>
      </c>
      <c r="J774" s="7">
        <v>-1.8640835594090695E-2</v>
      </c>
      <c r="K774" s="7">
        <v>0</v>
      </c>
      <c r="L774" s="7">
        <v>0</v>
      </c>
      <c r="M774" s="7">
        <v>0</v>
      </c>
      <c r="N774" s="7">
        <v>0</v>
      </c>
      <c r="O774" s="7">
        <v>0</v>
      </c>
      <c r="P774" s="7">
        <v>0</v>
      </c>
    </row>
    <row r="775" spans="1:16" x14ac:dyDescent="0.3">
      <c r="A775" s="1">
        <v>44585</v>
      </c>
      <c r="B775" s="2">
        <v>310</v>
      </c>
      <c r="C775" s="2">
        <v>296.37</v>
      </c>
      <c r="F775" s="1">
        <v>44585</v>
      </c>
      <c r="G775" s="2">
        <f t="shared" si="24"/>
        <v>-1.4835634767557193E-2</v>
      </c>
      <c r="H775" s="2">
        <f t="shared" si="25"/>
        <v>1.1478731847818272E-3</v>
      </c>
      <c r="I775" s="7">
        <v>0</v>
      </c>
      <c r="J775" s="7">
        <v>0</v>
      </c>
      <c r="K775" s="7">
        <v>0</v>
      </c>
      <c r="L775" s="7">
        <v>0</v>
      </c>
      <c r="M775" s="7">
        <v>-1.4835634767557193E-2</v>
      </c>
      <c r="N775" s="7">
        <v>1.1478731847818272E-3</v>
      </c>
      <c r="O775" s="7">
        <v>0</v>
      </c>
      <c r="P775" s="7">
        <v>0</v>
      </c>
    </row>
    <row r="776" spans="1:16" x14ac:dyDescent="0.3">
      <c r="A776" s="1">
        <v>44586</v>
      </c>
      <c r="B776" s="2">
        <v>306.133331</v>
      </c>
      <c r="C776" s="2">
        <v>288.49</v>
      </c>
      <c r="F776" s="1">
        <v>44586</v>
      </c>
      <c r="G776" s="2">
        <f t="shared" si="24"/>
        <v>-1.2551568203950942E-2</v>
      </c>
      <c r="H776" s="2">
        <f t="shared" si="25"/>
        <v>-2.6948250422141204E-2</v>
      </c>
      <c r="I776" s="7">
        <v>-1.2551568203950942E-2</v>
      </c>
      <c r="J776" s="7">
        <v>-2.6948250422141204E-2</v>
      </c>
      <c r="K776" s="7">
        <v>0</v>
      </c>
      <c r="L776" s="7">
        <v>0</v>
      </c>
      <c r="M776" s="7">
        <v>0</v>
      </c>
      <c r="N776" s="7">
        <v>0</v>
      </c>
      <c r="O776" s="7">
        <v>0</v>
      </c>
      <c r="P776" s="7">
        <v>0</v>
      </c>
    </row>
    <row r="777" spans="1:16" x14ac:dyDescent="0.3">
      <c r="A777" s="1">
        <v>44587</v>
      </c>
      <c r="B777" s="2">
        <v>312.47000100000002</v>
      </c>
      <c r="C777" s="2">
        <v>296.70999999999998</v>
      </c>
      <c r="F777" s="1">
        <v>44587</v>
      </c>
      <c r="G777" s="2">
        <f t="shared" si="24"/>
        <v>2.0487738493227527E-2</v>
      </c>
      <c r="H777" s="2">
        <f t="shared" si="25"/>
        <v>2.8094807504648826E-2</v>
      </c>
      <c r="I777" s="7">
        <v>0</v>
      </c>
      <c r="J777" s="7">
        <v>0</v>
      </c>
      <c r="K777" s="7">
        <v>0</v>
      </c>
      <c r="L777" s="7">
        <v>0</v>
      </c>
      <c r="M777" s="7">
        <v>0</v>
      </c>
      <c r="N777" s="7">
        <v>0</v>
      </c>
      <c r="O777" s="7">
        <v>2.0487738493227527E-2</v>
      </c>
      <c r="P777" s="7">
        <v>2.8094807504648826E-2</v>
      </c>
    </row>
    <row r="778" spans="1:16" x14ac:dyDescent="0.3">
      <c r="A778" s="1">
        <v>44588</v>
      </c>
      <c r="B778" s="2">
        <v>276.366669</v>
      </c>
      <c r="C778" s="2">
        <v>299.83999999999997</v>
      </c>
      <c r="F778" s="1">
        <v>44588</v>
      </c>
      <c r="G778" s="2">
        <f t="shared" si="24"/>
        <v>-0.1227799728715154</v>
      </c>
      <c r="H778" s="2">
        <f t="shared" si="25"/>
        <v>1.049376824305746E-2</v>
      </c>
      <c r="I778" s="7">
        <v>0</v>
      </c>
      <c r="J778" s="7">
        <v>0</v>
      </c>
      <c r="K778" s="7">
        <v>0</v>
      </c>
      <c r="L778" s="7">
        <v>0</v>
      </c>
      <c r="M778" s="7">
        <v>-0.1227799728715154</v>
      </c>
      <c r="N778" s="7">
        <v>1.049376824305746E-2</v>
      </c>
      <c r="O778" s="7">
        <v>0</v>
      </c>
      <c r="P778" s="7">
        <v>0</v>
      </c>
    </row>
    <row r="779" spans="1:16" x14ac:dyDescent="0.3">
      <c r="A779" s="1">
        <v>44589</v>
      </c>
      <c r="B779" s="2">
        <v>282.116669</v>
      </c>
      <c r="C779" s="2">
        <v>308.26</v>
      </c>
      <c r="F779" s="1">
        <v>44589</v>
      </c>
      <c r="G779" s="2">
        <f t="shared" si="24"/>
        <v>2.0592210340853276E-2</v>
      </c>
      <c r="H779" s="2">
        <f t="shared" si="25"/>
        <v>2.7694583668516487E-2</v>
      </c>
      <c r="I779" s="7">
        <v>0</v>
      </c>
      <c r="J779" s="7">
        <v>0</v>
      </c>
      <c r="K779" s="7">
        <v>0</v>
      </c>
      <c r="L779" s="7">
        <v>0</v>
      </c>
      <c r="M779" s="7">
        <v>0</v>
      </c>
      <c r="N779" s="7">
        <v>0</v>
      </c>
      <c r="O779" s="7">
        <v>2.0592210340853276E-2</v>
      </c>
      <c r="P779" s="7">
        <v>2.7694583668516487E-2</v>
      </c>
    </row>
    <row r="780" spans="1:16" x14ac:dyDescent="0.3">
      <c r="A780" s="1">
        <v>44592</v>
      </c>
      <c r="B780" s="2">
        <v>312.23998999999998</v>
      </c>
      <c r="C780" s="2">
        <v>310.98</v>
      </c>
      <c r="F780" s="1">
        <v>44592</v>
      </c>
      <c r="G780" s="2">
        <f t="shared" si="24"/>
        <v>0.10145138560790636</v>
      </c>
      <c r="H780" s="2">
        <f t="shared" si="25"/>
        <v>8.7850187110964633E-3</v>
      </c>
      <c r="I780" s="7">
        <v>0</v>
      </c>
      <c r="J780" s="7">
        <v>0</v>
      </c>
      <c r="K780" s="7">
        <v>0</v>
      </c>
      <c r="L780" s="7">
        <v>0</v>
      </c>
      <c r="M780" s="7">
        <v>0</v>
      </c>
      <c r="N780" s="7">
        <v>0</v>
      </c>
      <c r="O780" s="7">
        <v>0.10145138560790636</v>
      </c>
      <c r="P780" s="7">
        <v>8.7850187110964633E-3</v>
      </c>
    </row>
    <row r="781" spans="1:16" x14ac:dyDescent="0.3">
      <c r="A781" s="1">
        <v>44593</v>
      </c>
      <c r="B781" s="2">
        <v>310.41665599999999</v>
      </c>
      <c r="C781" s="2">
        <v>308.76</v>
      </c>
      <c r="F781" s="1">
        <v>44593</v>
      </c>
      <c r="G781" s="2">
        <f t="shared" si="24"/>
        <v>-5.8566441824699058E-3</v>
      </c>
      <c r="H781" s="2">
        <f t="shared" si="25"/>
        <v>-7.1643253480171551E-3</v>
      </c>
      <c r="I781" s="7">
        <v>-5.8566441824699058E-3</v>
      </c>
      <c r="J781" s="7">
        <v>-7.1643253480171551E-3</v>
      </c>
      <c r="K781" s="7">
        <v>0</v>
      </c>
      <c r="L781" s="7">
        <v>0</v>
      </c>
      <c r="M781" s="7">
        <v>0</v>
      </c>
      <c r="N781" s="7">
        <v>0</v>
      </c>
      <c r="O781" s="7">
        <v>0</v>
      </c>
      <c r="P781" s="7">
        <v>0</v>
      </c>
    </row>
    <row r="782" spans="1:16" x14ac:dyDescent="0.3">
      <c r="A782" s="1">
        <v>44594</v>
      </c>
      <c r="B782" s="2">
        <v>301.88665800000001</v>
      </c>
      <c r="C782" s="2">
        <v>313.45999999999998</v>
      </c>
      <c r="F782" s="1">
        <v>44594</v>
      </c>
      <c r="G782" s="2">
        <f t="shared" si="24"/>
        <v>-2.7863804368545544E-2</v>
      </c>
      <c r="H782" s="2">
        <f t="shared" si="25"/>
        <v>1.5107484144268837E-2</v>
      </c>
      <c r="I782" s="7">
        <v>0</v>
      </c>
      <c r="J782" s="7">
        <v>0</v>
      </c>
      <c r="K782" s="7">
        <v>0</v>
      </c>
      <c r="L782" s="7">
        <v>0</v>
      </c>
      <c r="M782" s="7">
        <v>-2.7863804368545544E-2</v>
      </c>
      <c r="N782" s="7">
        <v>1.5107484144268837E-2</v>
      </c>
      <c r="O782" s="7">
        <v>0</v>
      </c>
      <c r="P782" s="7">
        <v>0</v>
      </c>
    </row>
    <row r="783" spans="1:16" x14ac:dyDescent="0.3">
      <c r="A783" s="1">
        <v>44595</v>
      </c>
      <c r="B783" s="2">
        <v>297.04666099999997</v>
      </c>
      <c r="C783" s="2">
        <v>301.25</v>
      </c>
      <c r="F783" s="1">
        <v>44595</v>
      </c>
      <c r="G783" s="2">
        <f t="shared" si="24"/>
        <v>-1.6162408088019251E-2</v>
      </c>
      <c r="H783" s="2">
        <f t="shared" si="25"/>
        <v>-3.9731275421057241E-2</v>
      </c>
      <c r="I783" s="7">
        <v>-1.6162408088019251E-2</v>
      </c>
      <c r="J783" s="7">
        <v>-3.9731275421057241E-2</v>
      </c>
      <c r="K783" s="7">
        <v>0</v>
      </c>
      <c r="L783" s="7">
        <v>0</v>
      </c>
      <c r="M783" s="7">
        <v>0</v>
      </c>
      <c r="N783" s="7">
        <v>0</v>
      </c>
      <c r="O783" s="7">
        <v>0</v>
      </c>
      <c r="P783" s="7">
        <v>0</v>
      </c>
    </row>
    <row r="784" spans="1:16" x14ac:dyDescent="0.3">
      <c r="A784" s="1">
        <v>44596</v>
      </c>
      <c r="B784" s="2">
        <v>307.773346</v>
      </c>
      <c r="C784" s="2">
        <v>305.94</v>
      </c>
      <c r="F784" s="1">
        <v>44596</v>
      </c>
      <c r="G784" s="2">
        <f t="shared" si="24"/>
        <v>3.547438825683772E-2</v>
      </c>
      <c r="H784" s="2">
        <f t="shared" si="25"/>
        <v>1.5448519490254661E-2</v>
      </c>
      <c r="I784" s="7">
        <v>0</v>
      </c>
      <c r="J784" s="7">
        <v>0</v>
      </c>
      <c r="K784" s="7">
        <v>0</v>
      </c>
      <c r="L784" s="7">
        <v>0</v>
      </c>
      <c r="M784" s="7">
        <v>0</v>
      </c>
      <c r="N784" s="7">
        <v>0</v>
      </c>
      <c r="O784" s="7">
        <v>3.547438825683772E-2</v>
      </c>
      <c r="P784" s="7">
        <v>1.5448519490254661E-2</v>
      </c>
    </row>
    <row r="785" spans="1:16" x14ac:dyDescent="0.3">
      <c r="A785" s="1">
        <v>44599</v>
      </c>
      <c r="B785" s="2">
        <v>302.44665500000002</v>
      </c>
      <c r="C785" s="2">
        <v>300.95</v>
      </c>
      <c r="F785" s="1">
        <v>44599</v>
      </c>
      <c r="G785" s="2">
        <f t="shared" si="24"/>
        <v>-1.7458707651037134E-2</v>
      </c>
      <c r="H785" s="2">
        <f t="shared" si="25"/>
        <v>-1.6444866301339536E-2</v>
      </c>
      <c r="I785" s="7">
        <v>-1.7458707651037134E-2</v>
      </c>
      <c r="J785" s="7">
        <v>-1.6444866301339536E-2</v>
      </c>
      <c r="K785" s="7">
        <v>0</v>
      </c>
      <c r="L785" s="7">
        <v>0</v>
      </c>
      <c r="M785" s="7">
        <v>0</v>
      </c>
      <c r="N785" s="7">
        <v>0</v>
      </c>
      <c r="O785" s="7">
        <v>0</v>
      </c>
      <c r="P785" s="7">
        <v>0</v>
      </c>
    </row>
    <row r="786" spans="1:16" x14ac:dyDescent="0.3">
      <c r="A786" s="1">
        <v>44600</v>
      </c>
      <c r="B786" s="2">
        <v>307.33334400000001</v>
      </c>
      <c r="C786" s="2">
        <v>304.56</v>
      </c>
      <c r="F786" s="1">
        <v>44600</v>
      </c>
      <c r="G786" s="2">
        <f t="shared" si="24"/>
        <v>1.6028054783163145E-2</v>
      </c>
      <c r="H786" s="2">
        <f t="shared" si="25"/>
        <v>1.1923974080462123E-2</v>
      </c>
      <c r="I786" s="7">
        <v>0</v>
      </c>
      <c r="J786" s="7">
        <v>0</v>
      </c>
      <c r="K786" s="7">
        <v>0</v>
      </c>
      <c r="L786" s="7">
        <v>0</v>
      </c>
      <c r="M786" s="7">
        <v>0</v>
      </c>
      <c r="N786" s="7">
        <v>0</v>
      </c>
      <c r="O786" s="7">
        <v>1.6028054783163145E-2</v>
      </c>
      <c r="P786" s="7">
        <v>1.1923974080462123E-2</v>
      </c>
    </row>
    <row r="787" spans="1:16" x14ac:dyDescent="0.3">
      <c r="A787" s="1">
        <v>44601</v>
      </c>
      <c r="B787" s="2">
        <v>310.66665599999999</v>
      </c>
      <c r="C787" s="2">
        <v>311.20999999999998</v>
      </c>
      <c r="F787" s="1">
        <v>44601</v>
      </c>
      <c r="G787" s="2">
        <f t="shared" si="24"/>
        <v>1.0787522087074921E-2</v>
      </c>
      <c r="H787" s="2">
        <f t="shared" si="25"/>
        <v>2.1599813389811613E-2</v>
      </c>
      <c r="I787" s="7">
        <v>0</v>
      </c>
      <c r="J787" s="7">
        <v>0</v>
      </c>
      <c r="K787" s="7">
        <v>0</v>
      </c>
      <c r="L787" s="7">
        <v>0</v>
      </c>
      <c r="M787" s="7">
        <v>0</v>
      </c>
      <c r="N787" s="7">
        <v>0</v>
      </c>
      <c r="O787" s="7">
        <v>1.0787522087074921E-2</v>
      </c>
      <c r="P787" s="7">
        <v>2.1599813389811613E-2</v>
      </c>
    </row>
    <row r="788" spans="1:16" x14ac:dyDescent="0.3">
      <c r="A788" s="1">
        <v>44602</v>
      </c>
      <c r="B788" s="2">
        <v>301.51666299999999</v>
      </c>
      <c r="C788" s="2">
        <v>302.38</v>
      </c>
      <c r="F788" s="1">
        <v>44602</v>
      </c>
      <c r="G788" s="2">
        <f t="shared" si="24"/>
        <v>-2.989521004429951E-2</v>
      </c>
      <c r="H788" s="2">
        <f t="shared" si="25"/>
        <v>-2.8783420911998467E-2</v>
      </c>
      <c r="I788" s="7">
        <v>-2.989521004429951E-2</v>
      </c>
      <c r="J788" s="7">
        <v>-2.8783420911998467E-2</v>
      </c>
      <c r="K788" s="7">
        <v>0</v>
      </c>
      <c r="L788" s="7">
        <v>0</v>
      </c>
      <c r="M788" s="7">
        <v>0</v>
      </c>
      <c r="N788" s="7">
        <v>0</v>
      </c>
      <c r="O788" s="7">
        <v>0</v>
      </c>
      <c r="P788" s="7">
        <v>0</v>
      </c>
    </row>
    <row r="789" spans="1:16" x14ac:dyDescent="0.3">
      <c r="A789" s="1">
        <v>44603</v>
      </c>
      <c r="B789" s="2">
        <v>286.66665599999999</v>
      </c>
      <c r="C789" s="2">
        <v>295.04000000000002</v>
      </c>
      <c r="F789" s="1">
        <v>44603</v>
      </c>
      <c r="G789" s="2">
        <f t="shared" si="24"/>
        <v>-5.0505218268276815E-2</v>
      </c>
      <c r="H789" s="2">
        <f t="shared" si="25"/>
        <v>-2.4573564183826051E-2</v>
      </c>
      <c r="I789" s="7">
        <v>-5.0505218268276815E-2</v>
      </c>
      <c r="J789" s="7">
        <v>-2.4573564183826051E-2</v>
      </c>
      <c r="K789" s="7">
        <v>0</v>
      </c>
      <c r="L789" s="7">
        <v>0</v>
      </c>
      <c r="M789" s="7">
        <v>0</v>
      </c>
      <c r="N789" s="7">
        <v>0</v>
      </c>
      <c r="O789" s="7">
        <v>0</v>
      </c>
      <c r="P789" s="7">
        <v>0</v>
      </c>
    </row>
    <row r="790" spans="1:16" x14ac:dyDescent="0.3">
      <c r="A790" s="1">
        <v>44606</v>
      </c>
      <c r="B790" s="2">
        <v>291.92001299999998</v>
      </c>
      <c r="C790" s="2">
        <v>295</v>
      </c>
      <c r="F790" s="1">
        <v>44606</v>
      </c>
      <c r="G790" s="2">
        <f t="shared" si="24"/>
        <v>1.8159773290799184E-2</v>
      </c>
      <c r="H790" s="2">
        <f t="shared" si="25"/>
        <v>-1.3558402840929026E-4</v>
      </c>
      <c r="I790" s="7">
        <v>0</v>
      </c>
      <c r="J790" s="7">
        <v>0</v>
      </c>
      <c r="K790" s="7">
        <v>1.8159773290799184E-2</v>
      </c>
      <c r="L790" s="7">
        <v>-1.3558402840929026E-4</v>
      </c>
      <c r="M790" s="7">
        <v>0</v>
      </c>
      <c r="N790" s="7">
        <v>0</v>
      </c>
      <c r="O790" s="7">
        <v>0</v>
      </c>
      <c r="P790" s="7">
        <v>0</v>
      </c>
    </row>
    <row r="791" spans="1:16" x14ac:dyDescent="0.3">
      <c r="A791" s="1">
        <v>44607</v>
      </c>
      <c r="B791" s="2">
        <v>307.476654</v>
      </c>
      <c r="C791" s="2">
        <v>300.47000000000003</v>
      </c>
      <c r="F791" s="1">
        <v>44607</v>
      </c>
      <c r="G791" s="2">
        <f t="shared" si="24"/>
        <v>5.1919325752196044E-2</v>
      </c>
      <c r="H791" s="2">
        <f t="shared" si="25"/>
        <v>1.8372559041087061E-2</v>
      </c>
      <c r="I791" s="7">
        <v>0</v>
      </c>
      <c r="J791" s="7">
        <v>0</v>
      </c>
      <c r="K791" s="7">
        <v>0</v>
      </c>
      <c r="L791" s="7">
        <v>0</v>
      </c>
      <c r="M791" s="7">
        <v>0</v>
      </c>
      <c r="N791" s="7">
        <v>0</v>
      </c>
      <c r="O791" s="7">
        <v>5.1919325752196044E-2</v>
      </c>
      <c r="P791" s="7">
        <v>1.8372559041087061E-2</v>
      </c>
    </row>
    <row r="792" spans="1:16" x14ac:dyDescent="0.3">
      <c r="A792" s="1">
        <v>44608</v>
      </c>
      <c r="B792" s="2">
        <v>307.79666099999997</v>
      </c>
      <c r="C792" s="2">
        <v>299.5</v>
      </c>
      <c r="F792" s="1">
        <v>44608</v>
      </c>
      <c r="G792" s="2">
        <f t="shared" si="24"/>
        <v>1.0402109795871618E-3</v>
      </c>
      <c r="H792" s="2">
        <f t="shared" si="25"/>
        <v>-3.2334978254028425E-3</v>
      </c>
      <c r="I792" s="7">
        <v>0</v>
      </c>
      <c r="J792" s="7">
        <v>0</v>
      </c>
      <c r="K792" s="7">
        <v>1.0402109795871618E-3</v>
      </c>
      <c r="L792" s="7">
        <v>-3.2334978254028425E-3</v>
      </c>
      <c r="M792" s="7">
        <v>0</v>
      </c>
      <c r="N792" s="7">
        <v>0</v>
      </c>
      <c r="O792" s="7">
        <v>0</v>
      </c>
      <c r="P792" s="7">
        <v>0</v>
      </c>
    </row>
    <row r="793" spans="1:16" x14ac:dyDescent="0.3">
      <c r="A793" s="1">
        <v>44609</v>
      </c>
      <c r="B793" s="2">
        <v>292.116669</v>
      </c>
      <c r="C793" s="2">
        <v>290.73</v>
      </c>
      <c r="F793" s="1">
        <v>44609</v>
      </c>
      <c r="G793" s="2">
        <f t="shared" si="24"/>
        <v>-5.2286099553971427E-2</v>
      </c>
      <c r="H793" s="2">
        <f t="shared" si="25"/>
        <v>-2.9719416140935571E-2</v>
      </c>
      <c r="I793" s="7">
        <v>-5.2286099553971427E-2</v>
      </c>
      <c r="J793" s="7">
        <v>-2.9719416140935571E-2</v>
      </c>
      <c r="K793" s="7">
        <v>0</v>
      </c>
      <c r="L793" s="7">
        <v>0</v>
      </c>
      <c r="M793" s="7">
        <v>0</v>
      </c>
      <c r="N793" s="7">
        <v>0</v>
      </c>
      <c r="O793" s="7">
        <v>0</v>
      </c>
      <c r="P793" s="7">
        <v>0</v>
      </c>
    </row>
    <row r="794" spans="1:16" x14ac:dyDescent="0.3">
      <c r="A794" s="1">
        <v>44610</v>
      </c>
      <c r="B794" s="2">
        <v>285.66000400000001</v>
      </c>
      <c r="C794" s="2">
        <v>287.93</v>
      </c>
      <c r="F794" s="1">
        <v>44610</v>
      </c>
      <c r="G794" s="2">
        <f t="shared" si="24"/>
        <v>-2.2350967401608645E-2</v>
      </c>
      <c r="H794" s="2">
        <f t="shared" si="25"/>
        <v>-9.6776063769667322E-3</v>
      </c>
      <c r="I794" s="7">
        <v>-2.2350967401608645E-2</v>
      </c>
      <c r="J794" s="7">
        <v>-9.6776063769667322E-3</v>
      </c>
      <c r="K794" s="7">
        <v>0</v>
      </c>
      <c r="L794" s="7">
        <v>0</v>
      </c>
      <c r="M794" s="7">
        <v>0</v>
      </c>
      <c r="N794" s="7">
        <v>0</v>
      </c>
      <c r="O794" s="7">
        <v>0</v>
      </c>
      <c r="P794" s="7">
        <v>0</v>
      </c>
    </row>
    <row r="795" spans="1:16" x14ac:dyDescent="0.3">
      <c r="A795" s="1">
        <v>44614</v>
      </c>
      <c r="B795" s="2">
        <v>273.843323</v>
      </c>
      <c r="C795" s="2">
        <v>287.72000000000003</v>
      </c>
      <c r="F795" s="1">
        <v>44614</v>
      </c>
      <c r="G795" s="2">
        <f t="shared" si="24"/>
        <v>-4.2246177465584886E-2</v>
      </c>
      <c r="H795" s="2">
        <f t="shared" si="25"/>
        <v>-7.2961003844617268E-4</v>
      </c>
      <c r="I795" s="7">
        <v>-4.2246177465584886E-2</v>
      </c>
      <c r="J795" s="7">
        <v>-7.2961003844617268E-4</v>
      </c>
      <c r="K795" s="7">
        <v>0</v>
      </c>
      <c r="L795" s="7">
        <v>0</v>
      </c>
      <c r="M795" s="7">
        <v>0</v>
      </c>
      <c r="N795" s="7">
        <v>0</v>
      </c>
      <c r="O795" s="7">
        <v>0</v>
      </c>
      <c r="P795" s="7">
        <v>0</v>
      </c>
    </row>
    <row r="796" spans="1:16" x14ac:dyDescent="0.3">
      <c r="A796" s="1">
        <v>44615</v>
      </c>
      <c r="B796" s="2">
        <v>254.679993</v>
      </c>
      <c r="C796" s="2">
        <v>280.27</v>
      </c>
      <c r="F796" s="1">
        <v>44615</v>
      </c>
      <c r="G796" s="2">
        <f t="shared" si="24"/>
        <v>-7.254830130820579E-2</v>
      </c>
      <c r="H796" s="2">
        <f t="shared" si="25"/>
        <v>-2.6234360740426337E-2</v>
      </c>
      <c r="I796" s="7">
        <v>-7.254830130820579E-2</v>
      </c>
      <c r="J796" s="7">
        <v>-2.6234360740426337E-2</v>
      </c>
      <c r="K796" s="7">
        <v>0</v>
      </c>
      <c r="L796" s="7">
        <v>0</v>
      </c>
      <c r="M796" s="7">
        <v>0</v>
      </c>
      <c r="N796" s="7">
        <v>0</v>
      </c>
      <c r="O796" s="7">
        <v>0</v>
      </c>
      <c r="P796" s="7">
        <v>0</v>
      </c>
    </row>
    <row r="797" spans="1:16" x14ac:dyDescent="0.3">
      <c r="A797" s="1">
        <v>44616</v>
      </c>
      <c r="B797" s="2">
        <v>266.92334</v>
      </c>
      <c r="C797" s="2">
        <v>294.58999999999997</v>
      </c>
      <c r="F797" s="1">
        <v>44616</v>
      </c>
      <c r="G797" s="2">
        <f t="shared" si="24"/>
        <v>4.6953673406308211E-2</v>
      </c>
      <c r="H797" s="2">
        <f t="shared" si="25"/>
        <v>4.9831134862382054E-2</v>
      </c>
      <c r="I797" s="7">
        <v>0</v>
      </c>
      <c r="J797" s="7">
        <v>0</v>
      </c>
      <c r="K797" s="7">
        <v>0</v>
      </c>
      <c r="L797" s="7">
        <v>0</v>
      </c>
      <c r="M797" s="7">
        <v>0</v>
      </c>
      <c r="N797" s="7">
        <v>0</v>
      </c>
      <c r="O797" s="7">
        <v>4.6953673406308211E-2</v>
      </c>
      <c r="P797" s="7">
        <v>4.9831134862382054E-2</v>
      </c>
    </row>
    <row r="798" spans="1:16" x14ac:dyDescent="0.3">
      <c r="A798" s="1">
        <v>44617</v>
      </c>
      <c r="B798" s="2">
        <v>269.95666499999999</v>
      </c>
      <c r="C798" s="2">
        <v>297.31</v>
      </c>
      <c r="F798" s="1">
        <v>44617</v>
      </c>
      <c r="G798" s="2">
        <f t="shared" si="24"/>
        <v>1.1299945047210847E-2</v>
      </c>
      <c r="H798" s="2">
        <f t="shared" si="25"/>
        <v>9.1908063751153218E-3</v>
      </c>
      <c r="I798" s="7">
        <v>0</v>
      </c>
      <c r="J798" s="7">
        <v>0</v>
      </c>
      <c r="K798" s="7">
        <v>0</v>
      </c>
      <c r="L798" s="7">
        <v>0</v>
      </c>
      <c r="M798" s="7">
        <v>0</v>
      </c>
      <c r="N798" s="7">
        <v>0</v>
      </c>
      <c r="O798" s="7">
        <v>1.1299945047210847E-2</v>
      </c>
      <c r="P798" s="7">
        <v>9.1908063751153218E-3</v>
      </c>
    </row>
    <row r="799" spans="1:16" x14ac:dyDescent="0.3">
      <c r="A799" s="1">
        <v>44620</v>
      </c>
      <c r="B799" s="2">
        <v>290.14334100000002</v>
      </c>
      <c r="C799" s="2">
        <v>298.79000000000002</v>
      </c>
      <c r="F799" s="1">
        <v>44620</v>
      </c>
      <c r="G799" s="2">
        <f t="shared" si="24"/>
        <v>7.2113634058212778E-2</v>
      </c>
      <c r="H799" s="2">
        <f t="shared" si="25"/>
        <v>4.9656200002545885E-3</v>
      </c>
      <c r="I799" s="7">
        <v>0</v>
      </c>
      <c r="J799" s="7">
        <v>0</v>
      </c>
      <c r="K799" s="7">
        <v>0</v>
      </c>
      <c r="L799" s="7">
        <v>0</v>
      </c>
      <c r="M799" s="7">
        <v>0</v>
      </c>
      <c r="N799" s="7">
        <v>0</v>
      </c>
      <c r="O799" s="7">
        <v>7.2113634058212778E-2</v>
      </c>
      <c r="P799" s="7">
        <v>4.9656200002545885E-3</v>
      </c>
    </row>
    <row r="800" spans="1:16" x14ac:dyDescent="0.3">
      <c r="A800" s="1">
        <v>44621</v>
      </c>
      <c r="B800" s="2">
        <v>288.12332199999997</v>
      </c>
      <c r="C800" s="2">
        <v>294.95</v>
      </c>
      <c r="F800" s="1">
        <v>44621</v>
      </c>
      <c r="G800" s="2">
        <f t="shared" si="24"/>
        <v>-6.9864903023014067E-3</v>
      </c>
      <c r="H800" s="2">
        <f t="shared" si="25"/>
        <v>-1.2935135047396892E-2</v>
      </c>
      <c r="I800" s="7">
        <v>-6.9864903023014067E-3</v>
      </c>
      <c r="J800" s="7">
        <v>-1.2935135047396892E-2</v>
      </c>
      <c r="K800" s="7">
        <v>0</v>
      </c>
      <c r="L800" s="7">
        <v>0</v>
      </c>
      <c r="M800" s="7">
        <v>0</v>
      </c>
      <c r="N800" s="7">
        <v>0</v>
      </c>
      <c r="O800" s="7">
        <v>0</v>
      </c>
      <c r="P800" s="7">
        <v>0</v>
      </c>
    </row>
    <row r="801" spans="1:16" x14ac:dyDescent="0.3">
      <c r="A801" s="1">
        <v>44622</v>
      </c>
      <c r="B801" s="2">
        <v>293.29666099999997</v>
      </c>
      <c r="C801" s="2">
        <v>300.19</v>
      </c>
      <c r="F801" s="1">
        <v>44622</v>
      </c>
      <c r="G801" s="2">
        <f t="shared" si="24"/>
        <v>1.7796001797611403E-2</v>
      </c>
      <c r="H801" s="2">
        <f t="shared" si="25"/>
        <v>1.7609757069533404E-2</v>
      </c>
      <c r="I801" s="7">
        <v>0</v>
      </c>
      <c r="J801" s="7">
        <v>0</v>
      </c>
      <c r="K801" s="7">
        <v>0</v>
      </c>
      <c r="L801" s="7">
        <v>0</v>
      </c>
      <c r="M801" s="7">
        <v>0</v>
      </c>
      <c r="N801" s="7">
        <v>0</v>
      </c>
      <c r="O801" s="7">
        <v>1.7796001797611403E-2</v>
      </c>
      <c r="P801" s="7">
        <v>1.7609757069533404E-2</v>
      </c>
    </row>
    <row r="802" spans="1:16" x14ac:dyDescent="0.3">
      <c r="A802" s="1">
        <v>44623</v>
      </c>
      <c r="B802" s="2">
        <v>279.76333599999998</v>
      </c>
      <c r="C802" s="2">
        <v>295.92</v>
      </c>
      <c r="F802" s="1">
        <v>44623</v>
      </c>
      <c r="G802" s="2">
        <f t="shared" si="24"/>
        <v>-4.7240574479650133E-2</v>
      </c>
      <c r="H802" s="2">
        <f t="shared" si="25"/>
        <v>-1.4326459994419029E-2</v>
      </c>
      <c r="I802" s="7">
        <v>-4.7240574479650133E-2</v>
      </c>
      <c r="J802" s="7">
        <v>-1.4326459994419029E-2</v>
      </c>
      <c r="K802" s="7">
        <v>0</v>
      </c>
      <c r="L802" s="7">
        <v>0</v>
      </c>
      <c r="M802" s="7">
        <v>0</v>
      </c>
      <c r="N802" s="7">
        <v>0</v>
      </c>
      <c r="O802" s="7">
        <v>0</v>
      </c>
      <c r="P802" s="7">
        <v>0</v>
      </c>
    </row>
    <row r="803" spans="1:16" x14ac:dyDescent="0.3">
      <c r="A803" s="1">
        <v>44624</v>
      </c>
      <c r="B803" s="2">
        <v>279.42999300000002</v>
      </c>
      <c r="C803" s="2">
        <v>289.86</v>
      </c>
      <c r="F803" s="1">
        <v>44624</v>
      </c>
      <c r="G803" s="2">
        <f t="shared" si="24"/>
        <v>-1.192228240922586E-3</v>
      </c>
      <c r="H803" s="2">
        <f t="shared" si="25"/>
        <v>-2.0691099729828272E-2</v>
      </c>
      <c r="I803" s="7">
        <v>-1.192228240922586E-3</v>
      </c>
      <c r="J803" s="7">
        <v>-2.0691099729828272E-2</v>
      </c>
      <c r="K803" s="7">
        <v>0</v>
      </c>
      <c r="L803" s="7">
        <v>0</v>
      </c>
      <c r="M803" s="7">
        <v>0</v>
      </c>
      <c r="N803" s="7">
        <v>0</v>
      </c>
      <c r="O803" s="7">
        <v>0</v>
      </c>
      <c r="P803" s="7">
        <v>0</v>
      </c>
    </row>
    <row r="804" spans="1:16" x14ac:dyDescent="0.3">
      <c r="A804" s="1">
        <v>44627</v>
      </c>
      <c r="B804" s="2">
        <v>268.19332900000001</v>
      </c>
      <c r="C804" s="2">
        <v>278.91000000000003</v>
      </c>
      <c r="F804" s="1">
        <v>44627</v>
      </c>
      <c r="G804" s="2">
        <f t="shared" si="24"/>
        <v>-4.1043691640520727E-2</v>
      </c>
      <c r="H804" s="2">
        <f t="shared" si="25"/>
        <v>-3.8508898658493974E-2</v>
      </c>
      <c r="I804" s="7">
        <v>-4.1043691640520727E-2</v>
      </c>
      <c r="J804" s="7">
        <v>-3.8508898658493974E-2</v>
      </c>
      <c r="K804" s="7">
        <v>0</v>
      </c>
      <c r="L804" s="7">
        <v>0</v>
      </c>
      <c r="M804" s="7">
        <v>0</v>
      </c>
      <c r="N804" s="7">
        <v>0</v>
      </c>
      <c r="O804" s="7">
        <v>0</v>
      </c>
      <c r="P804" s="7">
        <v>0</v>
      </c>
    </row>
    <row r="805" spans="1:16" x14ac:dyDescent="0.3">
      <c r="A805" s="1">
        <v>44628</v>
      </c>
      <c r="B805" s="2">
        <v>274.79998799999998</v>
      </c>
      <c r="C805" s="2">
        <v>275.85000000000002</v>
      </c>
      <c r="F805" s="1">
        <v>44628</v>
      </c>
      <c r="G805" s="2">
        <f t="shared" si="24"/>
        <v>2.4335419370770311E-2</v>
      </c>
      <c r="H805" s="2">
        <f t="shared" si="25"/>
        <v>-1.1031909417436472E-2</v>
      </c>
      <c r="I805" s="7">
        <v>0</v>
      </c>
      <c r="J805" s="7">
        <v>0</v>
      </c>
      <c r="K805" s="7">
        <v>2.4335419370770311E-2</v>
      </c>
      <c r="L805" s="7">
        <v>-1.1031909417436472E-2</v>
      </c>
      <c r="M805" s="7">
        <v>0</v>
      </c>
      <c r="N805" s="7">
        <v>0</v>
      </c>
      <c r="O805" s="7">
        <v>0</v>
      </c>
      <c r="P805" s="7">
        <v>0</v>
      </c>
    </row>
    <row r="806" spans="1:16" x14ac:dyDescent="0.3">
      <c r="A806" s="1">
        <v>44629</v>
      </c>
      <c r="B806" s="2">
        <v>286.32333399999999</v>
      </c>
      <c r="C806" s="2">
        <v>288.5</v>
      </c>
      <c r="F806" s="1">
        <v>44629</v>
      </c>
      <c r="G806" s="2">
        <f t="shared" si="24"/>
        <v>4.1078194023959014E-2</v>
      </c>
      <c r="H806" s="2">
        <f t="shared" si="25"/>
        <v>4.4837846229714276E-2</v>
      </c>
      <c r="I806" s="7">
        <v>0</v>
      </c>
      <c r="J806" s="7">
        <v>0</v>
      </c>
      <c r="K806" s="7">
        <v>0</v>
      </c>
      <c r="L806" s="7">
        <v>0</v>
      </c>
      <c r="M806" s="7">
        <v>0</v>
      </c>
      <c r="N806" s="7">
        <v>0</v>
      </c>
      <c r="O806" s="7">
        <v>4.1078194023959014E-2</v>
      </c>
      <c r="P806" s="7">
        <v>4.4837846229714276E-2</v>
      </c>
    </row>
    <row r="807" spans="1:16" x14ac:dyDescent="0.3">
      <c r="A807" s="1">
        <v>44630</v>
      </c>
      <c r="B807" s="2">
        <v>279.43331899999998</v>
      </c>
      <c r="C807" s="2">
        <v>285.58999999999997</v>
      </c>
      <c r="F807" s="1">
        <v>44630</v>
      </c>
      <c r="G807" s="2">
        <f t="shared" si="24"/>
        <v>-2.4358019022615463E-2</v>
      </c>
      <c r="H807" s="2">
        <f t="shared" si="25"/>
        <v>-1.0137870101331851E-2</v>
      </c>
      <c r="I807" s="7">
        <v>-2.4358019022615463E-2</v>
      </c>
      <c r="J807" s="7">
        <v>-1.0137870101331851E-2</v>
      </c>
      <c r="K807" s="7">
        <v>0</v>
      </c>
      <c r="L807" s="7">
        <v>0</v>
      </c>
      <c r="M807" s="7">
        <v>0</v>
      </c>
      <c r="N807" s="7">
        <v>0</v>
      </c>
      <c r="O807" s="7">
        <v>0</v>
      </c>
      <c r="P807" s="7">
        <v>0</v>
      </c>
    </row>
    <row r="808" spans="1:16" x14ac:dyDescent="0.3">
      <c r="A808" s="1">
        <v>44631</v>
      </c>
      <c r="B808" s="2">
        <v>265.116669</v>
      </c>
      <c r="C808" s="2">
        <v>280.07</v>
      </c>
      <c r="F808" s="1">
        <v>44631</v>
      </c>
      <c r="G808" s="2">
        <f t="shared" si="24"/>
        <v>-5.2593702203998123E-2</v>
      </c>
      <c r="H808" s="2">
        <f t="shared" si="25"/>
        <v>-1.9517643922365498E-2</v>
      </c>
      <c r="I808" s="7">
        <v>-5.2593702203998123E-2</v>
      </c>
      <c r="J808" s="7">
        <v>-1.9517643922365498E-2</v>
      </c>
      <c r="K808" s="7">
        <v>0</v>
      </c>
      <c r="L808" s="7">
        <v>0</v>
      </c>
      <c r="M808" s="7">
        <v>0</v>
      </c>
      <c r="N808" s="7">
        <v>0</v>
      </c>
      <c r="O808" s="7">
        <v>0</v>
      </c>
      <c r="P808" s="7">
        <v>0</v>
      </c>
    </row>
    <row r="809" spans="1:16" x14ac:dyDescent="0.3">
      <c r="A809" s="1">
        <v>44634</v>
      </c>
      <c r="B809" s="2">
        <v>255.45666499999999</v>
      </c>
      <c r="C809" s="2">
        <v>276.44</v>
      </c>
      <c r="F809" s="1">
        <v>44634</v>
      </c>
      <c r="G809" s="2">
        <f t="shared" si="24"/>
        <v>-3.7117202829391904E-2</v>
      </c>
      <c r="H809" s="2">
        <f t="shared" si="25"/>
        <v>-1.3045772701263322E-2</v>
      </c>
      <c r="I809" s="7">
        <v>-3.7117202829391904E-2</v>
      </c>
      <c r="J809" s="7">
        <v>-1.3045772701263322E-2</v>
      </c>
      <c r="K809" s="7">
        <v>0</v>
      </c>
      <c r="L809" s="7">
        <v>0</v>
      </c>
      <c r="M809" s="7">
        <v>0</v>
      </c>
      <c r="N809" s="7">
        <v>0</v>
      </c>
      <c r="O809" s="7">
        <v>0</v>
      </c>
      <c r="P809" s="7">
        <v>0</v>
      </c>
    </row>
    <row r="810" spans="1:16" x14ac:dyDescent="0.3">
      <c r="A810" s="1">
        <v>44635</v>
      </c>
      <c r="B810" s="2">
        <v>267.29666099999997</v>
      </c>
      <c r="C810" s="2">
        <v>287.14999999999998</v>
      </c>
      <c r="F810" s="1">
        <v>44635</v>
      </c>
      <c r="G810" s="2">
        <f t="shared" si="24"/>
        <v>4.530634483633654E-2</v>
      </c>
      <c r="H810" s="2">
        <f t="shared" si="25"/>
        <v>3.8010928087111762E-2</v>
      </c>
      <c r="I810" s="7">
        <v>0</v>
      </c>
      <c r="J810" s="7">
        <v>0</v>
      </c>
      <c r="K810" s="7">
        <v>0</v>
      </c>
      <c r="L810" s="7">
        <v>0</v>
      </c>
      <c r="M810" s="7">
        <v>0</v>
      </c>
      <c r="N810" s="7">
        <v>0</v>
      </c>
      <c r="O810" s="7">
        <v>4.530634483633654E-2</v>
      </c>
      <c r="P810" s="7">
        <v>3.8010928087111762E-2</v>
      </c>
    </row>
    <row r="811" spans="1:16" x14ac:dyDescent="0.3">
      <c r="A811" s="1">
        <v>44636</v>
      </c>
      <c r="B811" s="2">
        <v>280.07666</v>
      </c>
      <c r="C811" s="2">
        <v>294.39</v>
      </c>
      <c r="F811" s="1">
        <v>44636</v>
      </c>
      <c r="G811" s="2">
        <f t="shared" si="24"/>
        <v>4.6704219926704996E-2</v>
      </c>
      <c r="H811" s="2">
        <f t="shared" si="25"/>
        <v>2.4900691576206536E-2</v>
      </c>
      <c r="I811" s="7">
        <v>0</v>
      </c>
      <c r="J811" s="7">
        <v>0</v>
      </c>
      <c r="K811" s="7">
        <v>0</v>
      </c>
      <c r="L811" s="7">
        <v>0</v>
      </c>
      <c r="M811" s="7">
        <v>0</v>
      </c>
      <c r="N811" s="7">
        <v>0</v>
      </c>
      <c r="O811" s="7">
        <v>4.6704219926704996E-2</v>
      </c>
      <c r="P811" s="7">
        <v>2.4900691576206536E-2</v>
      </c>
    </row>
    <row r="812" spans="1:16" x14ac:dyDescent="0.3">
      <c r="A812" s="1">
        <v>44637</v>
      </c>
      <c r="B812" s="2">
        <v>290.53332499999999</v>
      </c>
      <c r="C812" s="2">
        <v>295.22000000000003</v>
      </c>
      <c r="F812" s="1">
        <v>44637</v>
      </c>
      <c r="G812" s="2">
        <f t="shared" si="24"/>
        <v>3.6654934308406495E-2</v>
      </c>
      <c r="H812" s="2">
        <f t="shared" si="25"/>
        <v>2.8154222223389742E-3</v>
      </c>
      <c r="I812" s="7">
        <v>0</v>
      </c>
      <c r="J812" s="7">
        <v>0</v>
      </c>
      <c r="K812" s="7">
        <v>0</v>
      </c>
      <c r="L812" s="7">
        <v>0</v>
      </c>
      <c r="M812" s="7">
        <v>0</v>
      </c>
      <c r="N812" s="7">
        <v>0</v>
      </c>
      <c r="O812" s="7">
        <v>3.6654934308406495E-2</v>
      </c>
      <c r="P812" s="7">
        <v>2.8154222223389742E-3</v>
      </c>
    </row>
    <row r="813" spans="1:16" x14ac:dyDescent="0.3">
      <c r="A813" s="1">
        <v>44638</v>
      </c>
      <c r="B813" s="2">
        <v>301.79666099999997</v>
      </c>
      <c r="C813" s="2">
        <v>300.43</v>
      </c>
      <c r="F813" s="1">
        <v>44638</v>
      </c>
      <c r="G813" s="2">
        <f t="shared" si="24"/>
        <v>3.8035196934783251E-2</v>
      </c>
      <c r="H813" s="2">
        <f t="shared" si="25"/>
        <v>1.7493940638975265E-2</v>
      </c>
      <c r="I813" s="7">
        <v>0</v>
      </c>
      <c r="J813" s="7">
        <v>0</v>
      </c>
      <c r="K813" s="7">
        <v>0</v>
      </c>
      <c r="L813" s="7">
        <v>0</v>
      </c>
      <c r="M813" s="7">
        <v>0</v>
      </c>
      <c r="N813" s="7">
        <v>0</v>
      </c>
      <c r="O813" s="7">
        <v>3.8035196934783251E-2</v>
      </c>
      <c r="P813" s="7">
        <v>1.7493940638975265E-2</v>
      </c>
    </row>
    <row r="814" spans="1:16" x14ac:dyDescent="0.3">
      <c r="A814" s="1">
        <v>44641</v>
      </c>
      <c r="B814" s="2">
        <v>307.05334499999998</v>
      </c>
      <c r="C814" s="2">
        <v>299.16000000000003</v>
      </c>
      <c r="F814" s="1">
        <v>44641</v>
      </c>
      <c r="G814" s="2">
        <f t="shared" si="24"/>
        <v>1.7268012053019786E-2</v>
      </c>
      <c r="H814" s="2">
        <f t="shared" si="25"/>
        <v>-4.2362344243592328E-3</v>
      </c>
      <c r="I814" s="7">
        <v>0</v>
      </c>
      <c r="J814" s="7">
        <v>0</v>
      </c>
      <c r="K814" s="7">
        <v>1.7268012053019786E-2</v>
      </c>
      <c r="L814" s="7">
        <v>-4.2362344243592328E-3</v>
      </c>
      <c r="M814" s="7">
        <v>0</v>
      </c>
      <c r="N814" s="7">
        <v>0</v>
      </c>
      <c r="O814" s="7">
        <v>0</v>
      </c>
      <c r="P814" s="7">
        <v>0</v>
      </c>
    </row>
    <row r="815" spans="1:16" x14ac:dyDescent="0.3">
      <c r="A815" s="1">
        <v>44642</v>
      </c>
      <c r="B815" s="2">
        <v>331.32666</v>
      </c>
      <c r="C815" s="2">
        <v>304.06</v>
      </c>
      <c r="F815" s="1">
        <v>44642</v>
      </c>
      <c r="G815" s="2">
        <f t="shared" si="24"/>
        <v>7.608328223328864E-2</v>
      </c>
      <c r="H815" s="2">
        <f t="shared" si="25"/>
        <v>1.6246503029222991E-2</v>
      </c>
      <c r="I815" s="7">
        <v>0</v>
      </c>
      <c r="J815" s="7">
        <v>0</v>
      </c>
      <c r="K815" s="7">
        <v>0</v>
      </c>
      <c r="L815" s="7">
        <v>0</v>
      </c>
      <c r="M815" s="7">
        <v>0</v>
      </c>
      <c r="N815" s="7">
        <v>0</v>
      </c>
      <c r="O815" s="7">
        <v>7.608328223328864E-2</v>
      </c>
      <c r="P815" s="7">
        <v>1.6246503029222991E-2</v>
      </c>
    </row>
    <row r="816" spans="1:16" x14ac:dyDescent="0.3">
      <c r="A816" s="1">
        <v>44643</v>
      </c>
      <c r="B816" s="2">
        <v>333.03668199999998</v>
      </c>
      <c r="C816" s="2">
        <v>299.49</v>
      </c>
      <c r="F816" s="1">
        <v>44643</v>
      </c>
      <c r="G816" s="2">
        <f t="shared" si="24"/>
        <v>5.1478631292917005E-3</v>
      </c>
      <c r="H816" s="2">
        <f t="shared" si="25"/>
        <v>-1.5144022336246371E-2</v>
      </c>
      <c r="I816" s="7">
        <v>0</v>
      </c>
      <c r="J816" s="7">
        <v>0</v>
      </c>
      <c r="K816" s="7">
        <v>5.1478631292917005E-3</v>
      </c>
      <c r="L816" s="7">
        <v>-1.5144022336246371E-2</v>
      </c>
      <c r="M816" s="7">
        <v>0</v>
      </c>
      <c r="N816" s="7">
        <v>0</v>
      </c>
      <c r="O816" s="7">
        <v>0</v>
      </c>
      <c r="P816" s="7">
        <v>0</v>
      </c>
    </row>
    <row r="817" spans="1:16" x14ac:dyDescent="0.3">
      <c r="A817" s="1">
        <v>44644</v>
      </c>
      <c r="B817" s="2">
        <v>337.97332799999998</v>
      </c>
      <c r="C817" s="2">
        <v>304.10000000000002</v>
      </c>
      <c r="F817" s="1">
        <v>44644</v>
      </c>
      <c r="G817" s="2">
        <f t="shared" si="24"/>
        <v>1.4714341056903278E-2</v>
      </c>
      <c r="H817" s="2">
        <f t="shared" si="25"/>
        <v>1.5275566666875382E-2</v>
      </c>
      <c r="I817" s="7">
        <v>0</v>
      </c>
      <c r="J817" s="7">
        <v>0</v>
      </c>
      <c r="K817" s="7">
        <v>0</v>
      </c>
      <c r="L817" s="7">
        <v>0</v>
      </c>
      <c r="M817" s="7">
        <v>0</v>
      </c>
      <c r="N817" s="7">
        <v>0</v>
      </c>
      <c r="O817" s="7">
        <v>1.4714341056903278E-2</v>
      </c>
      <c r="P817" s="7">
        <v>1.5275566666875382E-2</v>
      </c>
    </row>
    <row r="818" spans="1:16" x14ac:dyDescent="0.3">
      <c r="A818" s="1">
        <v>44645</v>
      </c>
      <c r="B818" s="2">
        <v>336.88000499999998</v>
      </c>
      <c r="C818" s="2">
        <v>303.68</v>
      </c>
      <c r="F818" s="1">
        <v>44645</v>
      </c>
      <c r="G818" s="2">
        <f t="shared" si="24"/>
        <v>-3.2401824310068052E-3</v>
      </c>
      <c r="H818" s="2">
        <f t="shared" si="25"/>
        <v>-1.382079261755923E-3</v>
      </c>
      <c r="I818" s="7">
        <v>-3.2401824310068052E-3</v>
      </c>
      <c r="J818" s="7">
        <v>-1.382079261755923E-3</v>
      </c>
      <c r="K818" s="7">
        <v>0</v>
      </c>
      <c r="L818" s="7">
        <v>0</v>
      </c>
      <c r="M818" s="7">
        <v>0</v>
      </c>
      <c r="N818" s="7">
        <v>0</v>
      </c>
      <c r="O818" s="7">
        <v>0</v>
      </c>
      <c r="P818" s="7">
        <v>0</v>
      </c>
    </row>
    <row r="819" spans="1:16" x14ac:dyDescent="0.3">
      <c r="A819" s="1">
        <v>44648</v>
      </c>
      <c r="B819" s="2">
        <v>363.94665500000002</v>
      </c>
      <c r="C819" s="2">
        <v>310.7</v>
      </c>
      <c r="F819" s="1">
        <v>44648</v>
      </c>
      <c r="G819" s="2">
        <f t="shared" si="24"/>
        <v>7.7280506003363364E-2</v>
      </c>
      <c r="H819" s="2">
        <f t="shared" si="25"/>
        <v>2.2853300977438682E-2</v>
      </c>
      <c r="I819" s="7">
        <v>0</v>
      </c>
      <c r="J819" s="7">
        <v>0</v>
      </c>
      <c r="K819" s="7">
        <v>0</v>
      </c>
      <c r="L819" s="7">
        <v>0</v>
      </c>
      <c r="M819" s="7">
        <v>0</v>
      </c>
      <c r="N819" s="7">
        <v>0</v>
      </c>
      <c r="O819" s="7">
        <v>7.7280506003363364E-2</v>
      </c>
      <c r="P819" s="7">
        <v>2.2853300977438682E-2</v>
      </c>
    </row>
    <row r="820" spans="1:16" x14ac:dyDescent="0.3">
      <c r="A820" s="1">
        <v>44649</v>
      </c>
      <c r="B820" s="2">
        <v>366.523346</v>
      </c>
      <c r="C820" s="2">
        <v>315.41000000000003</v>
      </c>
      <c r="F820" s="1">
        <v>44649</v>
      </c>
      <c r="G820" s="2">
        <f t="shared" si="24"/>
        <v>7.0549144624145873E-3</v>
      </c>
      <c r="H820" s="2">
        <f t="shared" si="25"/>
        <v>1.5045563397769236E-2</v>
      </c>
      <c r="I820" s="7">
        <v>0</v>
      </c>
      <c r="J820" s="7">
        <v>0</v>
      </c>
      <c r="K820" s="7">
        <v>0</v>
      </c>
      <c r="L820" s="7">
        <v>0</v>
      </c>
      <c r="M820" s="7">
        <v>0</v>
      </c>
      <c r="N820" s="7">
        <v>0</v>
      </c>
      <c r="O820" s="7">
        <v>7.0549144624145873E-3</v>
      </c>
      <c r="P820" s="7">
        <v>1.5045563397769236E-2</v>
      </c>
    </row>
    <row r="821" spans="1:16" x14ac:dyDescent="0.3">
      <c r="A821" s="1">
        <v>44650</v>
      </c>
      <c r="B821" s="2">
        <v>364.66332999999997</v>
      </c>
      <c r="C821" s="2">
        <v>313.86</v>
      </c>
      <c r="F821" s="1">
        <v>44650</v>
      </c>
      <c r="G821" s="2">
        <f t="shared" si="24"/>
        <v>-5.0876747981665965E-3</v>
      </c>
      <c r="H821" s="2">
        <f t="shared" si="25"/>
        <v>-4.9263531861962464E-3</v>
      </c>
      <c r="I821" s="7">
        <v>-5.0876747981665965E-3</v>
      </c>
      <c r="J821" s="7">
        <v>-4.9263531861962464E-3</v>
      </c>
      <c r="K821" s="7">
        <v>0</v>
      </c>
      <c r="L821" s="7">
        <v>0</v>
      </c>
      <c r="M821" s="7">
        <v>0</v>
      </c>
      <c r="N821" s="7">
        <v>0</v>
      </c>
      <c r="O821" s="7">
        <v>0</v>
      </c>
      <c r="P821" s="7">
        <v>0</v>
      </c>
    </row>
    <row r="822" spans="1:16" x14ac:dyDescent="0.3">
      <c r="A822" s="1">
        <v>44651</v>
      </c>
      <c r="B822" s="2">
        <v>359.20001200000002</v>
      </c>
      <c r="C822" s="2">
        <v>308.31</v>
      </c>
      <c r="F822" s="1">
        <v>44651</v>
      </c>
      <c r="G822" s="2">
        <f t="shared" si="24"/>
        <v>-1.5095174527747321E-2</v>
      </c>
      <c r="H822" s="2">
        <f t="shared" si="25"/>
        <v>-1.7841256305483329E-2</v>
      </c>
      <c r="I822" s="7">
        <v>-1.5095174527747321E-2</v>
      </c>
      <c r="J822" s="7">
        <v>-1.7841256305483329E-2</v>
      </c>
      <c r="K822" s="7">
        <v>0</v>
      </c>
      <c r="L822" s="7">
        <v>0</v>
      </c>
      <c r="M822" s="7">
        <v>0</v>
      </c>
      <c r="N822" s="7">
        <v>0</v>
      </c>
      <c r="O822" s="7">
        <v>0</v>
      </c>
      <c r="P822" s="7">
        <v>0</v>
      </c>
    </row>
    <row r="823" spans="1:16" x14ac:dyDescent="0.3">
      <c r="A823" s="1">
        <v>44652</v>
      </c>
      <c r="B823" s="2">
        <v>361.52999899999998</v>
      </c>
      <c r="C823" s="2">
        <v>309.42</v>
      </c>
      <c r="F823" s="1">
        <v>44652</v>
      </c>
      <c r="G823" s="2">
        <f t="shared" si="24"/>
        <v>6.4656531057715834E-3</v>
      </c>
      <c r="H823" s="2">
        <f t="shared" si="25"/>
        <v>3.593806985831277E-3</v>
      </c>
      <c r="I823" s="7">
        <v>0</v>
      </c>
      <c r="J823" s="7">
        <v>0</v>
      </c>
      <c r="K823" s="7">
        <v>0</v>
      </c>
      <c r="L823" s="7">
        <v>0</v>
      </c>
      <c r="M823" s="7">
        <v>0</v>
      </c>
      <c r="N823" s="7">
        <v>0</v>
      </c>
      <c r="O823" s="7">
        <v>6.4656531057715834E-3</v>
      </c>
      <c r="P823" s="7">
        <v>3.593806985831277E-3</v>
      </c>
    </row>
    <row r="824" spans="1:16" x14ac:dyDescent="0.3">
      <c r="A824" s="1">
        <v>44655</v>
      </c>
      <c r="B824" s="2">
        <v>381.81668100000002</v>
      </c>
      <c r="C824" s="2">
        <v>314.97000000000003</v>
      </c>
      <c r="F824" s="1">
        <v>44655</v>
      </c>
      <c r="G824" s="2">
        <f t="shared" si="24"/>
        <v>5.4595577809690203E-2</v>
      </c>
      <c r="H824" s="2">
        <f t="shared" si="25"/>
        <v>1.7777818904037113E-2</v>
      </c>
      <c r="I824" s="7">
        <v>0</v>
      </c>
      <c r="J824" s="7">
        <v>0</v>
      </c>
      <c r="K824" s="7">
        <v>0</v>
      </c>
      <c r="L824" s="7">
        <v>0</v>
      </c>
      <c r="M824" s="7">
        <v>0</v>
      </c>
      <c r="N824" s="7">
        <v>0</v>
      </c>
      <c r="O824" s="7">
        <v>5.4595577809690203E-2</v>
      </c>
      <c r="P824" s="7">
        <v>1.7777818904037113E-2</v>
      </c>
    </row>
    <row r="825" spans="1:16" x14ac:dyDescent="0.3">
      <c r="A825" s="1">
        <v>44656</v>
      </c>
      <c r="B825" s="2">
        <v>363.75332600000002</v>
      </c>
      <c r="C825" s="2">
        <v>310.88</v>
      </c>
      <c r="F825" s="1">
        <v>44656</v>
      </c>
      <c r="G825" s="2">
        <f t="shared" si="24"/>
        <v>-4.8464638664567086E-2</v>
      </c>
      <c r="H825" s="2">
        <f t="shared" si="25"/>
        <v>-1.3070410565829757E-2</v>
      </c>
      <c r="I825" s="7">
        <v>-4.8464638664567086E-2</v>
      </c>
      <c r="J825" s="7">
        <v>-1.3070410565829757E-2</v>
      </c>
      <c r="K825" s="7">
        <v>0</v>
      </c>
      <c r="L825" s="7">
        <v>0</v>
      </c>
      <c r="M825" s="7">
        <v>0</v>
      </c>
      <c r="N825" s="7">
        <v>0</v>
      </c>
      <c r="O825" s="7">
        <v>0</v>
      </c>
      <c r="P825" s="7">
        <v>0</v>
      </c>
    </row>
    <row r="826" spans="1:16" x14ac:dyDescent="0.3">
      <c r="A826" s="1">
        <v>44657</v>
      </c>
      <c r="B826" s="2">
        <v>348.58667000000003</v>
      </c>
      <c r="C826" s="2">
        <v>299.5</v>
      </c>
      <c r="F826" s="1">
        <v>44657</v>
      </c>
      <c r="G826" s="2">
        <f t="shared" si="24"/>
        <v>-4.2589068400668673E-2</v>
      </c>
      <c r="H826" s="2">
        <f t="shared" si="25"/>
        <v>-3.729256807362593E-2</v>
      </c>
      <c r="I826" s="7">
        <v>-4.2589068400668673E-2</v>
      </c>
      <c r="J826" s="7">
        <v>-3.729256807362593E-2</v>
      </c>
      <c r="K826" s="7">
        <v>0</v>
      </c>
      <c r="L826" s="7">
        <v>0</v>
      </c>
      <c r="M826" s="7">
        <v>0</v>
      </c>
      <c r="N826" s="7">
        <v>0</v>
      </c>
      <c r="O826" s="7">
        <v>0</v>
      </c>
      <c r="P826" s="7">
        <v>0</v>
      </c>
    </row>
    <row r="827" spans="1:16" x14ac:dyDescent="0.3">
      <c r="A827" s="1">
        <v>44658</v>
      </c>
      <c r="B827" s="2">
        <v>352.42001299999998</v>
      </c>
      <c r="C827" s="2">
        <v>301.37</v>
      </c>
      <c r="F827" s="1">
        <v>44658</v>
      </c>
      <c r="G827" s="2">
        <f t="shared" si="24"/>
        <v>1.0936789342545543E-2</v>
      </c>
      <c r="H827" s="2">
        <f t="shared" si="25"/>
        <v>6.2243281819088902E-3</v>
      </c>
      <c r="I827" s="7">
        <v>0</v>
      </c>
      <c r="J827" s="7">
        <v>0</v>
      </c>
      <c r="K827" s="7">
        <v>0</v>
      </c>
      <c r="L827" s="7">
        <v>0</v>
      </c>
      <c r="M827" s="7">
        <v>0</v>
      </c>
      <c r="N827" s="7">
        <v>0</v>
      </c>
      <c r="O827" s="7">
        <v>1.0936789342545543E-2</v>
      </c>
      <c r="P827" s="7">
        <v>6.2243281819088902E-3</v>
      </c>
    </row>
    <row r="828" spans="1:16" x14ac:dyDescent="0.3">
      <c r="A828" s="1">
        <v>44659</v>
      </c>
      <c r="B828" s="2">
        <v>341.82998700000002</v>
      </c>
      <c r="C828" s="2">
        <v>296.97000000000003</v>
      </c>
      <c r="F828" s="1">
        <v>44659</v>
      </c>
      <c r="G828" s="2">
        <f t="shared" si="24"/>
        <v>-3.0510183603017216E-2</v>
      </c>
      <c r="H828" s="2">
        <f t="shared" si="25"/>
        <v>-1.4707622137587195E-2</v>
      </c>
      <c r="I828" s="7">
        <v>-3.0510183603017216E-2</v>
      </c>
      <c r="J828" s="7">
        <v>-1.4707622137587195E-2</v>
      </c>
      <c r="K828" s="7">
        <v>0</v>
      </c>
      <c r="L828" s="7">
        <v>0</v>
      </c>
      <c r="M828" s="7">
        <v>0</v>
      </c>
      <c r="N828" s="7">
        <v>0</v>
      </c>
      <c r="O828" s="7">
        <v>0</v>
      </c>
      <c r="P828" s="7">
        <v>0</v>
      </c>
    </row>
    <row r="829" spans="1:16" x14ac:dyDescent="0.3">
      <c r="A829" s="1">
        <v>44662</v>
      </c>
      <c r="B829" s="2">
        <v>325.30999800000001</v>
      </c>
      <c r="C829" s="2">
        <v>285.26</v>
      </c>
      <c r="F829" s="1">
        <v>44662</v>
      </c>
      <c r="G829" s="2">
        <f t="shared" si="24"/>
        <v>-4.953493171194169E-2</v>
      </c>
      <c r="H829" s="2">
        <f t="shared" si="25"/>
        <v>-4.023007850454962E-2</v>
      </c>
      <c r="I829" s="7">
        <v>-4.953493171194169E-2</v>
      </c>
      <c r="J829" s="7">
        <v>-4.023007850454962E-2</v>
      </c>
      <c r="K829" s="7">
        <v>0</v>
      </c>
      <c r="L829" s="7">
        <v>0</v>
      </c>
      <c r="M829" s="7">
        <v>0</v>
      </c>
      <c r="N829" s="7">
        <v>0</v>
      </c>
      <c r="O829" s="7">
        <v>0</v>
      </c>
      <c r="P829" s="7">
        <v>0</v>
      </c>
    </row>
    <row r="830" spans="1:16" x14ac:dyDescent="0.3">
      <c r="A830" s="1">
        <v>44663</v>
      </c>
      <c r="B830" s="2">
        <v>328.98333700000001</v>
      </c>
      <c r="C830" s="2">
        <v>282.06</v>
      </c>
      <c r="F830" s="1">
        <v>44663</v>
      </c>
      <c r="G830" s="2">
        <f t="shared" si="24"/>
        <v>1.122853435290554E-2</v>
      </c>
      <c r="H830" s="2">
        <f t="shared" si="25"/>
        <v>-1.1281230831182052E-2</v>
      </c>
      <c r="I830" s="7">
        <v>0</v>
      </c>
      <c r="J830" s="7">
        <v>0</v>
      </c>
      <c r="K830" s="7">
        <v>1.122853435290554E-2</v>
      </c>
      <c r="L830" s="7">
        <v>-1.1281230831182052E-2</v>
      </c>
      <c r="M830" s="7">
        <v>0</v>
      </c>
      <c r="N830" s="7">
        <v>0</v>
      </c>
      <c r="O830" s="7">
        <v>0</v>
      </c>
      <c r="P830" s="7">
        <v>0</v>
      </c>
    </row>
    <row r="831" spans="1:16" x14ac:dyDescent="0.3">
      <c r="A831" s="1">
        <v>44664</v>
      </c>
      <c r="B831" s="2">
        <v>340.790009</v>
      </c>
      <c r="C831" s="2">
        <v>287.62</v>
      </c>
      <c r="F831" s="1">
        <v>44664</v>
      </c>
      <c r="G831" s="2">
        <f t="shared" si="24"/>
        <v>3.5259376144540319E-2</v>
      </c>
      <c r="H831" s="2">
        <f t="shared" si="25"/>
        <v>1.9520350194139325E-2</v>
      </c>
      <c r="I831" s="7">
        <v>0</v>
      </c>
      <c r="J831" s="7">
        <v>0</v>
      </c>
      <c r="K831" s="7">
        <v>0</v>
      </c>
      <c r="L831" s="7">
        <v>0</v>
      </c>
      <c r="M831" s="7">
        <v>0</v>
      </c>
      <c r="N831" s="7">
        <v>0</v>
      </c>
      <c r="O831" s="7">
        <v>3.5259376144540319E-2</v>
      </c>
      <c r="P831" s="7">
        <v>1.9520350194139325E-2</v>
      </c>
    </row>
    <row r="832" spans="1:16" x14ac:dyDescent="0.3">
      <c r="A832" s="1">
        <v>44665</v>
      </c>
      <c r="B832" s="2">
        <v>328.33334400000001</v>
      </c>
      <c r="C832" s="2">
        <v>279.83</v>
      </c>
      <c r="F832" s="1">
        <v>44665</v>
      </c>
      <c r="G832" s="2">
        <f t="shared" si="24"/>
        <v>-3.7237093219586792E-2</v>
      </c>
      <c r="H832" s="2">
        <f t="shared" si="25"/>
        <v>-2.7457888531987582E-2</v>
      </c>
      <c r="I832" s="7">
        <v>-3.7237093219586792E-2</v>
      </c>
      <c r="J832" s="7">
        <v>-2.7457888531987582E-2</v>
      </c>
      <c r="K832" s="7">
        <v>0</v>
      </c>
      <c r="L832" s="7">
        <v>0</v>
      </c>
      <c r="M832" s="7">
        <v>0</v>
      </c>
      <c r="N832" s="7">
        <v>0</v>
      </c>
      <c r="O832" s="7">
        <v>0</v>
      </c>
      <c r="P832" s="7">
        <v>0</v>
      </c>
    </row>
    <row r="833" spans="1:16" x14ac:dyDescent="0.3">
      <c r="A833" s="1">
        <v>44669</v>
      </c>
      <c r="B833" s="2">
        <v>334.76333599999998</v>
      </c>
      <c r="C833" s="2">
        <v>280.52</v>
      </c>
      <c r="F833" s="1">
        <v>44669</v>
      </c>
      <c r="G833" s="2">
        <f t="shared" si="24"/>
        <v>1.9394437472040373E-2</v>
      </c>
      <c r="H833" s="2">
        <f t="shared" si="25"/>
        <v>2.4627477424636591E-3</v>
      </c>
      <c r="I833" s="7">
        <v>0</v>
      </c>
      <c r="J833" s="7">
        <v>0</v>
      </c>
      <c r="K833" s="7">
        <v>0</v>
      </c>
      <c r="L833" s="7">
        <v>0</v>
      </c>
      <c r="M833" s="7">
        <v>0</v>
      </c>
      <c r="N833" s="7">
        <v>0</v>
      </c>
      <c r="O833" s="7">
        <v>1.9394437472040373E-2</v>
      </c>
      <c r="P833" s="7">
        <v>2.4627477424636591E-3</v>
      </c>
    </row>
    <row r="834" spans="1:16" x14ac:dyDescent="0.3">
      <c r="A834" s="1">
        <v>44670</v>
      </c>
      <c r="B834" s="2">
        <v>342.71667500000001</v>
      </c>
      <c r="C834" s="2">
        <v>285.3</v>
      </c>
      <c r="F834" s="1">
        <v>44670</v>
      </c>
      <c r="G834" s="2">
        <f t="shared" si="24"/>
        <v>2.3480262951606969E-2</v>
      </c>
      <c r="H834" s="2">
        <f t="shared" si="25"/>
        <v>1.6896234550744696E-2</v>
      </c>
      <c r="I834" s="7">
        <v>0</v>
      </c>
      <c r="J834" s="7">
        <v>0</v>
      </c>
      <c r="K834" s="7">
        <v>0</v>
      </c>
      <c r="L834" s="7">
        <v>0</v>
      </c>
      <c r="M834" s="7">
        <v>0</v>
      </c>
      <c r="N834" s="7">
        <v>0</v>
      </c>
      <c r="O834" s="7">
        <v>2.3480262951606969E-2</v>
      </c>
      <c r="P834" s="7">
        <v>1.6896234550744696E-2</v>
      </c>
    </row>
    <row r="835" spans="1:16" x14ac:dyDescent="0.3">
      <c r="A835" s="1">
        <v>44671</v>
      </c>
      <c r="B835" s="2">
        <v>325.73333700000001</v>
      </c>
      <c r="C835" s="2">
        <v>286.36</v>
      </c>
      <c r="F835" s="1">
        <v>44671</v>
      </c>
      <c r="G835" s="2">
        <f t="shared" si="24"/>
        <v>-5.082502344280828E-2</v>
      </c>
      <c r="H835" s="2">
        <f t="shared" si="25"/>
        <v>3.7085023085299436E-3</v>
      </c>
      <c r="I835" s="7">
        <v>0</v>
      </c>
      <c r="J835" s="7">
        <v>0</v>
      </c>
      <c r="K835" s="7">
        <v>0</v>
      </c>
      <c r="L835" s="7">
        <v>0</v>
      </c>
      <c r="M835" s="7">
        <v>-5.082502344280828E-2</v>
      </c>
      <c r="N835" s="7">
        <v>3.7085023085299436E-3</v>
      </c>
      <c r="O835" s="7">
        <v>0</v>
      </c>
      <c r="P835" s="7">
        <v>0</v>
      </c>
    </row>
    <row r="836" spans="1:16" x14ac:dyDescent="0.3">
      <c r="A836" s="1">
        <v>44672</v>
      </c>
      <c r="B836" s="2">
        <v>336.26001000000002</v>
      </c>
      <c r="C836" s="2">
        <v>280.81</v>
      </c>
      <c r="F836" s="1">
        <v>44672</v>
      </c>
      <c r="G836" s="2">
        <f t="shared" si="24"/>
        <v>3.1805638017546933E-2</v>
      </c>
      <c r="H836" s="2">
        <f t="shared" si="25"/>
        <v>-1.9571476474826953E-2</v>
      </c>
      <c r="I836" s="7">
        <v>0</v>
      </c>
      <c r="J836" s="7">
        <v>0</v>
      </c>
      <c r="K836" s="7">
        <v>3.1805638017546933E-2</v>
      </c>
      <c r="L836" s="7">
        <v>-1.9571476474826953E-2</v>
      </c>
      <c r="M836" s="7">
        <v>0</v>
      </c>
      <c r="N836" s="7">
        <v>0</v>
      </c>
      <c r="O836" s="7">
        <v>0</v>
      </c>
      <c r="P836" s="7">
        <v>0</v>
      </c>
    </row>
    <row r="837" spans="1:16" x14ac:dyDescent="0.3">
      <c r="A837" s="1">
        <v>44673</v>
      </c>
      <c r="B837" s="2">
        <v>335.01666299999999</v>
      </c>
      <c r="C837" s="2">
        <v>274.02999999999997</v>
      </c>
      <c r="F837" s="1">
        <v>44673</v>
      </c>
      <c r="G837" s="2">
        <f t="shared" si="24"/>
        <v>-3.7044291031079805E-3</v>
      </c>
      <c r="H837" s="2">
        <f t="shared" si="25"/>
        <v>-2.4440694607481002E-2</v>
      </c>
      <c r="I837" s="7">
        <v>-3.7044291031079805E-3</v>
      </c>
      <c r="J837" s="7">
        <v>-2.4440694607481002E-2</v>
      </c>
      <c r="K837" s="7">
        <v>0</v>
      </c>
      <c r="L837" s="7">
        <v>0</v>
      </c>
      <c r="M837" s="7">
        <v>0</v>
      </c>
      <c r="N837" s="7">
        <v>0</v>
      </c>
      <c r="O837" s="7">
        <v>0</v>
      </c>
      <c r="P837" s="7">
        <v>0</v>
      </c>
    </row>
    <row r="838" spans="1:16" x14ac:dyDescent="0.3">
      <c r="A838" s="1">
        <v>44676</v>
      </c>
      <c r="B838" s="2">
        <v>332.67334</v>
      </c>
      <c r="C838" s="2">
        <v>280.72000000000003</v>
      </c>
      <c r="F838" s="1">
        <v>44676</v>
      </c>
      <c r="G838" s="2">
        <f t="shared" ref="G838:G901" si="26">LN(B838/B837)</f>
        <v>-7.0192233241730311E-3</v>
      </c>
      <c r="H838" s="2">
        <f t="shared" ref="H838:H901" si="27">LN(C838/C837)</f>
        <v>2.4120141829283414E-2</v>
      </c>
      <c r="I838" s="7">
        <v>0</v>
      </c>
      <c r="J838" s="7">
        <v>0</v>
      </c>
      <c r="K838" s="7">
        <v>0</v>
      </c>
      <c r="L838" s="7">
        <v>0</v>
      </c>
      <c r="M838" s="7">
        <v>-7.0192233241730311E-3</v>
      </c>
      <c r="N838" s="7">
        <v>2.4120141829283414E-2</v>
      </c>
      <c r="O838" s="7">
        <v>0</v>
      </c>
      <c r="P838" s="7">
        <v>0</v>
      </c>
    </row>
    <row r="839" spans="1:16" x14ac:dyDescent="0.3">
      <c r="A839" s="1">
        <v>44677</v>
      </c>
      <c r="B839" s="2">
        <v>292.14001500000001</v>
      </c>
      <c r="C839" s="2">
        <v>270.22000000000003</v>
      </c>
      <c r="F839" s="1">
        <v>44677</v>
      </c>
      <c r="G839" s="2">
        <f t="shared" si="26"/>
        <v>-0.1299278567944846</v>
      </c>
      <c r="H839" s="2">
        <f t="shared" si="27"/>
        <v>-3.8121289243146617E-2</v>
      </c>
      <c r="I839" s="7">
        <v>-0.1299278567944846</v>
      </c>
      <c r="J839" s="7">
        <v>-3.8121289243146617E-2</v>
      </c>
      <c r="K839" s="7">
        <v>0</v>
      </c>
      <c r="L839" s="7">
        <v>0</v>
      </c>
      <c r="M839" s="7">
        <v>0</v>
      </c>
      <c r="N839" s="7">
        <v>0</v>
      </c>
      <c r="O839" s="7">
        <v>0</v>
      </c>
      <c r="P839" s="7">
        <v>0</v>
      </c>
    </row>
    <row r="840" spans="1:16" x14ac:dyDescent="0.3">
      <c r="A840" s="1">
        <v>44678</v>
      </c>
      <c r="B840" s="2">
        <v>293.83667000000003</v>
      </c>
      <c r="C840" s="2">
        <v>283.22000000000003</v>
      </c>
      <c r="F840" s="1">
        <v>44678</v>
      </c>
      <c r="G840" s="2">
        <f t="shared" si="26"/>
        <v>5.7908779812209108E-3</v>
      </c>
      <c r="H840" s="2">
        <f t="shared" si="27"/>
        <v>4.6987538763099565E-2</v>
      </c>
      <c r="I840" s="7">
        <v>0</v>
      </c>
      <c r="J840" s="7">
        <v>0</v>
      </c>
      <c r="K840" s="7">
        <v>0</v>
      </c>
      <c r="L840" s="7">
        <v>0</v>
      </c>
      <c r="M840" s="7">
        <v>0</v>
      </c>
      <c r="N840" s="7">
        <v>0</v>
      </c>
      <c r="O840" s="7">
        <v>5.7908779812209108E-3</v>
      </c>
      <c r="P840" s="7">
        <v>4.6987538763099565E-2</v>
      </c>
    </row>
    <row r="841" spans="1:16" x14ac:dyDescent="0.3">
      <c r="A841" s="1">
        <v>44679</v>
      </c>
      <c r="B841" s="2">
        <v>292.50332600000002</v>
      </c>
      <c r="C841" s="2">
        <v>289.63</v>
      </c>
      <c r="F841" s="1">
        <v>44679</v>
      </c>
      <c r="G841" s="2">
        <f t="shared" si="26"/>
        <v>-4.5480312016959075E-3</v>
      </c>
      <c r="H841" s="2">
        <f t="shared" si="27"/>
        <v>2.2380265511675688E-2</v>
      </c>
      <c r="I841" s="7">
        <v>0</v>
      </c>
      <c r="J841" s="7">
        <v>0</v>
      </c>
      <c r="K841" s="7">
        <v>0</v>
      </c>
      <c r="L841" s="7">
        <v>0</v>
      </c>
      <c r="M841" s="7">
        <v>-4.5480312016959075E-3</v>
      </c>
      <c r="N841" s="7">
        <v>2.2380265511675688E-2</v>
      </c>
      <c r="O841" s="7">
        <v>0</v>
      </c>
      <c r="P841" s="7">
        <v>0</v>
      </c>
    </row>
    <row r="842" spans="1:16" x14ac:dyDescent="0.3">
      <c r="A842" s="1">
        <v>44680</v>
      </c>
      <c r="B842" s="2">
        <v>290.25332600000002</v>
      </c>
      <c r="C842" s="2">
        <v>277.52</v>
      </c>
      <c r="F842" s="1">
        <v>44680</v>
      </c>
      <c r="G842" s="2">
        <f t="shared" si="26"/>
        <v>-7.7219579480934768E-3</v>
      </c>
      <c r="H842" s="2">
        <f t="shared" si="27"/>
        <v>-4.2711243645094404E-2</v>
      </c>
      <c r="I842" s="7">
        <v>-7.7219579480934768E-3</v>
      </c>
      <c r="J842" s="7">
        <v>-4.2711243645094404E-2</v>
      </c>
      <c r="K842" s="7">
        <v>0</v>
      </c>
      <c r="L842" s="7">
        <v>0</v>
      </c>
      <c r="M842" s="7">
        <v>0</v>
      </c>
      <c r="N842" s="7">
        <v>0</v>
      </c>
      <c r="O842" s="7">
        <v>0</v>
      </c>
      <c r="P842" s="7">
        <v>0</v>
      </c>
    </row>
    <row r="843" spans="1:16" x14ac:dyDescent="0.3">
      <c r="A843" s="1">
        <v>44683</v>
      </c>
      <c r="B843" s="2">
        <v>300.98001099999999</v>
      </c>
      <c r="C843" s="2">
        <v>284.47000000000003</v>
      </c>
      <c r="F843" s="1">
        <v>44683</v>
      </c>
      <c r="G843" s="2">
        <f t="shared" si="26"/>
        <v>3.6289774306510571E-2</v>
      </c>
      <c r="H843" s="2">
        <f t="shared" si="27"/>
        <v>2.4734797190186706E-2</v>
      </c>
      <c r="I843" s="7">
        <v>0</v>
      </c>
      <c r="J843" s="7">
        <v>0</v>
      </c>
      <c r="K843" s="7">
        <v>0</v>
      </c>
      <c r="L843" s="7">
        <v>0</v>
      </c>
      <c r="M843" s="7">
        <v>0</v>
      </c>
      <c r="N843" s="7">
        <v>0</v>
      </c>
      <c r="O843" s="7">
        <v>3.6289774306510571E-2</v>
      </c>
      <c r="P843" s="7">
        <v>2.4734797190186706E-2</v>
      </c>
    </row>
    <row r="844" spans="1:16" x14ac:dyDescent="0.3">
      <c r="A844" s="1">
        <v>44684</v>
      </c>
      <c r="B844" s="2">
        <v>303.08334400000001</v>
      </c>
      <c r="C844" s="2">
        <v>281.77999999999997</v>
      </c>
      <c r="F844" s="1">
        <v>44684</v>
      </c>
      <c r="G844" s="2">
        <f t="shared" si="26"/>
        <v>6.9639764869784222E-3</v>
      </c>
      <c r="H844" s="2">
        <f t="shared" si="27"/>
        <v>-9.5011752265503104E-3</v>
      </c>
      <c r="I844" s="7">
        <v>0</v>
      </c>
      <c r="J844" s="7">
        <v>0</v>
      </c>
      <c r="K844" s="7">
        <v>6.9639764869784222E-3</v>
      </c>
      <c r="L844" s="7">
        <v>-9.5011752265503104E-3</v>
      </c>
      <c r="M844" s="7">
        <v>0</v>
      </c>
      <c r="N844" s="7">
        <v>0</v>
      </c>
      <c r="O844" s="7">
        <v>0</v>
      </c>
      <c r="P844" s="7">
        <v>0</v>
      </c>
    </row>
    <row r="845" spans="1:16" x14ac:dyDescent="0.3">
      <c r="A845" s="1">
        <v>44685</v>
      </c>
      <c r="B845" s="2">
        <v>317.540009</v>
      </c>
      <c r="C845" s="2">
        <v>289.98</v>
      </c>
      <c r="F845" s="1">
        <v>44685</v>
      </c>
      <c r="G845" s="2">
        <f t="shared" si="26"/>
        <v>4.6595992599421827E-2</v>
      </c>
      <c r="H845" s="2">
        <f t="shared" si="27"/>
        <v>2.8685330459917238E-2</v>
      </c>
      <c r="I845" s="7">
        <v>0</v>
      </c>
      <c r="J845" s="7">
        <v>0</v>
      </c>
      <c r="K845" s="7">
        <v>0</v>
      </c>
      <c r="L845" s="7">
        <v>0</v>
      </c>
      <c r="M845" s="7">
        <v>0</v>
      </c>
      <c r="N845" s="7">
        <v>0</v>
      </c>
      <c r="O845" s="7">
        <v>4.6595992599421827E-2</v>
      </c>
      <c r="P845" s="7">
        <v>2.8685330459917238E-2</v>
      </c>
    </row>
    <row r="846" spans="1:16" x14ac:dyDescent="0.3">
      <c r="A846" s="1">
        <v>44686</v>
      </c>
      <c r="B846" s="2">
        <v>291.093323</v>
      </c>
      <c r="C846" s="2">
        <v>277.35000000000002</v>
      </c>
      <c r="F846" s="1">
        <v>44686</v>
      </c>
      <c r="G846" s="2">
        <f t="shared" si="26"/>
        <v>-8.695990963873873E-2</v>
      </c>
      <c r="H846" s="2">
        <f t="shared" si="27"/>
        <v>-4.4531708583804119E-2</v>
      </c>
      <c r="I846" s="7">
        <v>-8.695990963873873E-2</v>
      </c>
      <c r="J846" s="7">
        <v>-4.4531708583804119E-2</v>
      </c>
      <c r="K846" s="7">
        <v>0</v>
      </c>
      <c r="L846" s="7">
        <v>0</v>
      </c>
      <c r="M846" s="7">
        <v>0</v>
      </c>
      <c r="N846" s="7">
        <v>0</v>
      </c>
      <c r="O846" s="7">
        <v>0</v>
      </c>
      <c r="P846" s="7">
        <v>0</v>
      </c>
    </row>
    <row r="847" spans="1:16" x14ac:dyDescent="0.3">
      <c r="A847" s="1">
        <v>44687</v>
      </c>
      <c r="B847" s="2">
        <v>288.54998799999998</v>
      </c>
      <c r="C847" s="2">
        <v>274.73</v>
      </c>
      <c r="F847" s="1">
        <v>44687</v>
      </c>
      <c r="G847" s="2">
        <f t="shared" si="26"/>
        <v>-8.7755737837843795E-3</v>
      </c>
      <c r="H847" s="2">
        <f t="shared" si="27"/>
        <v>-9.4914493156740519E-3</v>
      </c>
      <c r="I847" s="7">
        <v>-8.7755737837843795E-3</v>
      </c>
      <c r="J847" s="7">
        <v>-9.4914493156740519E-3</v>
      </c>
      <c r="K847" s="7">
        <v>0</v>
      </c>
      <c r="L847" s="7">
        <v>0</v>
      </c>
      <c r="M847" s="7">
        <v>0</v>
      </c>
      <c r="N847" s="7">
        <v>0</v>
      </c>
      <c r="O847" s="7">
        <v>0</v>
      </c>
      <c r="P847" s="7">
        <v>0</v>
      </c>
    </row>
    <row r="848" spans="1:16" x14ac:dyDescent="0.3">
      <c r="A848" s="1">
        <v>44690</v>
      </c>
      <c r="B848" s="2">
        <v>262.36999500000002</v>
      </c>
      <c r="C848" s="2">
        <v>264.58</v>
      </c>
      <c r="F848" s="1">
        <v>44690</v>
      </c>
      <c r="G848" s="2">
        <f t="shared" si="26"/>
        <v>-9.5112637361232516E-2</v>
      </c>
      <c r="H848" s="2">
        <f t="shared" si="27"/>
        <v>-3.7645134151335587E-2</v>
      </c>
      <c r="I848" s="7">
        <v>-9.5112637361232516E-2</v>
      </c>
      <c r="J848" s="7">
        <v>-3.7645134151335587E-2</v>
      </c>
      <c r="K848" s="7">
        <v>0</v>
      </c>
      <c r="L848" s="7">
        <v>0</v>
      </c>
      <c r="M848" s="7">
        <v>0</v>
      </c>
      <c r="N848" s="7">
        <v>0</v>
      </c>
      <c r="O848" s="7">
        <v>0</v>
      </c>
      <c r="P848" s="7">
        <v>0</v>
      </c>
    </row>
    <row r="849" spans="1:16" x14ac:dyDescent="0.3">
      <c r="A849" s="1">
        <v>44691</v>
      </c>
      <c r="B849" s="2">
        <v>266.67999300000002</v>
      </c>
      <c r="C849" s="2">
        <v>269.5</v>
      </c>
      <c r="F849" s="1">
        <v>44691</v>
      </c>
      <c r="G849" s="2">
        <f t="shared" si="26"/>
        <v>1.6293709292676033E-2</v>
      </c>
      <c r="H849" s="2">
        <f t="shared" si="27"/>
        <v>1.8424727314817872E-2</v>
      </c>
      <c r="I849" s="7">
        <v>0</v>
      </c>
      <c r="J849" s="7">
        <v>0</v>
      </c>
      <c r="K849" s="7">
        <v>0</v>
      </c>
      <c r="L849" s="7">
        <v>0</v>
      </c>
      <c r="M849" s="7">
        <v>0</v>
      </c>
      <c r="N849" s="7">
        <v>0</v>
      </c>
      <c r="O849" s="7">
        <v>1.6293709292676033E-2</v>
      </c>
      <c r="P849" s="7">
        <v>1.8424727314817872E-2</v>
      </c>
    </row>
    <row r="850" spans="1:16" x14ac:dyDescent="0.3">
      <c r="A850" s="1">
        <v>44692</v>
      </c>
      <c r="B850" s="2">
        <v>244.66667200000001</v>
      </c>
      <c r="C850" s="2">
        <v>260.55</v>
      </c>
      <c r="F850" s="1">
        <v>44692</v>
      </c>
      <c r="G850" s="2">
        <f t="shared" si="26"/>
        <v>-8.615264975640069E-2</v>
      </c>
      <c r="H850" s="2">
        <f t="shared" si="27"/>
        <v>-3.3773608993828134E-2</v>
      </c>
      <c r="I850" s="7">
        <v>-8.615264975640069E-2</v>
      </c>
      <c r="J850" s="7">
        <v>-3.3773608993828134E-2</v>
      </c>
      <c r="K850" s="7">
        <v>0</v>
      </c>
      <c r="L850" s="7">
        <v>0</v>
      </c>
      <c r="M850" s="7">
        <v>0</v>
      </c>
      <c r="N850" s="7">
        <v>0</v>
      </c>
      <c r="O850" s="7">
        <v>0</v>
      </c>
      <c r="P850" s="7">
        <v>0</v>
      </c>
    </row>
    <row r="851" spans="1:16" x14ac:dyDescent="0.3">
      <c r="A851" s="1">
        <v>44693</v>
      </c>
      <c r="B851" s="2">
        <v>242.66667200000001</v>
      </c>
      <c r="C851" s="2">
        <v>255.35</v>
      </c>
      <c r="F851" s="1">
        <v>44693</v>
      </c>
      <c r="G851" s="2">
        <f t="shared" si="26"/>
        <v>-8.2079802381727959E-3</v>
      </c>
      <c r="H851" s="2">
        <f t="shared" si="27"/>
        <v>-2.0159628261570754E-2</v>
      </c>
      <c r="I851" s="7">
        <v>-8.2079802381727959E-3</v>
      </c>
      <c r="J851" s="7">
        <v>-2.0159628261570754E-2</v>
      </c>
      <c r="K851" s="7">
        <v>0</v>
      </c>
      <c r="L851" s="7">
        <v>0</v>
      </c>
      <c r="M851" s="7">
        <v>0</v>
      </c>
      <c r="N851" s="7">
        <v>0</v>
      </c>
      <c r="O851" s="7">
        <v>0</v>
      </c>
      <c r="P851" s="7">
        <v>0</v>
      </c>
    </row>
    <row r="852" spans="1:16" x14ac:dyDescent="0.3">
      <c r="A852" s="1">
        <v>44694</v>
      </c>
      <c r="B852" s="2">
        <v>256.52999899999998</v>
      </c>
      <c r="C852" s="2">
        <v>261.12</v>
      </c>
      <c r="F852" s="1">
        <v>44694</v>
      </c>
      <c r="G852" s="2">
        <f t="shared" si="26"/>
        <v>5.5556831431195872E-2</v>
      </c>
      <c r="H852" s="2">
        <f t="shared" si="27"/>
        <v>2.23449186820893E-2</v>
      </c>
      <c r="I852" s="7">
        <v>0</v>
      </c>
      <c r="J852" s="7">
        <v>0</v>
      </c>
      <c r="K852" s="7">
        <v>0</v>
      </c>
      <c r="L852" s="7">
        <v>0</v>
      </c>
      <c r="M852" s="7">
        <v>0</v>
      </c>
      <c r="N852" s="7">
        <v>0</v>
      </c>
      <c r="O852" s="7">
        <v>5.5556831431195872E-2</v>
      </c>
      <c r="P852" s="7">
        <v>2.23449186820893E-2</v>
      </c>
    </row>
    <row r="853" spans="1:16" x14ac:dyDescent="0.3">
      <c r="A853" s="1">
        <v>44697</v>
      </c>
      <c r="B853" s="2">
        <v>241.45666499999999</v>
      </c>
      <c r="C853" s="2">
        <v>261.5</v>
      </c>
      <c r="F853" s="1">
        <v>44697</v>
      </c>
      <c r="G853" s="2">
        <f t="shared" si="26"/>
        <v>-6.0555596940416817E-2</v>
      </c>
      <c r="H853" s="2">
        <f t="shared" si="27"/>
        <v>1.4542117292354118E-3</v>
      </c>
      <c r="I853" s="7">
        <v>0</v>
      </c>
      <c r="J853" s="7">
        <v>0</v>
      </c>
      <c r="K853" s="7">
        <v>0</v>
      </c>
      <c r="L853" s="7">
        <v>0</v>
      </c>
      <c r="M853" s="7">
        <v>-6.0555596940416817E-2</v>
      </c>
      <c r="N853" s="7">
        <v>1.4542117292354118E-3</v>
      </c>
      <c r="O853" s="7">
        <v>0</v>
      </c>
      <c r="P853" s="7">
        <v>0</v>
      </c>
    </row>
    <row r="854" spans="1:16" x14ac:dyDescent="0.3">
      <c r="A854" s="1">
        <v>44698</v>
      </c>
      <c r="B854" s="2">
        <v>253.86999499999999</v>
      </c>
      <c r="C854" s="2">
        <v>266.82</v>
      </c>
      <c r="F854" s="1">
        <v>44698</v>
      </c>
      <c r="G854" s="2">
        <f t="shared" si="26"/>
        <v>5.0132289282448721E-2</v>
      </c>
      <c r="H854" s="2">
        <f t="shared" si="27"/>
        <v>2.0139990245682513E-2</v>
      </c>
      <c r="I854" s="7">
        <v>0</v>
      </c>
      <c r="J854" s="7">
        <v>0</v>
      </c>
      <c r="K854" s="7">
        <v>0</v>
      </c>
      <c r="L854" s="7">
        <v>0</v>
      </c>
      <c r="M854" s="7">
        <v>0</v>
      </c>
      <c r="N854" s="7">
        <v>0</v>
      </c>
      <c r="O854" s="7">
        <v>5.0132289282448721E-2</v>
      </c>
      <c r="P854" s="7">
        <v>2.0139990245682513E-2</v>
      </c>
    </row>
    <row r="855" spans="1:16" x14ac:dyDescent="0.3">
      <c r="A855" s="1">
        <v>44699</v>
      </c>
      <c r="B855" s="2">
        <v>236.60333299999999</v>
      </c>
      <c r="C855" s="2">
        <v>254.08</v>
      </c>
      <c r="F855" s="1">
        <v>44699</v>
      </c>
      <c r="G855" s="2">
        <f t="shared" si="26"/>
        <v>-7.0437266767981954E-2</v>
      </c>
      <c r="H855" s="2">
        <f t="shared" si="27"/>
        <v>-4.8925095691889069E-2</v>
      </c>
      <c r="I855" s="7">
        <v>-7.0437266767981954E-2</v>
      </c>
      <c r="J855" s="7">
        <v>-4.8925095691889069E-2</v>
      </c>
      <c r="K855" s="7">
        <v>0</v>
      </c>
      <c r="L855" s="7">
        <v>0</v>
      </c>
      <c r="M855" s="7">
        <v>0</v>
      </c>
      <c r="N855" s="7">
        <v>0</v>
      </c>
      <c r="O855" s="7">
        <v>0</v>
      </c>
      <c r="P855" s="7">
        <v>0</v>
      </c>
    </row>
    <row r="856" spans="1:16" x14ac:dyDescent="0.3">
      <c r="A856" s="1">
        <v>44700</v>
      </c>
      <c r="B856" s="2">
        <v>236.47332800000001</v>
      </c>
      <c r="C856" s="2">
        <v>253.14</v>
      </c>
      <c r="F856" s="1">
        <v>44700</v>
      </c>
      <c r="G856" s="2">
        <f t="shared" si="26"/>
        <v>-5.4961495245945909E-4</v>
      </c>
      <c r="H856" s="2">
        <f t="shared" si="27"/>
        <v>-3.70648269446872E-3</v>
      </c>
      <c r="I856" s="7">
        <v>-5.4961495245945909E-4</v>
      </c>
      <c r="J856" s="7">
        <v>-3.70648269446872E-3</v>
      </c>
      <c r="K856" s="7">
        <v>0</v>
      </c>
      <c r="L856" s="7">
        <v>0</v>
      </c>
      <c r="M856" s="7">
        <v>0</v>
      </c>
      <c r="N856" s="7">
        <v>0</v>
      </c>
      <c r="O856" s="7">
        <v>0</v>
      </c>
      <c r="P856" s="7">
        <v>0</v>
      </c>
    </row>
    <row r="857" spans="1:16" x14ac:dyDescent="0.3">
      <c r="A857" s="1">
        <v>44701</v>
      </c>
      <c r="B857" s="2">
        <v>221.300003</v>
      </c>
      <c r="C857" s="2">
        <v>252.56</v>
      </c>
      <c r="F857" s="1">
        <v>44701</v>
      </c>
      <c r="G857" s="2">
        <f t="shared" si="26"/>
        <v>-6.6316162946122068E-2</v>
      </c>
      <c r="H857" s="2">
        <f t="shared" si="27"/>
        <v>-2.2938511145660259E-3</v>
      </c>
      <c r="I857" s="7">
        <v>-6.6316162946122068E-2</v>
      </c>
      <c r="J857" s="7">
        <v>-2.2938511145660259E-3</v>
      </c>
      <c r="K857" s="7">
        <v>0</v>
      </c>
      <c r="L857" s="7">
        <v>0</v>
      </c>
      <c r="M857" s="7">
        <v>0</v>
      </c>
      <c r="N857" s="7">
        <v>0</v>
      </c>
      <c r="O857" s="7">
        <v>0</v>
      </c>
      <c r="P857" s="7">
        <v>0</v>
      </c>
    </row>
    <row r="858" spans="1:16" x14ac:dyDescent="0.3">
      <c r="A858" s="1">
        <v>44704</v>
      </c>
      <c r="B858" s="2">
        <v>224.96665999999999</v>
      </c>
      <c r="C858" s="2">
        <v>260.64999999999998</v>
      </c>
      <c r="F858" s="1">
        <v>44704</v>
      </c>
      <c r="G858" s="2">
        <f t="shared" si="26"/>
        <v>1.6432952833968367E-2</v>
      </c>
      <c r="H858" s="2">
        <f t="shared" si="27"/>
        <v>3.15296669643787E-2</v>
      </c>
      <c r="I858" s="7">
        <v>0</v>
      </c>
      <c r="J858" s="7">
        <v>0</v>
      </c>
      <c r="K858" s="7">
        <v>0</v>
      </c>
      <c r="L858" s="7">
        <v>0</v>
      </c>
      <c r="M858" s="7">
        <v>0</v>
      </c>
      <c r="N858" s="7">
        <v>0</v>
      </c>
      <c r="O858" s="7">
        <v>1.6432952833968367E-2</v>
      </c>
      <c r="P858" s="7">
        <v>3.15296669643787E-2</v>
      </c>
    </row>
    <row r="859" spans="1:16" x14ac:dyDescent="0.3">
      <c r="A859" s="1">
        <v>44705</v>
      </c>
      <c r="B859" s="2">
        <v>209.386673</v>
      </c>
      <c r="C859" s="2">
        <v>259.62</v>
      </c>
      <c r="F859" s="1">
        <v>44705</v>
      </c>
      <c r="G859" s="2">
        <f t="shared" si="26"/>
        <v>-7.1769560780173852E-2</v>
      </c>
      <c r="H859" s="2">
        <f t="shared" si="27"/>
        <v>-3.9594877492664347E-3</v>
      </c>
      <c r="I859" s="7">
        <v>-7.1769560780173852E-2</v>
      </c>
      <c r="J859" s="7">
        <v>-3.9594877492664347E-3</v>
      </c>
      <c r="K859" s="7">
        <v>0</v>
      </c>
      <c r="L859" s="7">
        <v>0</v>
      </c>
      <c r="M859" s="7">
        <v>0</v>
      </c>
      <c r="N859" s="7">
        <v>0</v>
      </c>
      <c r="O859" s="7">
        <v>0</v>
      </c>
      <c r="P859" s="7">
        <v>0</v>
      </c>
    </row>
    <row r="860" spans="1:16" x14ac:dyDescent="0.3">
      <c r="A860" s="1">
        <v>44706</v>
      </c>
      <c r="B860" s="2">
        <v>219.60000600000001</v>
      </c>
      <c r="C860" s="2">
        <v>262.52</v>
      </c>
      <c r="F860" s="1">
        <v>44706</v>
      </c>
      <c r="G860" s="2">
        <f t="shared" si="26"/>
        <v>4.7625084290722708E-2</v>
      </c>
      <c r="H860" s="2">
        <f t="shared" si="27"/>
        <v>1.1108246140673522E-2</v>
      </c>
      <c r="I860" s="7">
        <v>0</v>
      </c>
      <c r="J860" s="7">
        <v>0</v>
      </c>
      <c r="K860" s="7">
        <v>0</v>
      </c>
      <c r="L860" s="7">
        <v>0</v>
      </c>
      <c r="M860" s="7">
        <v>0</v>
      </c>
      <c r="N860" s="7">
        <v>0</v>
      </c>
      <c r="O860" s="7">
        <v>4.7625084290722708E-2</v>
      </c>
      <c r="P860" s="7">
        <v>1.1108246140673522E-2</v>
      </c>
    </row>
    <row r="861" spans="1:16" x14ac:dyDescent="0.3">
      <c r="A861" s="1">
        <v>44707</v>
      </c>
      <c r="B861" s="2">
        <v>235.91000399999999</v>
      </c>
      <c r="C861" s="2">
        <v>265.89999999999998</v>
      </c>
      <c r="F861" s="1">
        <v>44707</v>
      </c>
      <c r="G861" s="2">
        <f t="shared" si="26"/>
        <v>7.164265635657964E-2</v>
      </c>
      <c r="H861" s="2">
        <f t="shared" si="27"/>
        <v>1.2793028643452147E-2</v>
      </c>
      <c r="I861" s="7">
        <v>0</v>
      </c>
      <c r="J861" s="7">
        <v>0</v>
      </c>
      <c r="K861" s="7">
        <v>0</v>
      </c>
      <c r="L861" s="7">
        <v>0</v>
      </c>
      <c r="M861" s="7">
        <v>0</v>
      </c>
      <c r="N861" s="7">
        <v>0</v>
      </c>
      <c r="O861" s="7">
        <v>7.164265635657964E-2</v>
      </c>
      <c r="P861" s="7">
        <v>1.2793028643452147E-2</v>
      </c>
    </row>
    <row r="862" spans="1:16" x14ac:dyDescent="0.3">
      <c r="A862" s="1">
        <v>44708</v>
      </c>
      <c r="B862" s="2">
        <v>253.21000699999999</v>
      </c>
      <c r="C862" s="2">
        <v>273.24</v>
      </c>
      <c r="F862" s="1">
        <v>44708</v>
      </c>
      <c r="G862" s="2">
        <f t="shared" si="26"/>
        <v>7.0768818291587307E-2</v>
      </c>
      <c r="H862" s="2">
        <f t="shared" si="27"/>
        <v>2.7230231614674538E-2</v>
      </c>
      <c r="I862" s="7">
        <v>0</v>
      </c>
      <c r="J862" s="7">
        <v>0</v>
      </c>
      <c r="K862" s="7">
        <v>0</v>
      </c>
      <c r="L862" s="7">
        <v>0</v>
      </c>
      <c r="M862" s="7">
        <v>0</v>
      </c>
      <c r="N862" s="7">
        <v>0</v>
      </c>
      <c r="O862" s="7">
        <v>7.0768818291587307E-2</v>
      </c>
      <c r="P862" s="7">
        <v>2.7230231614674538E-2</v>
      </c>
    </row>
    <row r="863" spans="1:16" x14ac:dyDescent="0.3">
      <c r="A863" s="1">
        <v>44712</v>
      </c>
      <c r="B863" s="2">
        <v>252.75332599999999</v>
      </c>
      <c r="C863" s="2">
        <v>271.87</v>
      </c>
      <c r="F863" s="1">
        <v>44712</v>
      </c>
      <c r="G863" s="2">
        <f t="shared" si="26"/>
        <v>-1.80519454367876E-3</v>
      </c>
      <c r="H863" s="2">
        <f t="shared" si="27"/>
        <v>-5.0265189944106543E-3</v>
      </c>
      <c r="I863" s="7">
        <v>-1.80519454367876E-3</v>
      </c>
      <c r="J863" s="7">
        <v>-5.0265189944106543E-3</v>
      </c>
      <c r="K863" s="7">
        <v>0</v>
      </c>
      <c r="L863" s="7">
        <v>0</v>
      </c>
      <c r="M863" s="7">
        <v>0</v>
      </c>
      <c r="N863" s="7">
        <v>0</v>
      </c>
      <c r="O863" s="7">
        <v>0</v>
      </c>
      <c r="P863" s="7">
        <v>0</v>
      </c>
    </row>
    <row r="864" spans="1:16" x14ac:dyDescent="0.3">
      <c r="A864" s="1">
        <v>44713</v>
      </c>
      <c r="B864" s="2">
        <v>246.78999300000001</v>
      </c>
      <c r="C864" s="2">
        <v>272.42</v>
      </c>
      <c r="F864" s="1">
        <v>44713</v>
      </c>
      <c r="G864" s="2">
        <f t="shared" si="26"/>
        <v>-2.3876272854707472E-2</v>
      </c>
      <c r="H864" s="2">
        <f t="shared" si="27"/>
        <v>2.0209821499577903E-3</v>
      </c>
      <c r="I864" s="7">
        <v>0</v>
      </c>
      <c r="J864" s="7">
        <v>0</v>
      </c>
      <c r="K864" s="7">
        <v>0</v>
      </c>
      <c r="L864" s="7">
        <v>0</v>
      </c>
      <c r="M864" s="7">
        <v>-2.3876272854707472E-2</v>
      </c>
      <c r="N864" s="7">
        <v>2.0209821499577903E-3</v>
      </c>
      <c r="O864" s="7">
        <v>0</v>
      </c>
      <c r="P864" s="7">
        <v>0</v>
      </c>
    </row>
    <row r="865" spans="1:16" x14ac:dyDescent="0.3">
      <c r="A865" s="1">
        <v>44714</v>
      </c>
      <c r="B865" s="2">
        <v>258.33334400000001</v>
      </c>
      <c r="C865" s="2">
        <v>274.58</v>
      </c>
      <c r="F865" s="1">
        <v>44714</v>
      </c>
      <c r="G865" s="2">
        <f t="shared" si="26"/>
        <v>4.5713037767998954E-2</v>
      </c>
      <c r="H865" s="2">
        <f t="shared" si="27"/>
        <v>7.8976644502631813E-3</v>
      </c>
      <c r="I865" s="7">
        <v>0</v>
      </c>
      <c r="J865" s="7">
        <v>0</v>
      </c>
      <c r="K865" s="7">
        <v>0</v>
      </c>
      <c r="L865" s="7">
        <v>0</v>
      </c>
      <c r="M865" s="7">
        <v>0</v>
      </c>
      <c r="N865" s="7">
        <v>0</v>
      </c>
      <c r="O865" s="7">
        <v>4.5713037767998954E-2</v>
      </c>
      <c r="P865" s="7">
        <v>7.8976644502631813E-3</v>
      </c>
    </row>
    <row r="866" spans="1:16" x14ac:dyDescent="0.3">
      <c r="A866" s="1">
        <v>44715</v>
      </c>
      <c r="B866" s="2">
        <v>234.51666299999999</v>
      </c>
      <c r="C866" s="2">
        <v>270.02</v>
      </c>
      <c r="F866" s="1">
        <v>44715</v>
      </c>
      <c r="G866" s="2">
        <f t="shared" si="26"/>
        <v>-9.6724139044398208E-2</v>
      </c>
      <c r="H866" s="2">
        <f t="shared" si="27"/>
        <v>-1.6746627140358794E-2</v>
      </c>
      <c r="I866" s="7">
        <v>-9.6724139044398208E-2</v>
      </c>
      <c r="J866" s="7">
        <v>-1.6746627140358794E-2</v>
      </c>
      <c r="K866" s="7">
        <v>0</v>
      </c>
      <c r="L866" s="7">
        <v>0</v>
      </c>
      <c r="M866" s="7">
        <v>0</v>
      </c>
      <c r="N866" s="7">
        <v>0</v>
      </c>
      <c r="O866" s="7">
        <v>0</v>
      </c>
      <c r="P866" s="7">
        <v>0</v>
      </c>
    </row>
    <row r="867" spans="1:16" x14ac:dyDescent="0.3">
      <c r="A867" s="1">
        <v>44718</v>
      </c>
      <c r="B867" s="2">
        <v>238.279999</v>
      </c>
      <c r="C867" s="2">
        <v>268.75</v>
      </c>
      <c r="F867" s="1">
        <v>44718</v>
      </c>
      <c r="G867" s="2">
        <f t="shared" si="26"/>
        <v>1.5919805632582506E-2</v>
      </c>
      <c r="H867" s="2">
        <f t="shared" si="27"/>
        <v>-4.7144508872274992E-3</v>
      </c>
      <c r="I867" s="7">
        <v>0</v>
      </c>
      <c r="J867" s="7">
        <v>0</v>
      </c>
      <c r="K867" s="7">
        <v>1.5919805632582506E-2</v>
      </c>
      <c r="L867" s="7">
        <v>-4.7144508872274992E-3</v>
      </c>
      <c r="M867" s="7">
        <v>0</v>
      </c>
      <c r="N867" s="7">
        <v>0</v>
      </c>
      <c r="O867" s="7">
        <v>0</v>
      </c>
      <c r="P867" s="7">
        <v>0</v>
      </c>
    </row>
    <row r="868" spans="1:16" x14ac:dyDescent="0.3">
      <c r="A868" s="1">
        <v>44719</v>
      </c>
      <c r="B868" s="2">
        <v>238.886673</v>
      </c>
      <c r="C868" s="2">
        <v>272.5</v>
      </c>
      <c r="F868" s="1">
        <v>44719</v>
      </c>
      <c r="G868" s="2">
        <f t="shared" si="26"/>
        <v>2.5428193647716335E-3</v>
      </c>
      <c r="H868" s="2">
        <f t="shared" si="27"/>
        <v>1.3857034661426281E-2</v>
      </c>
      <c r="I868" s="7">
        <v>0</v>
      </c>
      <c r="J868" s="7">
        <v>0</v>
      </c>
      <c r="K868" s="7">
        <v>0</v>
      </c>
      <c r="L868" s="7">
        <v>0</v>
      </c>
      <c r="M868" s="7">
        <v>0</v>
      </c>
      <c r="N868" s="7">
        <v>0</v>
      </c>
      <c r="O868" s="7">
        <v>2.5428193647716335E-3</v>
      </c>
      <c r="P868" s="7">
        <v>1.3857034661426281E-2</v>
      </c>
    </row>
    <row r="869" spans="1:16" x14ac:dyDescent="0.3">
      <c r="A869" s="1">
        <v>44720</v>
      </c>
      <c r="B869" s="2">
        <v>241.866669</v>
      </c>
      <c r="C869" s="2">
        <v>270.41000000000003</v>
      </c>
      <c r="F869" s="1">
        <v>44720</v>
      </c>
      <c r="G869" s="2">
        <f t="shared" si="26"/>
        <v>1.2397351851490705E-2</v>
      </c>
      <c r="H869" s="2">
        <f t="shared" si="27"/>
        <v>-7.6992883697954151E-3</v>
      </c>
      <c r="I869" s="7">
        <v>0</v>
      </c>
      <c r="J869" s="7">
        <v>0</v>
      </c>
      <c r="K869" s="7">
        <v>1.2397351851490705E-2</v>
      </c>
      <c r="L869" s="7">
        <v>-7.6992883697954151E-3</v>
      </c>
      <c r="M869" s="7">
        <v>0</v>
      </c>
      <c r="N869" s="7">
        <v>0</v>
      </c>
      <c r="O869" s="7">
        <v>0</v>
      </c>
      <c r="P869" s="7">
        <v>0</v>
      </c>
    </row>
    <row r="870" spans="1:16" x14ac:dyDescent="0.3">
      <c r="A870" s="1">
        <v>44721</v>
      </c>
      <c r="B870" s="2">
        <v>239.70666499999999</v>
      </c>
      <c r="C870" s="2">
        <v>264.79000000000002</v>
      </c>
      <c r="F870" s="1">
        <v>44721</v>
      </c>
      <c r="G870" s="2">
        <f t="shared" si="26"/>
        <v>-8.9706731359140389E-3</v>
      </c>
      <c r="H870" s="2">
        <f t="shared" si="27"/>
        <v>-2.1002266734194364E-2</v>
      </c>
      <c r="I870" s="7">
        <v>-8.9706731359140389E-3</v>
      </c>
      <c r="J870" s="7">
        <v>-2.1002266734194364E-2</v>
      </c>
      <c r="K870" s="7">
        <v>0</v>
      </c>
      <c r="L870" s="7">
        <v>0</v>
      </c>
      <c r="M870" s="7">
        <v>0</v>
      </c>
      <c r="N870" s="7">
        <v>0</v>
      </c>
      <c r="O870" s="7">
        <v>0</v>
      </c>
      <c r="P870" s="7">
        <v>0</v>
      </c>
    </row>
    <row r="871" spans="1:16" x14ac:dyDescent="0.3">
      <c r="A871" s="1">
        <v>44722</v>
      </c>
      <c r="B871" s="2">
        <v>232.229996</v>
      </c>
      <c r="C871" s="2">
        <v>252.99</v>
      </c>
      <c r="F871" s="1">
        <v>44722</v>
      </c>
      <c r="G871" s="2">
        <f t="shared" si="26"/>
        <v>-3.1687703983663461E-2</v>
      </c>
      <c r="H871" s="2">
        <f t="shared" si="27"/>
        <v>-4.5587096744649072E-2</v>
      </c>
      <c r="I871" s="7">
        <v>-3.1687703983663461E-2</v>
      </c>
      <c r="J871" s="7">
        <v>-4.5587096744649072E-2</v>
      </c>
      <c r="K871" s="7">
        <v>0</v>
      </c>
      <c r="L871" s="7">
        <v>0</v>
      </c>
      <c r="M871" s="7">
        <v>0</v>
      </c>
      <c r="N871" s="7">
        <v>0</v>
      </c>
      <c r="O871" s="7">
        <v>0</v>
      </c>
      <c r="P871" s="7">
        <v>0</v>
      </c>
    </row>
    <row r="872" spans="1:16" x14ac:dyDescent="0.3">
      <c r="A872" s="1">
        <v>44725</v>
      </c>
      <c r="B872" s="2">
        <v>215.73666399999999</v>
      </c>
      <c r="C872" s="2">
        <v>242.26</v>
      </c>
      <c r="F872" s="1">
        <v>44725</v>
      </c>
      <c r="G872" s="2">
        <f t="shared" si="26"/>
        <v>-7.3669726890083373E-2</v>
      </c>
      <c r="H872" s="2">
        <f t="shared" si="27"/>
        <v>-4.3338432666003839E-2</v>
      </c>
      <c r="I872" s="7">
        <v>-7.3669726890083373E-2</v>
      </c>
      <c r="J872" s="7">
        <v>-4.3338432666003839E-2</v>
      </c>
      <c r="K872" s="7">
        <v>0</v>
      </c>
      <c r="L872" s="7">
        <v>0</v>
      </c>
      <c r="M872" s="7">
        <v>0</v>
      </c>
      <c r="N872" s="7">
        <v>0</v>
      </c>
      <c r="O872" s="7">
        <v>0</v>
      </c>
      <c r="P872" s="7">
        <v>0</v>
      </c>
    </row>
    <row r="873" spans="1:16" x14ac:dyDescent="0.3">
      <c r="A873" s="1">
        <v>44726</v>
      </c>
      <c r="B873" s="2">
        <v>220.88999899999999</v>
      </c>
      <c r="C873" s="2">
        <v>244.49</v>
      </c>
      <c r="F873" s="1">
        <v>44726</v>
      </c>
      <c r="G873" s="2">
        <f t="shared" si="26"/>
        <v>2.360631975125024E-2</v>
      </c>
      <c r="H873" s="2">
        <f t="shared" si="27"/>
        <v>9.1628786943501132E-3</v>
      </c>
      <c r="I873" s="7">
        <v>0</v>
      </c>
      <c r="J873" s="7">
        <v>0</v>
      </c>
      <c r="K873" s="7">
        <v>0</v>
      </c>
      <c r="L873" s="7">
        <v>0</v>
      </c>
      <c r="M873" s="7">
        <v>0</v>
      </c>
      <c r="N873" s="7">
        <v>0</v>
      </c>
      <c r="O873" s="7">
        <v>2.360631975125024E-2</v>
      </c>
      <c r="P873" s="7">
        <v>9.1628786943501132E-3</v>
      </c>
    </row>
    <row r="874" spans="1:16" x14ac:dyDescent="0.3">
      <c r="A874" s="1">
        <v>44727</v>
      </c>
      <c r="B874" s="2">
        <v>233</v>
      </c>
      <c r="C874" s="2">
        <v>251.76</v>
      </c>
      <c r="F874" s="1">
        <v>44727</v>
      </c>
      <c r="G874" s="2">
        <f t="shared" si="26"/>
        <v>5.3373618044105627E-2</v>
      </c>
      <c r="H874" s="2">
        <f t="shared" si="27"/>
        <v>2.9301844473145128E-2</v>
      </c>
      <c r="I874" s="7">
        <v>0</v>
      </c>
      <c r="J874" s="7">
        <v>0</v>
      </c>
      <c r="K874" s="7">
        <v>0</v>
      </c>
      <c r="L874" s="7">
        <v>0</v>
      </c>
      <c r="M874" s="7">
        <v>0</v>
      </c>
      <c r="N874" s="7">
        <v>0</v>
      </c>
      <c r="O874" s="7">
        <v>5.3373618044105627E-2</v>
      </c>
      <c r="P874" s="7">
        <v>2.9301844473145128E-2</v>
      </c>
    </row>
    <row r="875" spans="1:16" x14ac:dyDescent="0.3">
      <c r="A875" s="1">
        <v>44728</v>
      </c>
      <c r="B875" s="2">
        <v>213.10000600000001</v>
      </c>
      <c r="C875" s="2">
        <v>244.97</v>
      </c>
      <c r="F875" s="1">
        <v>44728</v>
      </c>
      <c r="G875" s="2">
        <f t="shared" si="26"/>
        <v>-8.9276886305334049E-2</v>
      </c>
      <c r="H875" s="2">
        <f t="shared" si="27"/>
        <v>-2.7340498688504637E-2</v>
      </c>
      <c r="I875" s="7">
        <v>-8.9276886305334049E-2</v>
      </c>
      <c r="J875" s="7">
        <v>-2.7340498688504637E-2</v>
      </c>
      <c r="K875" s="7">
        <v>0</v>
      </c>
      <c r="L875" s="7">
        <v>0</v>
      </c>
      <c r="M875" s="7">
        <v>0</v>
      </c>
      <c r="N875" s="7">
        <v>0</v>
      </c>
      <c r="O875" s="7">
        <v>0</v>
      </c>
      <c r="P875" s="7">
        <v>0</v>
      </c>
    </row>
    <row r="876" spans="1:16" x14ac:dyDescent="0.3">
      <c r="A876" s="1">
        <v>44729</v>
      </c>
      <c r="B876" s="2">
        <v>216.759995</v>
      </c>
      <c r="C876" s="2">
        <v>247.65</v>
      </c>
      <c r="F876" s="1">
        <v>44729</v>
      </c>
      <c r="G876" s="2">
        <f t="shared" si="26"/>
        <v>1.7029160370560268E-2</v>
      </c>
      <c r="H876" s="2">
        <f t="shared" si="27"/>
        <v>1.0880704966600031E-2</v>
      </c>
      <c r="I876" s="7">
        <v>0</v>
      </c>
      <c r="J876" s="7">
        <v>0</v>
      </c>
      <c r="K876" s="7">
        <v>0</v>
      </c>
      <c r="L876" s="7">
        <v>0</v>
      </c>
      <c r="M876" s="7">
        <v>0</v>
      </c>
      <c r="N876" s="7">
        <v>0</v>
      </c>
      <c r="O876" s="7">
        <v>1.7029160370560268E-2</v>
      </c>
      <c r="P876" s="7">
        <v>1.0880704966600031E-2</v>
      </c>
    </row>
    <row r="877" spans="1:16" x14ac:dyDescent="0.3">
      <c r="A877" s="1">
        <v>44733</v>
      </c>
      <c r="B877" s="2">
        <v>237.03666699999999</v>
      </c>
      <c r="C877" s="2">
        <v>253.74</v>
      </c>
      <c r="F877" s="1">
        <v>44733</v>
      </c>
      <c r="G877" s="2">
        <f t="shared" si="26"/>
        <v>8.9424114617538936E-2</v>
      </c>
      <c r="H877" s="2">
        <f t="shared" si="27"/>
        <v>2.4293661678205607E-2</v>
      </c>
      <c r="I877" s="7">
        <v>0</v>
      </c>
      <c r="J877" s="7">
        <v>0</v>
      </c>
      <c r="K877" s="7">
        <v>0</v>
      </c>
      <c r="L877" s="7">
        <v>0</v>
      </c>
      <c r="M877" s="7">
        <v>0</v>
      </c>
      <c r="N877" s="7">
        <v>0</v>
      </c>
      <c r="O877" s="7">
        <v>8.9424114617538936E-2</v>
      </c>
      <c r="P877" s="7">
        <v>2.4293661678205607E-2</v>
      </c>
    </row>
    <row r="878" spans="1:16" x14ac:dyDescent="0.3">
      <c r="A878" s="1">
        <v>44734</v>
      </c>
      <c r="B878" s="2">
        <v>236.08667</v>
      </c>
      <c r="C878" s="2">
        <v>253.13</v>
      </c>
      <c r="F878" s="1">
        <v>44734</v>
      </c>
      <c r="G878" s="2">
        <f t="shared" si="26"/>
        <v>-4.0158588783632768E-3</v>
      </c>
      <c r="H878" s="2">
        <f t="shared" si="27"/>
        <v>-2.4069299603185837E-3</v>
      </c>
      <c r="I878" s="7">
        <v>-4.0158588783632768E-3</v>
      </c>
      <c r="J878" s="7">
        <v>-2.4069299603185837E-3</v>
      </c>
      <c r="K878" s="7">
        <v>0</v>
      </c>
      <c r="L878" s="7">
        <v>0</v>
      </c>
      <c r="M878" s="7">
        <v>0</v>
      </c>
      <c r="N878" s="7">
        <v>0</v>
      </c>
      <c r="O878" s="7">
        <v>0</v>
      </c>
      <c r="P878" s="7">
        <v>0</v>
      </c>
    </row>
    <row r="879" spans="1:16" x14ac:dyDescent="0.3">
      <c r="A879" s="1">
        <v>44735</v>
      </c>
      <c r="B879" s="2">
        <v>235.070007</v>
      </c>
      <c r="C879" s="2">
        <v>258.86</v>
      </c>
      <c r="F879" s="1">
        <v>44735</v>
      </c>
      <c r="G879" s="2">
        <f t="shared" si="26"/>
        <v>-4.3156114623120381E-3</v>
      </c>
      <c r="H879" s="2">
        <f t="shared" si="27"/>
        <v>2.2384184262158456E-2</v>
      </c>
      <c r="I879" s="7">
        <v>0</v>
      </c>
      <c r="J879" s="7">
        <v>0</v>
      </c>
      <c r="K879" s="7">
        <v>0</v>
      </c>
      <c r="L879" s="7">
        <v>0</v>
      </c>
      <c r="M879" s="7">
        <v>-4.3156114623120381E-3</v>
      </c>
      <c r="N879" s="7">
        <v>2.2384184262158456E-2</v>
      </c>
      <c r="O879" s="7">
        <v>0</v>
      </c>
      <c r="P879" s="7">
        <v>0</v>
      </c>
    </row>
    <row r="880" spans="1:16" x14ac:dyDescent="0.3">
      <c r="A880" s="1">
        <v>44736</v>
      </c>
      <c r="B880" s="2">
        <v>245.70666499999999</v>
      </c>
      <c r="C880" s="2">
        <v>267.7</v>
      </c>
      <c r="F880" s="1">
        <v>44736</v>
      </c>
      <c r="G880" s="2">
        <f t="shared" si="26"/>
        <v>4.425503382855072E-2</v>
      </c>
      <c r="H880" s="2">
        <f t="shared" si="27"/>
        <v>3.3579575512014549E-2</v>
      </c>
      <c r="I880" s="7">
        <v>0</v>
      </c>
      <c r="J880" s="7">
        <v>0</v>
      </c>
      <c r="K880" s="7">
        <v>0</v>
      </c>
      <c r="L880" s="7">
        <v>0</v>
      </c>
      <c r="M880" s="7">
        <v>0</v>
      </c>
      <c r="N880" s="7">
        <v>0</v>
      </c>
      <c r="O880" s="7">
        <v>4.425503382855072E-2</v>
      </c>
      <c r="P880" s="7">
        <v>3.3579575512014549E-2</v>
      </c>
    </row>
    <row r="881" spans="1:16" x14ac:dyDescent="0.3">
      <c r="A881" s="1">
        <v>44739</v>
      </c>
      <c r="B881" s="2">
        <v>244.91999799999999</v>
      </c>
      <c r="C881" s="2">
        <v>264.89</v>
      </c>
      <c r="F881" s="1">
        <v>44739</v>
      </c>
      <c r="G881" s="2">
        <f t="shared" si="26"/>
        <v>-3.2067872925190801E-3</v>
      </c>
      <c r="H881" s="2">
        <f t="shared" si="27"/>
        <v>-1.0552305055210758E-2</v>
      </c>
      <c r="I881" s="7">
        <v>-3.2067872925190801E-3</v>
      </c>
      <c r="J881" s="7">
        <v>-1.0552305055210758E-2</v>
      </c>
      <c r="K881" s="7">
        <v>0</v>
      </c>
      <c r="L881" s="7">
        <v>0</v>
      </c>
      <c r="M881" s="7">
        <v>0</v>
      </c>
      <c r="N881" s="7">
        <v>0</v>
      </c>
      <c r="O881" s="7">
        <v>0</v>
      </c>
      <c r="P881" s="7">
        <v>0</v>
      </c>
    </row>
    <row r="882" spans="1:16" x14ac:dyDescent="0.3">
      <c r="A882" s="1">
        <v>44740</v>
      </c>
      <c r="B882" s="2">
        <v>232.66333</v>
      </c>
      <c r="C882" s="2">
        <v>256.48</v>
      </c>
      <c r="F882" s="1">
        <v>44740</v>
      </c>
      <c r="G882" s="2">
        <f t="shared" si="26"/>
        <v>-5.133914542660397E-2</v>
      </c>
      <c r="H882" s="2">
        <f t="shared" si="27"/>
        <v>-3.2263956609853053E-2</v>
      </c>
      <c r="I882" s="7">
        <v>-5.133914542660397E-2</v>
      </c>
      <c r="J882" s="7">
        <v>-3.2263956609853053E-2</v>
      </c>
      <c r="K882" s="7">
        <v>0</v>
      </c>
      <c r="L882" s="7">
        <v>0</v>
      </c>
      <c r="M882" s="7">
        <v>0</v>
      </c>
      <c r="N882" s="7">
        <v>0</v>
      </c>
      <c r="O882" s="7">
        <v>0</v>
      </c>
      <c r="P882" s="7">
        <v>0</v>
      </c>
    </row>
    <row r="883" spans="1:16" x14ac:dyDescent="0.3">
      <c r="A883" s="1">
        <v>44741</v>
      </c>
      <c r="B883" s="2">
        <v>228.490005</v>
      </c>
      <c r="C883" s="2">
        <v>260.26</v>
      </c>
      <c r="F883" s="1">
        <v>44741</v>
      </c>
      <c r="G883" s="2">
        <f t="shared" si="26"/>
        <v>-1.8100005433969498E-2</v>
      </c>
      <c r="H883" s="2">
        <f t="shared" si="27"/>
        <v>1.4630442487368323E-2</v>
      </c>
      <c r="I883" s="7">
        <v>0</v>
      </c>
      <c r="J883" s="7">
        <v>0</v>
      </c>
      <c r="K883" s="7">
        <v>0</v>
      </c>
      <c r="L883" s="7">
        <v>0</v>
      </c>
      <c r="M883" s="7">
        <v>-1.8100005433969498E-2</v>
      </c>
      <c r="N883" s="7">
        <v>1.4630442487368323E-2</v>
      </c>
      <c r="O883" s="7">
        <v>0</v>
      </c>
      <c r="P883" s="7">
        <v>0</v>
      </c>
    </row>
    <row r="884" spans="1:16" x14ac:dyDescent="0.3">
      <c r="A884" s="1">
        <v>44742</v>
      </c>
      <c r="B884" s="2">
        <v>224.47332800000001</v>
      </c>
      <c r="C884" s="2">
        <v>256.83</v>
      </c>
      <c r="F884" s="1">
        <v>44742</v>
      </c>
      <c r="G884" s="2">
        <f t="shared" si="26"/>
        <v>-1.7735573695039496E-2</v>
      </c>
      <c r="H884" s="2">
        <f t="shared" si="27"/>
        <v>-1.3266743926107254E-2</v>
      </c>
      <c r="I884" s="7">
        <v>-1.7735573695039496E-2</v>
      </c>
      <c r="J884" s="7">
        <v>-1.3266743926107254E-2</v>
      </c>
      <c r="K884" s="7">
        <v>0</v>
      </c>
      <c r="L884" s="7">
        <v>0</v>
      </c>
      <c r="M884" s="7">
        <v>0</v>
      </c>
      <c r="N884" s="7">
        <v>0</v>
      </c>
      <c r="O884" s="7">
        <v>0</v>
      </c>
      <c r="P884" s="7">
        <v>0</v>
      </c>
    </row>
    <row r="885" spans="1:16" x14ac:dyDescent="0.3">
      <c r="A885" s="1">
        <v>44743</v>
      </c>
      <c r="B885" s="2">
        <v>227.26333600000001</v>
      </c>
      <c r="C885" s="2">
        <v>259.58</v>
      </c>
      <c r="F885" s="1">
        <v>44743</v>
      </c>
      <c r="G885" s="2">
        <f t="shared" si="26"/>
        <v>1.2352521715951815E-2</v>
      </c>
      <c r="H885" s="2">
        <f t="shared" si="27"/>
        <v>1.0650552837108888E-2</v>
      </c>
      <c r="I885" s="7">
        <v>0</v>
      </c>
      <c r="J885" s="7">
        <v>0</v>
      </c>
      <c r="K885" s="7">
        <v>0</v>
      </c>
      <c r="L885" s="7">
        <v>0</v>
      </c>
      <c r="M885" s="7">
        <v>0</v>
      </c>
      <c r="N885" s="7">
        <v>0</v>
      </c>
      <c r="O885" s="7">
        <v>1.2352521715951815E-2</v>
      </c>
      <c r="P885" s="7">
        <v>1.0650552837108888E-2</v>
      </c>
    </row>
    <row r="886" spans="1:16" x14ac:dyDescent="0.3">
      <c r="A886" s="1">
        <v>44747</v>
      </c>
      <c r="B886" s="2">
        <v>233.066666</v>
      </c>
      <c r="C886" s="2">
        <v>262.85000000000002</v>
      </c>
      <c r="F886" s="1">
        <v>44747</v>
      </c>
      <c r="G886" s="2">
        <f t="shared" si="26"/>
        <v>2.5215117208643337E-2</v>
      </c>
      <c r="H886" s="2">
        <f t="shared" si="27"/>
        <v>1.2518587005844331E-2</v>
      </c>
      <c r="I886" s="7">
        <v>0</v>
      </c>
      <c r="J886" s="7">
        <v>0</v>
      </c>
      <c r="K886" s="7">
        <v>0</v>
      </c>
      <c r="L886" s="7">
        <v>0</v>
      </c>
      <c r="M886" s="7">
        <v>0</v>
      </c>
      <c r="N886" s="7">
        <v>0</v>
      </c>
      <c r="O886" s="7">
        <v>2.5215117208643337E-2</v>
      </c>
      <c r="P886" s="7">
        <v>1.2518587005844331E-2</v>
      </c>
    </row>
    <row r="887" spans="1:16" x14ac:dyDescent="0.3">
      <c r="A887" s="1">
        <v>44748</v>
      </c>
      <c r="B887" s="2">
        <v>231.73333700000001</v>
      </c>
      <c r="C887" s="2">
        <v>266.20999999999998</v>
      </c>
      <c r="F887" s="1">
        <v>44748</v>
      </c>
      <c r="G887" s="2">
        <f t="shared" si="26"/>
        <v>-5.7372317069467578E-3</v>
      </c>
      <c r="H887" s="2">
        <f t="shared" si="27"/>
        <v>1.2701943730024361E-2</v>
      </c>
      <c r="I887" s="7">
        <v>0</v>
      </c>
      <c r="J887" s="7">
        <v>0</v>
      </c>
      <c r="K887" s="7">
        <v>0</v>
      </c>
      <c r="L887" s="7">
        <v>0</v>
      </c>
      <c r="M887" s="7">
        <v>-5.7372317069467578E-3</v>
      </c>
      <c r="N887" s="7">
        <v>1.2701943730024361E-2</v>
      </c>
      <c r="O887" s="7">
        <v>0</v>
      </c>
      <c r="P887" s="7">
        <v>0</v>
      </c>
    </row>
    <row r="888" spans="1:16" x14ac:dyDescent="0.3">
      <c r="A888" s="1">
        <v>44749</v>
      </c>
      <c r="B888" s="2">
        <v>244.54333500000001</v>
      </c>
      <c r="C888" s="2">
        <v>268.39999999999998</v>
      </c>
      <c r="F888" s="1">
        <v>44749</v>
      </c>
      <c r="G888" s="2">
        <f t="shared" si="26"/>
        <v>5.3805231367850585E-2</v>
      </c>
      <c r="H888" s="2">
        <f t="shared" si="27"/>
        <v>8.192934102045038E-3</v>
      </c>
      <c r="I888" s="7">
        <v>0</v>
      </c>
      <c r="J888" s="7">
        <v>0</v>
      </c>
      <c r="K888" s="7">
        <v>0</v>
      </c>
      <c r="L888" s="7">
        <v>0</v>
      </c>
      <c r="M888" s="7">
        <v>0</v>
      </c>
      <c r="N888" s="7">
        <v>0</v>
      </c>
      <c r="O888" s="7">
        <v>5.3805231367850585E-2</v>
      </c>
      <c r="P888" s="7">
        <v>8.192934102045038E-3</v>
      </c>
    </row>
    <row r="889" spans="1:16" x14ac:dyDescent="0.3">
      <c r="A889" s="1">
        <v>44750</v>
      </c>
      <c r="B889" s="2">
        <v>250.76333600000001</v>
      </c>
      <c r="C889" s="2">
        <v>267.66000000000003</v>
      </c>
      <c r="F889" s="1">
        <v>44750</v>
      </c>
      <c r="G889" s="2">
        <f t="shared" si="26"/>
        <v>2.5117077400754709E-2</v>
      </c>
      <c r="H889" s="2">
        <f t="shared" si="27"/>
        <v>-2.7608867292982044E-3</v>
      </c>
      <c r="I889" s="7">
        <v>0</v>
      </c>
      <c r="J889" s="7">
        <v>0</v>
      </c>
      <c r="K889" s="7">
        <v>2.5117077400754709E-2</v>
      </c>
      <c r="L889" s="7">
        <v>-2.7608867292982044E-3</v>
      </c>
      <c r="M889" s="7">
        <v>0</v>
      </c>
      <c r="N889" s="7">
        <v>0</v>
      </c>
      <c r="O889" s="7">
        <v>0</v>
      </c>
      <c r="P889" s="7">
        <v>0</v>
      </c>
    </row>
    <row r="890" spans="1:16" x14ac:dyDescent="0.3">
      <c r="A890" s="1">
        <v>44753</v>
      </c>
      <c r="B890" s="2">
        <v>234.34333799999999</v>
      </c>
      <c r="C890" s="2">
        <v>264.51</v>
      </c>
      <c r="F890" s="1">
        <v>44753</v>
      </c>
      <c r="G890" s="2">
        <f t="shared" si="26"/>
        <v>-6.7722313475425192E-2</v>
      </c>
      <c r="H890" s="2">
        <f t="shared" si="27"/>
        <v>-1.1838460601183144E-2</v>
      </c>
      <c r="I890" s="7">
        <v>-6.7722313475425192E-2</v>
      </c>
      <c r="J890" s="7">
        <v>-1.1838460601183144E-2</v>
      </c>
      <c r="K890" s="7">
        <v>0</v>
      </c>
      <c r="L890" s="7">
        <v>0</v>
      </c>
      <c r="M890" s="7">
        <v>0</v>
      </c>
      <c r="N890" s="7">
        <v>0</v>
      </c>
      <c r="O890" s="7">
        <v>0</v>
      </c>
      <c r="P890" s="7">
        <v>0</v>
      </c>
    </row>
    <row r="891" spans="1:16" x14ac:dyDescent="0.3">
      <c r="A891" s="1">
        <v>44754</v>
      </c>
      <c r="B891" s="2">
        <v>233.070007</v>
      </c>
      <c r="C891" s="2">
        <v>253.67</v>
      </c>
      <c r="F891" s="1">
        <v>44754</v>
      </c>
      <c r="G891" s="2">
        <f t="shared" si="26"/>
        <v>-5.4484287347031056E-3</v>
      </c>
      <c r="H891" s="2">
        <f t="shared" si="27"/>
        <v>-4.1844848055338411E-2</v>
      </c>
      <c r="I891" s="7">
        <v>-5.4484287347031056E-3</v>
      </c>
      <c r="J891" s="7">
        <v>-4.1844848055338411E-2</v>
      </c>
      <c r="K891" s="7">
        <v>0</v>
      </c>
      <c r="L891" s="7">
        <v>0</v>
      </c>
      <c r="M891" s="7">
        <v>0</v>
      </c>
      <c r="N891" s="7">
        <v>0</v>
      </c>
      <c r="O891" s="7">
        <v>0</v>
      </c>
      <c r="P891" s="7">
        <v>0</v>
      </c>
    </row>
    <row r="892" spans="1:16" x14ac:dyDescent="0.3">
      <c r="A892" s="1">
        <v>44755</v>
      </c>
      <c r="B892" s="2">
        <v>237.03999300000001</v>
      </c>
      <c r="C892" s="2">
        <v>252.72</v>
      </c>
      <c r="F892" s="1">
        <v>44755</v>
      </c>
      <c r="G892" s="2">
        <f t="shared" si="26"/>
        <v>1.6890006070094419E-2</v>
      </c>
      <c r="H892" s="2">
        <f t="shared" si="27"/>
        <v>-3.7520532178771529E-3</v>
      </c>
      <c r="I892" s="7">
        <v>0</v>
      </c>
      <c r="J892" s="7">
        <v>0</v>
      </c>
      <c r="K892" s="7">
        <v>1.6890006070094419E-2</v>
      </c>
      <c r="L892" s="7">
        <v>-3.7520532178771529E-3</v>
      </c>
      <c r="M892" s="7">
        <v>0</v>
      </c>
      <c r="N892" s="7">
        <v>0</v>
      </c>
      <c r="O892" s="7">
        <v>0</v>
      </c>
      <c r="P892" s="7">
        <v>0</v>
      </c>
    </row>
    <row r="893" spans="1:16" x14ac:dyDescent="0.3">
      <c r="A893" s="1">
        <v>44756</v>
      </c>
      <c r="B893" s="2">
        <v>238.31333900000001</v>
      </c>
      <c r="C893" s="2">
        <v>254.08</v>
      </c>
      <c r="F893" s="1">
        <v>44756</v>
      </c>
      <c r="G893" s="2">
        <f t="shared" si="26"/>
        <v>5.3574844646207221E-3</v>
      </c>
      <c r="H893" s="2">
        <f t="shared" si="27"/>
        <v>5.3670215649412687E-3</v>
      </c>
      <c r="I893" s="7">
        <v>0</v>
      </c>
      <c r="J893" s="7">
        <v>0</v>
      </c>
      <c r="K893" s="7">
        <v>0</v>
      </c>
      <c r="L893" s="7">
        <v>0</v>
      </c>
      <c r="M893" s="7">
        <v>0</v>
      </c>
      <c r="N893" s="7">
        <v>0</v>
      </c>
      <c r="O893" s="7">
        <v>5.3574844646207221E-3</v>
      </c>
      <c r="P893" s="7">
        <v>5.3670215649412687E-3</v>
      </c>
    </row>
    <row r="894" spans="1:16" x14ac:dyDescent="0.3">
      <c r="A894" s="1">
        <v>44757</v>
      </c>
      <c r="B894" s="2">
        <v>240.066666</v>
      </c>
      <c r="C894" s="2">
        <v>256.72000000000003</v>
      </c>
      <c r="F894" s="1">
        <v>44757</v>
      </c>
      <c r="G894" s="2">
        <f t="shared" si="26"/>
        <v>7.3303015706094711E-3</v>
      </c>
      <c r="H894" s="2">
        <f t="shared" si="27"/>
        <v>1.0336818742830604E-2</v>
      </c>
      <c r="I894" s="7">
        <v>0</v>
      </c>
      <c r="J894" s="7">
        <v>0</v>
      </c>
      <c r="K894" s="7">
        <v>0</v>
      </c>
      <c r="L894" s="7">
        <v>0</v>
      </c>
      <c r="M894" s="7">
        <v>0</v>
      </c>
      <c r="N894" s="7">
        <v>0</v>
      </c>
      <c r="O894" s="7">
        <v>7.3303015706094711E-3</v>
      </c>
      <c r="P894" s="7">
        <v>1.0336818742830604E-2</v>
      </c>
    </row>
    <row r="895" spans="1:16" x14ac:dyDescent="0.3">
      <c r="A895" s="1">
        <v>44760</v>
      </c>
      <c r="B895" s="2">
        <v>240.546661</v>
      </c>
      <c r="C895" s="2">
        <v>254.25</v>
      </c>
      <c r="F895" s="1">
        <v>44760</v>
      </c>
      <c r="G895" s="2">
        <f t="shared" si="26"/>
        <v>1.9974275893810817E-3</v>
      </c>
      <c r="H895" s="2">
        <f t="shared" si="27"/>
        <v>-9.6679618729322448E-3</v>
      </c>
      <c r="I895" s="7">
        <v>0</v>
      </c>
      <c r="J895" s="7">
        <v>0</v>
      </c>
      <c r="K895" s="7">
        <v>1.9974275893810817E-3</v>
      </c>
      <c r="L895" s="7">
        <v>-9.6679618729322448E-3</v>
      </c>
      <c r="M895" s="7">
        <v>0</v>
      </c>
      <c r="N895" s="7">
        <v>0</v>
      </c>
      <c r="O895" s="7">
        <v>0</v>
      </c>
      <c r="P895" s="7">
        <v>0</v>
      </c>
    </row>
    <row r="896" spans="1:16" x14ac:dyDescent="0.3">
      <c r="A896" s="1">
        <v>44761</v>
      </c>
      <c r="B896" s="2">
        <v>245.529999</v>
      </c>
      <c r="C896" s="2">
        <v>259.52999999999997</v>
      </c>
      <c r="F896" s="1">
        <v>44761</v>
      </c>
      <c r="G896" s="2">
        <f t="shared" si="26"/>
        <v>2.050504792961929E-2</v>
      </c>
      <c r="H896" s="2">
        <f t="shared" si="27"/>
        <v>2.0554267931723158E-2</v>
      </c>
      <c r="I896" s="7">
        <v>0</v>
      </c>
      <c r="J896" s="7">
        <v>0</v>
      </c>
      <c r="K896" s="7">
        <v>0</v>
      </c>
      <c r="L896" s="7">
        <v>0</v>
      </c>
      <c r="M896" s="7">
        <v>0</v>
      </c>
      <c r="N896" s="7">
        <v>0</v>
      </c>
      <c r="O896" s="7">
        <v>2.050504792961929E-2</v>
      </c>
      <c r="P896" s="7">
        <v>2.0554267931723158E-2</v>
      </c>
    </row>
    <row r="897" spans="1:16" x14ac:dyDescent="0.3">
      <c r="A897" s="1">
        <v>44762</v>
      </c>
      <c r="B897" s="2">
        <v>247.5</v>
      </c>
      <c r="C897" s="2">
        <v>262.27</v>
      </c>
      <c r="F897" s="1">
        <v>44762</v>
      </c>
      <c r="G897" s="2">
        <f t="shared" si="26"/>
        <v>7.9914467200856796E-3</v>
      </c>
      <c r="H897" s="2">
        <f t="shared" si="27"/>
        <v>1.050220461585271E-2</v>
      </c>
      <c r="I897" s="7">
        <v>0</v>
      </c>
      <c r="J897" s="7">
        <v>0</v>
      </c>
      <c r="K897" s="7">
        <v>0</v>
      </c>
      <c r="L897" s="7">
        <v>0</v>
      </c>
      <c r="M897" s="7">
        <v>0</v>
      </c>
      <c r="N897" s="7">
        <v>0</v>
      </c>
      <c r="O897" s="7">
        <v>7.9914467200856796E-3</v>
      </c>
      <c r="P897" s="7">
        <v>1.050220461585271E-2</v>
      </c>
    </row>
    <row r="898" spans="1:16" x14ac:dyDescent="0.3">
      <c r="A898" s="1">
        <v>44763</v>
      </c>
      <c r="B898" s="2">
        <v>271.70666499999999</v>
      </c>
      <c r="C898" s="2">
        <v>264.83999999999997</v>
      </c>
      <c r="F898" s="1">
        <v>44763</v>
      </c>
      <c r="G898" s="2">
        <f t="shared" si="26"/>
        <v>9.3312464855109065E-2</v>
      </c>
      <c r="H898" s="2">
        <f t="shared" si="27"/>
        <v>9.7513625803999828E-3</v>
      </c>
      <c r="I898" s="7">
        <v>0</v>
      </c>
      <c r="J898" s="7">
        <v>0</v>
      </c>
      <c r="K898" s="7">
        <v>0</v>
      </c>
      <c r="L898" s="7">
        <v>0</v>
      </c>
      <c r="M898" s="7">
        <v>0</v>
      </c>
      <c r="N898" s="7">
        <v>0</v>
      </c>
      <c r="O898" s="7">
        <v>9.3312464855109065E-2</v>
      </c>
      <c r="P898" s="7">
        <v>9.7513625803999828E-3</v>
      </c>
    </row>
    <row r="899" spans="1:16" x14ac:dyDescent="0.3">
      <c r="A899" s="1">
        <v>44764</v>
      </c>
      <c r="B899" s="2">
        <v>272.24334700000003</v>
      </c>
      <c r="C899" s="2">
        <v>260.36</v>
      </c>
      <c r="F899" s="1">
        <v>44764</v>
      </c>
      <c r="G899" s="2">
        <f t="shared" si="26"/>
        <v>1.9732775523699131E-3</v>
      </c>
      <c r="H899" s="2">
        <f t="shared" si="27"/>
        <v>-1.7060581352458623E-2</v>
      </c>
      <c r="I899" s="7">
        <v>0</v>
      </c>
      <c r="J899" s="7">
        <v>0</v>
      </c>
      <c r="K899" s="7">
        <v>1.9732775523699131E-3</v>
      </c>
      <c r="L899" s="7">
        <v>-1.7060581352458623E-2</v>
      </c>
      <c r="M899" s="7">
        <v>0</v>
      </c>
      <c r="N899" s="7">
        <v>0</v>
      </c>
      <c r="O899" s="7">
        <v>0</v>
      </c>
      <c r="P899" s="7">
        <v>0</v>
      </c>
    </row>
    <row r="900" spans="1:16" x14ac:dyDescent="0.3">
      <c r="A900" s="1">
        <v>44767</v>
      </c>
      <c r="B900" s="2">
        <v>268.43331899999998</v>
      </c>
      <c r="C900" s="2">
        <v>258.83</v>
      </c>
      <c r="F900" s="1">
        <v>44767</v>
      </c>
      <c r="G900" s="2">
        <f t="shared" si="26"/>
        <v>-1.4093787679085734E-2</v>
      </c>
      <c r="H900" s="2">
        <f t="shared" si="27"/>
        <v>-5.8938131665450463E-3</v>
      </c>
      <c r="I900" s="7">
        <v>-1.4093787679085734E-2</v>
      </c>
      <c r="J900" s="7">
        <v>-5.8938131665450463E-3</v>
      </c>
      <c r="K900" s="7">
        <v>0</v>
      </c>
      <c r="L900" s="7">
        <v>0</v>
      </c>
      <c r="M900" s="7">
        <v>0</v>
      </c>
      <c r="N900" s="7">
        <v>0</v>
      </c>
      <c r="O900" s="7">
        <v>0</v>
      </c>
      <c r="P900" s="7">
        <v>0</v>
      </c>
    </row>
    <row r="901" spans="1:16" x14ac:dyDescent="0.3">
      <c r="A901" s="1">
        <v>44768</v>
      </c>
      <c r="B901" s="2">
        <v>258.85998499999999</v>
      </c>
      <c r="C901" s="2">
        <v>251.9</v>
      </c>
      <c r="F901" s="1">
        <v>44768</v>
      </c>
      <c r="G901" s="2">
        <f t="shared" si="26"/>
        <v>-3.6315219669228092E-2</v>
      </c>
      <c r="H901" s="2">
        <f t="shared" si="27"/>
        <v>-2.7139292179077037E-2</v>
      </c>
      <c r="I901" s="7">
        <v>-3.6315219669228092E-2</v>
      </c>
      <c r="J901" s="7">
        <v>-2.7139292179077037E-2</v>
      </c>
      <c r="K901" s="7">
        <v>0</v>
      </c>
      <c r="L901" s="7">
        <v>0</v>
      </c>
      <c r="M901" s="7">
        <v>0</v>
      </c>
      <c r="N901" s="7">
        <v>0</v>
      </c>
      <c r="O901" s="7">
        <v>0</v>
      </c>
      <c r="P901" s="7">
        <v>0</v>
      </c>
    </row>
    <row r="902" spans="1:16" x14ac:dyDescent="0.3">
      <c r="A902" s="1">
        <v>44769</v>
      </c>
      <c r="B902" s="2">
        <v>274.82000699999998</v>
      </c>
      <c r="C902" s="2">
        <v>268.74</v>
      </c>
      <c r="F902" s="1">
        <v>44769</v>
      </c>
      <c r="G902" s="2">
        <f t="shared" ref="G902:G965" si="28">LN(B902/B901)</f>
        <v>5.98290463069353E-2</v>
      </c>
      <c r="H902" s="2">
        <f t="shared" ref="H902:H965" si="29">LN(C902/C901)</f>
        <v>6.4712186088699289E-2</v>
      </c>
      <c r="I902" s="7">
        <v>0</v>
      </c>
      <c r="J902" s="7">
        <v>0</v>
      </c>
      <c r="K902" s="7">
        <v>0</v>
      </c>
      <c r="L902" s="7">
        <v>0</v>
      </c>
      <c r="M902" s="7">
        <v>0</v>
      </c>
      <c r="N902" s="7">
        <v>0</v>
      </c>
      <c r="O902" s="7">
        <v>5.98290463069353E-2</v>
      </c>
      <c r="P902" s="7">
        <v>6.4712186088699289E-2</v>
      </c>
    </row>
    <row r="903" spans="1:16" x14ac:dyDescent="0.3">
      <c r="A903" s="1">
        <v>44770</v>
      </c>
      <c r="B903" s="2">
        <v>280.89999399999999</v>
      </c>
      <c r="C903" s="2">
        <v>276.41000000000003</v>
      </c>
      <c r="F903" s="1">
        <v>44770</v>
      </c>
      <c r="G903" s="2">
        <f t="shared" si="28"/>
        <v>2.1882349375437801E-2</v>
      </c>
      <c r="H903" s="2">
        <f t="shared" si="29"/>
        <v>2.8140901241863057E-2</v>
      </c>
      <c r="I903" s="7">
        <v>0</v>
      </c>
      <c r="J903" s="7">
        <v>0</v>
      </c>
      <c r="K903" s="7">
        <v>0</v>
      </c>
      <c r="L903" s="7">
        <v>0</v>
      </c>
      <c r="M903" s="7">
        <v>0</v>
      </c>
      <c r="N903" s="7">
        <v>0</v>
      </c>
      <c r="O903" s="7">
        <v>2.1882349375437801E-2</v>
      </c>
      <c r="P903" s="7">
        <v>2.8140901241863057E-2</v>
      </c>
    </row>
    <row r="904" spans="1:16" x14ac:dyDescent="0.3">
      <c r="A904" s="1">
        <v>44771</v>
      </c>
      <c r="B904" s="2">
        <v>297.14999399999999</v>
      </c>
      <c r="C904" s="2">
        <v>280.74</v>
      </c>
      <c r="F904" s="1">
        <v>44771</v>
      </c>
      <c r="G904" s="2">
        <f t="shared" si="28"/>
        <v>5.6238328870564021E-2</v>
      </c>
      <c r="H904" s="2">
        <f t="shared" si="29"/>
        <v>1.5543703417053157E-2</v>
      </c>
      <c r="I904" s="7">
        <v>0</v>
      </c>
      <c r="J904" s="7">
        <v>0</v>
      </c>
      <c r="K904" s="7">
        <v>0</v>
      </c>
      <c r="L904" s="7">
        <v>0</v>
      </c>
      <c r="M904" s="7">
        <v>0</v>
      </c>
      <c r="N904" s="7">
        <v>0</v>
      </c>
      <c r="O904" s="7">
        <v>5.6238328870564021E-2</v>
      </c>
      <c r="P904" s="7">
        <v>1.5543703417053157E-2</v>
      </c>
    </row>
    <row r="905" spans="1:16" x14ac:dyDescent="0.3">
      <c r="A905" s="1">
        <v>44774</v>
      </c>
      <c r="B905" s="2">
        <v>297.27667200000002</v>
      </c>
      <c r="C905" s="2">
        <v>278.01</v>
      </c>
      <c r="F905" s="1">
        <v>44774</v>
      </c>
      <c r="G905" s="2">
        <f t="shared" si="28"/>
        <v>4.2621910881015217E-4</v>
      </c>
      <c r="H905" s="2">
        <f t="shared" si="29"/>
        <v>-9.7718898394702214E-3</v>
      </c>
      <c r="I905" s="7">
        <v>0</v>
      </c>
      <c r="J905" s="7">
        <v>0</v>
      </c>
      <c r="K905" s="7">
        <v>4.2621910881015217E-4</v>
      </c>
      <c r="L905" s="7">
        <v>-9.7718898394702214E-3</v>
      </c>
      <c r="M905" s="7">
        <v>0</v>
      </c>
      <c r="N905" s="7">
        <v>0</v>
      </c>
      <c r="O905" s="7">
        <v>0</v>
      </c>
      <c r="P905" s="7">
        <v>0</v>
      </c>
    </row>
    <row r="906" spans="1:16" x14ac:dyDescent="0.3">
      <c r="A906" s="1">
        <v>44775</v>
      </c>
      <c r="B906" s="2">
        <v>300.58667000000003</v>
      </c>
      <c r="C906" s="2">
        <v>274.82</v>
      </c>
      <c r="F906" s="1">
        <v>44775</v>
      </c>
      <c r="G906" s="2">
        <f t="shared" si="28"/>
        <v>1.1072870961918942E-2</v>
      </c>
      <c r="H906" s="2">
        <f t="shared" si="29"/>
        <v>-1.1540746363081363E-2</v>
      </c>
      <c r="I906" s="7">
        <v>0</v>
      </c>
      <c r="J906" s="7">
        <v>0</v>
      </c>
      <c r="K906" s="7">
        <v>1.1072870961918942E-2</v>
      </c>
      <c r="L906" s="7">
        <v>-1.1540746363081363E-2</v>
      </c>
      <c r="M906" s="7">
        <v>0</v>
      </c>
      <c r="N906" s="7">
        <v>0</v>
      </c>
      <c r="O906" s="7">
        <v>0</v>
      </c>
      <c r="P906" s="7">
        <v>0</v>
      </c>
    </row>
    <row r="907" spans="1:16" x14ac:dyDescent="0.3">
      <c r="A907" s="1">
        <v>44776</v>
      </c>
      <c r="B907" s="2">
        <v>307.39666699999998</v>
      </c>
      <c r="C907" s="2">
        <v>282.47000000000003</v>
      </c>
      <c r="F907" s="1">
        <v>44776</v>
      </c>
      <c r="G907" s="2">
        <f t="shared" si="28"/>
        <v>2.2402856803715537E-2</v>
      </c>
      <c r="H907" s="2">
        <f t="shared" si="29"/>
        <v>2.7456012353546548E-2</v>
      </c>
      <c r="I907" s="7">
        <v>0</v>
      </c>
      <c r="J907" s="7">
        <v>0</v>
      </c>
      <c r="K907" s="7">
        <v>0</v>
      </c>
      <c r="L907" s="7">
        <v>0</v>
      </c>
      <c r="M907" s="7">
        <v>0</v>
      </c>
      <c r="N907" s="7">
        <v>0</v>
      </c>
      <c r="O907" s="7">
        <v>2.2402856803715537E-2</v>
      </c>
      <c r="P907" s="7">
        <v>2.7456012353546548E-2</v>
      </c>
    </row>
    <row r="908" spans="1:16" x14ac:dyDescent="0.3">
      <c r="A908" s="1">
        <v>44777</v>
      </c>
      <c r="B908" s="2">
        <v>308.633331</v>
      </c>
      <c r="C908" s="2">
        <v>283.64999999999998</v>
      </c>
      <c r="F908" s="1">
        <v>44777</v>
      </c>
      <c r="G908" s="2">
        <f t="shared" si="28"/>
        <v>4.0149527303883362E-3</v>
      </c>
      <c r="H908" s="2">
        <f t="shared" si="29"/>
        <v>4.1687335154011835E-3</v>
      </c>
      <c r="I908" s="7">
        <v>0</v>
      </c>
      <c r="J908" s="7">
        <v>0</v>
      </c>
      <c r="K908" s="7">
        <v>0</v>
      </c>
      <c r="L908" s="7">
        <v>0</v>
      </c>
      <c r="M908" s="7">
        <v>0</v>
      </c>
      <c r="N908" s="7">
        <v>0</v>
      </c>
      <c r="O908" s="7">
        <v>4.0149527303883362E-3</v>
      </c>
      <c r="P908" s="7">
        <v>4.1687335154011835E-3</v>
      </c>
    </row>
    <row r="909" spans="1:16" x14ac:dyDescent="0.3">
      <c r="A909" s="1">
        <v>44778</v>
      </c>
      <c r="B909" s="2">
        <v>288.17001299999998</v>
      </c>
      <c r="C909" s="2">
        <v>282.91000000000003</v>
      </c>
      <c r="F909" s="1">
        <v>44778</v>
      </c>
      <c r="G909" s="2">
        <f t="shared" si="28"/>
        <v>-6.8603312345098658E-2</v>
      </c>
      <c r="H909" s="2">
        <f t="shared" si="29"/>
        <v>-2.6122579102179923E-3</v>
      </c>
      <c r="I909" s="7">
        <v>-6.8603312345098658E-2</v>
      </c>
      <c r="J909" s="7">
        <v>-2.6122579102179923E-3</v>
      </c>
      <c r="K909" s="7">
        <v>0</v>
      </c>
      <c r="L909" s="7">
        <v>0</v>
      </c>
      <c r="M909" s="7">
        <v>0</v>
      </c>
      <c r="N909" s="7">
        <v>0</v>
      </c>
      <c r="O909" s="7">
        <v>0</v>
      </c>
      <c r="P909" s="7">
        <v>0</v>
      </c>
    </row>
    <row r="910" spans="1:16" x14ac:dyDescent="0.3">
      <c r="A910" s="1">
        <v>44781</v>
      </c>
      <c r="B910" s="2">
        <v>290.42334</v>
      </c>
      <c r="C910" s="2">
        <v>280.32</v>
      </c>
      <c r="F910" s="1">
        <v>44781</v>
      </c>
      <c r="G910" s="2">
        <f t="shared" si="28"/>
        <v>7.7890227412380246E-3</v>
      </c>
      <c r="H910" s="2">
        <f t="shared" si="29"/>
        <v>-9.1970181143315923E-3</v>
      </c>
      <c r="I910" s="7">
        <v>0</v>
      </c>
      <c r="J910" s="7">
        <v>0</v>
      </c>
      <c r="K910" s="7">
        <v>7.7890227412380246E-3</v>
      </c>
      <c r="L910" s="7">
        <v>-9.1970181143315923E-3</v>
      </c>
      <c r="M910" s="7">
        <v>0</v>
      </c>
      <c r="N910" s="7">
        <v>0</v>
      </c>
      <c r="O910" s="7">
        <v>0</v>
      </c>
      <c r="P910" s="7">
        <v>0</v>
      </c>
    </row>
    <row r="911" spans="1:16" x14ac:dyDescent="0.3">
      <c r="A911" s="1">
        <v>44782</v>
      </c>
      <c r="B911" s="2">
        <v>283.33334400000001</v>
      </c>
      <c r="C911" s="2">
        <v>282.3</v>
      </c>
      <c r="F911" s="1">
        <v>44782</v>
      </c>
      <c r="G911" s="2">
        <f t="shared" si="28"/>
        <v>-2.4715553158508687E-2</v>
      </c>
      <c r="H911" s="2">
        <f t="shared" si="29"/>
        <v>7.0385275114170451E-3</v>
      </c>
      <c r="I911" s="7">
        <v>0</v>
      </c>
      <c r="J911" s="7">
        <v>0</v>
      </c>
      <c r="K911" s="7">
        <v>0</v>
      </c>
      <c r="L911" s="7">
        <v>0</v>
      </c>
      <c r="M911" s="7">
        <v>-2.4715553158508687E-2</v>
      </c>
      <c r="N911" s="7">
        <v>7.0385275114170451E-3</v>
      </c>
      <c r="O911" s="7">
        <v>0</v>
      </c>
      <c r="P911" s="7">
        <v>0</v>
      </c>
    </row>
    <row r="912" spans="1:16" x14ac:dyDescent="0.3">
      <c r="A912" s="1">
        <v>44783</v>
      </c>
      <c r="B912" s="2">
        <v>294.35665899999998</v>
      </c>
      <c r="C912" s="2">
        <v>289.16000000000003</v>
      </c>
      <c r="F912" s="1">
        <v>44783</v>
      </c>
      <c r="G912" s="2">
        <f t="shared" si="28"/>
        <v>3.8168059483114539E-2</v>
      </c>
      <c r="H912" s="2">
        <f t="shared" si="29"/>
        <v>2.4009832872652865E-2</v>
      </c>
      <c r="I912" s="7">
        <v>0</v>
      </c>
      <c r="J912" s="7">
        <v>0</v>
      </c>
      <c r="K912" s="7">
        <v>0</v>
      </c>
      <c r="L912" s="7">
        <v>0</v>
      </c>
      <c r="M912" s="7">
        <v>0</v>
      </c>
      <c r="N912" s="7">
        <v>0</v>
      </c>
      <c r="O912" s="7">
        <v>3.8168059483114539E-2</v>
      </c>
      <c r="P912" s="7">
        <v>2.4009832872652865E-2</v>
      </c>
    </row>
    <row r="913" spans="1:16" x14ac:dyDescent="0.3">
      <c r="A913" s="1">
        <v>44784</v>
      </c>
      <c r="B913" s="2">
        <v>286.63000499999998</v>
      </c>
      <c r="C913" s="2">
        <v>287.02</v>
      </c>
      <c r="F913" s="1">
        <v>44784</v>
      </c>
      <c r="G913" s="2">
        <f t="shared" si="28"/>
        <v>-2.6599955080428977E-2</v>
      </c>
      <c r="H913" s="2">
        <f t="shared" si="29"/>
        <v>-7.4282683893107391E-3</v>
      </c>
      <c r="I913" s="7">
        <v>-2.6599955080428977E-2</v>
      </c>
      <c r="J913" s="7">
        <v>-7.4282683893107391E-3</v>
      </c>
      <c r="K913" s="7">
        <v>0</v>
      </c>
      <c r="L913" s="7">
        <v>0</v>
      </c>
      <c r="M913" s="7">
        <v>0</v>
      </c>
      <c r="N913" s="7">
        <v>0</v>
      </c>
      <c r="O913" s="7">
        <v>0</v>
      </c>
      <c r="P913" s="7">
        <v>0</v>
      </c>
    </row>
    <row r="914" spans="1:16" x14ac:dyDescent="0.3">
      <c r="A914" s="1">
        <v>44785</v>
      </c>
      <c r="B914" s="2">
        <v>300.02999899999998</v>
      </c>
      <c r="C914" s="2">
        <v>291.91000000000003</v>
      </c>
      <c r="F914" s="1">
        <v>44785</v>
      </c>
      <c r="G914" s="2">
        <f t="shared" si="28"/>
        <v>4.569026345753819E-2</v>
      </c>
      <c r="H914" s="2">
        <f t="shared" si="29"/>
        <v>1.6893635838120518E-2</v>
      </c>
      <c r="I914" s="7">
        <v>0</v>
      </c>
      <c r="J914" s="7">
        <v>0</v>
      </c>
      <c r="K914" s="7">
        <v>0</v>
      </c>
      <c r="L914" s="7">
        <v>0</v>
      </c>
      <c r="M914" s="7">
        <v>0</v>
      </c>
      <c r="N914" s="7">
        <v>0</v>
      </c>
      <c r="O914" s="7">
        <v>4.569026345753819E-2</v>
      </c>
      <c r="P914" s="7">
        <v>1.6893635838120518E-2</v>
      </c>
    </row>
    <row r="915" spans="1:16" x14ac:dyDescent="0.3">
      <c r="A915" s="1">
        <v>44788</v>
      </c>
      <c r="B915" s="2">
        <v>309.32000699999998</v>
      </c>
      <c r="C915" s="2">
        <v>293.47000000000003</v>
      </c>
      <c r="F915" s="1">
        <v>44788</v>
      </c>
      <c r="G915" s="2">
        <f t="shared" si="28"/>
        <v>3.0493896047585865E-2</v>
      </c>
      <c r="H915" s="2">
        <f t="shared" si="29"/>
        <v>5.3298838122049679E-3</v>
      </c>
      <c r="I915" s="7">
        <v>0</v>
      </c>
      <c r="J915" s="7">
        <v>0</v>
      </c>
      <c r="K915" s="7">
        <v>0</v>
      </c>
      <c r="L915" s="7">
        <v>0</v>
      </c>
      <c r="M915" s="7">
        <v>0</v>
      </c>
      <c r="N915" s="7">
        <v>0</v>
      </c>
      <c r="O915" s="7">
        <v>3.0493896047585865E-2</v>
      </c>
      <c r="P915" s="7">
        <v>5.3298838122049679E-3</v>
      </c>
    </row>
    <row r="916" spans="1:16" x14ac:dyDescent="0.3">
      <c r="A916" s="1">
        <v>44789</v>
      </c>
      <c r="B916" s="2">
        <v>306.56332400000002</v>
      </c>
      <c r="C916" s="2">
        <v>292.70999999999998</v>
      </c>
      <c r="F916" s="1">
        <v>44789</v>
      </c>
      <c r="G916" s="2">
        <f t="shared" si="28"/>
        <v>-8.952024745529228E-3</v>
      </c>
      <c r="H916" s="2">
        <f t="shared" si="29"/>
        <v>-2.5930616051429507E-3</v>
      </c>
      <c r="I916" s="7">
        <v>-8.952024745529228E-3</v>
      </c>
      <c r="J916" s="7">
        <v>-2.5930616051429507E-3</v>
      </c>
      <c r="K916" s="7">
        <v>0</v>
      </c>
      <c r="L916" s="7">
        <v>0</v>
      </c>
      <c r="M916" s="7">
        <v>0</v>
      </c>
      <c r="N916" s="7">
        <v>0</v>
      </c>
      <c r="O916" s="7">
        <v>0</v>
      </c>
      <c r="P916" s="7">
        <v>0</v>
      </c>
    </row>
    <row r="917" spans="1:16" x14ac:dyDescent="0.3">
      <c r="A917" s="1">
        <v>44790</v>
      </c>
      <c r="B917" s="2">
        <v>303.99667399999998</v>
      </c>
      <c r="C917" s="2">
        <v>291.32</v>
      </c>
      <c r="F917" s="1">
        <v>44790</v>
      </c>
      <c r="G917" s="2">
        <f t="shared" si="28"/>
        <v>-8.4075770686937463E-3</v>
      </c>
      <c r="H917" s="2">
        <f t="shared" si="29"/>
        <v>-4.7600384382539178E-3</v>
      </c>
      <c r="I917" s="7">
        <v>-8.4075770686937463E-3</v>
      </c>
      <c r="J917" s="7">
        <v>-4.7600384382539178E-3</v>
      </c>
      <c r="K917" s="7">
        <v>0</v>
      </c>
      <c r="L917" s="7">
        <v>0</v>
      </c>
      <c r="M917" s="7">
        <v>0</v>
      </c>
      <c r="N917" s="7">
        <v>0</v>
      </c>
      <c r="O917" s="7">
        <v>0</v>
      </c>
      <c r="P917" s="7">
        <v>0</v>
      </c>
    </row>
    <row r="918" spans="1:16" x14ac:dyDescent="0.3">
      <c r="A918" s="1">
        <v>44791</v>
      </c>
      <c r="B918" s="2">
        <v>302.86999500000002</v>
      </c>
      <c r="C918" s="2">
        <v>290.17</v>
      </c>
      <c r="F918" s="1">
        <v>44791</v>
      </c>
      <c r="G918" s="2">
        <f t="shared" si="28"/>
        <v>-3.7131065257927035E-3</v>
      </c>
      <c r="H918" s="2">
        <f t="shared" si="29"/>
        <v>-3.9553612247874006E-3</v>
      </c>
      <c r="I918" s="7">
        <v>-3.7131065257927035E-3</v>
      </c>
      <c r="J918" s="7">
        <v>-3.9553612247874006E-3</v>
      </c>
      <c r="K918" s="7">
        <v>0</v>
      </c>
      <c r="L918" s="7">
        <v>0</v>
      </c>
      <c r="M918" s="7">
        <v>0</v>
      </c>
      <c r="N918" s="7">
        <v>0</v>
      </c>
      <c r="O918" s="7">
        <v>0</v>
      </c>
      <c r="P918" s="7">
        <v>0</v>
      </c>
    </row>
    <row r="919" spans="1:16" x14ac:dyDescent="0.3">
      <c r="A919" s="1">
        <v>44792</v>
      </c>
      <c r="B919" s="2">
        <v>296.66665599999999</v>
      </c>
      <c r="C919" s="2">
        <v>286.14999999999998</v>
      </c>
      <c r="F919" s="1">
        <v>44792</v>
      </c>
      <c r="G919" s="2">
        <f t="shared" si="28"/>
        <v>-2.0694515928085497E-2</v>
      </c>
      <c r="H919" s="2">
        <f t="shared" si="29"/>
        <v>-1.3950809269815763E-2</v>
      </c>
      <c r="I919" s="7">
        <v>-2.0694515928085497E-2</v>
      </c>
      <c r="J919" s="7">
        <v>-1.3950809269815763E-2</v>
      </c>
      <c r="K919" s="7">
        <v>0</v>
      </c>
      <c r="L919" s="7">
        <v>0</v>
      </c>
      <c r="M919" s="7">
        <v>0</v>
      </c>
      <c r="N919" s="7">
        <v>0</v>
      </c>
      <c r="O919" s="7">
        <v>0</v>
      </c>
      <c r="P919" s="7">
        <v>0</v>
      </c>
    </row>
    <row r="920" spans="1:16" x14ac:dyDescent="0.3">
      <c r="A920" s="1">
        <v>44795</v>
      </c>
      <c r="B920" s="2">
        <v>289.91332999999997</v>
      </c>
      <c r="C920" s="2">
        <v>277.75</v>
      </c>
      <c r="F920" s="1">
        <v>44795</v>
      </c>
      <c r="G920" s="2">
        <f t="shared" si="28"/>
        <v>-2.3027121859633015E-2</v>
      </c>
      <c r="H920" s="2">
        <f t="shared" si="29"/>
        <v>-2.9794720335371786E-2</v>
      </c>
      <c r="I920" s="7">
        <v>-2.3027121859633015E-2</v>
      </c>
      <c r="J920" s="7">
        <v>-2.9794720335371786E-2</v>
      </c>
      <c r="K920" s="7">
        <v>0</v>
      </c>
      <c r="L920" s="7">
        <v>0</v>
      </c>
      <c r="M920" s="7">
        <v>0</v>
      </c>
      <c r="N920" s="7">
        <v>0</v>
      </c>
      <c r="O920" s="7">
        <v>0</v>
      </c>
      <c r="P920" s="7">
        <v>0</v>
      </c>
    </row>
    <row r="921" spans="1:16" x14ac:dyDescent="0.3">
      <c r="A921" s="1">
        <v>44796</v>
      </c>
      <c r="B921" s="2">
        <v>296.45333900000003</v>
      </c>
      <c r="C921" s="2">
        <v>276.44</v>
      </c>
      <c r="F921" s="1">
        <v>44796</v>
      </c>
      <c r="G921" s="2">
        <f t="shared" si="28"/>
        <v>2.2307817128732914E-2</v>
      </c>
      <c r="H921" s="2">
        <f t="shared" si="29"/>
        <v>-4.7276292965457867E-3</v>
      </c>
      <c r="I921" s="7">
        <v>0</v>
      </c>
      <c r="J921" s="7">
        <v>0</v>
      </c>
      <c r="K921" s="7">
        <v>2.2307817128732914E-2</v>
      </c>
      <c r="L921" s="7">
        <v>-4.7276292965457867E-3</v>
      </c>
      <c r="M921" s="7">
        <v>0</v>
      </c>
      <c r="N921" s="7">
        <v>0</v>
      </c>
      <c r="O921" s="7">
        <v>0</v>
      </c>
      <c r="P921" s="7">
        <v>0</v>
      </c>
    </row>
    <row r="922" spans="1:16" x14ac:dyDescent="0.3">
      <c r="A922" s="1">
        <v>44797</v>
      </c>
      <c r="B922" s="2">
        <v>297.09667999999999</v>
      </c>
      <c r="C922" s="2">
        <v>275.79000000000002</v>
      </c>
      <c r="F922" s="1">
        <v>44797</v>
      </c>
      <c r="G922" s="2">
        <f t="shared" si="28"/>
        <v>2.167774345348632E-3</v>
      </c>
      <c r="H922" s="2">
        <f t="shared" si="29"/>
        <v>-2.3540926794204851E-3</v>
      </c>
      <c r="I922" s="7">
        <v>0</v>
      </c>
      <c r="J922" s="7">
        <v>0</v>
      </c>
      <c r="K922" s="7">
        <v>2.167774345348632E-3</v>
      </c>
      <c r="L922" s="7">
        <v>-2.3540926794204851E-3</v>
      </c>
      <c r="M922" s="7">
        <v>0</v>
      </c>
      <c r="N922" s="7">
        <v>0</v>
      </c>
      <c r="O922" s="7">
        <v>0</v>
      </c>
      <c r="P922" s="7">
        <v>0</v>
      </c>
    </row>
    <row r="923" spans="1:16" x14ac:dyDescent="0.3">
      <c r="A923" s="1">
        <v>44798</v>
      </c>
      <c r="B923" s="2">
        <v>296.07000699999998</v>
      </c>
      <c r="C923" s="2">
        <v>278.85000000000002</v>
      </c>
      <c r="F923" s="1">
        <v>44798</v>
      </c>
      <c r="G923" s="2">
        <f t="shared" si="28"/>
        <v>-3.4616712223850825E-3</v>
      </c>
      <c r="H923" s="2">
        <f t="shared" si="29"/>
        <v>1.1034296291789666E-2</v>
      </c>
      <c r="I923" s="7">
        <v>0</v>
      </c>
      <c r="J923" s="7">
        <v>0</v>
      </c>
      <c r="K923" s="7">
        <v>0</v>
      </c>
      <c r="L923" s="7">
        <v>0</v>
      </c>
      <c r="M923" s="7">
        <v>-3.4616712223850825E-3</v>
      </c>
      <c r="N923" s="7">
        <v>1.1034296291789666E-2</v>
      </c>
      <c r="O923" s="7">
        <v>0</v>
      </c>
      <c r="P923" s="7">
        <v>0</v>
      </c>
    </row>
    <row r="924" spans="1:16" x14ac:dyDescent="0.3">
      <c r="A924" s="1">
        <v>44799</v>
      </c>
      <c r="B924" s="2">
        <v>288.08999599999999</v>
      </c>
      <c r="C924" s="2">
        <v>268.08999999999997</v>
      </c>
      <c r="F924" s="1">
        <v>44799</v>
      </c>
      <c r="G924" s="2">
        <f t="shared" si="28"/>
        <v>-2.7323019061641623E-2</v>
      </c>
      <c r="H924" s="2">
        <f t="shared" si="29"/>
        <v>-3.935125780439977E-2</v>
      </c>
      <c r="I924" s="7">
        <v>-2.7323019061641623E-2</v>
      </c>
      <c r="J924" s="7">
        <v>-3.935125780439977E-2</v>
      </c>
      <c r="K924" s="7">
        <v>0</v>
      </c>
      <c r="L924" s="7">
        <v>0</v>
      </c>
      <c r="M924" s="7">
        <v>0</v>
      </c>
      <c r="N924" s="7">
        <v>0</v>
      </c>
      <c r="O924" s="7">
        <v>0</v>
      </c>
      <c r="P924" s="7">
        <v>0</v>
      </c>
    </row>
    <row r="925" spans="1:16" x14ac:dyDescent="0.3">
      <c r="A925" s="1">
        <v>44802</v>
      </c>
      <c r="B925" s="2">
        <v>284.82000699999998</v>
      </c>
      <c r="C925" s="2">
        <v>265.23</v>
      </c>
      <c r="F925" s="1">
        <v>44802</v>
      </c>
      <c r="G925" s="2">
        <f t="shared" si="28"/>
        <v>-1.1415491065233905E-2</v>
      </c>
      <c r="H925" s="2">
        <f t="shared" si="29"/>
        <v>-1.0725370945340151E-2</v>
      </c>
      <c r="I925" s="7">
        <v>-1.1415491065233905E-2</v>
      </c>
      <c r="J925" s="7">
        <v>-1.0725370945340151E-2</v>
      </c>
      <c r="K925" s="7">
        <v>0</v>
      </c>
      <c r="L925" s="7">
        <v>0</v>
      </c>
      <c r="M925" s="7">
        <v>0</v>
      </c>
      <c r="N925" s="7">
        <v>0</v>
      </c>
      <c r="O925" s="7">
        <v>0</v>
      </c>
      <c r="P925" s="7">
        <v>0</v>
      </c>
    </row>
    <row r="926" spans="1:16" x14ac:dyDescent="0.3">
      <c r="A926" s="1">
        <v>44803</v>
      </c>
      <c r="B926" s="2">
        <v>277.70001200000002</v>
      </c>
      <c r="C926" s="2">
        <v>262.97000000000003</v>
      </c>
      <c r="F926" s="1">
        <v>44803</v>
      </c>
      <c r="G926" s="2">
        <f t="shared" si="28"/>
        <v>-2.5315988843354696E-2</v>
      </c>
      <c r="H926" s="2">
        <f t="shared" si="29"/>
        <v>-8.5574168554222486E-3</v>
      </c>
      <c r="I926" s="7">
        <v>-2.5315988843354696E-2</v>
      </c>
      <c r="J926" s="7">
        <v>-8.5574168554222486E-3</v>
      </c>
      <c r="K926" s="7">
        <v>0</v>
      </c>
      <c r="L926" s="7">
        <v>0</v>
      </c>
      <c r="M926" s="7">
        <v>0</v>
      </c>
      <c r="N926" s="7">
        <v>0</v>
      </c>
      <c r="O926" s="7">
        <v>0</v>
      </c>
      <c r="P926" s="7">
        <v>0</v>
      </c>
    </row>
    <row r="927" spans="1:16" x14ac:dyDescent="0.3">
      <c r="A927" s="1">
        <v>44804</v>
      </c>
      <c r="B927" s="2">
        <v>275.60998499999999</v>
      </c>
      <c r="C927" s="2">
        <v>261.47000000000003</v>
      </c>
      <c r="F927" s="1">
        <v>44804</v>
      </c>
      <c r="G927" s="2">
        <f t="shared" si="28"/>
        <v>-7.5546689980996902E-3</v>
      </c>
      <c r="H927" s="2">
        <f t="shared" si="29"/>
        <v>-5.7204030599273571E-3</v>
      </c>
      <c r="I927" s="7">
        <v>-7.5546689980996902E-3</v>
      </c>
      <c r="J927" s="7">
        <v>-5.7204030599273571E-3</v>
      </c>
      <c r="K927" s="7">
        <v>0</v>
      </c>
      <c r="L927" s="7">
        <v>0</v>
      </c>
      <c r="M927" s="7">
        <v>0</v>
      </c>
      <c r="N927" s="7">
        <v>0</v>
      </c>
      <c r="O927" s="7">
        <v>0</v>
      </c>
      <c r="P927" s="7">
        <v>0</v>
      </c>
    </row>
    <row r="928" spans="1:16" x14ac:dyDescent="0.3">
      <c r="A928" s="1">
        <v>44805</v>
      </c>
      <c r="B928" s="2">
        <v>277.16000400000001</v>
      </c>
      <c r="C928" s="2">
        <v>260.39999999999998</v>
      </c>
      <c r="F928" s="1">
        <v>44805</v>
      </c>
      <c r="G928" s="2">
        <f t="shared" si="28"/>
        <v>5.6082026645247508E-3</v>
      </c>
      <c r="H928" s="2">
        <f t="shared" si="29"/>
        <v>-4.1006438360591075E-3</v>
      </c>
      <c r="I928" s="7">
        <v>0</v>
      </c>
      <c r="J928" s="7">
        <v>0</v>
      </c>
      <c r="K928" s="7">
        <v>5.6082026645247508E-3</v>
      </c>
      <c r="L928" s="7">
        <v>-4.1006438360591075E-3</v>
      </c>
      <c r="M928" s="7">
        <v>0</v>
      </c>
      <c r="N928" s="7">
        <v>0</v>
      </c>
      <c r="O928" s="7">
        <v>0</v>
      </c>
      <c r="P928" s="7">
        <v>0</v>
      </c>
    </row>
    <row r="929" spans="1:16" x14ac:dyDescent="0.3">
      <c r="A929" s="1">
        <v>44806</v>
      </c>
      <c r="B929" s="2">
        <v>270.209991</v>
      </c>
      <c r="C929" s="2">
        <v>256.06</v>
      </c>
      <c r="F929" s="1">
        <v>44806</v>
      </c>
      <c r="G929" s="2">
        <f t="shared" si="28"/>
        <v>-2.5395570034944456E-2</v>
      </c>
      <c r="H929" s="2">
        <f t="shared" si="29"/>
        <v>-1.6807118316381174E-2</v>
      </c>
      <c r="I929" s="7">
        <v>-2.5395570034944456E-2</v>
      </c>
      <c r="J929" s="7">
        <v>-1.6807118316381174E-2</v>
      </c>
      <c r="K929" s="7">
        <v>0</v>
      </c>
      <c r="L929" s="7">
        <v>0</v>
      </c>
      <c r="M929" s="7">
        <v>0</v>
      </c>
      <c r="N929" s="7">
        <v>0</v>
      </c>
      <c r="O929" s="7">
        <v>0</v>
      </c>
      <c r="P929" s="7">
        <v>0</v>
      </c>
    </row>
    <row r="930" spans="1:16" x14ac:dyDescent="0.3">
      <c r="A930" s="1">
        <v>44810</v>
      </c>
      <c r="B930" s="2">
        <v>274.42001299999998</v>
      </c>
      <c r="C930" s="2">
        <v>253.25</v>
      </c>
      <c r="F930" s="1">
        <v>44810</v>
      </c>
      <c r="G930" s="2">
        <f t="shared" si="28"/>
        <v>1.5460425709335437E-2</v>
      </c>
      <c r="H930" s="2">
        <f t="shared" si="29"/>
        <v>-1.103464888924017E-2</v>
      </c>
      <c r="I930" s="7">
        <v>0</v>
      </c>
      <c r="J930" s="7">
        <v>0</v>
      </c>
      <c r="K930" s="7">
        <v>1.5460425709335437E-2</v>
      </c>
      <c r="L930" s="7">
        <v>-1.103464888924017E-2</v>
      </c>
      <c r="M930" s="7">
        <v>0</v>
      </c>
      <c r="N930" s="7">
        <v>0</v>
      </c>
      <c r="O930" s="7">
        <v>0</v>
      </c>
      <c r="P930" s="7">
        <v>0</v>
      </c>
    </row>
    <row r="931" spans="1:16" x14ac:dyDescent="0.3">
      <c r="A931" s="1">
        <v>44811</v>
      </c>
      <c r="B931" s="2">
        <v>283.70001200000002</v>
      </c>
      <c r="C931" s="2">
        <v>258.08999999999997</v>
      </c>
      <c r="F931" s="1">
        <v>44811</v>
      </c>
      <c r="G931" s="2">
        <f t="shared" si="28"/>
        <v>3.3257557247338643E-2</v>
      </c>
      <c r="H931" s="2">
        <f t="shared" si="29"/>
        <v>1.8931218172573695E-2</v>
      </c>
      <c r="I931" s="7">
        <v>0</v>
      </c>
      <c r="J931" s="7">
        <v>0</v>
      </c>
      <c r="K931" s="7">
        <v>0</v>
      </c>
      <c r="L931" s="7">
        <v>0</v>
      </c>
      <c r="M931" s="7">
        <v>0</v>
      </c>
      <c r="N931" s="7">
        <v>0</v>
      </c>
      <c r="O931" s="7">
        <v>3.3257557247338643E-2</v>
      </c>
      <c r="P931" s="7">
        <v>1.8931218172573695E-2</v>
      </c>
    </row>
    <row r="932" spans="1:16" x14ac:dyDescent="0.3">
      <c r="A932" s="1">
        <v>44812</v>
      </c>
      <c r="B932" s="2">
        <v>289.26001000000002</v>
      </c>
      <c r="C932" s="2">
        <v>258.52</v>
      </c>
      <c r="F932" s="1">
        <v>44812</v>
      </c>
      <c r="G932" s="2">
        <f t="shared" si="28"/>
        <v>1.9408588103552549E-2</v>
      </c>
      <c r="H932" s="2">
        <f t="shared" si="29"/>
        <v>1.6646990933283736E-3</v>
      </c>
      <c r="I932" s="7">
        <v>0</v>
      </c>
      <c r="J932" s="7">
        <v>0</v>
      </c>
      <c r="K932" s="7">
        <v>0</v>
      </c>
      <c r="L932" s="7">
        <v>0</v>
      </c>
      <c r="M932" s="7">
        <v>0</v>
      </c>
      <c r="N932" s="7">
        <v>0</v>
      </c>
      <c r="O932" s="7">
        <v>1.9408588103552549E-2</v>
      </c>
      <c r="P932" s="7">
        <v>1.6646990933283736E-3</v>
      </c>
    </row>
    <row r="933" spans="1:16" x14ac:dyDescent="0.3">
      <c r="A933" s="1">
        <v>44813</v>
      </c>
      <c r="B933" s="2">
        <v>299.67999300000002</v>
      </c>
      <c r="C933" s="2">
        <v>264.45999999999998</v>
      </c>
      <c r="F933" s="1">
        <v>44813</v>
      </c>
      <c r="G933" s="2">
        <f t="shared" si="28"/>
        <v>3.5389243120969804E-2</v>
      </c>
      <c r="H933" s="2">
        <f t="shared" si="29"/>
        <v>2.2716950733982184E-2</v>
      </c>
      <c r="I933" s="7">
        <v>0</v>
      </c>
      <c r="J933" s="7">
        <v>0</v>
      </c>
      <c r="K933" s="7">
        <v>0</v>
      </c>
      <c r="L933" s="7">
        <v>0</v>
      </c>
      <c r="M933" s="7">
        <v>0</v>
      </c>
      <c r="N933" s="7">
        <v>0</v>
      </c>
      <c r="O933" s="7">
        <v>3.5389243120969804E-2</v>
      </c>
      <c r="P933" s="7">
        <v>2.2716950733982184E-2</v>
      </c>
    </row>
    <row r="934" spans="1:16" x14ac:dyDescent="0.3">
      <c r="A934" s="1">
        <v>44816</v>
      </c>
      <c r="B934" s="2">
        <v>304.42001299999998</v>
      </c>
      <c r="C934" s="2">
        <v>266.64999999999998</v>
      </c>
      <c r="F934" s="1">
        <v>44816</v>
      </c>
      <c r="G934" s="2">
        <f t="shared" si="28"/>
        <v>1.5693154218149024E-2</v>
      </c>
      <c r="H934" s="2">
        <f t="shared" si="29"/>
        <v>8.2469259179344546E-3</v>
      </c>
      <c r="I934" s="7">
        <v>0</v>
      </c>
      <c r="J934" s="7">
        <v>0</v>
      </c>
      <c r="K934" s="7">
        <v>0</v>
      </c>
      <c r="L934" s="7">
        <v>0</v>
      </c>
      <c r="M934" s="7">
        <v>0</v>
      </c>
      <c r="N934" s="7">
        <v>0</v>
      </c>
      <c r="O934" s="7">
        <v>1.5693154218149024E-2</v>
      </c>
      <c r="P934" s="7">
        <v>8.2469259179344546E-3</v>
      </c>
    </row>
    <row r="935" spans="1:16" x14ac:dyDescent="0.3">
      <c r="A935" s="1">
        <v>44817</v>
      </c>
      <c r="B935" s="2">
        <v>292.13000499999998</v>
      </c>
      <c r="C935" s="2">
        <v>251.99</v>
      </c>
      <c r="F935" s="1">
        <v>44817</v>
      </c>
      <c r="G935" s="2">
        <f t="shared" si="28"/>
        <v>-4.1209443766832089E-2</v>
      </c>
      <c r="H935" s="2">
        <f t="shared" si="29"/>
        <v>-5.6547532862243129E-2</v>
      </c>
      <c r="I935" s="7">
        <v>-4.1209443766832089E-2</v>
      </c>
      <c r="J935" s="7">
        <v>-5.6547532862243129E-2</v>
      </c>
      <c r="K935" s="7">
        <v>0</v>
      </c>
      <c r="L935" s="7">
        <v>0</v>
      </c>
      <c r="M935" s="7">
        <v>0</v>
      </c>
      <c r="N935" s="7">
        <v>0</v>
      </c>
      <c r="O935" s="7">
        <v>0</v>
      </c>
      <c r="P935" s="7">
        <v>0</v>
      </c>
    </row>
    <row r="936" spans="1:16" x14ac:dyDescent="0.3">
      <c r="A936" s="1">
        <v>44818</v>
      </c>
      <c r="B936" s="2">
        <v>302.60998499999999</v>
      </c>
      <c r="C936" s="2">
        <v>252.22</v>
      </c>
      <c r="F936" s="1">
        <v>44818</v>
      </c>
      <c r="G936" s="2">
        <f t="shared" si="28"/>
        <v>3.5245872377254198E-2</v>
      </c>
      <c r="H936" s="2">
        <f t="shared" si="29"/>
        <v>9.1231834336034001E-4</v>
      </c>
      <c r="I936" s="7">
        <v>0</v>
      </c>
      <c r="J936" s="7">
        <v>0</v>
      </c>
      <c r="K936" s="7">
        <v>0</v>
      </c>
      <c r="L936" s="7">
        <v>0</v>
      </c>
      <c r="M936" s="7">
        <v>0</v>
      </c>
      <c r="N936" s="7">
        <v>0</v>
      </c>
      <c r="O936" s="7">
        <v>3.5245872377254198E-2</v>
      </c>
      <c r="P936" s="7">
        <v>9.1231834336034001E-4</v>
      </c>
    </row>
    <row r="937" spans="1:16" x14ac:dyDescent="0.3">
      <c r="A937" s="1">
        <v>44819</v>
      </c>
      <c r="B937" s="2">
        <v>303.75</v>
      </c>
      <c r="C937" s="2">
        <v>245.38</v>
      </c>
      <c r="F937" s="1">
        <v>44819</v>
      </c>
      <c r="G937" s="2">
        <f t="shared" si="28"/>
        <v>3.7601964886575415E-3</v>
      </c>
      <c r="H937" s="2">
        <f t="shared" si="29"/>
        <v>-2.7493693164691652E-2</v>
      </c>
      <c r="I937" s="7">
        <v>0</v>
      </c>
      <c r="J937" s="7">
        <v>0</v>
      </c>
      <c r="K937" s="7">
        <v>3.7601964886575415E-3</v>
      </c>
      <c r="L937" s="7">
        <v>-2.7493693164691652E-2</v>
      </c>
      <c r="M937" s="7">
        <v>0</v>
      </c>
      <c r="N937" s="7">
        <v>0</v>
      </c>
      <c r="O937" s="7">
        <v>0</v>
      </c>
      <c r="P937" s="7">
        <v>0</v>
      </c>
    </row>
    <row r="938" spans="1:16" x14ac:dyDescent="0.3">
      <c r="A938" s="1">
        <v>44820</v>
      </c>
      <c r="B938" s="2">
        <v>303.35000600000001</v>
      </c>
      <c r="C938" s="2">
        <v>244.74</v>
      </c>
      <c r="F938" s="1">
        <v>44820</v>
      </c>
      <c r="G938" s="2">
        <f t="shared" si="28"/>
        <v>-1.3177204873185448E-3</v>
      </c>
      <c r="H938" s="2">
        <f t="shared" si="29"/>
        <v>-2.6116068055146244E-3</v>
      </c>
      <c r="I938" s="7">
        <v>-1.3177204873185448E-3</v>
      </c>
      <c r="J938" s="7">
        <v>-2.6116068055146244E-3</v>
      </c>
      <c r="K938" s="7">
        <v>0</v>
      </c>
      <c r="L938" s="7">
        <v>0</v>
      </c>
      <c r="M938" s="7">
        <v>0</v>
      </c>
      <c r="N938" s="7">
        <v>0</v>
      </c>
      <c r="O938" s="7">
        <v>0</v>
      </c>
      <c r="P938" s="7">
        <v>0</v>
      </c>
    </row>
    <row r="939" spans="1:16" x14ac:dyDescent="0.3">
      <c r="A939" s="1">
        <v>44823</v>
      </c>
      <c r="B939" s="2">
        <v>309.07000699999998</v>
      </c>
      <c r="C939" s="2">
        <v>244.52</v>
      </c>
      <c r="F939" s="1">
        <v>44823</v>
      </c>
      <c r="G939" s="2">
        <f t="shared" si="28"/>
        <v>1.8680536940044085E-2</v>
      </c>
      <c r="H939" s="2">
        <f t="shared" si="29"/>
        <v>-8.9931739699737915E-4</v>
      </c>
      <c r="I939" s="7">
        <v>0</v>
      </c>
      <c r="J939" s="7">
        <v>0</v>
      </c>
      <c r="K939" s="7">
        <v>1.8680536940044085E-2</v>
      </c>
      <c r="L939" s="7">
        <v>-8.9931739699737915E-4</v>
      </c>
      <c r="M939" s="7">
        <v>0</v>
      </c>
      <c r="N939" s="7">
        <v>0</v>
      </c>
      <c r="O939" s="7">
        <v>0</v>
      </c>
      <c r="P939" s="7">
        <v>0</v>
      </c>
    </row>
    <row r="940" spans="1:16" x14ac:dyDescent="0.3">
      <c r="A940" s="1">
        <v>44824</v>
      </c>
      <c r="B940" s="2">
        <v>308.73001099999999</v>
      </c>
      <c r="C940" s="2">
        <v>242.45</v>
      </c>
      <c r="F940" s="1">
        <v>44824</v>
      </c>
      <c r="G940" s="2">
        <f t="shared" si="28"/>
        <v>-1.1006669615360369E-3</v>
      </c>
      <c r="H940" s="2">
        <f t="shared" si="29"/>
        <v>-8.5016016091634724E-3</v>
      </c>
      <c r="I940" s="7">
        <v>-1.1006669615360369E-3</v>
      </c>
      <c r="J940" s="7">
        <v>-8.5016016091634724E-3</v>
      </c>
      <c r="K940" s="7">
        <v>0</v>
      </c>
      <c r="L940" s="7">
        <v>0</v>
      </c>
      <c r="M940" s="7">
        <v>0</v>
      </c>
      <c r="N940" s="7">
        <v>0</v>
      </c>
      <c r="O940" s="7">
        <v>0</v>
      </c>
      <c r="P940" s="7">
        <v>0</v>
      </c>
    </row>
    <row r="941" spans="1:16" x14ac:dyDescent="0.3">
      <c r="A941" s="1">
        <v>44825</v>
      </c>
      <c r="B941" s="2">
        <v>300.79998799999998</v>
      </c>
      <c r="C941" s="2">
        <v>238.95</v>
      </c>
      <c r="F941" s="1">
        <v>44825</v>
      </c>
      <c r="G941" s="2">
        <f t="shared" si="28"/>
        <v>-2.6021591963880809E-2</v>
      </c>
      <c r="H941" s="2">
        <f t="shared" si="29"/>
        <v>-1.4541178527194089E-2</v>
      </c>
      <c r="I941" s="7">
        <v>-2.6021591963880809E-2</v>
      </c>
      <c r="J941" s="7">
        <v>-1.4541178527194089E-2</v>
      </c>
      <c r="K941" s="7">
        <v>0</v>
      </c>
      <c r="L941" s="7">
        <v>0</v>
      </c>
      <c r="M941" s="7">
        <v>0</v>
      </c>
      <c r="N941" s="7">
        <v>0</v>
      </c>
      <c r="O941" s="7">
        <v>0</v>
      </c>
      <c r="P941" s="7">
        <v>0</v>
      </c>
    </row>
    <row r="942" spans="1:16" x14ac:dyDescent="0.3">
      <c r="A942" s="1">
        <v>44826</v>
      </c>
      <c r="B942" s="2">
        <v>288.58999599999999</v>
      </c>
      <c r="C942" s="2">
        <v>240.98</v>
      </c>
      <c r="F942" s="1">
        <v>44826</v>
      </c>
      <c r="G942" s="2">
        <f t="shared" si="28"/>
        <v>-4.1438570337767024E-2</v>
      </c>
      <c r="H942" s="2">
        <f t="shared" si="29"/>
        <v>8.4596174709630455E-3</v>
      </c>
      <c r="I942" s="7">
        <v>0</v>
      </c>
      <c r="J942" s="7">
        <v>0</v>
      </c>
      <c r="K942" s="7">
        <v>0</v>
      </c>
      <c r="L942" s="7">
        <v>0</v>
      </c>
      <c r="M942" s="7">
        <v>-4.1438570337767024E-2</v>
      </c>
      <c r="N942" s="7">
        <v>8.4596174709630455E-3</v>
      </c>
      <c r="O942" s="7">
        <v>0</v>
      </c>
      <c r="P942" s="7">
        <v>0</v>
      </c>
    </row>
    <row r="943" spans="1:16" x14ac:dyDescent="0.3">
      <c r="A943" s="1">
        <v>44827</v>
      </c>
      <c r="B943" s="2">
        <v>275.32998700000002</v>
      </c>
      <c r="C943" s="2">
        <v>237.92</v>
      </c>
      <c r="F943" s="1">
        <v>44827</v>
      </c>
      <c r="G943" s="2">
        <f t="shared" si="28"/>
        <v>-4.7036650818315498E-2</v>
      </c>
      <c r="H943" s="2">
        <f t="shared" si="29"/>
        <v>-1.2779459783285468E-2</v>
      </c>
      <c r="I943" s="7">
        <v>-4.7036650818315498E-2</v>
      </c>
      <c r="J943" s="7">
        <v>-1.2779459783285468E-2</v>
      </c>
      <c r="K943" s="7">
        <v>0</v>
      </c>
      <c r="L943" s="7">
        <v>0</v>
      </c>
      <c r="M943" s="7">
        <v>0</v>
      </c>
      <c r="N943" s="7">
        <v>0</v>
      </c>
      <c r="O943" s="7">
        <v>0</v>
      </c>
      <c r="P943" s="7">
        <v>0</v>
      </c>
    </row>
    <row r="944" spans="1:16" x14ac:dyDescent="0.3">
      <c r="A944" s="1">
        <v>44830</v>
      </c>
      <c r="B944" s="2">
        <v>276.01001000000002</v>
      </c>
      <c r="C944" s="2">
        <v>237.45</v>
      </c>
      <c r="F944" s="1">
        <v>44830</v>
      </c>
      <c r="G944" s="2">
        <f t="shared" si="28"/>
        <v>2.4668021494356502E-3</v>
      </c>
      <c r="H944" s="2">
        <f t="shared" si="29"/>
        <v>-1.9774077167140861E-3</v>
      </c>
      <c r="I944" s="7">
        <v>0</v>
      </c>
      <c r="J944" s="7">
        <v>0</v>
      </c>
      <c r="K944" s="7">
        <v>2.4668021494356502E-3</v>
      </c>
      <c r="L944" s="7">
        <v>-1.9774077167140861E-3</v>
      </c>
      <c r="M944" s="7">
        <v>0</v>
      </c>
      <c r="N944" s="7">
        <v>0</v>
      </c>
      <c r="O944" s="7">
        <v>0</v>
      </c>
      <c r="P944" s="7">
        <v>0</v>
      </c>
    </row>
    <row r="945" spans="1:16" x14ac:dyDescent="0.3">
      <c r="A945" s="1">
        <v>44831</v>
      </c>
      <c r="B945" s="2">
        <v>282.94000199999999</v>
      </c>
      <c r="C945" s="2">
        <v>236.41</v>
      </c>
      <c r="F945" s="1">
        <v>44831</v>
      </c>
      <c r="G945" s="2">
        <f t="shared" si="28"/>
        <v>2.479773492400484E-2</v>
      </c>
      <c r="H945" s="2">
        <f t="shared" si="29"/>
        <v>-4.3894891734243902E-3</v>
      </c>
      <c r="I945" s="7">
        <v>0</v>
      </c>
      <c r="J945" s="7">
        <v>0</v>
      </c>
      <c r="K945" s="7">
        <v>2.479773492400484E-2</v>
      </c>
      <c r="L945" s="7">
        <v>-4.3894891734243902E-3</v>
      </c>
      <c r="M945" s="7">
        <v>0</v>
      </c>
      <c r="N945" s="7">
        <v>0</v>
      </c>
      <c r="O945" s="7">
        <v>0</v>
      </c>
      <c r="P945" s="7">
        <v>0</v>
      </c>
    </row>
    <row r="946" spans="1:16" x14ac:dyDescent="0.3">
      <c r="A946" s="1">
        <v>44832</v>
      </c>
      <c r="B946" s="2">
        <v>287.80999800000001</v>
      </c>
      <c r="C946" s="2">
        <v>241.07</v>
      </c>
      <c r="F946" s="1">
        <v>44832</v>
      </c>
      <c r="G946" s="2">
        <f t="shared" si="28"/>
        <v>1.7065665152806508E-2</v>
      </c>
      <c r="H946" s="2">
        <f t="shared" si="29"/>
        <v>1.9519761926180764E-2</v>
      </c>
      <c r="I946" s="7">
        <v>0</v>
      </c>
      <c r="J946" s="7">
        <v>0</v>
      </c>
      <c r="K946" s="7">
        <v>0</v>
      </c>
      <c r="L946" s="7">
        <v>0</v>
      </c>
      <c r="M946" s="7">
        <v>0</v>
      </c>
      <c r="N946" s="7">
        <v>0</v>
      </c>
      <c r="O946" s="7">
        <v>1.7065665152806508E-2</v>
      </c>
      <c r="P946" s="7">
        <v>1.9519761926180764E-2</v>
      </c>
    </row>
    <row r="947" spans="1:16" x14ac:dyDescent="0.3">
      <c r="A947" s="1">
        <v>44833</v>
      </c>
      <c r="B947" s="2">
        <v>268.209991</v>
      </c>
      <c r="C947" s="2">
        <v>237.5</v>
      </c>
      <c r="F947" s="1">
        <v>44833</v>
      </c>
      <c r="G947" s="2">
        <f t="shared" si="28"/>
        <v>-7.0530311047784941E-2</v>
      </c>
      <c r="H947" s="2">
        <f t="shared" si="29"/>
        <v>-1.4919724273191366E-2</v>
      </c>
      <c r="I947" s="7">
        <v>-7.0530311047784941E-2</v>
      </c>
      <c r="J947" s="7">
        <v>-1.4919724273191366E-2</v>
      </c>
      <c r="K947" s="7">
        <v>0</v>
      </c>
      <c r="L947" s="7">
        <v>0</v>
      </c>
      <c r="M947" s="7">
        <v>0</v>
      </c>
      <c r="N947" s="7">
        <v>0</v>
      </c>
      <c r="O947" s="7">
        <v>0</v>
      </c>
      <c r="P947" s="7">
        <v>0</v>
      </c>
    </row>
    <row r="948" spans="1:16" x14ac:dyDescent="0.3">
      <c r="A948" s="1">
        <v>44834</v>
      </c>
      <c r="B948" s="2">
        <v>265.25</v>
      </c>
      <c r="C948" s="2">
        <v>232.9</v>
      </c>
      <c r="F948" s="1">
        <v>44834</v>
      </c>
      <c r="G948" s="2">
        <f t="shared" si="28"/>
        <v>-1.1097444710353638E-2</v>
      </c>
      <c r="H948" s="2">
        <f t="shared" si="29"/>
        <v>-1.9558446584400601E-2</v>
      </c>
      <c r="I948" s="7">
        <v>-1.1097444710353638E-2</v>
      </c>
      <c r="J948" s="7">
        <v>-1.9558446584400601E-2</v>
      </c>
      <c r="K948" s="7">
        <v>0</v>
      </c>
      <c r="L948" s="7">
        <v>0</v>
      </c>
      <c r="M948" s="7">
        <v>0</v>
      </c>
      <c r="N948" s="7">
        <v>0</v>
      </c>
      <c r="O948" s="7">
        <v>0</v>
      </c>
      <c r="P948" s="7">
        <v>0</v>
      </c>
    </row>
    <row r="949" spans="1:16" x14ac:dyDescent="0.3">
      <c r="A949" s="1">
        <v>44837</v>
      </c>
      <c r="B949" s="2">
        <v>242.39999399999999</v>
      </c>
      <c r="C949" s="2">
        <v>240.74</v>
      </c>
      <c r="F949" s="1">
        <v>44837</v>
      </c>
      <c r="G949" s="2">
        <f t="shared" si="28"/>
        <v>-9.0083548051408682E-2</v>
      </c>
      <c r="H949" s="2">
        <f t="shared" si="29"/>
        <v>3.3108336061293472E-2</v>
      </c>
      <c r="I949" s="7">
        <v>0</v>
      </c>
      <c r="J949" s="7">
        <v>0</v>
      </c>
      <c r="K949" s="7">
        <v>0</v>
      </c>
      <c r="L949" s="7">
        <v>0</v>
      </c>
      <c r="M949" s="7">
        <v>-9.0083548051408682E-2</v>
      </c>
      <c r="N949" s="7">
        <v>3.3108336061293472E-2</v>
      </c>
      <c r="O949" s="7">
        <v>0</v>
      </c>
      <c r="P949" s="7">
        <v>0</v>
      </c>
    </row>
    <row r="950" spans="1:16" x14ac:dyDescent="0.3">
      <c r="A950" s="1">
        <v>44838</v>
      </c>
      <c r="B950" s="2">
        <v>249.44000199999999</v>
      </c>
      <c r="C950" s="2">
        <v>248.88</v>
      </c>
      <c r="F950" s="1">
        <v>44838</v>
      </c>
      <c r="G950" s="2">
        <f t="shared" si="28"/>
        <v>2.8629183884742816E-2</v>
      </c>
      <c r="H950" s="2">
        <f t="shared" si="29"/>
        <v>3.3253339637792853E-2</v>
      </c>
      <c r="I950" s="7">
        <v>0</v>
      </c>
      <c r="J950" s="7">
        <v>0</v>
      </c>
      <c r="K950" s="7">
        <v>0</v>
      </c>
      <c r="L950" s="7">
        <v>0</v>
      </c>
      <c r="M950" s="7">
        <v>0</v>
      </c>
      <c r="N950" s="7">
        <v>0</v>
      </c>
      <c r="O950" s="7">
        <v>2.8629183884742816E-2</v>
      </c>
      <c r="P950" s="7">
        <v>3.3253339637792853E-2</v>
      </c>
    </row>
    <row r="951" spans="1:16" x14ac:dyDescent="0.3">
      <c r="A951" s="1">
        <v>44839</v>
      </c>
      <c r="B951" s="2">
        <v>240.80999800000001</v>
      </c>
      <c r="C951" s="2">
        <v>249.2</v>
      </c>
      <c r="F951" s="1">
        <v>44839</v>
      </c>
      <c r="G951" s="2">
        <f t="shared" si="28"/>
        <v>-3.52101808211343E-2</v>
      </c>
      <c r="H951" s="2">
        <f t="shared" si="29"/>
        <v>1.2849343239165513E-3</v>
      </c>
      <c r="I951" s="7">
        <v>0</v>
      </c>
      <c r="J951" s="7">
        <v>0</v>
      </c>
      <c r="K951" s="7">
        <v>0</v>
      </c>
      <c r="L951" s="7">
        <v>0</v>
      </c>
      <c r="M951" s="7">
        <v>-3.52101808211343E-2</v>
      </c>
      <c r="N951" s="7">
        <v>1.2849343239165513E-3</v>
      </c>
      <c r="O951" s="7">
        <v>0</v>
      </c>
      <c r="P951" s="7">
        <v>0</v>
      </c>
    </row>
    <row r="952" spans="1:16" x14ac:dyDescent="0.3">
      <c r="A952" s="1">
        <v>44840</v>
      </c>
      <c r="B952" s="2">
        <v>238.13000500000001</v>
      </c>
      <c r="C952" s="2">
        <v>246.79</v>
      </c>
      <c r="F952" s="1">
        <v>44840</v>
      </c>
      <c r="G952" s="2">
        <f t="shared" si="28"/>
        <v>-1.1191468473506277E-2</v>
      </c>
      <c r="H952" s="2">
        <f t="shared" si="29"/>
        <v>-9.7180143415412246E-3</v>
      </c>
      <c r="I952" s="7">
        <v>-1.1191468473506277E-2</v>
      </c>
      <c r="J952" s="7">
        <v>-9.7180143415412246E-3</v>
      </c>
      <c r="K952" s="7">
        <v>0</v>
      </c>
      <c r="L952" s="7">
        <v>0</v>
      </c>
      <c r="M952" s="7">
        <v>0</v>
      </c>
      <c r="N952" s="7">
        <v>0</v>
      </c>
      <c r="O952" s="7">
        <v>0</v>
      </c>
      <c r="P952" s="7">
        <v>0</v>
      </c>
    </row>
    <row r="953" spans="1:16" x14ac:dyDescent="0.3">
      <c r="A953" s="1">
        <v>44841</v>
      </c>
      <c r="B953" s="2">
        <v>223.070007</v>
      </c>
      <c r="C953" s="2">
        <v>234.24</v>
      </c>
      <c r="F953" s="1">
        <v>44841</v>
      </c>
      <c r="G953" s="2">
        <f t="shared" si="28"/>
        <v>-6.5331109103811735E-2</v>
      </c>
      <c r="H953" s="2">
        <f t="shared" si="29"/>
        <v>-5.2191541798809998E-2</v>
      </c>
      <c r="I953" s="7">
        <v>-6.5331109103811735E-2</v>
      </c>
      <c r="J953" s="7">
        <v>-5.2191541798809998E-2</v>
      </c>
      <c r="K953" s="7">
        <v>0</v>
      </c>
      <c r="L953" s="7">
        <v>0</v>
      </c>
      <c r="M953" s="7">
        <v>0</v>
      </c>
      <c r="N953" s="7">
        <v>0</v>
      </c>
      <c r="O953" s="7">
        <v>0</v>
      </c>
      <c r="P953" s="7">
        <v>0</v>
      </c>
    </row>
    <row r="954" spans="1:16" x14ac:dyDescent="0.3">
      <c r="A954" s="1">
        <v>44844</v>
      </c>
      <c r="B954" s="2">
        <v>222.96000699999999</v>
      </c>
      <c r="C954" s="2">
        <v>229.25</v>
      </c>
      <c r="F954" s="1">
        <v>44844</v>
      </c>
      <c r="G954" s="2">
        <f t="shared" si="28"/>
        <v>-4.9324035951600728E-4</v>
      </c>
      <c r="H954" s="2">
        <f t="shared" si="29"/>
        <v>-2.1533119636372545E-2</v>
      </c>
      <c r="I954" s="7">
        <v>-4.9324035951600728E-4</v>
      </c>
      <c r="J954" s="7">
        <v>-2.1533119636372545E-2</v>
      </c>
      <c r="K954" s="7">
        <v>0</v>
      </c>
      <c r="L954" s="7">
        <v>0</v>
      </c>
      <c r="M954" s="7">
        <v>0</v>
      </c>
      <c r="N954" s="7">
        <v>0</v>
      </c>
      <c r="O954" s="7">
        <v>0</v>
      </c>
      <c r="P954" s="7">
        <v>0</v>
      </c>
    </row>
    <row r="955" spans="1:16" x14ac:dyDescent="0.3">
      <c r="A955" s="1">
        <v>44845</v>
      </c>
      <c r="B955" s="2">
        <v>216.5</v>
      </c>
      <c r="C955" s="2">
        <v>225.41</v>
      </c>
      <c r="F955" s="1">
        <v>44845</v>
      </c>
      <c r="G955" s="2">
        <f t="shared" si="28"/>
        <v>-2.9401867126913707E-2</v>
      </c>
      <c r="H955" s="2">
        <f t="shared" si="29"/>
        <v>-1.6892144942705314E-2</v>
      </c>
      <c r="I955" s="7">
        <v>-2.9401867126913707E-2</v>
      </c>
      <c r="J955" s="7">
        <v>-1.6892144942705314E-2</v>
      </c>
      <c r="K955" s="7">
        <v>0</v>
      </c>
      <c r="L955" s="7">
        <v>0</v>
      </c>
      <c r="M955" s="7">
        <v>0</v>
      </c>
      <c r="N955" s="7">
        <v>0</v>
      </c>
      <c r="O955" s="7">
        <v>0</v>
      </c>
      <c r="P955" s="7">
        <v>0</v>
      </c>
    </row>
    <row r="956" spans="1:16" x14ac:dyDescent="0.3">
      <c r="A956" s="1">
        <v>44846</v>
      </c>
      <c r="B956" s="2">
        <v>217.240005</v>
      </c>
      <c r="C956" s="2">
        <v>225.75</v>
      </c>
      <c r="F956" s="1">
        <v>44846</v>
      </c>
      <c r="G956" s="2">
        <f t="shared" si="28"/>
        <v>3.4122087401188324E-3</v>
      </c>
      <c r="H956" s="2">
        <f t="shared" si="29"/>
        <v>1.5072261032259987E-3</v>
      </c>
      <c r="I956" s="7">
        <v>0</v>
      </c>
      <c r="J956" s="7">
        <v>0</v>
      </c>
      <c r="K956" s="7">
        <v>0</v>
      </c>
      <c r="L956" s="7">
        <v>0</v>
      </c>
      <c r="M956" s="7">
        <v>0</v>
      </c>
      <c r="N956" s="7">
        <v>0</v>
      </c>
      <c r="O956" s="7">
        <v>3.4122087401188324E-3</v>
      </c>
      <c r="P956" s="7">
        <v>1.5072261032259987E-3</v>
      </c>
    </row>
    <row r="957" spans="1:16" x14ac:dyDescent="0.3">
      <c r="A957" s="1">
        <v>44847</v>
      </c>
      <c r="B957" s="2">
        <v>221.720001</v>
      </c>
      <c r="C957" s="2">
        <v>234.24</v>
      </c>
      <c r="F957" s="1">
        <v>44847</v>
      </c>
      <c r="G957" s="2">
        <f t="shared" si="28"/>
        <v>2.0412572879133523E-2</v>
      </c>
      <c r="H957" s="2">
        <f t="shared" si="29"/>
        <v>3.6918038475852032E-2</v>
      </c>
      <c r="I957" s="7">
        <v>0</v>
      </c>
      <c r="J957" s="7">
        <v>0</v>
      </c>
      <c r="K957" s="7">
        <v>0</v>
      </c>
      <c r="L957" s="7">
        <v>0</v>
      </c>
      <c r="M957" s="7">
        <v>0</v>
      </c>
      <c r="N957" s="7">
        <v>0</v>
      </c>
      <c r="O957" s="7">
        <v>2.0412572879133523E-2</v>
      </c>
      <c r="P957" s="7">
        <v>3.6918038475852032E-2</v>
      </c>
    </row>
    <row r="958" spans="1:16" x14ac:dyDescent="0.3">
      <c r="A958" s="1">
        <v>44848</v>
      </c>
      <c r="B958" s="2">
        <v>204.990005</v>
      </c>
      <c r="C958" s="2">
        <v>228.56</v>
      </c>
      <c r="F958" s="1">
        <v>44848</v>
      </c>
      <c r="G958" s="2">
        <f t="shared" si="28"/>
        <v>-7.8454107209566887E-2</v>
      </c>
      <c r="H958" s="2">
        <f t="shared" si="29"/>
        <v>-2.4547472850429176E-2</v>
      </c>
      <c r="I958" s="7">
        <v>-7.8454107209566887E-2</v>
      </c>
      <c r="J958" s="7">
        <v>-2.4547472850429176E-2</v>
      </c>
      <c r="K958" s="7">
        <v>0</v>
      </c>
      <c r="L958" s="7">
        <v>0</v>
      </c>
      <c r="M958" s="7">
        <v>0</v>
      </c>
      <c r="N958" s="7">
        <v>0</v>
      </c>
      <c r="O958" s="7">
        <v>0</v>
      </c>
      <c r="P958" s="7">
        <v>0</v>
      </c>
    </row>
    <row r="959" spans="1:16" x14ac:dyDescent="0.3">
      <c r="A959" s="1">
        <v>44851</v>
      </c>
      <c r="B959" s="2">
        <v>219.35000600000001</v>
      </c>
      <c r="C959" s="2">
        <v>237.53</v>
      </c>
      <c r="F959" s="1">
        <v>44851</v>
      </c>
      <c r="G959" s="2">
        <f t="shared" si="28"/>
        <v>6.7707433113537233E-2</v>
      </c>
      <c r="H959" s="2">
        <f t="shared" si="29"/>
        <v>3.8495173364484332E-2</v>
      </c>
      <c r="I959" s="7">
        <v>0</v>
      </c>
      <c r="J959" s="7">
        <v>0</v>
      </c>
      <c r="K959" s="7">
        <v>0</v>
      </c>
      <c r="L959" s="7">
        <v>0</v>
      </c>
      <c r="M959" s="7">
        <v>0</v>
      </c>
      <c r="N959" s="7">
        <v>0</v>
      </c>
      <c r="O959" s="7">
        <v>6.7707433113537233E-2</v>
      </c>
      <c r="P959" s="7">
        <v>3.8495173364484332E-2</v>
      </c>
    </row>
    <row r="960" spans="1:16" x14ac:dyDescent="0.3">
      <c r="A960" s="1">
        <v>44852</v>
      </c>
      <c r="B960" s="2">
        <v>220.19000199999999</v>
      </c>
      <c r="C960" s="2">
        <v>238.5</v>
      </c>
      <c r="F960" s="1">
        <v>44852</v>
      </c>
      <c r="G960" s="2">
        <f t="shared" si="28"/>
        <v>3.8221641139914355E-3</v>
      </c>
      <c r="H960" s="2">
        <f t="shared" si="29"/>
        <v>4.0753790413938515E-3</v>
      </c>
      <c r="I960" s="7">
        <v>0</v>
      </c>
      <c r="J960" s="7">
        <v>0</v>
      </c>
      <c r="K960" s="7">
        <v>0</v>
      </c>
      <c r="L960" s="7">
        <v>0</v>
      </c>
      <c r="M960" s="7">
        <v>0</v>
      </c>
      <c r="N960" s="7">
        <v>0</v>
      </c>
      <c r="O960" s="7">
        <v>3.8221641139914355E-3</v>
      </c>
      <c r="P960" s="7">
        <v>4.0753790413938515E-3</v>
      </c>
    </row>
    <row r="961" spans="1:16" x14ac:dyDescent="0.3">
      <c r="A961" s="1">
        <v>44853</v>
      </c>
      <c r="B961" s="2">
        <v>222.03999300000001</v>
      </c>
      <c r="C961" s="2">
        <v>236.48</v>
      </c>
      <c r="F961" s="1">
        <v>44853</v>
      </c>
      <c r="G961" s="2">
        <f t="shared" si="28"/>
        <v>8.3666952163500997E-3</v>
      </c>
      <c r="H961" s="2">
        <f t="shared" si="29"/>
        <v>-8.5056725685590494E-3</v>
      </c>
      <c r="I961" s="7">
        <v>0</v>
      </c>
      <c r="J961" s="7">
        <v>0</v>
      </c>
      <c r="K961" s="7">
        <v>8.3666952163500997E-3</v>
      </c>
      <c r="L961" s="7">
        <v>-8.5056725685590494E-3</v>
      </c>
      <c r="M961" s="7">
        <v>0</v>
      </c>
      <c r="N961" s="7">
        <v>0</v>
      </c>
      <c r="O961" s="7">
        <v>0</v>
      </c>
      <c r="P961" s="7">
        <v>0</v>
      </c>
    </row>
    <row r="962" spans="1:16" x14ac:dyDescent="0.3">
      <c r="A962" s="1">
        <v>44854</v>
      </c>
      <c r="B962" s="2">
        <v>207.279999</v>
      </c>
      <c r="C962" s="2">
        <v>236.15</v>
      </c>
      <c r="F962" s="1">
        <v>44854</v>
      </c>
      <c r="G962" s="2">
        <f t="shared" si="28"/>
        <v>-6.8786982866646473E-2</v>
      </c>
      <c r="H962" s="2">
        <f t="shared" si="29"/>
        <v>-1.3964414177107469E-3</v>
      </c>
      <c r="I962" s="7">
        <v>-6.8786982866646473E-2</v>
      </c>
      <c r="J962" s="7">
        <v>-1.3964414177107469E-3</v>
      </c>
      <c r="K962" s="7">
        <v>0</v>
      </c>
      <c r="L962" s="7">
        <v>0</v>
      </c>
      <c r="M962" s="7">
        <v>0</v>
      </c>
      <c r="N962" s="7">
        <v>0</v>
      </c>
      <c r="O962" s="7">
        <v>0</v>
      </c>
      <c r="P962" s="7">
        <v>0</v>
      </c>
    </row>
    <row r="963" spans="1:16" x14ac:dyDescent="0.3">
      <c r="A963" s="1">
        <v>44855</v>
      </c>
      <c r="B963" s="2">
        <v>214.44000199999999</v>
      </c>
      <c r="C963" s="2">
        <v>242.12</v>
      </c>
      <c r="F963" s="1">
        <v>44855</v>
      </c>
      <c r="G963" s="2">
        <f t="shared" si="28"/>
        <v>3.3959456856492737E-2</v>
      </c>
      <c r="H963" s="2">
        <f t="shared" si="29"/>
        <v>2.4966274681360284E-2</v>
      </c>
      <c r="I963" s="7">
        <v>0</v>
      </c>
      <c r="J963" s="7">
        <v>0</v>
      </c>
      <c r="K963" s="7">
        <v>0</v>
      </c>
      <c r="L963" s="7">
        <v>0</v>
      </c>
      <c r="M963" s="7">
        <v>0</v>
      </c>
      <c r="N963" s="7">
        <v>0</v>
      </c>
      <c r="O963" s="7">
        <v>3.3959456856492737E-2</v>
      </c>
      <c r="P963" s="7">
        <v>2.4966274681360284E-2</v>
      </c>
    </row>
    <row r="964" spans="1:16" x14ac:dyDescent="0.3">
      <c r="A964" s="1">
        <v>44858</v>
      </c>
      <c r="B964" s="2">
        <v>211.25</v>
      </c>
      <c r="C964" s="2">
        <v>247.25</v>
      </c>
      <c r="F964" s="1">
        <v>44858</v>
      </c>
      <c r="G964" s="2">
        <f t="shared" si="28"/>
        <v>-1.4987722048671815E-2</v>
      </c>
      <c r="H964" s="2">
        <f t="shared" si="29"/>
        <v>2.0966499479335061E-2</v>
      </c>
      <c r="I964" s="7">
        <v>0</v>
      </c>
      <c r="J964" s="7">
        <v>0</v>
      </c>
      <c r="K964" s="7">
        <v>0</v>
      </c>
      <c r="L964" s="7">
        <v>0</v>
      </c>
      <c r="M964" s="7">
        <v>-1.4987722048671815E-2</v>
      </c>
      <c r="N964" s="7">
        <v>2.0966499479335061E-2</v>
      </c>
      <c r="O964" s="7">
        <v>0</v>
      </c>
      <c r="P964" s="7">
        <v>0</v>
      </c>
    </row>
    <row r="965" spans="1:16" x14ac:dyDescent="0.3">
      <c r="A965" s="1">
        <v>44859</v>
      </c>
      <c r="B965" s="2">
        <v>222.41999799999999</v>
      </c>
      <c r="C965" s="2">
        <v>250.66</v>
      </c>
      <c r="F965" s="1">
        <v>44859</v>
      </c>
      <c r="G965" s="2">
        <f t="shared" si="28"/>
        <v>5.1525211161415403E-2</v>
      </c>
      <c r="H965" s="2">
        <f t="shared" si="29"/>
        <v>1.369746868055479E-2</v>
      </c>
      <c r="I965" s="7">
        <v>0</v>
      </c>
      <c r="J965" s="7">
        <v>0</v>
      </c>
      <c r="K965" s="7">
        <v>0</v>
      </c>
      <c r="L965" s="7">
        <v>0</v>
      </c>
      <c r="M965" s="7">
        <v>0</v>
      </c>
      <c r="N965" s="7">
        <v>0</v>
      </c>
      <c r="O965" s="7">
        <v>5.1525211161415403E-2</v>
      </c>
      <c r="P965" s="7">
        <v>1.369746868055479E-2</v>
      </c>
    </row>
    <row r="966" spans="1:16" x14ac:dyDescent="0.3">
      <c r="A966" s="1">
        <v>44860</v>
      </c>
      <c r="B966" s="2">
        <v>224.63999899999999</v>
      </c>
      <c r="C966" s="2">
        <v>231.32</v>
      </c>
      <c r="F966" s="1">
        <v>44860</v>
      </c>
      <c r="G966" s="2">
        <f t="shared" ref="G966:G1029" si="30">LN(B966/B965)</f>
        <v>9.9316389871805053E-3</v>
      </c>
      <c r="H966" s="2">
        <f t="shared" ref="H966:H1029" si="31">LN(C966/C965)</f>
        <v>-8.0295405893358665E-2</v>
      </c>
      <c r="I966" s="7">
        <v>0</v>
      </c>
      <c r="J966" s="7">
        <v>0</v>
      </c>
      <c r="K966" s="7">
        <v>9.9316389871805053E-3</v>
      </c>
      <c r="L966" s="7">
        <v>-8.0295405893358665E-2</v>
      </c>
      <c r="M966" s="7">
        <v>0</v>
      </c>
      <c r="N966" s="7">
        <v>0</v>
      </c>
      <c r="O966" s="7">
        <v>0</v>
      </c>
      <c r="P966" s="7">
        <v>0</v>
      </c>
    </row>
    <row r="967" spans="1:16" x14ac:dyDescent="0.3">
      <c r="A967" s="1">
        <v>44861</v>
      </c>
      <c r="B967" s="2">
        <v>225.08999600000001</v>
      </c>
      <c r="C967" s="2">
        <v>226.75</v>
      </c>
      <c r="F967" s="1">
        <v>44861</v>
      </c>
      <c r="G967" s="2">
        <f t="shared" si="30"/>
        <v>2.0011880691981447E-3</v>
      </c>
      <c r="H967" s="2">
        <f t="shared" si="31"/>
        <v>-1.9953944294771531E-2</v>
      </c>
      <c r="I967" s="7">
        <v>0</v>
      </c>
      <c r="J967" s="7">
        <v>0</v>
      </c>
      <c r="K967" s="7">
        <v>2.0011880691981447E-3</v>
      </c>
      <c r="L967" s="7">
        <v>-1.9953944294771531E-2</v>
      </c>
      <c r="M967" s="7">
        <v>0</v>
      </c>
      <c r="N967" s="7">
        <v>0</v>
      </c>
      <c r="O967" s="7">
        <v>0</v>
      </c>
      <c r="P967" s="7">
        <v>0</v>
      </c>
    </row>
    <row r="968" spans="1:16" x14ac:dyDescent="0.3">
      <c r="A968" s="1">
        <v>44862</v>
      </c>
      <c r="B968" s="2">
        <v>228.520004</v>
      </c>
      <c r="C968" s="2">
        <v>235.87</v>
      </c>
      <c r="F968" s="1">
        <v>44862</v>
      </c>
      <c r="G968" s="2">
        <f t="shared" si="30"/>
        <v>1.5123446905122516E-2</v>
      </c>
      <c r="H968" s="2">
        <f t="shared" si="31"/>
        <v>3.9432716800538108E-2</v>
      </c>
      <c r="I968" s="7">
        <v>0</v>
      </c>
      <c r="J968" s="7">
        <v>0</v>
      </c>
      <c r="K968" s="7">
        <v>0</v>
      </c>
      <c r="L968" s="7">
        <v>0</v>
      </c>
      <c r="M968" s="7">
        <v>0</v>
      </c>
      <c r="N968" s="7">
        <v>0</v>
      </c>
      <c r="O968" s="7">
        <v>1.5123446905122516E-2</v>
      </c>
      <c r="P968" s="7">
        <v>3.9432716800538108E-2</v>
      </c>
    </row>
    <row r="969" spans="1:16" x14ac:dyDescent="0.3">
      <c r="A969" s="1">
        <v>44865</v>
      </c>
      <c r="B969" s="2">
        <v>227.53999300000001</v>
      </c>
      <c r="C969" s="2">
        <v>232.13</v>
      </c>
      <c r="F969" s="1">
        <v>44865</v>
      </c>
      <c r="G969" s="2">
        <f t="shared" si="30"/>
        <v>-4.2977350124516868E-3</v>
      </c>
      <c r="H969" s="2">
        <f t="shared" si="31"/>
        <v>-1.5983246236428595E-2</v>
      </c>
      <c r="I969" s="7">
        <v>-4.2977350124516868E-3</v>
      </c>
      <c r="J969" s="7">
        <v>-1.5983246236428595E-2</v>
      </c>
      <c r="K969" s="7">
        <v>0</v>
      </c>
      <c r="L969" s="7">
        <v>0</v>
      </c>
      <c r="M969" s="7">
        <v>0</v>
      </c>
      <c r="N969" s="7">
        <v>0</v>
      </c>
      <c r="O969" s="7">
        <v>0</v>
      </c>
      <c r="P969" s="7">
        <v>0</v>
      </c>
    </row>
    <row r="970" spans="1:16" x14ac:dyDescent="0.3">
      <c r="A970" s="1">
        <v>44866</v>
      </c>
      <c r="B970" s="2">
        <v>227.820007</v>
      </c>
      <c r="C970" s="2">
        <v>228.17</v>
      </c>
      <c r="F970" s="1">
        <v>44866</v>
      </c>
      <c r="G970" s="2">
        <f t="shared" si="30"/>
        <v>1.2298578500289335E-3</v>
      </c>
      <c r="H970" s="2">
        <f t="shared" si="31"/>
        <v>-1.7206594401876611E-2</v>
      </c>
      <c r="I970" s="7">
        <v>0</v>
      </c>
      <c r="J970" s="7">
        <v>0</v>
      </c>
      <c r="K970" s="7">
        <v>1.2298578500289335E-3</v>
      </c>
      <c r="L970" s="7">
        <v>-1.7206594401876611E-2</v>
      </c>
      <c r="M970" s="7">
        <v>0</v>
      </c>
      <c r="N970" s="7">
        <v>0</v>
      </c>
      <c r="O970" s="7">
        <v>0</v>
      </c>
      <c r="P970" s="7">
        <v>0</v>
      </c>
    </row>
    <row r="971" spans="1:16" x14ac:dyDescent="0.3">
      <c r="A971" s="1">
        <v>44867</v>
      </c>
      <c r="B971" s="2">
        <v>214.979996</v>
      </c>
      <c r="C971" s="2">
        <v>220.1</v>
      </c>
      <c r="F971" s="1">
        <v>44867</v>
      </c>
      <c r="G971" s="2">
        <f t="shared" si="30"/>
        <v>-5.801089225924199E-2</v>
      </c>
      <c r="H971" s="2">
        <f t="shared" si="31"/>
        <v>-3.6008976625062902E-2</v>
      </c>
      <c r="I971" s="7">
        <v>-5.801089225924199E-2</v>
      </c>
      <c r="J971" s="7">
        <v>-3.6008976625062902E-2</v>
      </c>
      <c r="K971" s="7">
        <v>0</v>
      </c>
      <c r="L971" s="7">
        <v>0</v>
      </c>
      <c r="M971" s="7">
        <v>0</v>
      </c>
      <c r="N971" s="7">
        <v>0</v>
      </c>
      <c r="O971" s="7">
        <v>0</v>
      </c>
      <c r="P971" s="7">
        <v>0</v>
      </c>
    </row>
    <row r="972" spans="1:16" x14ac:dyDescent="0.3">
      <c r="A972" s="1">
        <v>44868</v>
      </c>
      <c r="B972" s="2">
        <v>215.30999800000001</v>
      </c>
      <c r="C972" s="2">
        <v>214.25</v>
      </c>
      <c r="F972" s="1">
        <v>44868</v>
      </c>
      <c r="G972" s="2">
        <f t="shared" si="30"/>
        <v>1.5338588826226604E-3</v>
      </c>
      <c r="H972" s="2">
        <f t="shared" si="31"/>
        <v>-2.6938431054526757E-2</v>
      </c>
      <c r="I972" s="7">
        <v>0</v>
      </c>
      <c r="J972" s="7">
        <v>0</v>
      </c>
      <c r="K972" s="7">
        <v>1.5338588826226604E-3</v>
      </c>
      <c r="L972" s="7">
        <v>-2.6938431054526757E-2</v>
      </c>
      <c r="M972" s="7">
        <v>0</v>
      </c>
      <c r="N972" s="7">
        <v>0</v>
      </c>
      <c r="O972" s="7">
        <v>0</v>
      </c>
      <c r="P972" s="7">
        <v>0</v>
      </c>
    </row>
    <row r="973" spans="1:16" x14ac:dyDescent="0.3">
      <c r="A973" s="1">
        <v>44869</v>
      </c>
      <c r="B973" s="2">
        <v>207.470001</v>
      </c>
      <c r="C973" s="2">
        <v>221.39</v>
      </c>
      <c r="F973" s="1">
        <v>44869</v>
      </c>
      <c r="G973" s="2">
        <f t="shared" si="30"/>
        <v>-3.7092085096135818E-2</v>
      </c>
      <c r="H973" s="2">
        <f t="shared" si="31"/>
        <v>3.2782294658244462E-2</v>
      </c>
      <c r="I973" s="7">
        <v>0</v>
      </c>
      <c r="J973" s="7">
        <v>0</v>
      </c>
      <c r="K973" s="7">
        <v>0</v>
      </c>
      <c r="L973" s="7">
        <v>0</v>
      </c>
      <c r="M973" s="7">
        <v>-3.7092085096135818E-2</v>
      </c>
      <c r="N973" s="7">
        <v>3.2782294658244462E-2</v>
      </c>
      <c r="O973" s="7">
        <v>0</v>
      </c>
      <c r="P973" s="7">
        <v>0</v>
      </c>
    </row>
    <row r="974" spans="1:16" x14ac:dyDescent="0.3">
      <c r="A974" s="1">
        <v>44872</v>
      </c>
      <c r="B974" s="2">
        <v>197.08000200000001</v>
      </c>
      <c r="C974" s="2">
        <v>227.87</v>
      </c>
      <c r="F974" s="1">
        <v>44872</v>
      </c>
      <c r="G974" s="2">
        <f t="shared" si="30"/>
        <v>-5.1377007901096609E-2</v>
      </c>
      <c r="H974" s="2">
        <f t="shared" si="31"/>
        <v>2.8849438767880896E-2</v>
      </c>
      <c r="I974" s="7">
        <v>0</v>
      </c>
      <c r="J974" s="7">
        <v>0</v>
      </c>
      <c r="K974" s="7">
        <v>0</v>
      </c>
      <c r="L974" s="7">
        <v>0</v>
      </c>
      <c r="M974" s="7">
        <v>-5.1377007901096609E-2</v>
      </c>
      <c r="N974" s="7">
        <v>2.8849438767880896E-2</v>
      </c>
      <c r="O974" s="7">
        <v>0</v>
      </c>
      <c r="P974" s="7">
        <v>0</v>
      </c>
    </row>
    <row r="975" spans="1:16" x14ac:dyDescent="0.3">
      <c r="A975" s="1">
        <v>44873</v>
      </c>
      <c r="B975" s="2">
        <v>191.300003</v>
      </c>
      <c r="C975" s="2">
        <v>228.87</v>
      </c>
      <c r="F975" s="1">
        <v>44873</v>
      </c>
      <c r="G975" s="2">
        <f t="shared" si="30"/>
        <v>-2.9766855695543791E-2</v>
      </c>
      <c r="H975" s="2">
        <f t="shared" si="31"/>
        <v>4.3788658662332882E-3</v>
      </c>
      <c r="I975" s="7">
        <v>0</v>
      </c>
      <c r="J975" s="7">
        <v>0</v>
      </c>
      <c r="K975" s="7">
        <v>0</v>
      </c>
      <c r="L975" s="7">
        <v>0</v>
      </c>
      <c r="M975" s="7">
        <v>-2.9766855695543791E-2</v>
      </c>
      <c r="N975" s="7">
        <v>4.3788658662332882E-3</v>
      </c>
      <c r="O975" s="7">
        <v>0</v>
      </c>
      <c r="P975" s="7">
        <v>0</v>
      </c>
    </row>
    <row r="976" spans="1:16" x14ac:dyDescent="0.3">
      <c r="A976" s="1">
        <v>44874</v>
      </c>
      <c r="B976" s="2">
        <v>177.58999600000001</v>
      </c>
      <c r="C976" s="2">
        <v>224.51</v>
      </c>
      <c r="F976" s="1">
        <v>44874</v>
      </c>
      <c r="G976" s="2">
        <f t="shared" si="30"/>
        <v>-7.4365391985668869E-2</v>
      </c>
      <c r="H976" s="2">
        <f t="shared" si="31"/>
        <v>-1.9233907150123738E-2</v>
      </c>
      <c r="I976" s="7">
        <v>-7.4365391985668869E-2</v>
      </c>
      <c r="J976" s="7">
        <v>-1.9233907150123738E-2</v>
      </c>
      <c r="K976" s="7">
        <v>0</v>
      </c>
      <c r="L976" s="7">
        <v>0</v>
      </c>
      <c r="M976" s="7">
        <v>0</v>
      </c>
      <c r="N976" s="7">
        <v>0</v>
      </c>
      <c r="O976" s="7">
        <v>0</v>
      </c>
      <c r="P976" s="7">
        <v>0</v>
      </c>
    </row>
    <row r="977" spans="1:16" x14ac:dyDescent="0.3">
      <c r="A977" s="1">
        <v>44875</v>
      </c>
      <c r="B977" s="2">
        <v>190.720001</v>
      </c>
      <c r="C977" s="2">
        <v>242.98</v>
      </c>
      <c r="F977" s="1">
        <v>44875</v>
      </c>
      <c r="G977" s="2">
        <f t="shared" si="30"/>
        <v>7.1328888977560637E-2</v>
      </c>
      <c r="H977" s="2">
        <f t="shared" si="31"/>
        <v>7.905888580647201E-2</v>
      </c>
      <c r="I977" s="7">
        <v>0</v>
      </c>
      <c r="J977" s="7">
        <v>0</v>
      </c>
      <c r="K977" s="7">
        <v>0</v>
      </c>
      <c r="L977" s="7">
        <v>0</v>
      </c>
      <c r="M977" s="7">
        <v>0</v>
      </c>
      <c r="N977" s="7">
        <v>0</v>
      </c>
      <c r="O977" s="7">
        <v>7.1328888977560637E-2</v>
      </c>
      <c r="P977" s="7">
        <v>7.905888580647201E-2</v>
      </c>
    </row>
    <row r="978" spans="1:16" x14ac:dyDescent="0.3">
      <c r="A978" s="1">
        <v>44876</v>
      </c>
      <c r="B978" s="2">
        <v>195.970001</v>
      </c>
      <c r="C978" s="2">
        <v>247.11</v>
      </c>
      <c r="F978" s="1">
        <v>44876</v>
      </c>
      <c r="G978" s="2">
        <f t="shared" si="30"/>
        <v>2.7155202273511203E-2</v>
      </c>
      <c r="H978" s="2">
        <f t="shared" si="31"/>
        <v>1.6854446194671049E-2</v>
      </c>
      <c r="I978" s="7">
        <v>0</v>
      </c>
      <c r="J978" s="7">
        <v>0</v>
      </c>
      <c r="K978" s="7">
        <v>0</v>
      </c>
      <c r="L978" s="7">
        <v>0</v>
      </c>
      <c r="M978" s="7">
        <v>0</v>
      </c>
      <c r="N978" s="7">
        <v>0</v>
      </c>
      <c r="O978" s="7">
        <v>2.7155202273511203E-2</v>
      </c>
      <c r="P978" s="7">
        <v>1.6854446194671049E-2</v>
      </c>
    </row>
    <row r="979" spans="1:16" x14ac:dyDescent="0.3">
      <c r="A979" s="1">
        <v>44879</v>
      </c>
      <c r="B979" s="2">
        <v>190.949997</v>
      </c>
      <c r="C979" s="2">
        <v>241.55</v>
      </c>
      <c r="F979" s="1">
        <v>44879</v>
      </c>
      <c r="G979" s="2">
        <f t="shared" si="30"/>
        <v>-2.5949993433178626E-2</v>
      </c>
      <c r="H979" s="2">
        <f t="shared" si="31"/>
        <v>-2.2757090620851357E-2</v>
      </c>
      <c r="I979" s="7">
        <v>-2.5949993433178626E-2</v>
      </c>
      <c r="J979" s="7">
        <v>-2.2757090620851357E-2</v>
      </c>
      <c r="K979" s="7">
        <v>0</v>
      </c>
      <c r="L979" s="7">
        <v>0</v>
      </c>
      <c r="M979" s="7">
        <v>0</v>
      </c>
      <c r="N979" s="7">
        <v>0</v>
      </c>
      <c r="O979" s="7">
        <v>0</v>
      </c>
      <c r="P979" s="7">
        <v>0</v>
      </c>
    </row>
    <row r="980" spans="1:16" x14ac:dyDescent="0.3">
      <c r="A980" s="1">
        <v>44880</v>
      </c>
      <c r="B980" s="2">
        <v>194.41999799999999</v>
      </c>
      <c r="C980" s="2">
        <v>241.97</v>
      </c>
      <c r="F980" s="1">
        <v>44880</v>
      </c>
      <c r="G980" s="2">
        <f t="shared" si="30"/>
        <v>1.8009159145309359E-2</v>
      </c>
      <c r="H980" s="2">
        <f t="shared" si="31"/>
        <v>1.7372605295854192E-3</v>
      </c>
      <c r="I980" s="7">
        <v>0</v>
      </c>
      <c r="J980" s="7">
        <v>0</v>
      </c>
      <c r="K980" s="7">
        <v>0</v>
      </c>
      <c r="L980" s="7">
        <v>0</v>
      </c>
      <c r="M980" s="7">
        <v>0</v>
      </c>
      <c r="N980" s="7">
        <v>0</v>
      </c>
      <c r="O980" s="7">
        <v>1.8009159145309359E-2</v>
      </c>
      <c r="P980" s="7">
        <v>1.7372605295854192E-3</v>
      </c>
    </row>
    <row r="981" spans="1:16" x14ac:dyDescent="0.3">
      <c r="A981" s="1">
        <v>44881</v>
      </c>
      <c r="B981" s="2">
        <v>186.91999799999999</v>
      </c>
      <c r="C981" s="2">
        <v>241.73</v>
      </c>
      <c r="F981" s="1">
        <v>44881</v>
      </c>
      <c r="G981" s="2">
        <f t="shared" si="30"/>
        <v>-3.9340049973454631E-2</v>
      </c>
      <c r="H981" s="2">
        <f t="shared" si="31"/>
        <v>-9.9235071199171463E-4</v>
      </c>
      <c r="I981" s="7">
        <v>-3.9340049973454631E-2</v>
      </c>
      <c r="J981" s="7">
        <v>-9.9235071199171463E-4</v>
      </c>
      <c r="K981" s="7">
        <v>0</v>
      </c>
      <c r="L981" s="7">
        <v>0</v>
      </c>
      <c r="M981" s="7">
        <v>0</v>
      </c>
      <c r="N981" s="7">
        <v>0</v>
      </c>
      <c r="O981" s="7">
        <v>0</v>
      </c>
      <c r="P981" s="7">
        <v>0</v>
      </c>
    </row>
    <row r="982" spans="1:16" x14ac:dyDescent="0.3">
      <c r="A982" s="1">
        <v>44882</v>
      </c>
      <c r="B982" s="2">
        <v>183.16999799999999</v>
      </c>
      <c r="C982" s="2">
        <v>241.68</v>
      </c>
      <c r="F982" s="1">
        <v>44882</v>
      </c>
      <c r="G982" s="2">
        <f t="shared" si="30"/>
        <v>-2.0266034679153763E-2</v>
      </c>
      <c r="H982" s="2">
        <f t="shared" si="31"/>
        <v>-2.068637395928395E-4</v>
      </c>
      <c r="I982" s="7">
        <v>-2.0266034679153763E-2</v>
      </c>
      <c r="J982" s="7">
        <v>-2.068637395928395E-4</v>
      </c>
      <c r="K982" s="7">
        <v>0</v>
      </c>
      <c r="L982" s="7">
        <v>0</v>
      </c>
      <c r="M982" s="7">
        <v>0</v>
      </c>
      <c r="N982" s="7">
        <v>0</v>
      </c>
      <c r="O982" s="7">
        <v>0</v>
      </c>
      <c r="P982" s="7">
        <v>0</v>
      </c>
    </row>
    <row r="983" spans="1:16" x14ac:dyDescent="0.3">
      <c r="A983" s="1">
        <v>44883</v>
      </c>
      <c r="B983" s="2">
        <v>180.19000199999999</v>
      </c>
      <c r="C983" s="2">
        <v>241.22</v>
      </c>
      <c r="F983" s="1">
        <v>44883</v>
      </c>
      <c r="G983" s="2">
        <f t="shared" si="30"/>
        <v>-1.640281161518909E-2</v>
      </c>
      <c r="H983" s="2">
        <f t="shared" si="31"/>
        <v>-1.9051569233196626E-3</v>
      </c>
      <c r="I983" s="7">
        <v>-1.640281161518909E-2</v>
      </c>
      <c r="J983" s="7">
        <v>-1.9051569233196626E-3</v>
      </c>
      <c r="K983" s="7">
        <v>0</v>
      </c>
      <c r="L983" s="7">
        <v>0</v>
      </c>
      <c r="M983" s="7">
        <v>0</v>
      </c>
      <c r="N983" s="7">
        <v>0</v>
      </c>
      <c r="O983" s="7">
        <v>0</v>
      </c>
      <c r="P983" s="7">
        <v>0</v>
      </c>
    </row>
    <row r="984" spans="1:16" x14ac:dyDescent="0.3">
      <c r="A984" s="1">
        <v>44886</v>
      </c>
      <c r="B984" s="2">
        <v>167.86999499999999</v>
      </c>
      <c r="C984" s="2">
        <v>242.05</v>
      </c>
      <c r="F984" s="1">
        <v>44886</v>
      </c>
      <c r="G984" s="2">
        <f t="shared" si="30"/>
        <v>-7.0822020288748427E-2</v>
      </c>
      <c r="H984" s="2">
        <f t="shared" si="31"/>
        <v>3.4349362306066067E-3</v>
      </c>
      <c r="I984" s="7">
        <v>0</v>
      </c>
      <c r="J984" s="7">
        <v>0</v>
      </c>
      <c r="K984" s="7">
        <v>0</v>
      </c>
      <c r="L984" s="7">
        <v>0</v>
      </c>
      <c r="M984" s="7">
        <v>-7.0822020288748427E-2</v>
      </c>
      <c r="N984" s="7">
        <v>3.4349362306066067E-3</v>
      </c>
      <c r="O984" s="7">
        <v>0</v>
      </c>
      <c r="P984" s="7">
        <v>0</v>
      </c>
    </row>
    <row r="985" spans="1:16" x14ac:dyDescent="0.3">
      <c r="A985" s="1">
        <v>44887</v>
      </c>
      <c r="B985" s="2">
        <v>169.91000399999999</v>
      </c>
      <c r="C985" s="2">
        <v>245.03</v>
      </c>
      <c r="F985" s="1">
        <v>44887</v>
      </c>
      <c r="G985" s="2">
        <f t="shared" si="30"/>
        <v>1.2079068090172666E-2</v>
      </c>
      <c r="H985" s="2">
        <f t="shared" si="31"/>
        <v>1.2236335642351118E-2</v>
      </c>
      <c r="I985" s="7">
        <v>0</v>
      </c>
      <c r="J985" s="7">
        <v>0</v>
      </c>
      <c r="K985" s="7">
        <v>0</v>
      </c>
      <c r="L985" s="7">
        <v>0</v>
      </c>
      <c r="M985" s="7">
        <v>0</v>
      </c>
      <c r="N985" s="7">
        <v>0</v>
      </c>
      <c r="O985" s="7">
        <v>1.2079068090172666E-2</v>
      </c>
      <c r="P985" s="7">
        <v>1.2236335642351118E-2</v>
      </c>
    </row>
    <row r="986" spans="1:16" x14ac:dyDescent="0.3">
      <c r="A986" s="1">
        <v>44888</v>
      </c>
      <c r="B986" s="2">
        <v>183.199997</v>
      </c>
      <c r="C986" s="2">
        <v>247.58</v>
      </c>
      <c r="F986" s="1">
        <v>44888</v>
      </c>
      <c r="G986" s="2">
        <f t="shared" si="30"/>
        <v>7.5309527224941816E-2</v>
      </c>
      <c r="H986" s="2">
        <f t="shared" si="31"/>
        <v>1.0353110075609758E-2</v>
      </c>
      <c r="I986" s="7">
        <v>0</v>
      </c>
      <c r="J986" s="7">
        <v>0</v>
      </c>
      <c r="K986" s="7">
        <v>0</v>
      </c>
      <c r="L986" s="7">
        <v>0</v>
      </c>
      <c r="M986" s="7">
        <v>0</v>
      </c>
      <c r="N986" s="7">
        <v>0</v>
      </c>
      <c r="O986" s="7">
        <v>7.5309527224941816E-2</v>
      </c>
      <c r="P986" s="7">
        <v>1.0353110075609758E-2</v>
      </c>
    </row>
    <row r="987" spans="1:16" x14ac:dyDescent="0.3">
      <c r="A987" s="1">
        <v>44890</v>
      </c>
      <c r="B987" s="2">
        <v>182.86000100000001</v>
      </c>
      <c r="C987" s="2">
        <v>247.49</v>
      </c>
      <c r="F987" s="1">
        <v>44890</v>
      </c>
      <c r="G987" s="2">
        <f t="shared" si="30"/>
        <v>-1.8575976595388382E-3</v>
      </c>
      <c r="H987" s="2">
        <f t="shared" si="31"/>
        <v>-3.6358495158850853E-4</v>
      </c>
      <c r="I987" s="7">
        <v>-1.8575976595388382E-3</v>
      </c>
      <c r="J987" s="7">
        <v>-3.6358495158850853E-4</v>
      </c>
      <c r="K987" s="7">
        <v>0</v>
      </c>
      <c r="L987" s="7">
        <v>0</v>
      </c>
      <c r="M987" s="7">
        <v>0</v>
      </c>
      <c r="N987" s="7">
        <v>0</v>
      </c>
      <c r="O987" s="7">
        <v>0</v>
      </c>
      <c r="P987" s="7">
        <v>0</v>
      </c>
    </row>
    <row r="988" spans="1:16" x14ac:dyDescent="0.3">
      <c r="A988" s="1">
        <v>44893</v>
      </c>
      <c r="B988" s="2">
        <v>182.91999799999999</v>
      </c>
      <c r="C988" s="2">
        <v>241.76</v>
      </c>
      <c r="F988" s="1">
        <v>44893</v>
      </c>
      <c r="G988" s="2">
        <f t="shared" si="30"/>
        <v>3.2804965116761897E-4</v>
      </c>
      <c r="H988" s="2">
        <f t="shared" si="31"/>
        <v>-2.3424678627646377E-2</v>
      </c>
      <c r="I988" s="7">
        <v>0</v>
      </c>
      <c r="J988" s="7">
        <v>0</v>
      </c>
      <c r="K988" s="7">
        <v>3.2804965116761897E-4</v>
      </c>
      <c r="L988" s="7">
        <v>-2.3424678627646377E-2</v>
      </c>
      <c r="M988" s="7">
        <v>0</v>
      </c>
      <c r="N988" s="7">
        <v>0</v>
      </c>
      <c r="O988" s="7">
        <v>0</v>
      </c>
      <c r="P988" s="7">
        <v>0</v>
      </c>
    </row>
    <row r="989" spans="1:16" x14ac:dyDescent="0.3">
      <c r="A989" s="1">
        <v>44894</v>
      </c>
      <c r="B989" s="2">
        <v>180.83000200000001</v>
      </c>
      <c r="C989" s="2">
        <v>240.33</v>
      </c>
      <c r="F989" s="1">
        <v>44894</v>
      </c>
      <c r="G989" s="2">
        <f t="shared" si="30"/>
        <v>-1.1491513399112878E-2</v>
      </c>
      <c r="H989" s="2">
        <f t="shared" si="31"/>
        <v>-5.9325196292942303E-3</v>
      </c>
      <c r="I989" s="7">
        <v>-1.1491513399112878E-2</v>
      </c>
      <c r="J989" s="7">
        <v>-5.9325196292942303E-3</v>
      </c>
      <c r="K989" s="7">
        <v>0</v>
      </c>
      <c r="L989" s="7">
        <v>0</v>
      </c>
      <c r="M989" s="7">
        <v>0</v>
      </c>
      <c r="N989" s="7">
        <v>0</v>
      </c>
      <c r="O989" s="7">
        <v>0</v>
      </c>
      <c r="P989" s="7">
        <v>0</v>
      </c>
    </row>
    <row r="990" spans="1:16" x14ac:dyDescent="0.3">
      <c r="A990" s="1">
        <v>44895</v>
      </c>
      <c r="B990" s="2">
        <v>194.699997</v>
      </c>
      <c r="C990" s="2">
        <v>255.14</v>
      </c>
      <c r="F990" s="1">
        <v>44895</v>
      </c>
      <c r="G990" s="2">
        <f t="shared" si="30"/>
        <v>7.3902522512833316E-2</v>
      </c>
      <c r="H990" s="2">
        <f t="shared" si="31"/>
        <v>5.9799435215008703E-2</v>
      </c>
      <c r="I990" s="7">
        <v>0</v>
      </c>
      <c r="J990" s="7">
        <v>0</v>
      </c>
      <c r="K990" s="7">
        <v>0</v>
      </c>
      <c r="L990" s="7">
        <v>0</v>
      </c>
      <c r="M990" s="7">
        <v>0</v>
      </c>
      <c r="N990" s="7">
        <v>0</v>
      </c>
      <c r="O990" s="7">
        <v>7.3902522512833316E-2</v>
      </c>
      <c r="P990" s="7">
        <v>5.9799435215008703E-2</v>
      </c>
    </row>
    <row r="991" spans="1:16" x14ac:dyDescent="0.3">
      <c r="A991" s="1">
        <v>44896</v>
      </c>
      <c r="B991" s="2">
        <v>194.699997</v>
      </c>
      <c r="C991" s="2">
        <v>254.69</v>
      </c>
      <c r="F991" s="1">
        <v>44896</v>
      </c>
      <c r="G991" s="2">
        <f t="shared" si="30"/>
        <v>0</v>
      </c>
      <c r="H991" s="2">
        <f t="shared" si="31"/>
        <v>-1.7652947722180106E-3</v>
      </c>
      <c r="I991" s="7">
        <v>0</v>
      </c>
      <c r="J991" s="7">
        <v>-1.7652947722180106E-3</v>
      </c>
      <c r="K991" s="7">
        <v>0</v>
      </c>
      <c r="L991" s="7">
        <v>-1.7652947722180106E-3</v>
      </c>
      <c r="M991" s="7">
        <v>0</v>
      </c>
      <c r="N991" s="7">
        <v>0</v>
      </c>
      <c r="O991" s="7">
        <v>0</v>
      </c>
      <c r="P991" s="7">
        <v>0</v>
      </c>
    </row>
    <row r="992" spans="1:16" x14ac:dyDescent="0.3">
      <c r="A992" s="1">
        <v>44897</v>
      </c>
      <c r="B992" s="2">
        <v>194.86000100000001</v>
      </c>
      <c r="C992" s="2">
        <v>255.02</v>
      </c>
      <c r="F992" s="1">
        <v>44897</v>
      </c>
      <c r="G992" s="2">
        <f t="shared" si="30"/>
        <v>8.2146015925148232E-4</v>
      </c>
      <c r="H992" s="2">
        <f t="shared" si="31"/>
        <v>1.2948541174699357E-3</v>
      </c>
      <c r="I992" s="7">
        <v>0</v>
      </c>
      <c r="J992" s="7">
        <v>0</v>
      </c>
      <c r="K992" s="7">
        <v>0</v>
      </c>
      <c r="L992" s="7">
        <v>0</v>
      </c>
      <c r="M992" s="7">
        <v>0</v>
      </c>
      <c r="N992" s="7">
        <v>0</v>
      </c>
      <c r="O992" s="7">
        <v>8.2146015925148232E-4</v>
      </c>
      <c r="P992" s="7">
        <v>1.2948541174699357E-3</v>
      </c>
    </row>
    <row r="993" spans="1:16" x14ac:dyDescent="0.3">
      <c r="A993" s="1">
        <v>44900</v>
      </c>
      <c r="B993" s="2">
        <v>182.449997</v>
      </c>
      <c r="C993" s="2">
        <v>250.2</v>
      </c>
      <c r="F993" s="1">
        <v>44900</v>
      </c>
      <c r="G993" s="2">
        <f t="shared" si="30"/>
        <v>-6.5805210689489385E-2</v>
      </c>
      <c r="H993" s="2">
        <f t="shared" si="31"/>
        <v>-1.9081375422585214E-2</v>
      </c>
      <c r="I993" s="7">
        <v>-6.5805210689489385E-2</v>
      </c>
      <c r="J993" s="7">
        <v>-1.9081375422585214E-2</v>
      </c>
      <c r="K993" s="7">
        <v>0</v>
      </c>
      <c r="L993" s="7">
        <v>0</v>
      </c>
      <c r="M993" s="7">
        <v>0</v>
      </c>
      <c r="N993" s="7">
        <v>0</v>
      </c>
      <c r="O993" s="7">
        <v>0</v>
      </c>
      <c r="P993" s="7">
        <v>0</v>
      </c>
    </row>
    <row r="994" spans="1:16" x14ac:dyDescent="0.3">
      <c r="A994" s="1">
        <v>44901</v>
      </c>
      <c r="B994" s="2">
        <v>179.820007</v>
      </c>
      <c r="C994" s="2">
        <v>245.12</v>
      </c>
      <c r="F994" s="1">
        <v>44901</v>
      </c>
      <c r="G994" s="2">
        <f t="shared" si="30"/>
        <v>-1.4519756955152622E-2</v>
      </c>
      <c r="H994" s="2">
        <f t="shared" si="31"/>
        <v>-2.0512711480584263E-2</v>
      </c>
      <c r="I994" s="7">
        <v>-1.4519756955152622E-2</v>
      </c>
      <c r="J994" s="7">
        <v>-2.0512711480584263E-2</v>
      </c>
      <c r="K994" s="7">
        <v>0</v>
      </c>
      <c r="L994" s="7">
        <v>0</v>
      </c>
      <c r="M994" s="7">
        <v>0</v>
      </c>
      <c r="N994" s="7">
        <v>0</v>
      </c>
      <c r="O994" s="7">
        <v>0</v>
      </c>
      <c r="P994" s="7">
        <v>0</v>
      </c>
    </row>
    <row r="995" spans="1:16" x14ac:dyDescent="0.3">
      <c r="A995" s="1">
        <v>44902</v>
      </c>
      <c r="B995" s="2">
        <v>174.03999300000001</v>
      </c>
      <c r="C995" s="2">
        <v>244.37</v>
      </c>
      <c r="F995" s="1">
        <v>44902</v>
      </c>
      <c r="G995" s="2">
        <f t="shared" si="30"/>
        <v>-3.2671271852603101E-2</v>
      </c>
      <c r="H995" s="2">
        <f t="shared" si="31"/>
        <v>-3.0644163799684937E-3</v>
      </c>
      <c r="I995" s="7">
        <v>-3.2671271852603101E-2</v>
      </c>
      <c r="J995" s="7">
        <v>-3.0644163799684937E-3</v>
      </c>
      <c r="K995" s="7">
        <v>0</v>
      </c>
      <c r="L995" s="7">
        <v>0</v>
      </c>
      <c r="M995" s="7">
        <v>0</v>
      </c>
      <c r="N995" s="7">
        <v>0</v>
      </c>
      <c r="O995" s="7">
        <v>0</v>
      </c>
      <c r="P995" s="7">
        <v>0</v>
      </c>
    </row>
    <row r="996" spans="1:16" x14ac:dyDescent="0.3">
      <c r="A996" s="1">
        <v>44903</v>
      </c>
      <c r="B996" s="2">
        <v>173.44000199999999</v>
      </c>
      <c r="C996" s="2">
        <v>247.4</v>
      </c>
      <c r="F996" s="1">
        <v>44903</v>
      </c>
      <c r="G996" s="2">
        <f t="shared" si="30"/>
        <v>-3.4533878491931338E-3</v>
      </c>
      <c r="H996" s="2">
        <f t="shared" si="31"/>
        <v>1.2322989786129564E-2</v>
      </c>
      <c r="I996" s="7">
        <v>0</v>
      </c>
      <c r="J996" s="7">
        <v>0</v>
      </c>
      <c r="K996" s="7">
        <v>0</v>
      </c>
      <c r="L996" s="7">
        <v>0</v>
      </c>
      <c r="M996" s="7">
        <v>-3.4533878491931338E-3</v>
      </c>
      <c r="N996" s="7">
        <v>1.2322989786129564E-2</v>
      </c>
      <c r="O996" s="7">
        <v>0</v>
      </c>
      <c r="P996" s="7">
        <v>0</v>
      </c>
    </row>
    <row r="997" spans="1:16" x14ac:dyDescent="0.3">
      <c r="A997" s="1">
        <v>44904</v>
      </c>
      <c r="B997" s="2">
        <v>179.050003</v>
      </c>
      <c r="C997" s="2">
        <v>245.42</v>
      </c>
      <c r="F997" s="1">
        <v>44904</v>
      </c>
      <c r="G997" s="2">
        <f t="shared" si="30"/>
        <v>3.183338341689141E-2</v>
      </c>
      <c r="H997" s="2">
        <f t="shared" si="31"/>
        <v>-8.0354314099858049E-3</v>
      </c>
      <c r="I997" s="7">
        <v>0</v>
      </c>
      <c r="J997" s="7">
        <v>0</v>
      </c>
      <c r="K997" s="7">
        <v>3.183338341689141E-2</v>
      </c>
      <c r="L997" s="7">
        <v>-8.0354314099858049E-3</v>
      </c>
      <c r="M997" s="7">
        <v>0</v>
      </c>
      <c r="N997" s="7">
        <v>0</v>
      </c>
      <c r="O997" s="7">
        <v>0</v>
      </c>
      <c r="P997" s="7">
        <v>0</v>
      </c>
    </row>
    <row r="998" spans="1:16" x14ac:dyDescent="0.3">
      <c r="A998" s="1">
        <v>44907</v>
      </c>
      <c r="B998" s="2">
        <v>167.820007</v>
      </c>
      <c r="C998" s="2">
        <v>252.51</v>
      </c>
      <c r="F998" s="1">
        <v>44907</v>
      </c>
      <c r="G998" s="2">
        <f t="shared" si="30"/>
        <v>-6.4773095046258042E-2</v>
      </c>
      <c r="H998" s="2">
        <f t="shared" si="31"/>
        <v>2.8479823343192653E-2</v>
      </c>
      <c r="I998" s="7">
        <v>0</v>
      </c>
      <c r="J998" s="7">
        <v>0</v>
      </c>
      <c r="K998" s="7">
        <v>0</v>
      </c>
      <c r="L998" s="7">
        <v>0</v>
      </c>
      <c r="M998" s="7">
        <v>-6.4773095046258042E-2</v>
      </c>
      <c r="N998" s="7">
        <v>2.8479823343192653E-2</v>
      </c>
      <c r="O998" s="7">
        <v>0</v>
      </c>
      <c r="P998" s="7">
        <v>0</v>
      </c>
    </row>
    <row r="999" spans="1:16" x14ac:dyDescent="0.3">
      <c r="A999" s="1">
        <v>44908</v>
      </c>
      <c r="B999" s="2">
        <v>160.949997</v>
      </c>
      <c r="C999" s="2">
        <v>256.92</v>
      </c>
      <c r="F999" s="1">
        <v>44908</v>
      </c>
      <c r="G999" s="2">
        <f t="shared" si="30"/>
        <v>-4.1798279047791896E-2</v>
      </c>
      <c r="H999" s="2">
        <f t="shared" si="31"/>
        <v>1.7313900497997487E-2</v>
      </c>
      <c r="I999" s="7">
        <v>0</v>
      </c>
      <c r="J999" s="7">
        <v>0</v>
      </c>
      <c r="K999" s="7">
        <v>0</v>
      </c>
      <c r="L999" s="7">
        <v>0</v>
      </c>
      <c r="M999" s="7">
        <v>-4.1798279047791896E-2</v>
      </c>
      <c r="N999" s="7">
        <v>1.7313900497997487E-2</v>
      </c>
      <c r="O999" s="7">
        <v>0</v>
      </c>
      <c r="P999" s="7">
        <v>0</v>
      </c>
    </row>
    <row r="1000" spans="1:16" x14ac:dyDescent="0.3">
      <c r="A1000" s="1">
        <v>44909</v>
      </c>
      <c r="B1000" s="2">
        <v>156.800003</v>
      </c>
      <c r="C1000" s="2">
        <v>257.22000000000003</v>
      </c>
      <c r="F1000" s="1">
        <v>44909</v>
      </c>
      <c r="G1000" s="2">
        <f t="shared" si="30"/>
        <v>-2.6122612056527664E-2</v>
      </c>
      <c r="H1000" s="2">
        <f t="shared" si="31"/>
        <v>1.1669974483490499E-3</v>
      </c>
      <c r="I1000" s="7">
        <v>0</v>
      </c>
      <c r="J1000" s="7">
        <v>0</v>
      </c>
      <c r="K1000" s="7">
        <v>0</v>
      </c>
      <c r="L1000" s="7">
        <v>0</v>
      </c>
      <c r="M1000" s="7">
        <v>-2.6122612056527664E-2</v>
      </c>
      <c r="N1000" s="7">
        <v>1.1669974483490499E-3</v>
      </c>
      <c r="O1000" s="7">
        <v>0</v>
      </c>
      <c r="P1000" s="7">
        <v>0</v>
      </c>
    </row>
    <row r="1001" spans="1:16" x14ac:dyDescent="0.3">
      <c r="A1001" s="1">
        <v>44910</v>
      </c>
      <c r="B1001" s="2">
        <v>157.66999799999999</v>
      </c>
      <c r="C1001" s="2">
        <v>249.01</v>
      </c>
      <c r="F1001" s="1">
        <v>44910</v>
      </c>
      <c r="G1001" s="2">
        <f t="shared" si="30"/>
        <v>5.5331015157087287E-3</v>
      </c>
      <c r="H1001" s="2">
        <f t="shared" si="31"/>
        <v>-3.2438693537079955E-2</v>
      </c>
      <c r="I1001" s="7">
        <v>0</v>
      </c>
      <c r="J1001" s="7">
        <v>0</v>
      </c>
      <c r="K1001" s="7">
        <v>5.5331015157087287E-3</v>
      </c>
      <c r="L1001" s="7">
        <v>-3.2438693537079955E-2</v>
      </c>
      <c r="M1001" s="7">
        <v>0</v>
      </c>
      <c r="N1001" s="7">
        <v>0</v>
      </c>
      <c r="O1001" s="7">
        <v>0</v>
      </c>
      <c r="P1001" s="7">
        <v>0</v>
      </c>
    </row>
    <row r="1002" spans="1:16" x14ac:dyDescent="0.3">
      <c r="A1002" s="1">
        <v>44911</v>
      </c>
      <c r="B1002" s="2">
        <v>150.229996</v>
      </c>
      <c r="C1002" s="2">
        <v>244.69</v>
      </c>
      <c r="F1002" s="1">
        <v>44911</v>
      </c>
      <c r="G1002" s="2">
        <f t="shared" si="30"/>
        <v>-4.8336802116177406E-2</v>
      </c>
      <c r="H1002" s="2">
        <f t="shared" si="31"/>
        <v>-1.750095305426758E-2</v>
      </c>
      <c r="I1002" s="7">
        <v>-4.8336802116177406E-2</v>
      </c>
      <c r="J1002" s="7">
        <v>-1.750095305426758E-2</v>
      </c>
      <c r="K1002" s="7">
        <v>0</v>
      </c>
      <c r="L1002" s="7">
        <v>0</v>
      </c>
      <c r="M1002" s="7">
        <v>0</v>
      </c>
      <c r="N1002" s="7">
        <v>0</v>
      </c>
      <c r="O1002" s="7">
        <v>0</v>
      </c>
      <c r="P1002" s="7">
        <v>0</v>
      </c>
    </row>
    <row r="1003" spans="1:16" x14ac:dyDescent="0.3">
      <c r="A1003" s="1">
        <v>44914</v>
      </c>
      <c r="B1003" s="2">
        <v>149.86999499999999</v>
      </c>
      <c r="C1003" s="2">
        <v>240.45</v>
      </c>
      <c r="F1003" s="1">
        <v>44914</v>
      </c>
      <c r="G1003" s="2">
        <f t="shared" si="30"/>
        <v>-2.3992081538347669E-3</v>
      </c>
      <c r="H1003" s="2">
        <f t="shared" si="31"/>
        <v>-1.7479935522921708E-2</v>
      </c>
      <c r="I1003" s="7">
        <v>-2.3992081538347669E-3</v>
      </c>
      <c r="J1003" s="7">
        <v>-1.7479935522921708E-2</v>
      </c>
      <c r="K1003" s="7">
        <v>0</v>
      </c>
      <c r="L1003" s="7">
        <v>0</v>
      </c>
      <c r="M1003" s="7">
        <v>0</v>
      </c>
      <c r="N1003" s="7">
        <v>0</v>
      </c>
      <c r="O1003" s="7">
        <v>0</v>
      </c>
      <c r="P1003" s="7">
        <v>0</v>
      </c>
    </row>
    <row r="1004" spans="1:16" x14ac:dyDescent="0.3">
      <c r="A1004" s="1">
        <v>44915</v>
      </c>
      <c r="B1004" s="2">
        <v>137.800003</v>
      </c>
      <c r="C1004" s="2">
        <v>241.8</v>
      </c>
      <c r="F1004" s="1">
        <v>44915</v>
      </c>
      <c r="G1004" s="2">
        <f t="shared" si="30"/>
        <v>-8.396483794441674E-2</v>
      </c>
      <c r="H1004" s="2">
        <f t="shared" si="31"/>
        <v>5.5987704570208338E-3</v>
      </c>
      <c r="I1004" s="7">
        <v>0</v>
      </c>
      <c r="J1004" s="7">
        <v>0</v>
      </c>
      <c r="K1004" s="7">
        <v>0</v>
      </c>
      <c r="L1004" s="7">
        <v>0</v>
      </c>
      <c r="M1004" s="7">
        <v>-8.396483794441674E-2</v>
      </c>
      <c r="N1004" s="7">
        <v>5.5987704570208338E-3</v>
      </c>
      <c r="O1004" s="7">
        <v>0</v>
      </c>
      <c r="P1004" s="7">
        <v>0</v>
      </c>
    </row>
    <row r="1005" spans="1:16" x14ac:dyDescent="0.3">
      <c r="A1005" s="1">
        <v>44916</v>
      </c>
      <c r="B1005" s="2">
        <v>137.570007</v>
      </c>
      <c r="C1005" s="2">
        <v>244.43</v>
      </c>
      <c r="F1005" s="1">
        <v>44916</v>
      </c>
      <c r="G1005" s="2">
        <f t="shared" si="30"/>
        <v>-1.6704509941504603E-3</v>
      </c>
      <c r="H1005" s="2">
        <f t="shared" si="31"/>
        <v>1.0818031174468079E-2</v>
      </c>
      <c r="I1005" s="7">
        <v>0</v>
      </c>
      <c r="J1005" s="7">
        <v>0</v>
      </c>
      <c r="K1005" s="7">
        <v>0</v>
      </c>
      <c r="L1005" s="7">
        <v>0</v>
      </c>
      <c r="M1005" s="7">
        <v>-1.6704509941504603E-3</v>
      </c>
      <c r="N1005" s="7">
        <v>1.0818031174468079E-2</v>
      </c>
      <c r="O1005" s="7">
        <v>0</v>
      </c>
      <c r="P1005" s="7">
        <v>0</v>
      </c>
    </row>
    <row r="1006" spans="1:16" x14ac:dyDescent="0.3">
      <c r="A1006" s="1">
        <v>44917</v>
      </c>
      <c r="B1006" s="2">
        <v>125.349998</v>
      </c>
      <c r="C1006" s="2">
        <v>238.19</v>
      </c>
      <c r="F1006" s="1">
        <v>44917</v>
      </c>
      <c r="G1006" s="2">
        <f t="shared" si="30"/>
        <v>-9.3023120707112522E-2</v>
      </c>
      <c r="H1006" s="2">
        <f t="shared" si="31"/>
        <v>-2.5860294843337277E-2</v>
      </c>
      <c r="I1006" s="7">
        <v>-9.3023120707112522E-2</v>
      </c>
      <c r="J1006" s="7">
        <v>-2.5860294843337277E-2</v>
      </c>
      <c r="K1006" s="7">
        <v>0</v>
      </c>
      <c r="L1006" s="7">
        <v>0</v>
      </c>
      <c r="M1006" s="7">
        <v>0</v>
      </c>
      <c r="N1006" s="7">
        <v>0</v>
      </c>
      <c r="O1006" s="7">
        <v>0</v>
      </c>
      <c r="P1006" s="7">
        <v>0</v>
      </c>
    </row>
    <row r="1007" spans="1:16" x14ac:dyDescent="0.3">
      <c r="A1007" s="1">
        <v>44918</v>
      </c>
      <c r="B1007" s="2">
        <v>123.150002</v>
      </c>
      <c r="C1007" s="2">
        <v>238.73</v>
      </c>
      <c r="F1007" s="1">
        <v>44918</v>
      </c>
      <c r="G1007" s="2">
        <f t="shared" si="30"/>
        <v>-1.7706667842073111E-2</v>
      </c>
      <c r="H1007" s="2">
        <f t="shared" si="31"/>
        <v>2.2645317066369822E-3</v>
      </c>
      <c r="I1007" s="7">
        <v>0</v>
      </c>
      <c r="J1007" s="7">
        <v>0</v>
      </c>
      <c r="K1007" s="7">
        <v>0</v>
      </c>
      <c r="L1007" s="7">
        <v>0</v>
      </c>
      <c r="M1007" s="7">
        <v>-1.7706667842073111E-2</v>
      </c>
      <c r="N1007" s="7">
        <v>2.2645317066369822E-3</v>
      </c>
      <c r="O1007" s="7">
        <v>0</v>
      </c>
      <c r="P1007" s="7">
        <v>0</v>
      </c>
    </row>
    <row r="1008" spans="1:16" x14ac:dyDescent="0.3">
      <c r="A1008" s="1">
        <v>44922</v>
      </c>
      <c r="B1008" s="2">
        <v>109.099998</v>
      </c>
      <c r="C1008" s="2">
        <v>236.96</v>
      </c>
      <c r="F1008" s="1">
        <v>44922</v>
      </c>
      <c r="G1008" s="2">
        <f t="shared" si="30"/>
        <v>-0.1211382662996848</v>
      </c>
      <c r="H1008" s="2">
        <f t="shared" si="31"/>
        <v>-7.441855698971332E-3</v>
      </c>
      <c r="I1008" s="7">
        <v>-0.1211382662996848</v>
      </c>
      <c r="J1008" s="7">
        <v>-7.441855698971332E-3</v>
      </c>
      <c r="K1008" s="7">
        <v>0</v>
      </c>
      <c r="L1008" s="7">
        <v>0</v>
      </c>
      <c r="M1008" s="7">
        <v>0</v>
      </c>
      <c r="N1008" s="7">
        <v>0</v>
      </c>
      <c r="O1008" s="7">
        <v>0</v>
      </c>
      <c r="P1008" s="7">
        <v>0</v>
      </c>
    </row>
    <row r="1009" spans="1:16" x14ac:dyDescent="0.3">
      <c r="A1009" s="1">
        <v>44923</v>
      </c>
      <c r="B1009" s="2">
        <v>112.709999</v>
      </c>
      <c r="C1009" s="2">
        <v>234.53</v>
      </c>
      <c r="F1009" s="1">
        <v>44923</v>
      </c>
      <c r="G1009" s="2">
        <f t="shared" si="30"/>
        <v>3.2553264874440636E-2</v>
      </c>
      <c r="H1009" s="2">
        <f t="shared" si="31"/>
        <v>-1.0307839046002841E-2</v>
      </c>
      <c r="I1009" s="7">
        <v>0</v>
      </c>
      <c r="J1009" s="7">
        <v>0</v>
      </c>
      <c r="K1009" s="7">
        <v>3.2553264874440636E-2</v>
      </c>
      <c r="L1009" s="7">
        <v>-1.0307839046002841E-2</v>
      </c>
      <c r="M1009" s="7">
        <v>0</v>
      </c>
      <c r="N1009" s="7">
        <v>0</v>
      </c>
      <c r="O1009" s="7">
        <v>0</v>
      </c>
      <c r="P1009" s="7">
        <v>0</v>
      </c>
    </row>
    <row r="1010" spans="1:16" x14ac:dyDescent="0.3">
      <c r="A1010" s="1">
        <v>44924</v>
      </c>
      <c r="B1010" s="2">
        <v>121.82</v>
      </c>
      <c r="C1010" s="2">
        <v>241.01</v>
      </c>
      <c r="F1010" s="1">
        <v>44924</v>
      </c>
      <c r="G1010" s="2">
        <f t="shared" si="30"/>
        <v>7.772640602667856E-2</v>
      </c>
      <c r="H1010" s="2">
        <f t="shared" si="31"/>
        <v>2.7254914932259726E-2</v>
      </c>
      <c r="I1010" s="7">
        <v>0</v>
      </c>
      <c r="J1010" s="7">
        <v>0</v>
      </c>
      <c r="K1010" s="7">
        <v>0</v>
      </c>
      <c r="L1010" s="7">
        <v>0</v>
      </c>
      <c r="M1010" s="7">
        <v>0</v>
      </c>
      <c r="N1010" s="7">
        <v>0</v>
      </c>
      <c r="O1010" s="7">
        <v>7.772640602667856E-2</v>
      </c>
      <c r="P1010" s="7">
        <v>2.7254914932259726E-2</v>
      </c>
    </row>
    <row r="1011" spans="1:16" x14ac:dyDescent="0.3">
      <c r="A1011" s="1">
        <v>44925</v>
      </c>
      <c r="B1011" s="2">
        <v>123.18</v>
      </c>
      <c r="C1011" s="2">
        <v>239.82</v>
      </c>
      <c r="F1011" s="1">
        <v>44925</v>
      </c>
      <c r="G1011" s="2">
        <f t="shared" si="30"/>
        <v>1.1102154850558861E-2</v>
      </c>
      <c r="H1011" s="2">
        <f t="shared" si="31"/>
        <v>-4.9497844544585364E-3</v>
      </c>
      <c r="I1011" s="7">
        <v>0</v>
      </c>
      <c r="J1011" s="7">
        <v>0</v>
      </c>
      <c r="K1011" s="7">
        <v>1.1102154850558861E-2</v>
      </c>
      <c r="L1011" s="7">
        <v>-4.9497844544585364E-3</v>
      </c>
      <c r="M1011" s="7">
        <v>0</v>
      </c>
      <c r="N1011" s="7">
        <v>0</v>
      </c>
      <c r="O1011" s="7">
        <v>0</v>
      </c>
      <c r="P1011" s="7">
        <v>0</v>
      </c>
    </row>
    <row r="1012" spans="1:16" x14ac:dyDescent="0.3">
      <c r="A1012" s="1">
        <v>44929</v>
      </c>
      <c r="B1012" s="2">
        <v>108.099998</v>
      </c>
      <c r="C1012" s="2">
        <v>239.58</v>
      </c>
      <c r="F1012" s="1">
        <v>44929</v>
      </c>
      <c r="G1012" s="2">
        <f t="shared" si="30"/>
        <v>-0.13058999411512248</v>
      </c>
      <c r="H1012" s="2">
        <f t="shared" si="31"/>
        <v>-1.0012516481021545E-3</v>
      </c>
      <c r="I1012" s="7">
        <v>-0.13058999411512248</v>
      </c>
      <c r="J1012" s="7">
        <v>-1.0012516481021545E-3</v>
      </c>
      <c r="K1012" s="7">
        <v>0</v>
      </c>
      <c r="L1012" s="7">
        <v>0</v>
      </c>
      <c r="M1012" s="7">
        <v>0</v>
      </c>
      <c r="N1012" s="7">
        <v>0</v>
      </c>
      <c r="O1012" s="7">
        <v>0</v>
      </c>
      <c r="P1012" s="7">
        <v>0</v>
      </c>
    </row>
    <row r="1013" spans="1:16" x14ac:dyDescent="0.3">
      <c r="A1013" s="1">
        <v>44930</v>
      </c>
      <c r="B1013" s="2">
        <v>113.639999</v>
      </c>
      <c r="C1013" s="2">
        <v>229.1</v>
      </c>
      <c r="F1013" s="1">
        <v>44930</v>
      </c>
      <c r="G1013" s="2">
        <f t="shared" si="30"/>
        <v>4.9978842042493858E-2</v>
      </c>
      <c r="H1013" s="2">
        <f t="shared" si="31"/>
        <v>-4.4728800843735241E-2</v>
      </c>
      <c r="I1013" s="7">
        <v>0</v>
      </c>
      <c r="J1013" s="7">
        <v>0</v>
      </c>
      <c r="K1013" s="7">
        <v>4.9978842042493858E-2</v>
      </c>
      <c r="L1013" s="7">
        <v>-4.4728800843735241E-2</v>
      </c>
      <c r="M1013" s="7">
        <v>0</v>
      </c>
      <c r="N1013" s="7">
        <v>0</v>
      </c>
      <c r="O1013" s="7">
        <v>0</v>
      </c>
      <c r="P1013" s="7">
        <v>0</v>
      </c>
    </row>
    <row r="1014" spans="1:16" x14ac:dyDescent="0.3">
      <c r="A1014" s="1">
        <v>44931</v>
      </c>
      <c r="B1014" s="2">
        <v>110.339996</v>
      </c>
      <c r="C1014" s="2">
        <v>222.31</v>
      </c>
      <c r="F1014" s="1">
        <v>44931</v>
      </c>
      <c r="G1014" s="2">
        <f t="shared" si="30"/>
        <v>-2.9469076593570679E-2</v>
      </c>
      <c r="H1014" s="2">
        <f t="shared" si="31"/>
        <v>-3.0085785245549661E-2</v>
      </c>
      <c r="I1014" s="7">
        <v>-2.9469076593570679E-2</v>
      </c>
      <c r="J1014" s="7">
        <v>-3.0085785245549661E-2</v>
      </c>
      <c r="K1014" s="7">
        <v>0</v>
      </c>
      <c r="L1014" s="7">
        <v>0</v>
      </c>
      <c r="M1014" s="7">
        <v>0</v>
      </c>
      <c r="N1014" s="7">
        <v>0</v>
      </c>
      <c r="O1014" s="7">
        <v>0</v>
      </c>
      <c r="P1014" s="7">
        <v>0</v>
      </c>
    </row>
    <row r="1015" spans="1:16" x14ac:dyDescent="0.3">
      <c r="A1015" s="1">
        <v>44932</v>
      </c>
      <c r="B1015" s="2">
        <v>113.05999799999999</v>
      </c>
      <c r="C1015" s="2">
        <v>224.93</v>
      </c>
      <c r="F1015" s="1">
        <v>44932</v>
      </c>
      <c r="G1015" s="2">
        <f t="shared" si="30"/>
        <v>2.4352161964724256E-2</v>
      </c>
      <c r="H1015" s="2">
        <f t="shared" si="31"/>
        <v>1.1716438474307396E-2</v>
      </c>
      <c r="I1015" s="7">
        <v>0</v>
      </c>
      <c r="J1015" s="7">
        <v>0</v>
      </c>
      <c r="K1015" s="7">
        <v>0</v>
      </c>
      <c r="L1015" s="7">
        <v>0</v>
      </c>
      <c r="M1015" s="7">
        <v>0</v>
      </c>
      <c r="N1015" s="7">
        <v>0</v>
      </c>
      <c r="O1015" s="7">
        <v>2.4352161964724256E-2</v>
      </c>
      <c r="P1015" s="7">
        <v>1.1716438474307396E-2</v>
      </c>
    </row>
    <row r="1016" spans="1:16" x14ac:dyDescent="0.3">
      <c r="A1016" s="1">
        <v>44935</v>
      </c>
      <c r="B1016" s="2">
        <v>119.769997</v>
      </c>
      <c r="C1016" s="2">
        <v>227.12</v>
      </c>
      <c r="F1016" s="1">
        <v>44935</v>
      </c>
      <c r="G1016" s="2">
        <f t="shared" si="30"/>
        <v>5.765457835398418E-2</v>
      </c>
      <c r="H1016" s="2">
        <f t="shared" si="31"/>
        <v>9.6892694765081978E-3</v>
      </c>
      <c r="I1016" s="7">
        <v>0</v>
      </c>
      <c r="J1016" s="7">
        <v>0</v>
      </c>
      <c r="K1016" s="7">
        <v>0</v>
      </c>
      <c r="L1016" s="7">
        <v>0</v>
      </c>
      <c r="M1016" s="7">
        <v>0</v>
      </c>
      <c r="N1016" s="7">
        <v>0</v>
      </c>
      <c r="O1016" s="7">
        <v>5.765457835398418E-2</v>
      </c>
      <c r="P1016" s="7">
        <v>9.6892694765081978E-3</v>
      </c>
    </row>
    <row r="1017" spans="1:16" x14ac:dyDescent="0.3">
      <c r="A1017" s="1">
        <v>44936</v>
      </c>
      <c r="B1017" s="2">
        <v>118.849998</v>
      </c>
      <c r="C1017" s="2">
        <v>228.85</v>
      </c>
      <c r="F1017" s="1">
        <v>44936</v>
      </c>
      <c r="G1017" s="2">
        <f t="shared" si="30"/>
        <v>-7.7110349331380341E-3</v>
      </c>
      <c r="H1017" s="2">
        <f t="shared" si="31"/>
        <v>7.5882549349352126E-3</v>
      </c>
      <c r="I1017" s="7">
        <v>0</v>
      </c>
      <c r="J1017" s="7">
        <v>0</v>
      </c>
      <c r="K1017" s="7">
        <v>0</v>
      </c>
      <c r="L1017" s="7">
        <v>0</v>
      </c>
      <c r="M1017" s="7">
        <v>-7.7110349331380341E-3</v>
      </c>
      <c r="N1017" s="7">
        <v>7.5882549349352126E-3</v>
      </c>
      <c r="O1017" s="7">
        <v>0</v>
      </c>
      <c r="P1017" s="7">
        <v>0</v>
      </c>
    </row>
    <row r="1018" spans="1:16" x14ac:dyDescent="0.3">
      <c r="A1018" s="1">
        <v>44937</v>
      </c>
      <c r="B1018" s="2">
        <v>123.220001</v>
      </c>
      <c r="C1018" s="2">
        <v>235.77</v>
      </c>
      <c r="F1018" s="1">
        <v>44937</v>
      </c>
      <c r="G1018" s="2">
        <f t="shared" si="30"/>
        <v>3.6109206723721761E-2</v>
      </c>
      <c r="H1018" s="2">
        <f t="shared" si="31"/>
        <v>2.9789986446542193E-2</v>
      </c>
      <c r="I1018" s="7">
        <v>0</v>
      </c>
      <c r="J1018" s="7">
        <v>0</v>
      </c>
      <c r="K1018" s="7">
        <v>0</v>
      </c>
      <c r="L1018" s="7">
        <v>0</v>
      </c>
      <c r="M1018" s="7">
        <v>0</v>
      </c>
      <c r="N1018" s="7">
        <v>0</v>
      </c>
      <c r="O1018" s="7">
        <v>3.6109206723721761E-2</v>
      </c>
      <c r="P1018" s="7">
        <v>2.9789986446542193E-2</v>
      </c>
    </row>
    <row r="1019" spans="1:16" x14ac:dyDescent="0.3">
      <c r="A1019" s="1">
        <v>44938</v>
      </c>
      <c r="B1019" s="2">
        <v>123.55999799999999</v>
      </c>
      <c r="C1019" s="2">
        <v>238.51</v>
      </c>
      <c r="F1019" s="1">
        <v>44938</v>
      </c>
      <c r="G1019" s="2">
        <f t="shared" si="30"/>
        <v>2.755468161922377E-3</v>
      </c>
      <c r="H1019" s="2">
        <f t="shared" si="31"/>
        <v>1.1554484624392328E-2</v>
      </c>
      <c r="I1019" s="7">
        <v>0</v>
      </c>
      <c r="J1019" s="7">
        <v>0</v>
      </c>
      <c r="K1019" s="7">
        <v>0</v>
      </c>
      <c r="L1019" s="7">
        <v>0</v>
      </c>
      <c r="M1019" s="7">
        <v>0</v>
      </c>
      <c r="N1019" s="7">
        <v>0</v>
      </c>
      <c r="O1019" s="7">
        <v>2.755468161922377E-3</v>
      </c>
      <c r="P1019" s="7">
        <v>1.1554484624392328E-2</v>
      </c>
    </row>
    <row r="1020" spans="1:16" x14ac:dyDescent="0.3">
      <c r="A1020" s="1">
        <v>44939</v>
      </c>
      <c r="B1020" s="2">
        <v>122.400002</v>
      </c>
      <c r="C1020" s="2">
        <v>239.23</v>
      </c>
      <c r="F1020" s="1">
        <v>44939</v>
      </c>
      <c r="G1020" s="2">
        <f t="shared" si="30"/>
        <v>-9.4324654458178368E-3</v>
      </c>
      <c r="H1020" s="2">
        <f t="shared" si="31"/>
        <v>3.0141941019042238E-3</v>
      </c>
      <c r="I1020" s="7">
        <v>0</v>
      </c>
      <c r="J1020" s="7">
        <v>0</v>
      </c>
      <c r="K1020" s="7">
        <v>0</v>
      </c>
      <c r="L1020" s="7">
        <v>0</v>
      </c>
      <c r="M1020" s="7">
        <v>-9.4324654458178368E-3</v>
      </c>
      <c r="N1020" s="7">
        <v>3.0141941019042238E-3</v>
      </c>
      <c r="O1020" s="7">
        <v>0</v>
      </c>
      <c r="P1020" s="7">
        <v>0</v>
      </c>
    </row>
    <row r="1021" spans="1:16" x14ac:dyDescent="0.3">
      <c r="A1021" s="1">
        <v>44943</v>
      </c>
      <c r="B1021" s="2">
        <v>131.490005</v>
      </c>
      <c r="C1021" s="2">
        <v>240.35</v>
      </c>
      <c r="F1021" s="1">
        <v>44943</v>
      </c>
      <c r="G1021" s="2">
        <f t="shared" si="30"/>
        <v>7.1636454706437272E-2</v>
      </c>
      <c r="H1021" s="2">
        <f t="shared" si="31"/>
        <v>4.6707620674798335E-3</v>
      </c>
      <c r="I1021" s="7">
        <v>0</v>
      </c>
      <c r="J1021" s="7">
        <v>0</v>
      </c>
      <c r="K1021" s="7">
        <v>0</v>
      </c>
      <c r="L1021" s="7">
        <v>0</v>
      </c>
      <c r="M1021" s="7">
        <v>0</v>
      </c>
      <c r="N1021" s="7">
        <v>0</v>
      </c>
      <c r="O1021" s="7">
        <v>7.1636454706437272E-2</v>
      </c>
      <c r="P1021" s="7">
        <v>4.6707620674798335E-3</v>
      </c>
    </row>
    <row r="1022" spans="1:16" x14ac:dyDescent="0.3">
      <c r="A1022" s="1">
        <v>44944</v>
      </c>
      <c r="B1022" s="2">
        <v>128.779999</v>
      </c>
      <c r="C1022" s="2">
        <v>235.81</v>
      </c>
      <c r="F1022" s="1">
        <v>44944</v>
      </c>
      <c r="G1022" s="2">
        <f t="shared" si="30"/>
        <v>-2.0825326779675614E-2</v>
      </c>
      <c r="H1022" s="2">
        <f t="shared" si="31"/>
        <v>-1.906979831489301E-2</v>
      </c>
      <c r="I1022" s="7">
        <v>-2.0825326779675614E-2</v>
      </c>
      <c r="J1022" s="7">
        <v>-1.906979831489301E-2</v>
      </c>
      <c r="K1022" s="7">
        <v>0</v>
      </c>
      <c r="L1022" s="7">
        <v>0</v>
      </c>
      <c r="M1022" s="7">
        <v>0</v>
      </c>
      <c r="N1022" s="7">
        <v>0</v>
      </c>
      <c r="O1022" s="7">
        <v>0</v>
      </c>
      <c r="P1022" s="7">
        <v>0</v>
      </c>
    </row>
    <row r="1023" spans="1:16" x14ac:dyDescent="0.3">
      <c r="A1023" s="1">
        <v>44945</v>
      </c>
      <c r="B1023" s="2">
        <v>127.16999800000001</v>
      </c>
      <c r="C1023" s="2">
        <v>231.93</v>
      </c>
      <c r="F1023" s="1">
        <v>44945</v>
      </c>
      <c r="G1023" s="2">
        <f t="shared" si="30"/>
        <v>-1.2580756039180813E-2</v>
      </c>
      <c r="H1023" s="2">
        <f t="shared" si="31"/>
        <v>-1.6590794024583615E-2</v>
      </c>
      <c r="I1023" s="7">
        <v>-1.2580756039180813E-2</v>
      </c>
      <c r="J1023" s="7">
        <v>-1.6590794024583615E-2</v>
      </c>
      <c r="K1023" s="7">
        <v>0</v>
      </c>
      <c r="L1023" s="7">
        <v>0</v>
      </c>
      <c r="M1023" s="7">
        <v>0</v>
      </c>
      <c r="N1023" s="7">
        <v>0</v>
      </c>
      <c r="O1023" s="7">
        <v>0</v>
      </c>
      <c r="P1023" s="7">
        <v>0</v>
      </c>
    </row>
    <row r="1024" spans="1:16" x14ac:dyDescent="0.3">
      <c r="A1024" s="1">
        <v>44946</v>
      </c>
      <c r="B1024" s="2">
        <v>133.41999799999999</v>
      </c>
      <c r="C1024" s="2">
        <v>240.22</v>
      </c>
      <c r="F1024" s="1">
        <v>44946</v>
      </c>
      <c r="G1024" s="2">
        <f t="shared" si="30"/>
        <v>4.7977273985437038E-2</v>
      </c>
      <c r="H1024" s="2">
        <f t="shared" si="31"/>
        <v>3.5119568125851125E-2</v>
      </c>
      <c r="I1024" s="7">
        <v>0</v>
      </c>
      <c r="J1024" s="7">
        <v>0</v>
      </c>
      <c r="K1024" s="7">
        <v>0</v>
      </c>
      <c r="L1024" s="7">
        <v>0</v>
      </c>
      <c r="M1024" s="7">
        <v>0</v>
      </c>
      <c r="N1024" s="7">
        <v>0</v>
      </c>
      <c r="O1024" s="7">
        <v>4.7977273985437038E-2</v>
      </c>
      <c r="P1024" s="7">
        <v>3.5119568125851125E-2</v>
      </c>
    </row>
    <row r="1025" spans="1:16" x14ac:dyDescent="0.3">
      <c r="A1025" s="1">
        <v>44949</v>
      </c>
      <c r="B1025" s="2">
        <v>143.75</v>
      </c>
      <c r="C1025" s="2">
        <v>242.58</v>
      </c>
      <c r="F1025" s="1">
        <v>44949</v>
      </c>
      <c r="G1025" s="2">
        <f t="shared" si="30"/>
        <v>7.4573647386346933E-2</v>
      </c>
      <c r="H1025" s="2">
        <f t="shared" si="31"/>
        <v>9.7763827543904096E-3</v>
      </c>
      <c r="I1025" s="7">
        <v>0</v>
      </c>
      <c r="J1025" s="7">
        <v>0</v>
      </c>
      <c r="K1025" s="7">
        <v>0</v>
      </c>
      <c r="L1025" s="7">
        <v>0</v>
      </c>
      <c r="M1025" s="7">
        <v>0</v>
      </c>
      <c r="N1025" s="7">
        <v>0</v>
      </c>
      <c r="O1025" s="7">
        <v>7.4573647386346933E-2</v>
      </c>
      <c r="P1025" s="7">
        <v>9.7763827543904096E-3</v>
      </c>
    </row>
    <row r="1026" spans="1:16" x14ac:dyDescent="0.3">
      <c r="A1026" s="1">
        <v>44950</v>
      </c>
      <c r="B1026" s="2">
        <v>143.88999899999999</v>
      </c>
      <c r="C1026" s="2">
        <v>242.04</v>
      </c>
      <c r="F1026" s="1">
        <v>44950</v>
      </c>
      <c r="G1026" s="2">
        <f t="shared" si="30"/>
        <v>9.7343214811301652E-4</v>
      </c>
      <c r="H1026" s="2">
        <f t="shared" si="31"/>
        <v>-2.2285511266138605E-3</v>
      </c>
      <c r="I1026" s="7">
        <v>0</v>
      </c>
      <c r="J1026" s="7">
        <v>0</v>
      </c>
      <c r="K1026" s="7">
        <v>9.7343214811301652E-4</v>
      </c>
      <c r="L1026" s="7">
        <v>-2.2285511266138605E-3</v>
      </c>
      <c r="M1026" s="7">
        <v>0</v>
      </c>
      <c r="N1026" s="7">
        <v>0</v>
      </c>
      <c r="O1026" s="7">
        <v>0</v>
      </c>
      <c r="P1026" s="7">
        <v>0</v>
      </c>
    </row>
    <row r="1027" spans="1:16" x14ac:dyDescent="0.3">
      <c r="A1027" s="1">
        <v>44951</v>
      </c>
      <c r="B1027" s="2">
        <v>144.429993</v>
      </c>
      <c r="C1027" s="2">
        <v>240.61</v>
      </c>
      <c r="F1027" s="1">
        <v>44951</v>
      </c>
      <c r="G1027" s="2">
        <f t="shared" si="30"/>
        <v>3.7458008211161413E-3</v>
      </c>
      <c r="H1027" s="2">
        <f t="shared" si="31"/>
        <v>-5.9256363174824134E-3</v>
      </c>
      <c r="I1027" s="7">
        <v>0</v>
      </c>
      <c r="J1027" s="7">
        <v>0</v>
      </c>
      <c r="K1027" s="7">
        <v>3.7458008211161413E-3</v>
      </c>
      <c r="L1027" s="7">
        <v>-5.9256363174824134E-3</v>
      </c>
      <c r="M1027" s="7">
        <v>0</v>
      </c>
      <c r="N1027" s="7">
        <v>0</v>
      </c>
      <c r="O1027" s="7">
        <v>0</v>
      </c>
      <c r="P1027" s="7">
        <v>0</v>
      </c>
    </row>
    <row r="1028" spans="1:16" x14ac:dyDescent="0.3">
      <c r="A1028" s="1">
        <v>44952</v>
      </c>
      <c r="B1028" s="2">
        <v>160.270004</v>
      </c>
      <c r="C1028" s="2">
        <v>248</v>
      </c>
      <c r="F1028" s="1">
        <v>44952</v>
      </c>
      <c r="G1028" s="2">
        <f t="shared" si="30"/>
        <v>0.10406500531667821</v>
      </c>
      <c r="H1028" s="2">
        <f t="shared" si="31"/>
        <v>3.0251380728343848E-2</v>
      </c>
      <c r="I1028" s="7">
        <v>0</v>
      </c>
      <c r="J1028" s="7">
        <v>0</v>
      </c>
      <c r="K1028" s="7">
        <v>0</v>
      </c>
      <c r="L1028" s="7">
        <v>0</v>
      </c>
      <c r="M1028" s="7">
        <v>0</v>
      </c>
      <c r="N1028" s="7">
        <v>0</v>
      </c>
      <c r="O1028" s="7">
        <v>0.10406500531667821</v>
      </c>
      <c r="P1028" s="7">
        <v>3.0251380728343848E-2</v>
      </c>
    </row>
    <row r="1029" spans="1:16" x14ac:dyDescent="0.3">
      <c r="A1029" s="1">
        <v>44953</v>
      </c>
      <c r="B1029" s="2">
        <v>177.89999399999999</v>
      </c>
      <c r="C1029" s="2">
        <v>248.16</v>
      </c>
      <c r="F1029" s="1">
        <v>44953</v>
      </c>
      <c r="G1029" s="2">
        <f t="shared" si="30"/>
        <v>0.10436164298160873</v>
      </c>
      <c r="H1029" s="2">
        <f t="shared" si="31"/>
        <v>6.4495326324659702E-4</v>
      </c>
      <c r="I1029" s="7">
        <v>0</v>
      </c>
      <c r="J1029" s="7">
        <v>0</v>
      </c>
      <c r="K1029" s="7">
        <v>0</v>
      </c>
      <c r="L1029" s="7">
        <v>0</v>
      </c>
      <c r="M1029" s="7">
        <v>0</v>
      </c>
      <c r="N1029" s="7">
        <v>0</v>
      </c>
      <c r="O1029" s="7">
        <v>0.10436164298160873</v>
      </c>
      <c r="P1029" s="7">
        <v>6.4495326324659702E-4</v>
      </c>
    </row>
    <row r="1030" spans="1:16" x14ac:dyDescent="0.3">
      <c r="A1030" s="1">
        <v>44956</v>
      </c>
      <c r="B1030" s="2">
        <v>166.66000399999999</v>
      </c>
      <c r="C1030" s="2">
        <v>242.71</v>
      </c>
      <c r="F1030" s="1">
        <v>44956</v>
      </c>
      <c r="G1030" s="2">
        <f t="shared" ref="G1030:G1093" si="32">LN(B1030/B1029)</f>
        <v>-6.5265727989955669E-2</v>
      </c>
      <c r="H1030" s="2">
        <f t="shared" ref="H1030:H1093" si="33">LN(C1030/C1029)</f>
        <v>-2.2206384413060668E-2</v>
      </c>
      <c r="I1030" s="7">
        <v>-6.5265727989955669E-2</v>
      </c>
      <c r="J1030" s="7">
        <v>-2.2206384413060668E-2</v>
      </c>
      <c r="K1030" s="7">
        <v>0</v>
      </c>
      <c r="L1030" s="7">
        <v>0</v>
      </c>
      <c r="M1030" s="7">
        <v>0</v>
      </c>
      <c r="N1030" s="7">
        <v>0</v>
      </c>
      <c r="O1030" s="7">
        <v>0</v>
      </c>
      <c r="P1030" s="7">
        <v>0</v>
      </c>
    </row>
    <row r="1031" spans="1:16" x14ac:dyDescent="0.3">
      <c r="A1031" s="1">
        <v>44957</v>
      </c>
      <c r="B1031" s="2">
        <v>173.220001</v>
      </c>
      <c r="C1031" s="2">
        <v>247.81</v>
      </c>
      <c r="F1031" s="1">
        <v>44957</v>
      </c>
      <c r="G1031" s="2">
        <f t="shared" si="32"/>
        <v>3.8606635720883797E-2</v>
      </c>
      <c r="H1031" s="2">
        <f t="shared" si="33"/>
        <v>2.0795008490728822E-2</v>
      </c>
      <c r="I1031" s="7">
        <v>0</v>
      </c>
      <c r="J1031" s="7">
        <v>0</v>
      </c>
      <c r="K1031" s="7">
        <v>0</v>
      </c>
      <c r="L1031" s="7">
        <v>0</v>
      </c>
      <c r="M1031" s="7">
        <v>0</v>
      </c>
      <c r="N1031" s="7">
        <v>0</v>
      </c>
      <c r="O1031" s="7">
        <v>3.8606635720883797E-2</v>
      </c>
      <c r="P1031" s="7">
        <v>2.0795008490728822E-2</v>
      </c>
    </row>
    <row r="1032" spans="1:16" x14ac:dyDescent="0.3">
      <c r="A1032" s="1">
        <v>44958</v>
      </c>
      <c r="B1032" s="2">
        <v>181.41000399999999</v>
      </c>
      <c r="C1032" s="2">
        <v>252.75</v>
      </c>
      <c r="F1032" s="1">
        <v>44958</v>
      </c>
      <c r="G1032" s="2">
        <f t="shared" si="32"/>
        <v>4.6197216326827988E-2</v>
      </c>
      <c r="H1032" s="2">
        <f t="shared" si="33"/>
        <v>1.9738534394683961E-2</v>
      </c>
      <c r="I1032" s="7">
        <v>0</v>
      </c>
      <c r="J1032" s="7">
        <v>0</v>
      </c>
      <c r="K1032" s="7">
        <v>0</v>
      </c>
      <c r="L1032" s="7">
        <v>0</v>
      </c>
      <c r="M1032" s="7">
        <v>0</v>
      </c>
      <c r="N1032" s="7">
        <v>0</v>
      </c>
      <c r="O1032" s="7">
        <v>4.6197216326827988E-2</v>
      </c>
      <c r="P1032" s="7">
        <v>1.9738534394683961E-2</v>
      </c>
    </row>
    <row r="1033" spans="1:16" x14ac:dyDescent="0.3">
      <c r="A1033" s="1">
        <v>44959</v>
      </c>
      <c r="B1033" s="2">
        <v>188.270004</v>
      </c>
      <c r="C1033" s="2">
        <v>264.60000000000002</v>
      </c>
      <c r="F1033" s="1">
        <v>44959</v>
      </c>
      <c r="G1033" s="2">
        <f t="shared" si="32"/>
        <v>3.7117438979971044E-2</v>
      </c>
      <c r="H1033" s="2">
        <f t="shared" si="33"/>
        <v>4.5818393780274552E-2</v>
      </c>
      <c r="I1033" s="7">
        <v>0</v>
      </c>
      <c r="J1033" s="7">
        <v>0</v>
      </c>
      <c r="K1033" s="7">
        <v>0</v>
      </c>
      <c r="L1033" s="7">
        <v>0</v>
      </c>
      <c r="M1033" s="7">
        <v>0</v>
      </c>
      <c r="N1033" s="7">
        <v>0</v>
      </c>
      <c r="O1033" s="7">
        <v>3.7117438979971044E-2</v>
      </c>
      <c r="P1033" s="7">
        <v>4.5818393780274552E-2</v>
      </c>
    </row>
    <row r="1034" spans="1:16" x14ac:dyDescent="0.3">
      <c r="A1034" s="1">
        <v>44960</v>
      </c>
      <c r="B1034" s="2">
        <v>189.979996</v>
      </c>
      <c r="C1034" s="2">
        <v>258.35000000000002</v>
      </c>
      <c r="F1034" s="1">
        <v>44960</v>
      </c>
      <c r="G1034" s="2">
        <f t="shared" si="32"/>
        <v>9.0416584244853142E-3</v>
      </c>
      <c r="H1034" s="2">
        <f t="shared" si="33"/>
        <v>-2.3903996947661727E-2</v>
      </c>
      <c r="I1034" s="7">
        <v>0</v>
      </c>
      <c r="J1034" s="7">
        <v>0</v>
      </c>
      <c r="K1034" s="7">
        <v>9.0416584244853142E-3</v>
      </c>
      <c r="L1034" s="7">
        <v>-2.3903996947661727E-2</v>
      </c>
      <c r="M1034" s="7">
        <v>0</v>
      </c>
      <c r="N1034" s="7">
        <v>0</v>
      </c>
      <c r="O1034" s="7">
        <v>0</v>
      </c>
      <c r="P1034" s="7">
        <v>0</v>
      </c>
    </row>
    <row r="1035" spans="1:16" x14ac:dyDescent="0.3">
      <c r="A1035" s="1">
        <v>44963</v>
      </c>
      <c r="B1035" s="2">
        <v>194.759995</v>
      </c>
      <c r="C1035" s="2">
        <v>256.77</v>
      </c>
      <c r="F1035" s="1">
        <v>44963</v>
      </c>
      <c r="G1035" s="2">
        <f t="shared" si="32"/>
        <v>2.4849223234688869E-2</v>
      </c>
      <c r="H1035" s="2">
        <f t="shared" si="33"/>
        <v>-6.1345121715657928E-3</v>
      </c>
      <c r="I1035" s="7">
        <v>0</v>
      </c>
      <c r="J1035" s="7">
        <v>0</v>
      </c>
      <c r="K1035" s="7">
        <v>2.4849223234688869E-2</v>
      </c>
      <c r="L1035" s="7">
        <v>-6.1345121715657928E-3</v>
      </c>
      <c r="M1035" s="7">
        <v>0</v>
      </c>
      <c r="N1035" s="7">
        <v>0</v>
      </c>
      <c r="O1035" s="7">
        <v>0</v>
      </c>
      <c r="P1035" s="7">
        <v>0</v>
      </c>
    </row>
    <row r="1036" spans="1:16" x14ac:dyDescent="0.3">
      <c r="A1036" s="1">
        <v>44964</v>
      </c>
      <c r="B1036" s="2">
        <v>196.80999800000001</v>
      </c>
      <c r="C1036" s="2">
        <v>267.56</v>
      </c>
      <c r="F1036" s="1">
        <v>44964</v>
      </c>
      <c r="G1036" s="2">
        <f t="shared" si="32"/>
        <v>1.047078053138349E-2</v>
      </c>
      <c r="H1036" s="2">
        <f t="shared" si="33"/>
        <v>4.1163097688579321E-2</v>
      </c>
      <c r="I1036" s="7">
        <v>0</v>
      </c>
      <c r="J1036" s="7">
        <v>0</v>
      </c>
      <c r="K1036" s="7">
        <v>0</v>
      </c>
      <c r="L1036" s="7">
        <v>0</v>
      </c>
      <c r="M1036" s="7">
        <v>0</v>
      </c>
      <c r="N1036" s="7">
        <v>0</v>
      </c>
      <c r="O1036" s="7">
        <v>1.047078053138349E-2</v>
      </c>
      <c r="P1036" s="7">
        <v>4.1163097688579321E-2</v>
      </c>
    </row>
    <row r="1037" spans="1:16" x14ac:dyDescent="0.3">
      <c r="A1037" s="1">
        <v>44965</v>
      </c>
      <c r="B1037" s="2">
        <v>201.28999300000001</v>
      </c>
      <c r="C1037" s="2">
        <v>266.73</v>
      </c>
      <c r="F1037" s="1">
        <v>44965</v>
      </c>
      <c r="G1037" s="2">
        <f t="shared" si="32"/>
        <v>2.2507833363982391E-2</v>
      </c>
      <c r="H1037" s="2">
        <f t="shared" si="33"/>
        <v>-3.1069294490499119E-3</v>
      </c>
      <c r="I1037" s="7">
        <v>0</v>
      </c>
      <c r="J1037" s="7">
        <v>0</v>
      </c>
      <c r="K1037" s="7">
        <v>2.2507833363982391E-2</v>
      </c>
      <c r="L1037" s="7">
        <v>-3.1069294490499119E-3</v>
      </c>
      <c r="M1037" s="7">
        <v>0</v>
      </c>
      <c r="N1037" s="7">
        <v>0</v>
      </c>
      <c r="O1037" s="7">
        <v>0</v>
      </c>
      <c r="P1037" s="7">
        <v>0</v>
      </c>
    </row>
    <row r="1038" spans="1:16" x14ac:dyDescent="0.3">
      <c r="A1038" s="1">
        <v>44966</v>
      </c>
      <c r="B1038" s="2">
        <v>207.320007</v>
      </c>
      <c r="C1038" s="2">
        <v>263.62</v>
      </c>
      <c r="F1038" s="1">
        <v>44966</v>
      </c>
      <c r="G1038" s="2">
        <f t="shared" si="32"/>
        <v>2.9516907548491313E-2</v>
      </c>
      <c r="H1038" s="2">
        <f t="shared" si="33"/>
        <v>-1.1728238516837746E-2</v>
      </c>
      <c r="I1038" s="7">
        <v>0</v>
      </c>
      <c r="J1038" s="7">
        <v>0</v>
      </c>
      <c r="K1038" s="7">
        <v>2.9516907548491313E-2</v>
      </c>
      <c r="L1038" s="7">
        <v>-1.1728238516837746E-2</v>
      </c>
      <c r="M1038" s="7">
        <v>0</v>
      </c>
      <c r="N1038" s="7">
        <v>0</v>
      </c>
      <c r="O1038" s="7">
        <v>0</v>
      </c>
      <c r="P1038" s="7">
        <v>0</v>
      </c>
    </row>
    <row r="1039" spans="1:16" x14ac:dyDescent="0.3">
      <c r="A1039" s="1">
        <v>44967</v>
      </c>
      <c r="B1039" s="2">
        <v>196.88999899999999</v>
      </c>
      <c r="C1039" s="2">
        <v>263.10000000000002</v>
      </c>
      <c r="F1039" s="1">
        <v>44967</v>
      </c>
      <c r="G1039" s="2">
        <f t="shared" si="32"/>
        <v>-5.1618335010971517E-2</v>
      </c>
      <c r="H1039" s="2">
        <f t="shared" si="33"/>
        <v>-1.9744842380725234E-3</v>
      </c>
      <c r="I1039" s="7">
        <v>-5.1618335010971517E-2</v>
      </c>
      <c r="J1039" s="7">
        <v>-1.9744842380725234E-3</v>
      </c>
      <c r="K1039" s="7">
        <v>0</v>
      </c>
      <c r="L1039" s="7">
        <v>0</v>
      </c>
      <c r="M1039" s="7">
        <v>0</v>
      </c>
      <c r="N1039" s="7">
        <v>0</v>
      </c>
      <c r="O1039" s="7">
        <v>0</v>
      </c>
      <c r="P1039" s="7">
        <v>0</v>
      </c>
    </row>
    <row r="1040" spans="1:16" x14ac:dyDescent="0.3">
      <c r="A1040" s="1">
        <v>44970</v>
      </c>
      <c r="B1040" s="2">
        <v>194.63999899999999</v>
      </c>
      <c r="C1040" s="2">
        <v>271.32</v>
      </c>
      <c r="F1040" s="1">
        <v>44970</v>
      </c>
      <c r="G1040" s="2">
        <f t="shared" si="32"/>
        <v>-1.1493498737185893E-2</v>
      </c>
      <c r="H1040" s="2">
        <f t="shared" si="33"/>
        <v>3.0764748031631706E-2</v>
      </c>
      <c r="I1040" s="7">
        <v>0</v>
      </c>
      <c r="J1040" s="7">
        <v>0</v>
      </c>
      <c r="K1040" s="7">
        <v>0</v>
      </c>
      <c r="L1040" s="7">
        <v>0</v>
      </c>
      <c r="M1040" s="7">
        <v>-1.1493498737185893E-2</v>
      </c>
      <c r="N1040" s="7">
        <v>3.0764748031631706E-2</v>
      </c>
      <c r="O1040" s="7">
        <v>0</v>
      </c>
      <c r="P1040" s="7">
        <v>0</v>
      </c>
    </row>
    <row r="1041" spans="1:16" x14ac:dyDescent="0.3">
      <c r="A1041" s="1">
        <v>44971</v>
      </c>
      <c r="B1041" s="2">
        <v>209.25</v>
      </c>
      <c r="C1041" s="2">
        <v>272.17</v>
      </c>
      <c r="F1041" s="1">
        <v>44971</v>
      </c>
      <c r="G1041" s="2">
        <f t="shared" si="32"/>
        <v>7.237801603200765E-2</v>
      </c>
      <c r="H1041" s="2">
        <f t="shared" si="33"/>
        <v>3.1279349869607629E-3</v>
      </c>
      <c r="I1041" s="7">
        <v>0</v>
      </c>
      <c r="J1041" s="7">
        <v>0</v>
      </c>
      <c r="K1041" s="7">
        <v>0</v>
      </c>
      <c r="L1041" s="7">
        <v>0</v>
      </c>
      <c r="M1041" s="7">
        <v>0</v>
      </c>
      <c r="N1041" s="7">
        <v>0</v>
      </c>
      <c r="O1041" s="7">
        <v>7.237801603200765E-2</v>
      </c>
      <c r="P1041" s="7">
        <v>3.1279349869607629E-3</v>
      </c>
    </row>
    <row r="1042" spans="1:16" x14ac:dyDescent="0.3">
      <c r="A1042" s="1">
        <v>44972</v>
      </c>
      <c r="B1042" s="2">
        <v>214.240005</v>
      </c>
      <c r="C1042" s="2">
        <v>269.32</v>
      </c>
      <c r="F1042" s="1">
        <v>44972</v>
      </c>
      <c r="G1042" s="2">
        <f t="shared" si="32"/>
        <v>2.3567195911589529E-2</v>
      </c>
      <c r="H1042" s="2">
        <f t="shared" si="33"/>
        <v>-1.0526607387759304E-2</v>
      </c>
      <c r="I1042" s="7">
        <v>0</v>
      </c>
      <c r="J1042" s="7">
        <v>0</v>
      </c>
      <c r="K1042" s="7">
        <v>2.3567195911589529E-2</v>
      </c>
      <c r="L1042" s="7">
        <v>-1.0526607387759304E-2</v>
      </c>
      <c r="M1042" s="7">
        <v>0</v>
      </c>
      <c r="N1042" s="7">
        <v>0</v>
      </c>
      <c r="O1042" s="7">
        <v>0</v>
      </c>
      <c r="P1042" s="7">
        <v>0</v>
      </c>
    </row>
    <row r="1043" spans="1:16" x14ac:dyDescent="0.3">
      <c r="A1043" s="1">
        <v>44973</v>
      </c>
      <c r="B1043" s="2">
        <v>202.03999300000001</v>
      </c>
      <c r="C1043" s="2">
        <v>262.14999999999998</v>
      </c>
      <c r="F1043" s="1">
        <v>44973</v>
      </c>
      <c r="G1043" s="2">
        <f t="shared" si="32"/>
        <v>-5.8631242327927567E-2</v>
      </c>
      <c r="H1043" s="2">
        <f t="shared" si="33"/>
        <v>-2.6983404658538428E-2</v>
      </c>
      <c r="I1043" s="7">
        <v>-5.8631242327927567E-2</v>
      </c>
      <c r="J1043" s="7">
        <v>-2.6983404658538428E-2</v>
      </c>
      <c r="K1043" s="7">
        <v>0</v>
      </c>
      <c r="L1043" s="7">
        <v>0</v>
      </c>
      <c r="M1043" s="7">
        <v>0</v>
      </c>
      <c r="N1043" s="7">
        <v>0</v>
      </c>
      <c r="O1043" s="7">
        <v>0</v>
      </c>
      <c r="P1043" s="7">
        <v>0</v>
      </c>
    </row>
    <row r="1044" spans="1:16" x14ac:dyDescent="0.3">
      <c r="A1044" s="1">
        <v>44974</v>
      </c>
      <c r="B1044" s="2">
        <v>208.30999800000001</v>
      </c>
      <c r="C1044" s="2">
        <v>258.06</v>
      </c>
      <c r="F1044" s="1">
        <v>44974</v>
      </c>
      <c r="G1044" s="2">
        <f t="shared" si="32"/>
        <v>3.0561682241501485E-2</v>
      </c>
      <c r="H1044" s="2">
        <f t="shared" si="33"/>
        <v>-1.5724742994841695E-2</v>
      </c>
      <c r="I1044" s="7">
        <v>0</v>
      </c>
      <c r="J1044" s="7">
        <v>0</v>
      </c>
      <c r="K1044" s="7">
        <v>3.0561682241501485E-2</v>
      </c>
      <c r="L1044" s="7">
        <v>-1.5724742994841695E-2</v>
      </c>
      <c r="M1044" s="7">
        <v>0</v>
      </c>
      <c r="N1044" s="7">
        <v>0</v>
      </c>
      <c r="O1044" s="7">
        <v>0</v>
      </c>
      <c r="P1044" s="7">
        <v>0</v>
      </c>
    </row>
    <row r="1045" spans="1:16" x14ac:dyDescent="0.3">
      <c r="A1045" s="1">
        <v>44978</v>
      </c>
      <c r="B1045" s="2">
        <v>197.36999499999999</v>
      </c>
      <c r="C1045" s="2">
        <v>252.67</v>
      </c>
      <c r="F1045" s="1">
        <v>44978</v>
      </c>
      <c r="G1045" s="2">
        <f t="shared" si="32"/>
        <v>-5.3947230761862926E-2</v>
      </c>
      <c r="H1045" s="2">
        <f t="shared" si="33"/>
        <v>-2.110782652432253E-2</v>
      </c>
      <c r="I1045" s="7">
        <v>-5.3947230761862926E-2</v>
      </c>
      <c r="J1045" s="7">
        <v>-2.110782652432253E-2</v>
      </c>
      <c r="K1045" s="7">
        <v>0</v>
      </c>
      <c r="L1045" s="7">
        <v>0</v>
      </c>
      <c r="M1045" s="7">
        <v>0</v>
      </c>
      <c r="N1045" s="7">
        <v>0</v>
      </c>
      <c r="O1045" s="7">
        <v>0</v>
      </c>
      <c r="P1045" s="7">
        <v>0</v>
      </c>
    </row>
    <row r="1046" spans="1:16" x14ac:dyDescent="0.3">
      <c r="A1046" s="1">
        <v>44979</v>
      </c>
      <c r="B1046" s="2">
        <v>200.86000100000001</v>
      </c>
      <c r="C1046" s="2">
        <v>251.51</v>
      </c>
      <c r="F1046" s="1">
        <v>44979</v>
      </c>
      <c r="G1046" s="2">
        <f t="shared" si="32"/>
        <v>1.7528038510899908E-2</v>
      </c>
      <c r="H1046" s="2">
        <f t="shared" si="33"/>
        <v>-4.6015393186366943E-3</v>
      </c>
      <c r="I1046" s="7">
        <v>0</v>
      </c>
      <c r="J1046" s="7">
        <v>0</v>
      </c>
      <c r="K1046" s="7">
        <v>1.7528038510899908E-2</v>
      </c>
      <c r="L1046" s="7">
        <v>-4.6015393186366943E-3</v>
      </c>
      <c r="M1046" s="7">
        <v>0</v>
      </c>
      <c r="N1046" s="7">
        <v>0</v>
      </c>
      <c r="O1046" s="7">
        <v>0</v>
      </c>
      <c r="P1046" s="7">
        <v>0</v>
      </c>
    </row>
    <row r="1047" spans="1:16" x14ac:dyDescent="0.3">
      <c r="A1047" s="1">
        <v>44980</v>
      </c>
      <c r="B1047" s="2">
        <v>202.070007</v>
      </c>
      <c r="C1047" s="2">
        <v>254.77</v>
      </c>
      <c r="F1047" s="1">
        <v>44980</v>
      </c>
      <c r="G1047" s="2">
        <f t="shared" si="32"/>
        <v>6.0060537230800853E-3</v>
      </c>
      <c r="H1047" s="2">
        <f t="shared" si="33"/>
        <v>1.2878427181986334E-2</v>
      </c>
      <c r="I1047" s="7">
        <v>0</v>
      </c>
      <c r="J1047" s="7">
        <v>0</v>
      </c>
      <c r="K1047" s="7">
        <v>0</v>
      </c>
      <c r="L1047" s="7">
        <v>0</v>
      </c>
      <c r="M1047" s="7">
        <v>0</v>
      </c>
      <c r="N1047" s="7">
        <v>0</v>
      </c>
      <c r="O1047" s="7">
        <v>6.0060537230800853E-3</v>
      </c>
      <c r="P1047" s="7">
        <v>1.2878427181986334E-2</v>
      </c>
    </row>
    <row r="1048" spans="1:16" x14ac:dyDescent="0.3">
      <c r="A1048" s="1">
        <v>44981</v>
      </c>
      <c r="B1048" s="2">
        <v>196.88000500000001</v>
      </c>
      <c r="C1048" s="2">
        <v>249.22</v>
      </c>
      <c r="F1048" s="1">
        <v>44981</v>
      </c>
      <c r="G1048" s="2">
        <f t="shared" si="32"/>
        <v>-2.6019775187884498E-2</v>
      </c>
      <c r="H1048" s="2">
        <f t="shared" si="33"/>
        <v>-2.202513684800542E-2</v>
      </c>
      <c r="I1048" s="7">
        <v>-2.6019775187884498E-2</v>
      </c>
      <c r="J1048" s="7">
        <v>-2.202513684800542E-2</v>
      </c>
      <c r="K1048" s="7">
        <v>0</v>
      </c>
      <c r="L1048" s="7">
        <v>0</v>
      </c>
      <c r="M1048" s="7">
        <v>0</v>
      </c>
      <c r="N1048" s="7">
        <v>0</v>
      </c>
      <c r="O1048" s="7">
        <v>0</v>
      </c>
      <c r="P1048" s="7">
        <v>0</v>
      </c>
    </row>
    <row r="1049" spans="1:16" x14ac:dyDescent="0.3">
      <c r="A1049" s="1">
        <v>44984</v>
      </c>
      <c r="B1049" s="2">
        <v>207.63000500000001</v>
      </c>
      <c r="C1049" s="2">
        <v>250.16</v>
      </c>
      <c r="F1049" s="1">
        <v>44984</v>
      </c>
      <c r="G1049" s="2">
        <f t="shared" si="32"/>
        <v>5.3163242124199359E-2</v>
      </c>
      <c r="H1049" s="2">
        <f t="shared" si="33"/>
        <v>3.7646726348642369E-3</v>
      </c>
      <c r="I1049" s="7">
        <v>0</v>
      </c>
      <c r="J1049" s="7">
        <v>0</v>
      </c>
      <c r="K1049" s="7">
        <v>0</v>
      </c>
      <c r="L1049" s="7">
        <v>0</v>
      </c>
      <c r="M1049" s="7">
        <v>0</v>
      </c>
      <c r="N1049" s="7">
        <v>0</v>
      </c>
      <c r="O1049" s="7">
        <v>5.3163242124199359E-2</v>
      </c>
      <c r="P1049" s="7">
        <v>3.7646726348642369E-3</v>
      </c>
    </row>
    <row r="1050" spans="1:16" x14ac:dyDescent="0.3">
      <c r="A1050" s="1">
        <v>44985</v>
      </c>
      <c r="B1050" s="2">
        <v>205.71000699999999</v>
      </c>
      <c r="C1050" s="2">
        <v>249.42</v>
      </c>
      <c r="F1050" s="1">
        <v>44985</v>
      </c>
      <c r="G1050" s="2">
        <f t="shared" si="32"/>
        <v>-9.2902296103110141E-3</v>
      </c>
      <c r="H1050" s="2">
        <f t="shared" si="33"/>
        <v>-2.962490656984769E-3</v>
      </c>
      <c r="I1050" s="7">
        <v>-9.2902296103110141E-3</v>
      </c>
      <c r="J1050" s="7">
        <v>-2.962490656984769E-3</v>
      </c>
      <c r="K1050" s="7">
        <v>0</v>
      </c>
      <c r="L1050" s="7">
        <v>0</v>
      </c>
      <c r="M1050" s="7">
        <v>0</v>
      </c>
      <c r="N1050" s="7">
        <v>0</v>
      </c>
      <c r="O1050" s="7">
        <v>0</v>
      </c>
      <c r="P1050" s="7">
        <v>0</v>
      </c>
    </row>
    <row r="1051" spans="1:16" x14ac:dyDescent="0.3">
      <c r="A1051" s="1">
        <v>44986</v>
      </c>
      <c r="B1051" s="2">
        <v>202.770004</v>
      </c>
      <c r="C1051" s="2">
        <v>246.27</v>
      </c>
      <c r="F1051" s="1">
        <v>44986</v>
      </c>
      <c r="G1051" s="2">
        <f t="shared" si="32"/>
        <v>-1.4395092485712555E-2</v>
      </c>
      <c r="H1051" s="2">
        <f t="shared" si="33"/>
        <v>-1.2709727464316483E-2</v>
      </c>
      <c r="I1051" s="7">
        <v>-1.4395092485712555E-2</v>
      </c>
      <c r="J1051" s="7">
        <v>-1.2709727464316483E-2</v>
      </c>
      <c r="K1051" s="7">
        <v>0</v>
      </c>
      <c r="L1051" s="7">
        <v>0</v>
      </c>
      <c r="M1051" s="7">
        <v>0</v>
      </c>
      <c r="N1051" s="7">
        <v>0</v>
      </c>
      <c r="O1051" s="7">
        <v>0</v>
      </c>
      <c r="P1051" s="7">
        <v>0</v>
      </c>
    </row>
    <row r="1052" spans="1:16" x14ac:dyDescent="0.3">
      <c r="A1052" s="1">
        <v>44987</v>
      </c>
      <c r="B1052" s="2">
        <v>190.89999399999999</v>
      </c>
      <c r="C1052" s="2">
        <v>251.11</v>
      </c>
      <c r="F1052" s="1">
        <v>44987</v>
      </c>
      <c r="G1052" s="2">
        <f t="shared" si="32"/>
        <v>-6.032265220552302E-2</v>
      </c>
      <c r="H1052" s="2">
        <f t="shared" si="33"/>
        <v>1.9462595113277387E-2</v>
      </c>
      <c r="I1052" s="7">
        <v>0</v>
      </c>
      <c r="J1052" s="7">
        <v>0</v>
      </c>
      <c r="K1052" s="7">
        <v>0</v>
      </c>
      <c r="L1052" s="7">
        <v>0</v>
      </c>
      <c r="M1052" s="7">
        <v>-6.032265220552302E-2</v>
      </c>
      <c r="N1052" s="7">
        <v>1.9462595113277387E-2</v>
      </c>
      <c r="O1052" s="7">
        <v>0</v>
      </c>
      <c r="P1052" s="7">
        <v>0</v>
      </c>
    </row>
    <row r="1053" spans="1:16" x14ac:dyDescent="0.3">
      <c r="A1053" s="1">
        <v>44988</v>
      </c>
      <c r="B1053" s="2">
        <v>197.78999300000001</v>
      </c>
      <c r="C1053" s="2">
        <v>255.29</v>
      </c>
      <c r="F1053" s="1">
        <v>44988</v>
      </c>
      <c r="G1053" s="2">
        <f t="shared" si="32"/>
        <v>3.5456127100612751E-2</v>
      </c>
      <c r="H1053" s="2">
        <f t="shared" si="33"/>
        <v>1.6509063734340322E-2</v>
      </c>
      <c r="I1053" s="7">
        <v>0</v>
      </c>
      <c r="J1053" s="7">
        <v>0</v>
      </c>
      <c r="K1053" s="7">
        <v>0</v>
      </c>
      <c r="L1053" s="7">
        <v>0</v>
      </c>
      <c r="M1053" s="7">
        <v>0</v>
      </c>
      <c r="N1053" s="7">
        <v>0</v>
      </c>
      <c r="O1053" s="7">
        <v>3.5456127100612751E-2</v>
      </c>
      <c r="P1053" s="7">
        <v>1.6509063734340322E-2</v>
      </c>
    </row>
    <row r="1054" spans="1:16" x14ac:dyDescent="0.3">
      <c r="A1054" s="1">
        <v>44991</v>
      </c>
      <c r="B1054" s="2">
        <v>193.80999800000001</v>
      </c>
      <c r="C1054" s="2">
        <v>256.87</v>
      </c>
      <c r="F1054" s="1">
        <v>44991</v>
      </c>
      <c r="G1054" s="2">
        <f t="shared" si="32"/>
        <v>-2.032753900897484E-2</v>
      </c>
      <c r="H1054" s="2">
        <f t="shared" si="33"/>
        <v>6.1699664649621077E-3</v>
      </c>
      <c r="I1054" s="7">
        <v>0</v>
      </c>
      <c r="J1054" s="7">
        <v>0</v>
      </c>
      <c r="K1054" s="7">
        <v>0</v>
      </c>
      <c r="L1054" s="7">
        <v>0</v>
      </c>
      <c r="M1054" s="7">
        <v>-2.032753900897484E-2</v>
      </c>
      <c r="N1054" s="7">
        <v>6.1699664649621077E-3</v>
      </c>
      <c r="O1054" s="7">
        <v>0</v>
      </c>
      <c r="P1054" s="7">
        <v>0</v>
      </c>
    </row>
    <row r="1055" spans="1:16" x14ac:dyDescent="0.3">
      <c r="A1055" s="1">
        <v>44992</v>
      </c>
      <c r="B1055" s="2">
        <v>187.71000699999999</v>
      </c>
      <c r="C1055" s="2">
        <v>254.15</v>
      </c>
      <c r="F1055" s="1">
        <v>44992</v>
      </c>
      <c r="G1055" s="2">
        <f t="shared" si="32"/>
        <v>-3.1980031423323417E-2</v>
      </c>
      <c r="H1055" s="2">
        <f t="shared" si="33"/>
        <v>-1.0645476447952783E-2</v>
      </c>
      <c r="I1055" s="7">
        <v>-3.1980031423323417E-2</v>
      </c>
      <c r="J1055" s="7">
        <v>-1.0645476447952783E-2</v>
      </c>
      <c r="K1055" s="7">
        <v>0</v>
      </c>
      <c r="L1055" s="7">
        <v>0</v>
      </c>
      <c r="M1055" s="7">
        <v>0</v>
      </c>
      <c r="N1055" s="7">
        <v>0</v>
      </c>
      <c r="O1055" s="7">
        <v>0</v>
      </c>
      <c r="P1055" s="7">
        <v>0</v>
      </c>
    </row>
    <row r="1056" spans="1:16" x14ac:dyDescent="0.3">
      <c r="A1056" s="1">
        <v>44993</v>
      </c>
      <c r="B1056" s="2">
        <v>182</v>
      </c>
      <c r="C1056" s="2">
        <v>253.7</v>
      </c>
      <c r="F1056" s="1">
        <v>44993</v>
      </c>
      <c r="G1056" s="2">
        <f t="shared" si="32"/>
        <v>-3.0891568893152494E-2</v>
      </c>
      <c r="H1056" s="2">
        <f t="shared" si="33"/>
        <v>-1.7721772876754141E-3</v>
      </c>
      <c r="I1056" s="7">
        <v>-3.0891568893152494E-2</v>
      </c>
      <c r="J1056" s="7">
        <v>-1.7721772876754141E-3</v>
      </c>
      <c r="K1056" s="7">
        <v>0</v>
      </c>
      <c r="L1056" s="7">
        <v>0</v>
      </c>
      <c r="M1056" s="7">
        <v>0</v>
      </c>
      <c r="N1056" s="7">
        <v>0</v>
      </c>
      <c r="O1056" s="7">
        <v>0</v>
      </c>
      <c r="P1056" s="7">
        <v>0</v>
      </c>
    </row>
    <row r="1057" spans="1:16" x14ac:dyDescent="0.3">
      <c r="A1057" s="1">
        <v>44994</v>
      </c>
      <c r="B1057" s="2">
        <v>172.91999799999999</v>
      </c>
      <c r="C1057" s="2">
        <v>252.32</v>
      </c>
      <c r="F1057" s="1">
        <v>44994</v>
      </c>
      <c r="G1057" s="2">
        <f t="shared" si="32"/>
        <v>-5.1177638843406537E-2</v>
      </c>
      <c r="H1057" s="2">
        <f t="shared" si="33"/>
        <v>-5.4543433905079337E-3</v>
      </c>
      <c r="I1057" s="7">
        <v>-5.1177638843406537E-2</v>
      </c>
      <c r="J1057" s="7">
        <v>-5.4543433905079337E-3</v>
      </c>
      <c r="K1057" s="7">
        <v>0</v>
      </c>
      <c r="L1057" s="7">
        <v>0</v>
      </c>
      <c r="M1057" s="7">
        <v>0</v>
      </c>
      <c r="N1057" s="7">
        <v>0</v>
      </c>
      <c r="O1057" s="7">
        <v>0</v>
      </c>
      <c r="P1057" s="7">
        <v>0</v>
      </c>
    </row>
    <row r="1058" spans="1:16" x14ac:dyDescent="0.3">
      <c r="A1058" s="1">
        <v>44995</v>
      </c>
      <c r="B1058" s="2">
        <v>173.44000199999999</v>
      </c>
      <c r="C1058" s="2">
        <v>248.59</v>
      </c>
      <c r="F1058" s="1">
        <v>44995</v>
      </c>
      <c r="G1058" s="2">
        <f t="shared" si="32"/>
        <v>3.0026815492576763E-3</v>
      </c>
      <c r="H1058" s="2">
        <f t="shared" si="33"/>
        <v>-1.4893170208639148E-2</v>
      </c>
      <c r="I1058" s="7">
        <v>0</v>
      </c>
      <c r="J1058" s="7">
        <v>0</v>
      </c>
      <c r="K1058" s="7">
        <v>3.0026815492576763E-3</v>
      </c>
      <c r="L1058" s="7">
        <v>-1.4893170208639148E-2</v>
      </c>
      <c r="M1058" s="7">
        <v>0</v>
      </c>
      <c r="N1058" s="7">
        <v>0</v>
      </c>
      <c r="O1058" s="7">
        <v>0</v>
      </c>
      <c r="P1058" s="7">
        <v>0</v>
      </c>
    </row>
    <row r="1059" spans="1:16" x14ac:dyDescent="0.3">
      <c r="A1059" s="1">
        <v>44998</v>
      </c>
      <c r="B1059" s="2">
        <v>174.479996</v>
      </c>
      <c r="C1059" s="2">
        <v>253.92</v>
      </c>
      <c r="F1059" s="1">
        <v>44998</v>
      </c>
      <c r="G1059" s="2">
        <f t="shared" si="32"/>
        <v>5.9783691854632063E-3</v>
      </c>
      <c r="H1059" s="2">
        <f t="shared" si="33"/>
        <v>2.1214303772009845E-2</v>
      </c>
      <c r="I1059" s="7">
        <v>0</v>
      </c>
      <c r="J1059" s="7">
        <v>0</v>
      </c>
      <c r="K1059" s="7">
        <v>0</v>
      </c>
      <c r="L1059" s="7">
        <v>0</v>
      </c>
      <c r="M1059" s="7">
        <v>0</v>
      </c>
      <c r="N1059" s="7">
        <v>0</v>
      </c>
      <c r="O1059" s="7">
        <v>5.9783691854632063E-3</v>
      </c>
      <c r="P1059" s="7">
        <v>2.1214303772009845E-2</v>
      </c>
    </row>
    <row r="1060" spans="1:16" x14ac:dyDescent="0.3">
      <c r="A1060" s="1">
        <v>44999</v>
      </c>
      <c r="B1060" s="2">
        <v>183.259995</v>
      </c>
      <c r="C1060" s="2">
        <v>260.79000000000002</v>
      </c>
      <c r="F1060" s="1">
        <v>44999</v>
      </c>
      <c r="G1060" s="2">
        <f t="shared" si="32"/>
        <v>4.9095783285316358E-2</v>
      </c>
      <c r="H1060" s="2">
        <f t="shared" si="33"/>
        <v>2.6696228980983869E-2</v>
      </c>
      <c r="I1060" s="7">
        <v>0</v>
      </c>
      <c r="J1060" s="7">
        <v>0</v>
      </c>
      <c r="K1060" s="7">
        <v>0</v>
      </c>
      <c r="L1060" s="7">
        <v>0</v>
      </c>
      <c r="M1060" s="7">
        <v>0</v>
      </c>
      <c r="N1060" s="7">
        <v>0</v>
      </c>
      <c r="O1060" s="7">
        <v>4.9095783285316358E-2</v>
      </c>
      <c r="P1060" s="7">
        <v>2.6696228980983869E-2</v>
      </c>
    </row>
    <row r="1061" spans="1:16" x14ac:dyDescent="0.3">
      <c r="A1061" s="1">
        <v>45000</v>
      </c>
      <c r="B1061" s="2">
        <v>180.449997</v>
      </c>
      <c r="C1061" s="2">
        <v>265.44</v>
      </c>
      <c r="F1061" s="1">
        <v>45000</v>
      </c>
      <c r="G1061" s="2">
        <f t="shared" si="32"/>
        <v>-1.5452167789732596E-2</v>
      </c>
      <c r="H1061" s="2">
        <f t="shared" si="33"/>
        <v>1.767334068305166E-2</v>
      </c>
      <c r="I1061" s="7">
        <v>0</v>
      </c>
      <c r="J1061" s="7">
        <v>0</v>
      </c>
      <c r="K1061" s="7">
        <v>0</v>
      </c>
      <c r="L1061" s="7">
        <v>0</v>
      </c>
      <c r="M1061" s="7">
        <v>-1.5452167789732596E-2</v>
      </c>
      <c r="N1061" s="7">
        <v>1.767334068305166E-2</v>
      </c>
      <c r="O1061" s="7">
        <v>0</v>
      </c>
      <c r="P1061" s="7">
        <v>0</v>
      </c>
    </row>
    <row r="1062" spans="1:16" x14ac:dyDescent="0.3">
      <c r="A1062" s="1">
        <v>45001</v>
      </c>
      <c r="B1062" s="2">
        <v>184.13000500000001</v>
      </c>
      <c r="C1062" s="2">
        <v>276.2</v>
      </c>
      <c r="F1062" s="1">
        <v>45001</v>
      </c>
      <c r="G1062" s="2">
        <f t="shared" si="32"/>
        <v>2.0188342570162467E-2</v>
      </c>
      <c r="H1062" s="2">
        <f t="shared" si="33"/>
        <v>3.9736414533057297E-2</v>
      </c>
      <c r="I1062" s="7">
        <v>0</v>
      </c>
      <c r="J1062" s="7">
        <v>0</v>
      </c>
      <c r="K1062" s="7">
        <v>0</v>
      </c>
      <c r="L1062" s="7">
        <v>0</v>
      </c>
      <c r="M1062" s="7">
        <v>0</v>
      </c>
      <c r="N1062" s="7">
        <v>0</v>
      </c>
      <c r="O1062" s="7">
        <v>2.0188342570162467E-2</v>
      </c>
      <c r="P1062" s="7">
        <v>3.9736414533057297E-2</v>
      </c>
    </row>
    <row r="1063" spans="1:16" x14ac:dyDescent="0.3">
      <c r="A1063" s="1">
        <v>45002</v>
      </c>
      <c r="B1063" s="2">
        <v>180.13000500000001</v>
      </c>
      <c r="C1063" s="2">
        <v>279.43</v>
      </c>
      <c r="F1063" s="1">
        <v>45002</v>
      </c>
      <c r="G1063" s="2">
        <f t="shared" si="32"/>
        <v>-2.1963216840658828E-2</v>
      </c>
      <c r="H1063" s="2">
        <f t="shared" si="33"/>
        <v>1.1626573025626578E-2</v>
      </c>
      <c r="I1063" s="7">
        <v>0</v>
      </c>
      <c r="J1063" s="7">
        <v>0</v>
      </c>
      <c r="K1063" s="7">
        <v>0</v>
      </c>
      <c r="L1063" s="7">
        <v>0</v>
      </c>
      <c r="M1063" s="7">
        <v>-2.1963216840658828E-2</v>
      </c>
      <c r="N1063" s="7">
        <v>1.1626573025626578E-2</v>
      </c>
      <c r="O1063" s="7">
        <v>0</v>
      </c>
      <c r="P1063" s="7">
        <v>0</v>
      </c>
    </row>
    <row r="1064" spans="1:16" x14ac:dyDescent="0.3">
      <c r="A1064" s="1">
        <v>45005</v>
      </c>
      <c r="B1064" s="2">
        <v>183.25</v>
      </c>
      <c r="C1064" s="2">
        <v>272.23</v>
      </c>
      <c r="F1064" s="1">
        <v>45005</v>
      </c>
      <c r="G1064" s="2">
        <f t="shared" si="32"/>
        <v>1.7172500573563711E-2</v>
      </c>
      <c r="H1064" s="2">
        <f t="shared" si="33"/>
        <v>-2.6104516777849054E-2</v>
      </c>
      <c r="I1064" s="7">
        <v>0</v>
      </c>
      <c r="J1064" s="7">
        <v>0</v>
      </c>
      <c r="K1064" s="7">
        <v>1.7172500573563711E-2</v>
      </c>
      <c r="L1064" s="7">
        <v>-2.6104516777849054E-2</v>
      </c>
      <c r="M1064" s="7">
        <v>0</v>
      </c>
      <c r="N1064" s="7">
        <v>0</v>
      </c>
      <c r="O1064" s="7">
        <v>0</v>
      </c>
      <c r="P1064" s="7">
        <v>0</v>
      </c>
    </row>
    <row r="1065" spans="1:16" x14ac:dyDescent="0.3">
      <c r="A1065" s="1">
        <v>45006</v>
      </c>
      <c r="B1065" s="2">
        <v>197.58000200000001</v>
      </c>
      <c r="C1065" s="2">
        <v>273.77999999999997</v>
      </c>
      <c r="F1065" s="1">
        <v>45006</v>
      </c>
      <c r="G1065" s="2">
        <f t="shared" si="32"/>
        <v>7.5292234972049024E-2</v>
      </c>
      <c r="H1065" s="2">
        <f t="shared" si="33"/>
        <v>5.6775669443967433E-3</v>
      </c>
      <c r="I1065" s="7">
        <v>0</v>
      </c>
      <c r="J1065" s="7">
        <v>0</v>
      </c>
      <c r="K1065" s="7">
        <v>0</v>
      </c>
      <c r="L1065" s="7">
        <v>0</v>
      </c>
      <c r="M1065" s="7">
        <v>0</v>
      </c>
      <c r="N1065" s="7">
        <v>0</v>
      </c>
      <c r="O1065" s="7">
        <v>7.5292234972049024E-2</v>
      </c>
      <c r="P1065" s="7">
        <v>5.6775669443967433E-3</v>
      </c>
    </row>
    <row r="1066" spans="1:16" x14ac:dyDescent="0.3">
      <c r="A1066" s="1">
        <v>45007</v>
      </c>
      <c r="B1066" s="2">
        <v>191.14999399999999</v>
      </c>
      <c r="C1066" s="2">
        <v>272.29000000000002</v>
      </c>
      <c r="F1066" s="1">
        <v>45007</v>
      </c>
      <c r="G1066" s="2">
        <f t="shared" si="32"/>
        <v>-3.3085146985350256E-2</v>
      </c>
      <c r="H1066" s="2">
        <f t="shared" si="33"/>
        <v>-5.4571893632506729E-3</v>
      </c>
      <c r="I1066" s="7">
        <v>-3.3085146985350256E-2</v>
      </c>
      <c r="J1066" s="7">
        <v>-5.4571893632506729E-3</v>
      </c>
      <c r="K1066" s="7">
        <v>0</v>
      </c>
      <c r="L1066" s="7">
        <v>0</v>
      </c>
      <c r="M1066" s="7">
        <v>0</v>
      </c>
      <c r="N1066" s="7">
        <v>0</v>
      </c>
      <c r="O1066" s="7">
        <v>0</v>
      </c>
      <c r="P1066" s="7">
        <v>0</v>
      </c>
    </row>
    <row r="1067" spans="1:16" x14ac:dyDescent="0.3">
      <c r="A1067" s="1">
        <v>45008</v>
      </c>
      <c r="B1067" s="2">
        <v>192.220001</v>
      </c>
      <c r="C1067" s="2">
        <v>277.66000000000003</v>
      </c>
      <c r="F1067" s="1">
        <v>45008</v>
      </c>
      <c r="G1067" s="2">
        <f t="shared" si="32"/>
        <v>5.5821258440507731E-3</v>
      </c>
      <c r="H1067" s="2">
        <f t="shared" si="33"/>
        <v>1.9529668802541002E-2</v>
      </c>
      <c r="I1067" s="7">
        <v>0</v>
      </c>
      <c r="J1067" s="7">
        <v>0</v>
      </c>
      <c r="K1067" s="7">
        <v>0</v>
      </c>
      <c r="L1067" s="7">
        <v>0</v>
      </c>
      <c r="M1067" s="7">
        <v>0</v>
      </c>
      <c r="N1067" s="7">
        <v>0</v>
      </c>
      <c r="O1067" s="7">
        <v>5.5821258440507731E-3</v>
      </c>
      <c r="P1067" s="7">
        <v>1.9529668802541002E-2</v>
      </c>
    </row>
    <row r="1068" spans="1:16" x14ac:dyDescent="0.3">
      <c r="A1068" s="1">
        <v>45009</v>
      </c>
      <c r="B1068" s="2">
        <v>190.41000399999999</v>
      </c>
      <c r="C1068" s="2">
        <v>280.57</v>
      </c>
      <c r="F1068" s="1">
        <v>45009</v>
      </c>
      <c r="G1068" s="2">
        <f t="shared" si="32"/>
        <v>-9.4608916037223611E-3</v>
      </c>
      <c r="H1068" s="2">
        <f t="shared" si="33"/>
        <v>1.0425904589784402E-2</v>
      </c>
      <c r="I1068" s="7">
        <v>0</v>
      </c>
      <c r="J1068" s="7">
        <v>0</v>
      </c>
      <c r="K1068" s="7">
        <v>0</v>
      </c>
      <c r="L1068" s="7">
        <v>0</v>
      </c>
      <c r="M1068" s="7">
        <v>-9.4608916037223611E-3</v>
      </c>
      <c r="N1068" s="7">
        <v>1.0425904589784402E-2</v>
      </c>
      <c r="O1068" s="7">
        <v>0</v>
      </c>
      <c r="P1068" s="7">
        <v>0</v>
      </c>
    </row>
    <row r="1069" spans="1:16" x14ac:dyDescent="0.3">
      <c r="A1069" s="1">
        <v>45012</v>
      </c>
      <c r="B1069" s="2">
        <v>191.80999800000001</v>
      </c>
      <c r="C1069" s="2">
        <v>276.38</v>
      </c>
      <c r="F1069" s="1">
        <v>45012</v>
      </c>
      <c r="G1069" s="2">
        <f t="shared" si="32"/>
        <v>7.325625312823371E-3</v>
      </c>
      <c r="H1069" s="2">
        <f t="shared" si="33"/>
        <v>-1.5046517821102334E-2</v>
      </c>
      <c r="I1069" s="7">
        <v>0</v>
      </c>
      <c r="J1069" s="7">
        <v>0</v>
      </c>
      <c r="K1069" s="7">
        <v>7.325625312823371E-3</v>
      </c>
      <c r="L1069" s="7">
        <v>-1.5046517821102334E-2</v>
      </c>
      <c r="M1069" s="7">
        <v>0</v>
      </c>
      <c r="N1069" s="7">
        <v>0</v>
      </c>
      <c r="O1069" s="7">
        <v>0</v>
      </c>
      <c r="P1069" s="7">
        <v>0</v>
      </c>
    </row>
    <row r="1070" spans="1:16" x14ac:dyDescent="0.3">
      <c r="A1070" s="1">
        <v>45013</v>
      </c>
      <c r="B1070" s="2">
        <v>189.19000199999999</v>
      </c>
      <c r="C1070" s="2">
        <v>275.23</v>
      </c>
      <c r="F1070" s="1">
        <v>45013</v>
      </c>
      <c r="G1070" s="2">
        <f t="shared" si="32"/>
        <v>-1.3753476636900448E-2</v>
      </c>
      <c r="H1070" s="2">
        <f t="shared" si="33"/>
        <v>-4.1696186295786652E-3</v>
      </c>
      <c r="I1070" s="7">
        <v>-1.3753476636900448E-2</v>
      </c>
      <c r="J1070" s="7">
        <v>-4.1696186295786652E-3</v>
      </c>
      <c r="K1070" s="7">
        <v>0</v>
      </c>
      <c r="L1070" s="7">
        <v>0</v>
      </c>
      <c r="M1070" s="7">
        <v>0</v>
      </c>
      <c r="N1070" s="7">
        <v>0</v>
      </c>
      <c r="O1070" s="7">
        <v>0</v>
      </c>
      <c r="P1070" s="7">
        <v>0</v>
      </c>
    </row>
    <row r="1071" spans="1:16" x14ac:dyDescent="0.3">
      <c r="A1071" s="1">
        <v>45014</v>
      </c>
      <c r="B1071" s="2">
        <v>193.88000500000001</v>
      </c>
      <c r="C1071" s="2">
        <v>280.51</v>
      </c>
      <c r="F1071" s="1">
        <v>45014</v>
      </c>
      <c r="G1071" s="2">
        <f t="shared" si="32"/>
        <v>2.4487625096611801E-2</v>
      </c>
      <c r="H1071" s="2">
        <f t="shared" si="33"/>
        <v>1.9002263205408682E-2</v>
      </c>
      <c r="I1071" s="7">
        <v>0</v>
      </c>
      <c r="J1071" s="7">
        <v>0</v>
      </c>
      <c r="K1071" s="7">
        <v>0</v>
      </c>
      <c r="L1071" s="7">
        <v>0</v>
      </c>
      <c r="M1071" s="7">
        <v>0</v>
      </c>
      <c r="N1071" s="7">
        <v>0</v>
      </c>
      <c r="O1071" s="7">
        <v>2.4487625096611801E-2</v>
      </c>
      <c r="P1071" s="7">
        <v>1.9002263205408682E-2</v>
      </c>
    </row>
    <row r="1072" spans="1:16" x14ac:dyDescent="0.3">
      <c r="A1072" s="1">
        <v>45015</v>
      </c>
      <c r="B1072" s="2">
        <v>195.279999</v>
      </c>
      <c r="C1072" s="2">
        <v>284.05</v>
      </c>
      <c r="F1072" s="1">
        <v>45015</v>
      </c>
      <c r="G1072" s="2">
        <f t="shared" si="32"/>
        <v>7.1949841975297267E-3</v>
      </c>
      <c r="H1072" s="2">
        <f t="shared" si="33"/>
        <v>1.2540904051967446E-2</v>
      </c>
      <c r="I1072" s="7">
        <v>0</v>
      </c>
      <c r="J1072" s="7">
        <v>0</v>
      </c>
      <c r="K1072" s="7">
        <v>0</v>
      </c>
      <c r="L1072" s="7">
        <v>0</v>
      </c>
      <c r="M1072" s="7">
        <v>0</v>
      </c>
      <c r="N1072" s="7">
        <v>0</v>
      </c>
      <c r="O1072" s="7">
        <v>7.1949841975297267E-3</v>
      </c>
      <c r="P1072" s="7">
        <v>1.2540904051967446E-2</v>
      </c>
    </row>
    <row r="1073" spans="1:16" x14ac:dyDescent="0.3">
      <c r="A1073" s="1">
        <v>45016</v>
      </c>
      <c r="B1073" s="2">
        <v>207.46000699999999</v>
      </c>
      <c r="C1073" s="2">
        <v>288.3</v>
      </c>
      <c r="F1073" s="1">
        <v>45016</v>
      </c>
      <c r="G1073" s="2">
        <f t="shared" si="32"/>
        <v>6.0504162781272915E-2</v>
      </c>
      <c r="H1073" s="2">
        <f t="shared" si="33"/>
        <v>1.4851325641220549E-2</v>
      </c>
      <c r="I1073" s="7">
        <v>0</v>
      </c>
      <c r="J1073" s="7">
        <v>0</v>
      </c>
      <c r="K1073" s="7">
        <v>0</v>
      </c>
      <c r="L1073" s="7">
        <v>0</v>
      </c>
      <c r="M1073" s="7">
        <v>0</v>
      </c>
      <c r="N1073" s="7">
        <v>0</v>
      </c>
      <c r="O1073" s="7">
        <v>6.0504162781272915E-2</v>
      </c>
      <c r="P1073" s="7">
        <v>1.4851325641220549E-2</v>
      </c>
    </row>
    <row r="1074" spans="1:16" x14ac:dyDescent="0.3">
      <c r="A1074" s="1">
        <v>45019</v>
      </c>
      <c r="B1074" s="2">
        <v>194.770004</v>
      </c>
      <c r="C1074" s="2">
        <v>287.23</v>
      </c>
      <c r="F1074" s="1">
        <v>45019</v>
      </c>
      <c r="G1074" s="2">
        <f t="shared" si="32"/>
        <v>-6.3119187966273554E-2</v>
      </c>
      <c r="H1074" s="2">
        <f t="shared" si="33"/>
        <v>-3.7183161010089973E-3</v>
      </c>
      <c r="I1074" s="7">
        <v>-6.3119187966273554E-2</v>
      </c>
      <c r="J1074" s="7">
        <v>-3.7183161010089973E-3</v>
      </c>
      <c r="K1074" s="7">
        <v>0</v>
      </c>
      <c r="L1074" s="7">
        <v>0</v>
      </c>
      <c r="M1074" s="7">
        <v>0</v>
      </c>
      <c r="N1074" s="7">
        <v>0</v>
      </c>
      <c r="O1074" s="7">
        <v>0</v>
      </c>
      <c r="P1074" s="7">
        <v>0</v>
      </c>
    </row>
    <row r="1075" spans="1:16" x14ac:dyDescent="0.3">
      <c r="A1075" s="1">
        <v>45020</v>
      </c>
      <c r="B1075" s="2">
        <v>192.58000200000001</v>
      </c>
      <c r="C1075" s="2">
        <v>287.18</v>
      </c>
      <c r="F1075" s="1">
        <v>45020</v>
      </c>
      <c r="G1075" s="2">
        <f t="shared" si="32"/>
        <v>-1.1307733581419595E-2</v>
      </c>
      <c r="H1075" s="2">
        <f t="shared" si="33"/>
        <v>-1.7409167711666745E-4</v>
      </c>
      <c r="I1075" s="7">
        <v>-1.1307733581419595E-2</v>
      </c>
      <c r="J1075" s="7">
        <v>-1.7409167711666745E-4</v>
      </c>
      <c r="K1075" s="7">
        <v>0</v>
      </c>
      <c r="L1075" s="7">
        <v>0</v>
      </c>
      <c r="M1075" s="7">
        <v>0</v>
      </c>
      <c r="N1075" s="7">
        <v>0</v>
      </c>
      <c r="O1075" s="7">
        <v>0</v>
      </c>
      <c r="P1075" s="7">
        <v>0</v>
      </c>
    </row>
    <row r="1076" spans="1:16" x14ac:dyDescent="0.3">
      <c r="A1076" s="1">
        <v>45021</v>
      </c>
      <c r="B1076" s="2">
        <v>185.520004</v>
      </c>
      <c r="C1076" s="2">
        <v>284.33999999999997</v>
      </c>
      <c r="F1076" s="1">
        <v>45021</v>
      </c>
      <c r="G1076" s="2">
        <f t="shared" si="32"/>
        <v>-3.7348947689138656E-2</v>
      </c>
      <c r="H1076" s="2">
        <f t="shared" si="33"/>
        <v>-9.938491658678961E-3</v>
      </c>
      <c r="I1076" s="7">
        <v>-3.7348947689138656E-2</v>
      </c>
      <c r="J1076" s="7">
        <v>-9.938491658678961E-3</v>
      </c>
      <c r="K1076" s="7">
        <v>0</v>
      </c>
      <c r="L1076" s="7">
        <v>0</v>
      </c>
      <c r="M1076" s="7">
        <v>0</v>
      </c>
      <c r="N1076" s="7">
        <v>0</v>
      </c>
      <c r="O1076" s="7">
        <v>0</v>
      </c>
      <c r="P1076" s="7">
        <v>0</v>
      </c>
    </row>
    <row r="1077" spans="1:16" x14ac:dyDescent="0.3">
      <c r="A1077" s="1">
        <v>45022</v>
      </c>
      <c r="B1077" s="2">
        <v>185.05999800000001</v>
      </c>
      <c r="C1077" s="2">
        <v>291.60000000000002</v>
      </c>
      <c r="F1077" s="1">
        <v>45022</v>
      </c>
      <c r="G1077" s="2">
        <f t="shared" si="32"/>
        <v>-2.4826284947152E-3</v>
      </c>
      <c r="H1077" s="2">
        <f t="shared" si="33"/>
        <v>2.5212294926951224E-2</v>
      </c>
      <c r="I1077" s="7">
        <v>0</v>
      </c>
      <c r="J1077" s="7">
        <v>0</v>
      </c>
      <c r="K1077" s="7">
        <v>0</v>
      </c>
      <c r="L1077" s="7">
        <v>0</v>
      </c>
      <c r="M1077" s="7">
        <v>-2.4826284947152E-3</v>
      </c>
      <c r="N1077" s="7">
        <v>2.5212294926951224E-2</v>
      </c>
      <c r="O1077" s="7">
        <v>0</v>
      </c>
      <c r="P1077" s="7">
        <v>0</v>
      </c>
    </row>
    <row r="1078" spans="1:16" x14ac:dyDescent="0.3">
      <c r="A1078" s="1">
        <v>45026</v>
      </c>
      <c r="B1078" s="2">
        <v>184.509995</v>
      </c>
      <c r="C1078" s="2">
        <v>289.39</v>
      </c>
      <c r="F1078" s="1">
        <v>45026</v>
      </c>
      <c r="G1078" s="2">
        <f t="shared" si="32"/>
        <v>-2.9764505585899753E-3</v>
      </c>
      <c r="H1078" s="2">
        <f t="shared" si="33"/>
        <v>-7.6077407843043966E-3</v>
      </c>
      <c r="I1078" s="7">
        <v>-2.9764505585899753E-3</v>
      </c>
      <c r="J1078" s="7">
        <v>-7.6077407843043966E-3</v>
      </c>
      <c r="K1078" s="7">
        <v>0</v>
      </c>
      <c r="L1078" s="7">
        <v>0</v>
      </c>
      <c r="M1078" s="7">
        <v>0</v>
      </c>
      <c r="N1078" s="7">
        <v>0</v>
      </c>
      <c r="O1078" s="7">
        <v>0</v>
      </c>
      <c r="P1078" s="7">
        <v>0</v>
      </c>
    </row>
    <row r="1079" spans="1:16" x14ac:dyDescent="0.3">
      <c r="A1079" s="1">
        <v>45027</v>
      </c>
      <c r="B1079" s="2">
        <v>186.78999300000001</v>
      </c>
      <c r="C1079" s="2">
        <v>282.83</v>
      </c>
      <c r="F1079" s="1">
        <v>45027</v>
      </c>
      <c r="G1079" s="2">
        <f t="shared" si="32"/>
        <v>1.2281318240982973E-2</v>
      </c>
      <c r="H1079" s="2">
        <f t="shared" si="33"/>
        <v>-2.2929248917307413E-2</v>
      </c>
      <c r="I1079" s="7">
        <v>0</v>
      </c>
      <c r="J1079" s="7">
        <v>0</v>
      </c>
      <c r="K1079" s="7">
        <v>1.2281318240982973E-2</v>
      </c>
      <c r="L1079" s="7">
        <v>-2.2929248917307413E-2</v>
      </c>
      <c r="M1079" s="7">
        <v>0</v>
      </c>
      <c r="N1079" s="7">
        <v>0</v>
      </c>
      <c r="O1079" s="7">
        <v>0</v>
      </c>
      <c r="P1079" s="7">
        <v>0</v>
      </c>
    </row>
    <row r="1080" spans="1:16" x14ac:dyDescent="0.3">
      <c r="A1080" s="1">
        <v>45028</v>
      </c>
      <c r="B1080" s="2">
        <v>180.53999300000001</v>
      </c>
      <c r="C1080" s="2">
        <v>283.49</v>
      </c>
      <c r="F1080" s="1">
        <v>45028</v>
      </c>
      <c r="G1080" s="2">
        <f t="shared" si="32"/>
        <v>-3.4032632598534528E-2</v>
      </c>
      <c r="H1080" s="2">
        <f t="shared" si="33"/>
        <v>2.3308387441887124E-3</v>
      </c>
      <c r="I1080" s="7">
        <v>0</v>
      </c>
      <c r="J1080" s="7">
        <v>0</v>
      </c>
      <c r="K1080" s="7">
        <v>0</v>
      </c>
      <c r="L1080" s="7">
        <v>0</v>
      </c>
      <c r="M1080" s="7">
        <v>-3.4032632598534528E-2</v>
      </c>
      <c r="N1080" s="7">
        <v>2.3308387441887124E-3</v>
      </c>
      <c r="O1080" s="7">
        <v>0</v>
      </c>
      <c r="P1080" s="7">
        <v>0</v>
      </c>
    </row>
    <row r="1081" spans="1:16" x14ac:dyDescent="0.3">
      <c r="A1081" s="1">
        <v>45029</v>
      </c>
      <c r="B1081" s="2">
        <v>185.89999399999999</v>
      </c>
      <c r="C1081" s="2">
        <v>289.83999999999997</v>
      </c>
      <c r="F1081" s="1">
        <v>45029</v>
      </c>
      <c r="G1081" s="2">
        <f t="shared" si="32"/>
        <v>2.9256541354543853E-2</v>
      </c>
      <c r="H1081" s="2">
        <f t="shared" si="33"/>
        <v>2.2152197409741545E-2</v>
      </c>
      <c r="I1081" s="7">
        <v>0</v>
      </c>
      <c r="J1081" s="7">
        <v>0</v>
      </c>
      <c r="K1081" s="7">
        <v>0</v>
      </c>
      <c r="L1081" s="7">
        <v>0</v>
      </c>
      <c r="M1081" s="7">
        <v>0</v>
      </c>
      <c r="N1081" s="7">
        <v>0</v>
      </c>
      <c r="O1081" s="7">
        <v>2.9256541354543853E-2</v>
      </c>
      <c r="P1081" s="7">
        <v>2.2152197409741545E-2</v>
      </c>
    </row>
    <row r="1082" spans="1:16" x14ac:dyDescent="0.3">
      <c r="A1082" s="1">
        <v>45030</v>
      </c>
      <c r="B1082" s="2">
        <v>185</v>
      </c>
      <c r="C1082" s="2">
        <v>286.14</v>
      </c>
      <c r="F1082" s="1">
        <v>45030</v>
      </c>
      <c r="G1082" s="2">
        <f t="shared" si="32"/>
        <v>-4.8530373736560611E-3</v>
      </c>
      <c r="H1082" s="2">
        <f t="shared" si="33"/>
        <v>-1.2847845048633726E-2</v>
      </c>
      <c r="I1082" s="7">
        <v>-4.8530373736560611E-3</v>
      </c>
      <c r="J1082" s="7">
        <v>-1.2847845048633726E-2</v>
      </c>
      <c r="K1082" s="7">
        <v>0</v>
      </c>
      <c r="L1082" s="7">
        <v>0</v>
      </c>
      <c r="M1082" s="7">
        <v>0</v>
      </c>
      <c r="N1082" s="7">
        <v>0</v>
      </c>
      <c r="O1082" s="7">
        <v>0</v>
      </c>
      <c r="P1082" s="7">
        <v>0</v>
      </c>
    </row>
    <row r="1083" spans="1:16" x14ac:dyDescent="0.3">
      <c r="A1083" s="1">
        <v>45033</v>
      </c>
      <c r="B1083" s="2">
        <v>187.03999300000001</v>
      </c>
      <c r="C1083" s="2">
        <v>288.8</v>
      </c>
      <c r="F1083" s="1">
        <v>45033</v>
      </c>
      <c r="G1083" s="2">
        <f t="shared" si="32"/>
        <v>1.0966635220283079E-2</v>
      </c>
      <c r="H1083" s="2">
        <f t="shared" si="33"/>
        <v>9.2532054804831763E-3</v>
      </c>
      <c r="I1083" s="7">
        <v>0</v>
      </c>
      <c r="J1083" s="7">
        <v>0</v>
      </c>
      <c r="K1083" s="7">
        <v>0</v>
      </c>
      <c r="L1083" s="7">
        <v>0</v>
      </c>
      <c r="M1083" s="7">
        <v>0</v>
      </c>
      <c r="N1083" s="7">
        <v>0</v>
      </c>
      <c r="O1083" s="7">
        <v>1.0966635220283079E-2</v>
      </c>
      <c r="P1083" s="7">
        <v>9.2532054804831763E-3</v>
      </c>
    </row>
    <row r="1084" spans="1:16" x14ac:dyDescent="0.3">
      <c r="A1084" s="1">
        <v>45034</v>
      </c>
      <c r="B1084" s="2">
        <v>184.30999800000001</v>
      </c>
      <c r="C1084" s="2">
        <v>288.37</v>
      </c>
      <c r="F1084" s="1">
        <v>45034</v>
      </c>
      <c r="G1084" s="2">
        <f t="shared" si="32"/>
        <v>-1.4703348586359806E-2</v>
      </c>
      <c r="H1084" s="2">
        <f t="shared" si="33"/>
        <v>-1.4900292099613503E-3</v>
      </c>
      <c r="I1084" s="7">
        <v>-1.4703348586359806E-2</v>
      </c>
      <c r="J1084" s="7">
        <v>-1.4900292099613503E-3</v>
      </c>
      <c r="K1084" s="7">
        <v>0</v>
      </c>
      <c r="L1084" s="7">
        <v>0</v>
      </c>
      <c r="M1084" s="7">
        <v>0</v>
      </c>
      <c r="N1084" s="7">
        <v>0</v>
      </c>
      <c r="O1084" s="7">
        <v>0</v>
      </c>
      <c r="P1084" s="7">
        <v>0</v>
      </c>
    </row>
    <row r="1085" spans="1:16" x14ac:dyDescent="0.3">
      <c r="A1085" s="1">
        <v>45035</v>
      </c>
      <c r="B1085" s="2">
        <v>180.58999600000001</v>
      </c>
      <c r="C1085" s="2">
        <v>288.45</v>
      </c>
      <c r="F1085" s="1">
        <v>45035</v>
      </c>
      <c r="G1085" s="2">
        <f t="shared" si="32"/>
        <v>-2.0389865397617165E-2</v>
      </c>
      <c r="H1085" s="2">
        <f t="shared" si="33"/>
        <v>2.7738289418866382E-4</v>
      </c>
      <c r="I1085" s="7">
        <v>0</v>
      </c>
      <c r="J1085" s="7">
        <v>0</v>
      </c>
      <c r="K1085" s="7">
        <v>0</v>
      </c>
      <c r="L1085" s="7">
        <v>0</v>
      </c>
      <c r="M1085" s="7">
        <v>-2.0389865397617165E-2</v>
      </c>
      <c r="N1085" s="7">
        <v>2.7738289418866382E-4</v>
      </c>
      <c r="O1085" s="7">
        <v>0</v>
      </c>
      <c r="P1085" s="7">
        <v>0</v>
      </c>
    </row>
    <row r="1086" spans="1:16" x14ac:dyDescent="0.3">
      <c r="A1086" s="1">
        <v>45036</v>
      </c>
      <c r="B1086" s="2">
        <v>162.990005</v>
      </c>
      <c r="C1086" s="2">
        <v>286.11</v>
      </c>
      <c r="F1086" s="1">
        <v>45036</v>
      </c>
      <c r="G1086" s="2">
        <f t="shared" si="32"/>
        <v>-0.10254036640636145</v>
      </c>
      <c r="H1086" s="2">
        <f t="shared" si="33"/>
        <v>-8.1454084439675951E-3</v>
      </c>
      <c r="I1086" s="7">
        <v>-0.10254036640636145</v>
      </c>
      <c r="J1086" s="7">
        <v>-8.1454084439675951E-3</v>
      </c>
      <c r="K1086" s="7">
        <v>0</v>
      </c>
      <c r="L1086" s="7">
        <v>0</v>
      </c>
      <c r="M1086" s="7">
        <v>0</v>
      </c>
      <c r="N1086" s="7">
        <v>0</v>
      </c>
      <c r="O1086" s="7">
        <v>0</v>
      </c>
      <c r="P1086" s="7">
        <v>0</v>
      </c>
    </row>
    <row r="1087" spans="1:16" x14ac:dyDescent="0.3">
      <c r="A1087" s="1">
        <v>45037</v>
      </c>
      <c r="B1087" s="2">
        <v>165.08000200000001</v>
      </c>
      <c r="C1087" s="2">
        <v>285.76</v>
      </c>
      <c r="F1087" s="1">
        <v>45037</v>
      </c>
      <c r="G1087" s="2">
        <f t="shared" si="32"/>
        <v>1.2741337091449591E-2</v>
      </c>
      <c r="H1087" s="2">
        <f t="shared" si="33"/>
        <v>-1.2240545707965717E-3</v>
      </c>
      <c r="I1087" s="7">
        <v>0</v>
      </c>
      <c r="J1087" s="7">
        <v>0</v>
      </c>
      <c r="K1087" s="7">
        <v>1.2741337091449591E-2</v>
      </c>
      <c r="L1087" s="7">
        <v>-1.2240545707965717E-3</v>
      </c>
      <c r="M1087" s="7">
        <v>0</v>
      </c>
      <c r="N1087" s="7">
        <v>0</v>
      </c>
      <c r="O1087" s="7">
        <v>0</v>
      </c>
      <c r="P1087" s="7">
        <v>0</v>
      </c>
    </row>
    <row r="1088" spans="1:16" x14ac:dyDescent="0.3">
      <c r="A1088" s="1">
        <v>45040</v>
      </c>
      <c r="B1088" s="2">
        <v>162.550003</v>
      </c>
      <c r="C1088" s="2">
        <v>281.77</v>
      </c>
      <c r="F1088" s="1">
        <v>45040</v>
      </c>
      <c r="G1088" s="2">
        <f t="shared" si="32"/>
        <v>-1.5444551793945088E-2</v>
      </c>
      <c r="H1088" s="2">
        <f t="shared" si="33"/>
        <v>-1.4061162371853063E-2</v>
      </c>
      <c r="I1088" s="7">
        <v>-1.5444551793945088E-2</v>
      </c>
      <c r="J1088" s="7">
        <v>-1.4061162371853063E-2</v>
      </c>
      <c r="K1088" s="7">
        <v>0</v>
      </c>
      <c r="L1088" s="7">
        <v>0</v>
      </c>
      <c r="M1088" s="7">
        <v>0</v>
      </c>
      <c r="N1088" s="7">
        <v>0</v>
      </c>
      <c r="O1088" s="7">
        <v>0</v>
      </c>
      <c r="P1088" s="7">
        <v>0</v>
      </c>
    </row>
    <row r="1089" spans="1:16" x14ac:dyDescent="0.3">
      <c r="A1089" s="1">
        <v>45041</v>
      </c>
      <c r="B1089" s="2">
        <v>160.66999799999999</v>
      </c>
      <c r="C1089" s="2">
        <v>275.42</v>
      </c>
      <c r="F1089" s="1">
        <v>45041</v>
      </c>
      <c r="G1089" s="2">
        <f t="shared" si="32"/>
        <v>-1.1633105598404886E-2</v>
      </c>
      <c r="H1089" s="2">
        <f t="shared" si="33"/>
        <v>-2.2793930017301241E-2</v>
      </c>
      <c r="I1089" s="7">
        <v>-1.1633105598404886E-2</v>
      </c>
      <c r="J1089" s="7">
        <v>-2.2793930017301241E-2</v>
      </c>
      <c r="K1089" s="7">
        <v>0</v>
      </c>
      <c r="L1089" s="7">
        <v>0</v>
      </c>
      <c r="M1089" s="7">
        <v>0</v>
      </c>
      <c r="N1089" s="7">
        <v>0</v>
      </c>
      <c r="O1089" s="7">
        <v>0</v>
      </c>
      <c r="P1089" s="7">
        <v>0</v>
      </c>
    </row>
    <row r="1090" spans="1:16" x14ac:dyDescent="0.3">
      <c r="A1090" s="1">
        <v>45042</v>
      </c>
      <c r="B1090" s="2">
        <v>153.75</v>
      </c>
      <c r="C1090" s="2">
        <v>295.37</v>
      </c>
      <c r="F1090" s="1">
        <v>45042</v>
      </c>
      <c r="G1090" s="2">
        <f t="shared" si="32"/>
        <v>-4.4024652920741772E-2</v>
      </c>
      <c r="H1090" s="2">
        <f t="shared" si="33"/>
        <v>6.9931602430454834E-2</v>
      </c>
      <c r="I1090" s="7">
        <v>0</v>
      </c>
      <c r="J1090" s="7">
        <v>0</v>
      </c>
      <c r="K1090" s="7">
        <v>0</v>
      </c>
      <c r="L1090" s="7">
        <v>0</v>
      </c>
      <c r="M1090" s="7">
        <v>-4.4024652920741772E-2</v>
      </c>
      <c r="N1090" s="7">
        <v>6.9931602430454834E-2</v>
      </c>
      <c r="O1090" s="7">
        <v>0</v>
      </c>
      <c r="P1090" s="7">
        <v>0</v>
      </c>
    </row>
    <row r="1091" spans="1:16" x14ac:dyDescent="0.3">
      <c r="A1091" s="1">
        <v>45043</v>
      </c>
      <c r="B1091" s="2">
        <v>160.19000199999999</v>
      </c>
      <c r="C1091" s="2">
        <v>304.83</v>
      </c>
      <c r="F1091" s="1">
        <v>45043</v>
      </c>
      <c r="G1091" s="2">
        <f t="shared" si="32"/>
        <v>4.1032716511938641E-2</v>
      </c>
      <c r="H1091" s="2">
        <f t="shared" si="33"/>
        <v>3.1525436436464785E-2</v>
      </c>
      <c r="I1091" s="7">
        <v>0</v>
      </c>
      <c r="J1091" s="7">
        <v>0</v>
      </c>
      <c r="K1091" s="7">
        <v>0</v>
      </c>
      <c r="L1091" s="7">
        <v>0</v>
      </c>
      <c r="M1091" s="7">
        <v>0</v>
      </c>
      <c r="N1091" s="7">
        <v>0</v>
      </c>
      <c r="O1091" s="7">
        <v>4.1032716511938641E-2</v>
      </c>
      <c r="P1091" s="7">
        <v>3.1525436436464785E-2</v>
      </c>
    </row>
    <row r="1092" spans="1:16" x14ac:dyDescent="0.3">
      <c r="A1092" s="1">
        <v>45044</v>
      </c>
      <c r="B1092" s="2">
        <v>164.30999800000001</v>
      </c>
      <c r="C1092" s="2">
        <v>307.26</v>
      </c>
      <c r="F1092" s="1">
        <v>45044</v>
      </c>
      <c r="G1092" s="2">
        <f t="shared" si="32"/>
        <v>2.5394252093060059E-2</v>
      </c>
      <c r="H1092" s="2">
        <f t="shared" si="33"/>
        <v>7.9400505366142172E-3</v>
      </c>
      <c r="I1092" s="7">
        <v>0</v>
      </c>
      <c r="J1092" s="7">
        <v>0</v>
      </c>
      <c r="K1092" s="7">
        <v>0</v>
      </c>
      <c r="L1092" s="7">
        <v>0</v>
      </c>
      <c r="M1092" s="7">
        <v>0</v>
      </c>
      <c r="N1092" s="7">
        <v>0</v>
      </c>
      <c r="O1092" s="7">
        <v>2.5394252093060059E-2</v>
      </c>
      <c r="P1092" s="7">
        <v>7.9400505366142172E-3</v>
      </c>
    </row>
    <row r="1093" spans="1:16" x14ac:dyDescent="0.3">
      <c r="A1093" s="1">
        <v>45047</v>
      </c>
      <c r="B1093" s="2">
        <v>161.83000200000001</v>
      </c>
      <c r="C1093" s="2">
        <v>305.56</v>
      </c>
      <c r="F1093" s="1">
        <v>45047</v>
      </c>
      <c r="G1093" s="2">
        <f t="shared" si="32"/>
        <v>-1.5208461404183913E-2</v>
      </c>
      <c r="H1093" s="2">
        <f t="shared" si="33"/>
        <v>-5.5481360293549208E-3</v>
      </c>
      <c r="I1093" s="7">
        <v>-1.5208461404183913E-2</v>
      </c>
      <c r="J1093" s="7">
        <v>-5.5481360293549208E-3</v>
      </c>
      <c r="K1093" s="7">
        <v>0</v>
      </c>
      <c r="L1093" s="7">
        <v>0</v>
      </c>
      <c r="M1093" s="7">
        <v>0</v>
      </c>
      <c r="N1093" s="7">
        <v>0</v>
      </c>
      <c r="O1093" s="7">
        <v>0</v>
      </c>
      <c r="P1093" s="7">
        <v>0</v>
      </c>
    </row>
    <row r="1094" spans="1:16" x14ac:dyDescent="0.3">
      <c r="A1094" s="1">
        <v>45048</v>
      </c>
      <c r="B1094" s="2">
        <v>160.30999800000001</v>
      </c>
      <c r="C1094" s="2">
        <v>305.41000000000003</v>
      </c>
      <c r="F1094" s="1">
        <v>45048</v>
      </c>
      <c r="G1094" s="2">
        <f t="shared" ref="G1094:G1157" si="34">LN(B1094/B1093)</f>
        <v>-9.4369856616878939E-3</v>
      </c>
      <c r="H1094" s="2">
        <f t="shared" ref="H1094:H1157" si="35">LN(C1094/C1093)</f>
        <v>-4.9102248232736731E-4</v>
      </c>
      <c r="I1094" s="7">
        <v>-9.4369856616878939E-3</v>
      </c>
      <c r="J1094" s="7">
        <v>-4.9102248232736731E-4</v>
      </c>
      <c r="K1094" s="7">
        <v>0</v>
      </c>
      <c r="L1094" s="7">
        <v>0</v>
      </c>
      <c r="M1094" s="7">
        <v>0</v>
      </c>
      <c r="N1094" s="7">
        <v>0</v>
      </c>
      <c r="O1094" s="7">
        <v>0</v>
      </c>
      <c r="P1094" s="7">
        <v>0</v>
      </c>
    </row>
    <row r="1095" spans="1:16" x14ac:dyDescent="0.3">
      <c r="A1095" s="1">
        <v>45049</v>
      </c>
      <c r="B1095" s="2">
        <v>160.61000100000001</v>
      </c>
      <c r="C1095" s="2">
        <v>304.39999999999998</v>
      </c>
      <c r="F1095" s="1">
        <v>45049</v>
      </c>
      <c r="G1095" s="2">
        <f t="shared" si="34"/>
        <v>1.8696440753141676E-3</v>
      </c>
      <c r="H1095" s="2">
        <f t="shared" si="35"/>
        <v>-3.3125102033009406E-3</v>
      </c>
      <c r="I1095" s="7">
        <v>0</v>
      </c>
      <c r="J1095" s="7">
        <v>0</v>
      </c>
      <c r="K1095" s="7">
        <v>1.8696440753141676E-3</v>
      </c>
      <c r="L1095" s="7">
        <v>-3.3125102033009406E-3</v>
      </c>
      <c r="M1095" s="7">
        <v>0</v>
      </c>
      <c r="N1095" s="7">
        <v>0</v>
      </c>
      <c r="O1095" s="7">
        <v>0</v>
      </c>
      <c r="P1095" s="7">
        <v>0</v>
      </c>
    </row>
    <row r="1096" spans="1:16" x14ac:dyDescent="0.3">
      <c r="A1096" s="1">
        <v>45050</v>
      </c>
      <c r="B1096" s="2">
        <v>161.199997</v>
      </c>
      <c r="C1096" s="2">
        <v>305.41000000000003</v>
      </c>
      <c r="F1096" s="1">
        <v>45050</v>
      </c>
      <c r="G1096" s="2">
        <f t="shared" si="34"/>
        <v>3.6667391610375553E-3</v>
      </c>
      <c r="H1096" s="2">
        <f t="shared" si="35"/>
        <v>3.3125102033008634E-3</v>
      </c>
      <c r="I1096" s="7">
        <v>0</v>
      </c>
      <c r="J1096" s="7">
        <v>0</v>
      </c>
      <c r="K1096" s="7">
        <v>0</v>
      </c>
      <c r="L1096" s="7">
        <v>0</v>
      </c>
      <c r="M1096" s="7">
        <v>0</v>
      </c>
      <c r="N1096" s="7">
        <v>0</v>
      </c>
      <c r="O1096" s="7">
        <v>3.6667391610375553E-3</v>
      </c>
      <c r="P1096" s="7">
        <v>3.3125102033008634E-3</v>
      </c>
    </row>
    <row r="1097" spans="1:16" x14ac:dyDescent="0.3">
      <c r="A1097" s="1">
        <v>45051</v>
      </c>
      <c r="B1097" s="2">
        <v>170.05999800000001</v>
      </c>
      <c r="C1097" s="2">
        <v>310.64999999999998</v>
      </c>
      <c r="F1097" s="1">
        <v>45051</v>
      </c>
      <c r="G1097" s="2">
        <f t="shared" si="34"/>
        <v>5.3505492734985498E-2</v>
      </c>
      <c r="H1097" s="2">
        <f t="shared" si="35"/>
        <v>1.7011740318871246E-2</v>
      </c>
      <c r="I1097" s="7">
        <v>0</v>
      </c>
      <c r="J1097" s="7">
        <v>0</v>
      </c>
      <c r="K1097" s="7">
        <v>0</v>
      </c>
      <c r="L1097" s="7">
        <v>0</v>
      </c>
      <c r="M1097" s="7">
        <v>0</v>
      </c>
      <c r="N1097" s="7">
        <v>0</v>
      </c>
      <c r="O1097" s="7">
        <v>5.3505492734985498E-2</v>
      </c>
      <c r="P1097" s="7">
        <v>1.7011740318871246E-2</v>
      </c>
    </row>
    <row r="1098" spans="1:16" x14ac:dyDescent="0.3">
      <c r="A1098" s="1">
        <v>45054</v>
      </c>
      <c r="B1098" s="2">
        <v>171.78999300000001</v>
      </c>
      <c r="C1098" s="2">
        <v>308.64999999999998</v>
      </c>
      <c r="F1098" s="1">
        <v>45054</v>
      </c>
      <c r="G1098" s="2">
        <f t="shared" si="34"/>
        <v>1.0121455693837895E-2</v>
      </c>
      <c r="H1098" s="2">
        <f t="shared" si="35"/>
        <v>-6.4589276697979798E-3</v>
      </c>
      <c r="I1098" s="7">
        <v>0</v>
      </c>
      <c r="J1098" s="7">
        <v>0</v>
      </c>
      <c r="K1098" s="7">
        <v>1.0121455693837895E-2</v>
      </c>
      <c r="L1098" s="7">
        <v>-6.4589276697979798E-3</v>
      </c>
      <c r="M1098" s="7">
        <v>0</v>
      </c>
      <c r="N1098" s="7">
        <v>0</v>
      </c>
      <c r="O1098" s="7">
        <v>0</v>
      </c>
      <c r="P1098" s="7">
        <v>0</v>
      </c>
    </row>
    <row r="1099" spans="1:16" x14ac:dyDescent="0.3">
      <c r="A1099" s="1">
        <v>45055</v>
      </c>
      <c r="B1099" s="2">
        <v>169.14999399999999</v>
      </c>
      <c r="C1099" s="2">
        <v>307</v>
      </c>
      <c r="F1099" s="1">
        <v>45055</v>
      </c>
      <c r="G1099" s="2">
        <f t="shared" si="34"/>
        <v>-1.5486900135687392E-2</v>
      </c>
      <c r="H1099" s="2">
        <f t="shared" si="35"/>
        <v>-5.3602012527076328E-3</v>
      </c>
      <c r="I1099" s="7">
        <v>-1.5486900135687392E-2</v>
      </c>
      <c r="J1099" s="7">
        <v>-5.3602012527076328E-3</v>
      </c>
      <c r="K1099" s="7">
        <v>0</v>
      </c>
      <c r="L1099" s="7">
        <v>0</v>
      </c>
      <c r="M1099" s="7">
        <v>0</v>
      </c>
      <c r="N1099" s="7">
        <v>0</v>
      </c>
      <c r="O1099" s="7">
        <v>0</v>
      </c>
      <c r="P1099" s="7">
        <v>0</v>
      </c>
    </row>
    <row r="1100" spans="1:16" x14ac:dyDescent="0.3">
      <c r="A1100" s="1">
        <v>45056</v>
      </c>
      <c r="B1100" s="2">
        <v>168.53999300000001</v>
      </c>
      <c r="C1100" s="2">
        <v>312.31</v>
      </c>
      <c r="F1100" s="1">
        <v>45056</v>
      </c>
      <c r="G1100" s="2">
        <f t="shared" si="34"/>
        <v>-3.6127909442024916E-3</v>
      </c>
      <c r="H1100" s="2">
        <f t="shared" si="35"/>
        <v>1.7148536682306217E-2</v>
      </c>
      <c r="I1100" s="7">
        <v>0</v>
      </c>
      <c r="J1100" s="7">
        <v>0</v>
      </c>
      <c r="K1100" s="7">
        <v>0</v>
      </c>
      <c r="L1100" s="7">
        <v>0</v>
      </c>
      <c r="M1100" s="7">
        <v>-3.6127909442024916E-3</v>
      </c>
      <c r="N1100" s="7">
        <v>1.7148536682306217E-2</v>
      </c>
      <c r="O1100" s="7">
        <v>0</v>
      </c>
      <c r="P1100" s="7">
        <v>0</v>
      </c>
    </row>
    <row r="1101" spans="1:16" x14ac:dyDescent="0.3">
      <c r="A1101" s="1">
        <v>45057</v>
      </c>
      <c r="B1101" s="2">
        <v>172.08000200000001</v>
      </c>
      <c r="C1101" s="2">
        <v>310.11</v>
      </c>
      <c r="F1101" s="1">
        <v>45057</v>
      </c>
      <c r="G1101" s="2">
        <f t="shared" si="34"/>
        <v>2.0786427770936523E-2</v>
      </c>
      <c r="H1101" s="2">
        <f t="shared" si="35"/>
        <v>-7.0692110210003704E-3</v>
      </c>
      <c r="I1101" s="7">
        <v>0</v>
      </c>
      <c r="J1101" s="7">
        <v>0</v>
      </c>
      <c r="K1101" s="7">
        <v>2.0786427770936523E-2</v>
      </c>
      <c r="L1101" s="7">
        <v>-7.0692110210003704E-3</v>
      </c>
      <c r="M1101" s="7">
        <v>0</v>
      </c>
      <c r="N1101" s="7">
        <v>0</v>
      </c>
      <c r="O1101" s="7">
        <v>0</v>
      </c>
      <c r="P1101" s="7">
        <v>0</v>
      </c>
    </row>
    <row r="1102" spans="1:16" x14ac:dyDescent="0.3">
      <c r="A1102" s="1">
        <v>45058</v>
      </c>
      <c r="B1102" s="2">
        <v>167.979996</v>
      </c>
      <c r="C1102" s="2">
        <v>308.97000000000003</v>
      </c>
      <c r="F1102" s="1">
        <v>45058</v>
      </c>
      <c r="G1102" s="2">
        <f t="shared" si="34"/>
        <v>-2.411459569685356E-2</v>
      </c>
      <c r="H1102" s="2">
        <f t="shared" si="35"/>
        <v>-3.6828884426830188E-3</v>
      </c>
      <c r="I1102" s="7">
        <v>-2.411459569685356E-2</v>
      </c>
      <c r="J1102" s="7">
        <v>-3.6828884426830188E-3</v>
      </c>
      <c r="K1102" s="7">
        <v>0</v>
      </c>
      <c r="L1102" s="7">
        <v>0</v>
      </c>
      <c r="M1102" s="7">
        <v>0</v>
      </c>
      <c r="N1102" s="7">
        <v>0</v>
      </c>
      <c r="O1102" s="7">
        <v>0</v>
      </c>
      <c r="P1102" s="7">
        <v>0</v>
      </c>
    </row>
    <row r="1103" spans="1:16" x14ac:dyDescent="0.3">
      <c r="A1103" s="1">
        <v>45061</v>
      </c>
      <c r="B1103" s="2">
        <v>166.35000600000001</v>
      </c>
      <c r="C1103" s="2">
        <v>309.45999999999998</v>
      </c>
      <c r="F1103" s="1">
        <v>45061</v>
      </c>
      <c r="G1103" s="2">
        <f t="shared" si="34"/>
        <v>-9.7508623521068184E-3</v>
      </c>
      <c r="H1103" s="2">
        <f t="shared" si="35"/>
        <v>1.5846582557063886E-3</v>
      </c>
      <c r="I1103" s="7">
        <v>0</v>
      </c>
      <c r="J1103" s="7">
        <v>0</v>
      </c>
      <c r="K1103" s="7">
        <v>0</v>
      </c>
      <c r="L1103" s="7">
        <v>0</v>
      </c>
      <c r="M1103" s="7">
        <v>-9.7508623521068184E-3</v>
      </c>
      <c r="N1103" s="7">
        <v>1.5846582557063886E-3</v>
      </c>
      <c r="O1103" s="7">
        <v>0</v>
      </c>
      <c r="P1103" s="7">
        <v>0</v>
      </c>
    </row>
    <row r="1104" spans="1:16" x14ac:dyDescent="0.3">
      <c r="A1104" s="1">
        <v>45062</v>
      </c>
      <c r="B1104" s="2">
        <v>166.520004</v>
      </c>
      <c r="C1104" s="2">
        <v>311.74</v>
      </c>
      <c r="F1104" s="1">
        <v>45062</v>
      </c>
      <c r="G1104" s="2">
        <f t="shared" si="34"/>
        <v>1.0214078148977621E-3</v>
      </c>
      <c r="H1104" s="2">
        <f t="shared" si="35"/>
        <v>7.3406639993783473E-3</v>
      </c>
      <c r="I1104" s="7">
        <v>0</v>
      </c>
      <c r="J1104" s="7">
        <v>0</v>
      </c>
      <c r="K1104" s="7">
        <v>0</v>
      </c>
      <c r="L1104" s="7">
        <v>0</v>
      </c>
      <c r="M1104" s="7">
        <v>0</v>
      </c>
      <c r="N1104" s="7">
        <v>0</v>
      </c>
      <c r="O1104" s="7">
        <v>1.0214078148977621E-3</v>
      </c>
      <c r="P1104" s="7">
        <v>7.3406639993783473E-3</v>
      </c>
    </row>
    <row r="1105" spans="1:16" x14ac:dyDescent="0.3">
      <c r="A1105" s="1">
        <v>45063</v>
      </c>
      <c r="B1105" s="2">
        <v>173.86000100000001</v>
      </c>
      <c r="C1105" s="2">
        <v>314</v>
      </c>
      <c r="F1105" s="1">
        <v>45063</v>
      </c>
      <c r="G1105" s="2">
        <f t="shared" si="34"/>
        <v>4.3134937054759619E-2</v>
      </c>
      <c r="H1105" s="2">
        <f t="shared" si="35"/>
        <v>7.22347884734838E-3</v>
      </c>
      <c r="I1105" s="7">
        <v>0</v>
      </c>
      <c r="J1105" s="7">
        <v>0</v>
      </c>
      <c r="K1105" s="7">
        <v>0</v>
      </c>
      <c r="L1105" s="7">
        <v>0</v>
      </c>
      <c r="M1105" s="7">
        <v>0</v>
      </c>
      <c r="N1105" s="7">
        <v>0</v>
      </c>
      <c r="O1105" s="7">
        <v>4.3134937054759619E-2</v>
      </c>
      <c r="P1105" s="7">
        <v>7.22347884734838E-3</v>
      </c>
    </row>
    <row r="1106" spans="1:16" x14ac:dyDescent="0.3">
      <c r="A1106" s="1">
        <v>45064</v>
      </c>
      <c r="B1106" s="2">
        <v>176.88999899999999</v>
      </c>
      <c r="C1106" s="2">
        <v>318.52</v>
      </c>
      <c r="F1106" s="1">
        <v>45064</v>
      </c>
      <c r="G1106" s="2">
        <f t="shared" si="34"/>
        <v>1.72776813995126E-2</v>
      </c>
      <c r="H1106" s="2">
        <f t="shared" si="35"/>
        <v>1.4292281480990708E-2</v>
      </c>
      <c r="I1106" s="7">
        <v>0</v>
      </c>
      <c r="J1106" s="7">
        <v>0</v>
      </c>
      <c r="K1106" s="7">
        <v>0</v>
      </c>
      <c r="L1106" s="7">
        <v>0</v>
      </c>
      <c r="M1106" s="7">
        <v>0</v>
      </c>
      <c r="N1106" s="7">
        <v>0</v>
      </c>
      <c r="O1106" s="7">
        <v>1.72776813995126E-2</v>
      </c>
      <c r="P1106" s="7">
        <v>1.4292281480990708E-2</v>
      </c>
    </row>
    <row r="1107" spans="1:16" x14ac:dyDescent="0.3">
      <c r="A1107" s="1">
        <v>45065</v>
      </c>
      <c r="B1107" s="2">
        <v>180.13999899999999</v>
      </c>
      <c r="C1107" s="2">
        <v>318.33999999999997</v>
      </c>
      <c r="F1107" s="1">
        <v>45065</v>
      </c>
      <c r="G1107" s="2">
        <f t="shared" si="34"/>
        <v>1.8206256002173436E-2</v>
      </c>
      <c r="H1107" s="2">
        <f t="shared" si="35"/>
        <v>-5.6527338753573411E-4</v>
      </c>
      <c r="I1107" s="7">
        <v>0</v>
      </c>
      <c r="J1107" s="7">
        <v>0</v>
      </c>
      <c r="K1107" s="7">
        <v>1.8206256002173436E-2</v>
      </c>
      <c r="L1107" s="7">
        <v>-5.6527338753573411E-4</v>
      </c>
      <c r="M1107" s="7">
        <v>0</v>
      </c>
      <c r="N1107" s="7">
        <v>0</v>
      </c>
      <c r="O1107" s="7">
        <v>0</v>
      </c>
      <c r="P1107" s="7">
        <v>0</v>
      </c>
    </row>
    <row r="1108" spans="1:16" x14ac:dyDescent="0.3">
      <c r="A1108" s="1">
        <v>45068</v>
      </c>
      <c r="B1108" s="2">
        <v>188.86999499999999</v>
      </c>
      <c r="C1108" s="2">
        <v>321.18</v>
      </c>
      <c r="F1108" s="1">
        <v>45068</v>
      </c>
      <c r="G1108" s="2">
        <f t="shared" si="34"/>
        <v>4.7324600430160034E-2</v>
      </c>
      <c r="H1108" s="2">
        <f t="shared" si="35"/>
        <v>8.8817196316366316E-3</v>
      </c>
      <c r="I1108" s="7">
        <v>0</v>
      </c>
      <c r="J1108" s="7">
        <v>0</v>
      </c>
      <c r="K1108" s="7">
        <v>0</v>
      </c>
      <c r="L1108" s="7">
        <v>0</v>
      </c>
      <c r="M1108" s="7">
        <v>0</v>
      </c>
      <c r="N1108" s="7">
        <v>0</v>
      </c>
      <c r="O1108" s="7">
        <v>4.7324600430160034E-2</v>
      </c>
      <c r="P1108" s="7">
        <v>8.8817196316366316E-3</v>
      </c>
    </row>
    <row r="1109" spans="1:16" x14ac:dyDescent="0.3">
      <c r="A1109" s="1">
        <v>45069</v>
      </c>
      <c r="B1109" s="2">
        <v>185.770004</v>
      </c>
      <c r="C1109" s="2">
        <v>315.26</v>
      </c>
      <c r="F1109" s="1">
        <v>45069</v>
      </c>
      <c r="G1109" s="2">
        <f t="shared" si="34"/>
        <v>-1.654955029920421E-2</v>
      </c>
      <c r="H1109" s="2">
        <f t="shared" si="35"/>
        <v>-1.8604018434948643E-2</v>
      </c>
      <c r="I1109" s="7">
        <v>-1.654955029920421E-2</v>
      </c>
      <c r="J1109" s="7">
        <v>-1.8604018434948643E-2</v>
      </c>
      <c r="K1109" s="7">
        <v>0</v>
      </c>
      <c r="L1109" s="7">
        <v>0</v>
      </c>
      <c r="M1109" s="7">
        <v>0</v>
      </c>
      <c r="N1109" s="7">
        <v>0</v>
      </c>
      <c r="O1109" s="7">
        <v>0</v>
      </c>
      <c r="P1109" s="7">
        <v>0</v>
      </c>
    </row>
    <row r="1110" spans="1:16" x14ac:dyDescent="0.3">
      <c r="A1110" s="1">
        <v>45070</v>
      </c>
      <c r="B1110" s="2">
        <v>182.89999399999999</v>
      </c>
      <c r="C1110" s="2">
        <v>313.85000000000002</v>
      </c>
      <c r="F1110" s="1">
        <v>45070</v>
      </c>
      <c r="G1110" s="2">
        <f t="shared" si="34"/>
        <v>-1.5569848343306422E-2</v>
      </c>
      <c r="H1110" s="2">
        <f t="shared" si="35"/>
        <v>-4.4825304348555259E-3</v>
      </c>
      <c r="I1110" s="7">
        <v>-1.5569848343306422E-2</v>
      </c>
      <c r="J1110" s="7">
        <v>-4.4825304348555259E-3</v>
      </c>
      <c r="K1110" s="7">
        <v>0</v>
      </c>
      <c r="L1110" s="7">
        <v>0</v>
      </c>
      <c r="M1110" s="7">
        <v>0</v>
      </c>
      <c r="N1110" s="7">
        <v>0</v>
      </c>
      <c r="O1110" s="7">
        <v>0</v>
      </c>
      <c r="P1110" s="7">
        <v>0</v>
      </c>
    </row>
    <row r="1111" spans="1:16" x14ac:dyDescent="0.3">
      <c r="A1111" s="1">
        <v>45071</v>
      </c>
      <c r="B1111" s="2">
        <v>184.470001</v>
      </c>
      <c r="C1111" s="2">
        <v>325.92</v>
      </c>
      <c r="F1111" s="1">
        <v>45071</v>
      </c>
      <c r="G1111" s="2">
        <f t="shared" si="34"/>
        <v>8.5473314624155538E-3</v>
      </c>
      <c r="H1111" s="2">
        <f t="shared" si="35"/>
        <v>3.7736787714955033E-2</v>
      </c>
      <c r="I1111" s="7">
        <v>0</v>
      </c>
      <c r="J1111" s="7">
        <v>0</v>
      </c>
      <c r="K1111" s="7">
        <v>0</v>
      </c>
      <c r="L1111" s="7">
        <v>0</v>
      </c>
      <c r="M1111" s="7">
        <v>0</v>
      </c>
      <c r="N1111" s="7">
        <v>0</v>
      </c>
      <c r="O1111" s="7">
        <v>8.5473314624155538E-3</v>
      </c>
      <c r="P1111" s="7">
        <v>3.7736787714955033E-2</v>
      </c>
    </row>
    <row r="1112" spans="1:16" x14ac:dyDescent="0.3">
      <c r="A1112" s="1">
        <v>45072</v>
      </c>
      <c r="B1112" s="2">
        <v>193.16999799999999</v>
      </c>
      <c r="C1112" s="2">
        <v>332.89</v>
      </c>
      <c r="F1112" s="1">
        <v>45072</v>
      </c>
      <c r="G1112" s="2">
        <f t="shared" si="34"/>
        <v>4.6083765810203514E-2</v>
      </c>
      <c r="H1112" s="2">
        <f t="shared" si="35"/>
        <v>2.1160152600536181E-2</v>
      </c>
      <c r="I1112" s="7">
        <v>0</v>
      </c>
      <c r="J1112" s="7">
        <v>0</v>
      </c>
      <c r="K1112" s="7">
        <v>0</v>
      </c>
      <c r="L1112" s="7">
        <v>0</v>
      </c>
      <c r="M1112" s="7">
        <v>0</v>
      </c>
      <c r="N1112" s="7">
        <v>0</v>
      </c>
      <c r="O1112" s="7">
        <v>4.6083765810203514E-2</v>
      </c>
      <c r="P1112" s="7">
        <v>2.1160152600536181E-2</v>
      </c>
    </row>
    <row r="1113" spans="1:16" x14ac:dyDescent="0.3">
      <c r="A1113" s="1">
        <v>45076</v>
      </c>
      <c r="B1113" s="2">
        <v>201.16000399999999</v>
      </c>
      <c r="C1113" s="2">
        <v>331.21</v>
      </c>
      <c r="F1113" s="1">
        <v>45076</v>
      </c>
      <c r="G1113" s="2">
        <f t="shared" si="34"/>
        <v>4.0530011323805605E-2</v>
      </c>
      <c r="H1113" s="2">
        <f t="shared" si="35"/>
        <v>-5.0594897870190041E-3</v>
      </c>
      <c r="I1113" s="7">
        <v>0</v>
      </c>
      <c r="J1113" s="7">
        <v>0</v>
      </c>
      <c r="K1113" s="7">
        <v>4.0530011323805605E-2</v>
      </c>
      <c r="L1113" s="7">
        <v>-5.0594897870190041E-3</v>
      </c>
      <c r="M1113" s="7">
        <v>0</v>
      </c>
      <c r="N1113" s="7">
        <v>0</v>
      </c>
      <c r="O1113" s="7">
        <v>0</v>
      </c>
      <c r="P1113" s="7">
        <v>0</v>
      </c>
    </row>
    <row r="1114" spans="1:16" x14ac:dyDescent="0.3">
      <c r="A1114" s="1">
        <v>45077</v>
      </c>
      <c r="B1114" s="2">
        <v>203.929993</v>
      </c>
      <c r="C1114" s="2">
        <v>328.39</v>
      </c>
      <c r="F1114" s="1">
        <v>45077</v>
      </c>
      <c r="G1114" s="2">
        <f t="shared" si="34"/>
        <v>1.3676132190318721E-2</v>
      </c>
      <c r="H1114" s="2">
        <f t="shared" si="35"/>
        <v>-8.5506888472856729E-3</v>
      </c>
      <c r="I1114" s="7">
        <v>0</v>
      </c>
      <c r="J1114" s="7">
        <v>0</v>
      </c>
      <c r="K1114" s="7">
        <v>1.3676132190318721E-2</v>
      </c>
      <c r="L1114" s="7">
        <v>-8.5506888472856729E-3</v>
      </c>
      <c r="M1114" s="7">
        <v>0</v>
      </c>
      <c r="N1114" s="7">
        <v>0</v>
      </c>
      <c r="O1114" s="7">
        <v>0</v>
      </c>
      <c r="P1114" s="7">
        <v>0</v>
      </c>
    </row>
    <row r="1115" spans="1:16" x14ac:dyDescent="0.3">
      <c r="A1115" s="1">
        <v>45078</v>
      </c>
      <c r="B1115" s="2">
        <v>207.520004</v>
      </c>
      <c r="C1115" s="2">
        <v>332.58</v>
      </c>
      <c r="F1115" s="1">
        <v>45078</v>
      </c>
      <c r="G1115" s="2">
        <f t="shared" si="34"/>
        <v>1.7450976464632895E-2</v>
      </c>
      <c r="H1115" s="2">
        <f t="shared" si="35"/>
        <v>1.2678506215040986E-2</v>
      </c>
      <c r="I1115" s="7">
        <v>0</v>
      </c>
      <c r="J1115" s="7">
        <v>0</v>
      </c>
      <c r="K1115" s="7">
        <v>0</v>
      </c>
      <c r="L1115" s="7">
        <v>0</v>
      </c>
      <c r="M1115" s="7">
        <v>0</v>
      </c>
      <c r="N1115" s="7">
        <v>0</v>
      </c>
      <c r="O1115" s="7">
        <v>1.7450976464632895E-2</v>
      </c>
      <c r="P1115" s="7">
        <v>1.2678506215040986E-2</v>
      </c>
    </row>
    <row r="1116" spans="1:16" x14ac:dyDescent="0.3">
      <c r="A1116" s="1">
        <v>45079</v>
      </c>
      <c r="B1116" s="2">
        <v>213.970001</v>
      </c>
      <c r="C1116" s="2">
        <v>335.4</v>
      </c>
      <c r="F1116" s="1">
        <v>45079</v>
      </c>
      <c r="G1116" s="2">
        <f t="shared" si="34"/>
        <v>3.0608083109027639E-2</v>
      </c>
      <c r="H1116" s="2">
        <f t="shared" si="35"/>
        <v>8.4434167293400992E-3</v>
      </c>
      <c r="I1116" s="7">
        <v>0</v>
      </c>
      <c r="J1116" s="7">
        <v>0</v>
      </c>
      <c r="K1116" s="7">
        <v>0</v>
      </c>
      <c r="L1116" s="7">
        <v>0</v>
      </c>
      <c r="M1116" s="7">
        <v>0</v>
      </c>
      <c r="N1116" s="7">
        <v>0</v>
      </c>
      <c r="O1116" s="7">
        <v>3.0608083109027639E-2</v>
      </c>
      <c r="P1116" s="7">
        <v>8.4434167293400992E-3</v>
      </c>
    </row>
    <row r="1117" spans="1:16" x14ac:dyDescent="0.3">
      <c r="A1117" s="1">
        <v>45082</v>
      </c>
      <c r="B1117" s="2">
        <v>217.61000100000001</v>
      </c>
      <c r="C1117" s="2">
        <v>335.94</v>
      </c>
      <c r="F1117" s="1">
        <v>45082</v>
      </c>
      <c r="G1117" s="2">
        <f t="shared" si="34"/>
        <v>1.6868651451166512E-2</v>
      </c>
      <c r="H1117" s="2">
        <f t="shared" si="35"/>
        <v>1.6087231997484429E-3</v>
      </c>
      <c r="I1117" s="7">
        <v>0</v>
      </c>
      <c r="J1117" s="7">
        <v>0</v>
      </c>
      <c r="K1117" s="7">
        <v>0</v>
      </c>
      <c r="L1117" s="7">
        <v>0</v>
      </c>
      <c r="M1117" s="7">
        <v>0</v>
      </c>
      <c r="N1117" s="7">
        <v>0</v>
      </c>
      <c r="O1117" s="7">
        <v>1.6868651451166512E-2</v>
      </c>
      <c r="P1117" s="7">
        <v>1.6087231997484429E-3</v>
      </c>
    </row>
    <row r="1118" spans="1:16" x14ac:dyDescent="0.3">
      <c r="A1118" s="1">
        <v>45083</v>
      </c>
      <c r="B1118" s="2">
        <v>221.30999800000001</v>
      </c>
      <c r="C1118" s="2">
        <v>333.68</v>
      </c>
      <c r="F1118" s="1">
        <v>45083</v>
      </c>
      <c r="G1118" s="2">
        <f t="shared" si="34"/>
        <v>1.6859950123644881E-2</v>
      </c>
      <c r="H1118" s="2">
        <f t="shared" si="35"/>
        <v>-6.7501227001670414E-3</v>
      </c>
      <c r="I1118" s="7">
        <v>0</v>
      </c>
      <c r="J1118" s="7">
        <v>0</v>
      </c>
      <c r="K1118" s="7">
        <v>1.6859950123644881E-2</v>
      </c>
      <c r="L1118" s="7">
        <v>-6.7501227001670414E-3</v>
      </c>
      <c r="M1118" s="7">
        <v>0</v>
      </c>
      <c r="N1118" s="7">
        <v>0</v>
      </c>
      <c r="O1118" s="7">
        <v>0</v>
      </c>
      <c r="P1118" s="7">
        <v>0</v>
      </c>
    </row>
    <row r="1119" spans="1:16" x14ac:dyDescent="0.3">
      <c r="A1119" s="1">
        <v>45084</v>
      </c>
      <c r="B1119" s="2">
        <v>224.570007</v>
      </c>
      <c r="C1119" s="2">
        <v>323.38</v>
      </c>
      <c r="F1119" s="1">
        <v>45084</v>
      </c>
      <c r="G1119" s="2">
        <f t="shared" si="34"/>
        <v>1.4623069233908043E-2</v>
      </c>
      <c r="H1119" s="2">
        <f t="shared" si="35"/>
        <v>-3.1354347577021255E-2</v>
      </c>
      <c r="I1119" s="7">
        <v>0</v>
      </c>
      <c r="J1119" s="7">
        <v>0</v>
      </c>
      <c r="K1119" s="7">
        <v>1.4623069233908043E-2</v>
      </c>
      <c r="L1119" s="7">
        <v>-3.1354347577021255E-2</v>
      </c>
      <c r="M1119" s="7">
        <v>0</v>
      </c>
      <c r="N1119" s="7">
        <v>0</v>
      </c>
      <c r="O1119" s="7">
        <v>0</v>
      </c>
      <c r="P1119" s="7">
        <v>0</v>
      </c>
    </row>
    <row r="1120" spans="1:16" x14ac:dyDescent="0.3">
      <c r="A1120" s="1">
        <v>45085</v>
      </c>
      <c r="B1120" s="2">
        <v>234.86000100000001</v>
      </c>
      <c r="C1120" s="2">
        <v>325.26</v>
      </c>
      <c r="F1120" s="1">
        <v>45085</v>
      </c>
      <c r="G1120" s="2">
        <f t="shared" si="34"/>
        <v>4.4802102433659591E-2</v>
      </c>
      <c r="H1120" s="2">
        <f t="shared" si="35"/>
        <v>5.7967601886333578E-3</v>
      </c>
      <c r="I1120" s="7">
        <v>0</v>
      </c>
      <c r="J1120" s="7">
        <v>0</v>
      </c>
      <c r="K1120" s="7">
        <v>0</v>
      </c>
      <c r="L1120" s="7">
        <v>0</v>
      </c>
      <c r="M1120" s="7">
        <v>0</v>
      </c>
      <c r="N1120" s="7">
        <v>0</v>
      </c>
      <c r="O1120" s="7">
        <v>4.4802102433659591E-2</v>
      </c>
      <c r="P1120" s="7">
        <v>5.7967601886333578E-3</v>
      </c>
    </row>
    <row r="1121" spans="1:16" x14ac:dyDescent="0.3">
      <c r="A1121" s="1">
        <v>45086</v>
      </c>
      <c r="B1121" s="2">
        <v>244.39999399999999</v>
      </c>
      <c r="C1121" s="2">
        <v>326.79000000000002</v>
      </c>
      <c r="F1121" s="1">
        <v>45086</v>
      </c>
      <c r="G1121" s="2">
        <f t="shared" si="34"/>
        <v>3.9816606552730789E-2</v>
      </c>
      <c r="H1121" s="2">
        <f t="shared" si="35"/>
        <v>4.6929002621620723E-3</v>
      </c>
      <c r="I1121" s="7">
        <v>0</v>
      </c>
      <c r="J1121" s="7">
        <v>0</v>
      </c>
      <c r="K1121" s="7">
        <v>0</v>
      </c>
      <c r="L1121" s="7">
        <v>0</v>
      </c>
      <c r="M1121" s="7">
        <v>0</v>
      </c>
      <c r="N1121" s="7">
        <v>0</v>
      </c>
      <c r="O1121" s="7">
        <v>3.9816606552730789E-2</v>
      </c>
      <c r="P1121" s="7">
        <v>4.6929002621620723E-3</v>
      </c>
    </row>
    <row r="1122" spans="1:16" x14ac:dyDescent="0.3">
      <c r="A1122" s="1">
        <v>45089</v>
      </c>
      <c r="B1122" s="2">
        <v>249.83000200000001</v>
      </c>
      <c r="C1122" s="2">
        <v>331.85</v>
      </c>
      <c r="F1122" s="1">
        <v>45089</v>
      </c>
      <c r="G1122" s="2">
        <f t="shared" si="34"/>
        <v>2.1974491815304326E-2</v>
      </c>
      <c r="H1122" s="2">
        <f t="shared" si="35"/>
        <v>1.5365296829470129E-2</v>
      </c>
      <c r="I1122" s="7">
        <v>0</v>
      </c>
      <c r="J1122" s="7">
        <v>0</v>
      </c>
      <c r="K1122" s="7">
        <v>0</v>
      </c>
      <c r="L1122" s="7">
        <v>0</v>
      </c>
      <c r="M1122" s="7">
        <v>0</v>
      </c>
      <c r="N1122" s="7">
        <v>0</v>
      </c>
      <c r="O1122" s="7">
        <v>2.1974491815304326E-2</v>
      </c>
      <c r="P1122" s="7">
        <v>1.5365296829470129E-2</v>
      </c>
    </row>
    <row r="1123" spans="1:16" x14ac:dyDescent="0.3">
      <c r="A1123" s="1">
        <v>45090</v>
      </c>
      <c r="B1123" s="2">
        <v>258.709991</v>
      </c>
      <c r="C1123" s="2">
        <v>334.29</v>
      </c>
      <c r="F1123" s="1">
        <v>45090</v>
      </c>
      <c r="G1123" s="2">
        <f t="shared" si="34"/>
        <v>3.4927013906616421E-2</v>
      </c>
      <c r="H1123" s="2">
        <f t="shared" si="35"/>
        <v>7.3258201351381813E-3</v>
      </c>
      <c r="I1123" s="7">
        <v>0</v>
      </c>
      <c r="J1123" s="7">
        <v>0</v>
      </c>
      <c r="K1123" s="7">
        <v>0</v>
      </c>
      <c r="L1123" s="7">
        <v>0</v>
      </c>
      <c r="M1123" s="7">
        <v>0</v>
      </c>
      <c r="N1123" s="7">
        <v>0</v>
      </c>
      <c r="O1123" s="7">
        <v>3.4927013906616421E-2</v>
      </c>
      <c r="P1123" s="7">
        <v>7.3258201351381813E-3</v>
      </c>
    </row>
    <row r="1124" spans="1:16" x14ac:dyDescent="0.3">
      <c r="A1124" s="1">
        <v>45091</v>
      </c>
      <c r="B1124" s="2">
        <v>256.790009</v>
      </c>
      <c r="C1124" s="2">
        <v>337.34</v>
      </c>
      <c r="F1124" s="1">
        <v>45091</v>
      </c>
      <c r="G1124" s="2">
        <f t="shared" si="34"/>
        <v>-7.4490431737250142E-3</v>
      </c>
      <c r="H1124" s="2">
        <f t="shared" si="35"/>
        <v>9.0824441027961261E-3</v>
      </c>
      <c r="I1124" s="7">
        <v>0</v>
      </c>
      <c r="J1124" s="7">
        <v>0</v>
      </c>
      <c r="K1124" s="7">
        <v>0</v>
      </c>
      <c r="L1124" s="7">
        <v>0</v>
      </c>
      <c r="M1124" s="7">
        <v>-7.4490431737250142E-3</v>
      </c>
      <c r="N1124" s="7">
        <v>9.0824441027961261E-3</v>
      </c>
      <c r="O1124" s="7">
        <v>0</v>
      </c>
      <c r="P1124" s="7">
        <v>0</v>
      </c>
    </row>
    <row r="1125" spans="1:16" x14ac:dyDescent="0.3">
      <c r="A1125" s="1">
        <v>45092</v>
      </c>
      <c r="B1125" s="2">
        <v>255.89999399999999</v>
      </c>
      <c r="C1125" s="2">
        <v>348.1</v>
      </c>
      <c r="F1125" s="1">
        <v>45092</v>
      </c>
      <c r="G1125" s="2">
        <f t="shared" si="34"/>
        <v>-3.4719455766334655E-3</v>
      </c>
      <c r="H1125" s="2">
        <f t="shared" si="35"/>
        <v>3.1398470987524872E-2</v>
      </c>
      <c r="I1125" s="7">
        <v>0</v>
      </c>
      <c r="J1125" s="7">
        <v>0</v>
      </c>
      <c r="K1125" s="7">
        <v>0</v>
      </c>
      <c r="L1125" s="7">
        <v>0</v>
      </c>
      <c r="M1125" s="7">
        <v>-3.4719455766334655E-3</v>
      </c>
      <c r="N1125" s="7">
        <v>3.1398470987524872E-2</v>
      </c>
      <c r="O1125" s="7">
        <v>0</v>
      </c>
      <c r="P1125" s="7">
        <v>0</v>
      </c>
    </row>
    <row r="1126" spans="1:16" x14ac:dyDescent="0.3">
      <c r="A1126" s="1">
        <v>45093</v>
      </c>
      <c r="B1126" s="2">
        <v>260.540009</v>
      </c>
      <c r="C1126" s="2">
        <v>342.33</v>
      </c>
      <c r="F1126" s="1">
        <v>45093</v>
      </c>
      <c r="G1126" s="2">
        <f t="shared" si="34"/>
        <v>1.7969715093973462E-2</v>
      </c>
      <c r="H1126" s="2">
        <f t="shared" si="35"/>
        <v>-1.6714610702695375E-2</v>
      </c>
      <c r="I1126" s="7">
        <v>0</v>
      </c>
      <c r="J1126" s="7">
        <v>0</v>
      </c>
      <c r="K1126" s="7">
        <v>1.7969715093973462E-2</v>
      </c>
      <c r="L1126" s="7">
        <v>-1.6714610702695375E-2</v>
      </c>
      <c r="M1126" s="7">
        <v>0</v>
      </c>
      <c r="N1126" s="7">
        <v>0</v>
      </c>
      <c r="O1126" s="7">
        <v>0</v>
      </c>
      <c r="P1126" s="7">
        <v>0</v>
      </c>
    </row>
    <row r="1127" spans="1:16" x14ac:dyDescent="0.3">
      <c r="A1127" s="1">
        <v>45097</v>
      </c>
      <c r="B1127" s="2">
        <v>274.45001200000002</v>
      </c>
      <c r="C1127" s="2">
        <v>338.05</v>
      </c>
      <c r="F1127" s="1">
        <v>45097</v>
      </c>
      <c r="G1127" s="2">
        <f t="shared" si="34"/>
        <v>5.2012703906651095E-2</v>
      </c>
      <c r="H1127" s="2">
        <f t="shared" si="35"/>
        <v>-1.2581370578011064E-2</v>
      </c>
      <c r="I1127" s="7">
        <v>0</v>
      </c>
      <c r="J1127" s="7">
        <v>0</v>
      </c>
      <c r="K1127" s="7">
        <v>5.2012703906651095E-2</v>
      </c>
      <c r="L1127" s="7">
        <v>-1.2581370578011064E-2</v>
      </c>
      <c r="M1127" s="7">
        <v>0</v>
      </c>
      <c r="N1127" s="7">
        <v>0</v>
      </c>
      <c r="O1127" s="7">
        <v>0</v>
      </c>
      <c r="P1127" s="7">
        <v>0</v>
      </c>
    </row>
    <row r="1128" spans="1:16" x14ac:dyDescent="0.3">
      <c r="A1128" s="1">
        <v>45098</v>
      </c>
      <c r="B1128" s="2">
        <v>259.459991</v>
      </c>
      <c r="C1128" s="2">
        <v>333.56</v>
      </c>
      <c r="F1128" s="1">
        <v>45098</v>
      </c>
      <c r="G1128" s="2">
        <f t="shared" si="34"/>
        <v>-5.6166625264270575E-2</v>
      </c>
      <c r="H1128" s="2">
        <f t="shared" si="35"/>
        <v>-1.3371054317902279E-2</v>
      </c>
      <c r="I1128" s="7">
        <v>-5.6166625264270575E-2</v>
      </c>
      <c r="J1128" s="7">
        <v>-1.3371054317902279E-2</v>
      </c>
      <c r="K1128" s="7">
        <v>0</v>
      </c>
      <c r="L1128" s="7">
        <v>0</v>
      </c>
      <c r="M1128" s="7">
        <v>0</v>
      </c>
      <c r="N1128" s="7">
        <v>0</v>
      </c>
      <c r="O1128" s="7">
        <v>0</v>
      </c>
      <c r="P1128" s="7">
        <v>0</v>
      </c>
    </row>
    <row r="1129" spans="1:16" x14ac:dyDescent="0.3">
      <c r="A1129" s="1">
        <v>45099</v>
      </c>
      <c r="B1129" s="2">
        <v>264.60998499999999</v>
      </c>
      <c r="C1129" s="2">
        <v>339.71</v>
      </c>
      <c r="F1129" s="1">
        <v>45099</v>
      </c>
      <c r="G1129" s="2">
        <f t="shared" si="34"/>
        <v>1.9654473719017893E-2</v>
      </c>
      <c r="H1129" s="2">
        <f t="shared" si="35"/>
        <v>1.8269553253653467E-2</v>
      </c>
      <c r="I1129" s="7">
        <v>0</v>
      </c>
      <c r="J1129" s="7">
        <v>0</v>
      </c>
      <c r="K1129" s="7">
        <v>0</v>
      </c>
      <c r="L1129" s="7">
        <v>0</v>
      </c>
      <c r="M1129" s="7">
        <v>0</v>
      </c>
      <c r="N1129" s="7">
        <v>0</v>
      </c>
      <c r="O1129" s="7">
        <v>1.9654473719017893E-2</v>
      </c>
      <c r="P1129" s="7">
        <v>1.8269553253653467E-2</v>
      </c>
    </row>
    <row r="1130" spans="1:16" x14ac:dyDescent="0.3">
      <c r="A1130" s="1">
        <v>45100</v>
      </c>
      <c r="B1130" s="2">
        <v>256.60000600000001</v>
      </c>
      <c r="C1130" s="2">
        <v>335.02</v>
      </c>
      <c r="F1130" s="1">
        <v>45100</v>
      </c>
      <c r="G1130" s="2">
        <f t="shared" si="34"/>
        <v>-3.0738511610223299E-2</v>
      </c>
      <c r="H1130" s="2">
        <f t="shared" si="35"/>
        <v>-1.3902080936897546E-2</v>
      </c>
      <c r="I1130" s="7">
        <v>-3.0738511610223299E-2</v>
      </c>
      <c r="J1130" s="7">
        <v>-1.3902080936897546E-2</v>
      </c>
      <c r="K1130" s="7">
        <v>0</v>
      </c>
      <c r="L1130" s="7">
        <v>0</v>
      </c>
      <c r="M1130" s="7">
        <v>0</v>
      </c>
      <c r="N1130" s="7">
        <v>0</v>
      </c>
      <c r="O1130" s="7">
        <v>0</v>
      </c>
      <c r="P1130" s="7">
        <v>0</v>
      </c>
    </row>
    <row r="1131" spans="1:16" x14ac:dyDescent="0.3">
      <c r="A1131" s="1">
        <v>45103</v>
      </c>
      <c r="B1131" s="2">
        <v>241.050003</v>
      </c>
      <c r="C1131" s="2">
        <v>328.6</v>
      </c>
      <c r="F1131" s="1">
        <v>45103</v>
      </c>
      <c r="G1131" s="2">
        <f t="shared" si="34"/>
        <v>-6.2514082267050644E-2</v>
      </c>
      <c r="H1131" s="2">
        <f t="shared" si="35"/>
        <v>-1.9349025932372751E-2</v>
      </c>
      <c r="I1131" s="7">
        <v>-6.2514082267050644E-2</v>
      </c>
      <c r="J1131" s="7">
        <v>-1.9349025932372751E-2</v>
      </c>
      <c r="K1131" s="7">
        <v>0</v>
      </c>
      <c r="L1131" s="7">
        <v>0</v>
      </c>
      <c r="M1131" s="7">
        <v>0</v>
      </c>
      <c r="N1131" s="7">
        <v>0</v>
      </c>
      <c r="O1131" s="7">
        <v>0</v>
      </c>
      <c r="P1131" s="7">
        <v>0</v>
      </c>
    </row>
    <row r="1132" spans="1:16" x14ac:dyDescent="0.3">
      <c r="A1132" s="1">
        <v>45104</v>
      </c>
      <c r="B1132" s="2">
        <v>250.21000699999999</v>
      </c>
      <c r="C1132" s="2">
        <v>334.57</v>
      </c>
      <c r="F1132" s="1">
        <v>45104</v>
      </c>
      <c r="G1132" s="2">
        <f t="shared" si="34"/>
        <v>3.7296199939007318E-2</v>
      </c>
      <c r="H1132" s="2">
        <f t="shared" si="35"/>
        <v>1.800491963524076E-2</v>
      </c>
      <c r="I1132" s="7">
        <v>0</v>
      </c>
      <c r="J1132" s="7">
        <v>0</v>
      </c>
      <c r="K1132" s="7">
        <v>0</v>
      </c>
      <c r="L1132" s="7">
        <v>0</v>
      </c>
      <c r="M1132" s="7">
        <v>0</v>
      </c>
      <c r="N1132" s="7">
        <v>0</v>
      </c>
      <c r="O1132" s="7">
        <v>3.7296199939007318E-2</v>
      </c>
      <c r="P1132" s="7">
        <v>1.800491963524076E-2</v>
      </c>
    </row>
    <row r="1133" spans="1:16" x14ac:dyDescent="0.3">
      <c r="A1133" s="1">
        <v>45105</v>
      </c>
      <c r="B1133" s="2">
        <v>256.23998999999998</v>
      </c>
      <c r="C1133" s="2">
        <v>335.85</v>
      </c>
      <c r="F1133" s="1">
        <v>45105</v>
      </c>
      <c r="G1133" s="2">
        <f t="shared" si="34"/>
        <v>2.3813873038799348E-2</v>
      </c>
      <c r="H1133" s="2">
        <f t="shared" si="35"/>
        <v>3.8185064744649735E-3</v>
      </c>
      <c r="I1133" s="7">
        <v>0</v>
      </c>
      <c r="J1133" s="7">
        <v>0</v>
      </c>
      <c r="K1133" s="7">
        <v>0</v>
      </c>
      <c r="L1133" s="7">
        <v>0</v>
      </c>
      <c r="M1133" s="7">
        <v>0</v>
      </c>
      <c r="N1133" s="7">
        <v>0</v>
      </c>
      <c r="O1133" s="7">
        <v>2.3813873038799348E-2</v>
      </c>
      <c r="P1133" s="7">
        <v>3.8185064744649735E-3</v>
      </c>
    </row>
    <row r="1134" spans="1:16" x14ac:dyDescent="0.3">
      <c r="A1134" s="1">
        <v>45106</v>
      </c>
      <c r="B1134" s="2">
        <v>257.5</v>
      </c>
      <c r="C1134" s="2">
        <v>335.05</v>
      </c>
      <c r="F1134" s="1">
        <v>45106</v>
      </c>
      <c r="G1134" s="2">
        <f t="shared" si="34"/>
        <v>4.9052538288021303E-3</v>
      </c>
      <c r="H1134" s="2">
        <f t="shared" si="35"/>
        <v>-2.3848572936938689E-3</v>
      </c>
      <c r="I1134" s="7">
        <v>0</v>
      </c>
      <c r="J1134" s="7">
        <v>0</v>
      </c>
      <c r="K1134" s="7">
        <v>4.9052538288021303E-3</v>
      </c>
      <c r="L1134" s="7">
        <v>-2.3848572936938689E-3</v>
      </c>
      <c r="M1134" s="7">
        <v>0</v>
      </c>
      <c r="N1134" s="7">
        <v>0</v>
      </c>
      <c r="O1134" s="7">
        <v>0</v>
      </c>
      <c r="P1134" s="7">
        <v>0</v>
      </c>
    </row>
    <row r="1135" spans="1:16" x14ac:dyDescent="0.3">
      <c r="A1135" s="1">
        <v>45107</v>
      </c>
      <c r="B1135" s="2">
        <v>261.76998900000001</v>
      </c>
      <c r="C1135" s="2">
        <v>340.54</v>
      </c>
      <c r="F1135" s="1">
        <v>45107</v>
      </c>
      <c r="G1135" s="2">
        <f t="shared" si="34"/>
        <v>1.6446493493240396E-2</v>
      </c>
      <c r="H1135" s="2">
        <f t="shared" si="35"/>
        <v>1.6252818573318145E-2</v>
      </c>
      <c r="I1135" s="7">
        <v>0</v>
      </c>
      <c r="J1135" s="7">
        <v>0</v>
      </c>
      <c r="K1135" s="7">
        <v>0</v>
      </c>
      <c r="L1135" s="7">
        <v>0</v>
      </c>
      <c r="M1135" s="7">
        <v>0</v>
      </c>
      <c r="N1135" s="7">
        <v>0</v>
      </c>
      <c r="O1135" s="7">
        <v>1.6446493493240396E-2</v>
      </c>
      <c r="P1135" s="7">
        <v>1.6252818573318145E-2</v>
      </c>
    </row>
    <row r="1136" spans="1:16" x14ac:dyDescent="0.3">
      <c r="A1136" s="1">
        <v>45110</v>
      </c>
      <c r="B1136" s="2">
        <v>279.82000699999998</v>
      </c>
      <c r="C1136" s="2">
        <v>337.99</v>
      </c>
      <c r="F1136" s="1">
        <v>45110</v>
      </c>
      <c r="G1136" s="2">
        <f t="shared" si="34"/>
        <v>6.6680350724189971E-2</v>
      </c>
      <c r="H1136" s="2">
        <f t="shared" si="35"/>
        <v>-7.5162837459640842E-3</v>
      </c>
      <c r="I1136" s="7">
        <v>0</v>
      </c>
      <c r="J1136" s="7">
        <v>0</v>
      </c>
      <c r="K1136" s="7">
        <v>6.6680350724189971E-2</v>
      </c>
      <c r="L1136" s="7">
        <v>-7.5162837459640842E-3</v>
      </c>
      <c r="M1136" s="7">
        <v>0</v>
      </c>
      <c r="N1136" s="7">
        <v>0</v>
      </c>
      <c r="O1136" s="7">
        <v>0</v>
      </c>
      <c r="P1136" s="7">
        <v>0</v>
      </c>
    </row>
    <row r="1137" spans="1:16" x14ac:dyDescent="0.3">
      <c r="A1137" s="1">
        <v>45112</v>
      </c>
      <c r="B1137" s="2">
        <v>282.48001099999999</v>
      </c>
      <c r="C1137" s="2">
        <v>338.15</v>
      </c>
      <c r="F1137" s="1">
        <v>45112</v>
      </c>
      <c r="G1137" s="2">
        <f t="shared" si="34"/>
        <v>9.461226239718892E-3</v>
      </c>
      <c r="H1137" s="2">
        <f t="shared" si="35"/>
        <v>4.73274774414948E-4</v>
      </c>
      <c r="I1137" s="7">
        <v>0</v>
      </c>
      <c r="J1137" s="7">
        <v>0</v>
      </c>
      <c r="K1137" s="7">
        <v>0</v>
      </c>
      <c r="L1137" s="7">
        <v>0</v>
      </c>
      <c r="M1137" s="7">
        <v>0</v>
      </c>
      <c r="N1137" s="7">
        <v>0</v>
      </c>
      <c r="O1137" s="7">
        <v>9.461226239718892E-3</v>
      </c>
      <c r="P1137" s="7">
        <v>4.73274774414948E-4</v>
      </c>
    </row>
    <row r="1138" spans="1:16" x14ac:dyDescent="0.3">
      <c r="A1138" s="1">
        <v>45113</v>
      </c>
      <c r="B1138" s="2">
        <v>276.540009</v>
      </c>
      <c r="C1138" s="2">
        <v>341.27</v>
      </c>
      <c r="F1138" s="1">
        <v>45113</v>
      </c>
      <c r="G1138" s="2">
        <f t="shared" si="34"/>
        <v>-2.125228205544815E-2</v>
      </c>
      <c r="H1138" s="2">
        <f t="shared" si="35"/>
        <v>9.1843688194433309E-3</v>
      </c>
      <c r="I1138" s="7">
        <v>0</v>
      </c>
      <c r="J1138" s="7">
        <v>0</v>
      </c>
      <c r="K1138" s="7">
        <v>0</v>
      </c>
      <c r="L1138" s="7">
        <v>0</v>
      </c>
      <c r="M1138" s="7">
        <v>-2.125228205544815E-2</v>
      </c>
      <c r="N1138" s="7">
        <v>9.1843688194433309E-3</v>
      </c>
      <c r="O1138" s="7">
        <v>0</v>
      </c>
      <c r="P1138" s="7">
        <v>0</v>
      </c>
    </row>
    <row r="1139" spans="1:16" x14ac:dyDescent="0.3">
      <c r="A1139" s="1">
        <v>45114</v>
      </c>
      <c r="B1139" s="2">
        <v>274.42999300000002</v>
      </c>
      <c r="C1139" s="2">
        <v>337.22</v>
      </c>
      <c r="F1139" s="1">
        <v>45114</v>
      </c>
      <c r="G1139" s="2">
        <f t="shared" si="34"/>
        <v>-7.6593146911415992E-3</v>
      </c>
      <c r="H1139" s="2">
        <f t="shared" si="35"/>
        <v>-1.1938416490557715E-2</v>
      </c>
      <c r="I1139" s="7">
        <v>-7.6593146911415992E-3</v>
      </c>
      <c r="J1139" s="7">
        <v>-1.1938416490557715E-2</v>
      </c>
      <c r="K1139" s="7">
        <v>0</v>
      </c>
      <c r="L1139" s="7">
        <v>0</v>
      </c>
      <c r="M1139" s="7">
        <v>0</v>
      </c>
      <c r="N1139" s="7">
        <v>0</v>
      </c>
      <c r="O1139" s="7">
        <v>0</v>
      </c>
      <c r="P1139" s="7">
        <v>0</v>
      </c>
    </row>
    <row r="1140" spans="1:16" x14ac:dyDescent="0.3">
      <c r="A1140" s="1">
        <v>45117</v>
      </c>
      <c r="B1140" s="2">
        <v>269.60998499999999</v>
      </c>
      <c r="C1140" s="2">
        <v>331.83</v>
      </c>
      <c r="F1140" s="1">
        <v>45117</v>
      </c>
      <c r="G1140" s="2">
        <f t="shared" si="34"/>
        <v>-1.771977911187872E-2</v>
      </c>
      <c r="H1140" s="2">
        <f t="shared" si="35"/>
        <v>-1.6112746767562188E-2</v>
      </c>
      <c r="I1140" s="7">
        <v>-1.771977911187872E-2</v>
      </c>
      <c r="J1140" s="7">
        <v>-1.6112746767562188E-2</v>
      </c>
      <c r="K1140" s="7">
        <v>0</v>
      </c>
      <c r="L1140" s="7">
        <v>0</v>
      </c>
      <c r="M1140" s="7">
        <v>0</v>
      </c>
      <c r="N1140" s="7">
        <v>0</v>
      </c>
      <c r="O1140" s="7">
        <v>0</v>
      </c>
      <c r="P1140" s="7">
        <v>0</v>
      </c>
    </row>
    <row r="1141" spans="1:16" x14ac:dyDescent="0.3">
      <c r="A1141" s="1">
        <v>45118</v>
      </c>
      <c r="B1141" s="2">
        <v>269.790009</v>
      </c>
      <c r="C1141" s="2">
        <v>332.47</v>
      </c>
      <c r="F1141" s="1">
        <v>45118</v>
      </c>
      <c r="G1141" s="2">
        <f t="shared" si="34"/>
        <v>6.6749725134110079E-4</v>
      </c>
      <c r="H1141" s="2">
        <f t="shared" si="35"/>
        <v>1.9268408791557165E-3</v>
      </c>
      <c r="I1141" s="7">
        <v>0</v>
      </c>
      <c r="J1141" s="7">
        <v>0</v>
      </c>
      <c r="K1141" s="7">
        <v>0</v>
      </c>
      <c r="L1141" s="7">
        <v>0</v>
      </c>
      <c r="M1141" s="7">
        <v>0</v>
      </c>
      <c r="N1141" s="7">
        <v>0</v>
      </c>
      <c r="O1141" s="7">
        <v>6.6749725134110079E-4</v>
      </c>
      <c r="P1141" s="7">
        <v>1.9268408791557165E-3</v>
      </c>
    </row>
    <row r="1142" spans="1:16" x14ac:dyDescent="0.3">
      <c r="A1142" s="1">
        <v>45119</v>
      </c>
      <c r="B1142" s="2">
        <v>271.98998999999998</v>
      </c>
      <c r="C1142" s="2">
        <v>337.2</v>
      </c>
      <c r="F1142" s="1">
        <v>45119</v>
      </c>
      <c r="G1142" s="2">
        <f t="shared" si="34"/>
        <v>8.1213521944056028E-3</v>
      </c>
      <c r="H1142" s="2">
        <f t="shared" si="35"/>
        <v>1.4126595666272364E-2</v>
      </c>
      <c r="I1142" s="7">
        <v>0</v>
      </c>
      <c r="J1142" s="7">
        <v>0</v>
      </c>
      <c r="K1142" s="7">
        <v>0</v>
      </c>
      <c r="L1142" s="7">
        <v>0</v>
      </c>
      <c r="M1142" s="7">
        <v>0</v>
      </c>
      <c r="N1142" s="7">
        <v>0</v>
      </c>
      <c r="O1142" s="7">
        <v>8.1213521944056028E-3</v>
      </c>
      <c r="P1142" s="7">
        <v>1.4126595666272364E-2</v>
      </c>
    </row>
    <row r="1143" spans="1:16" x14ac:dyDescent="0.3">
      <c r="A1143" s="1">
        <v>45120</v>
      </c>
      <c r="B1143" s="2">
        <v>277.89999399999999</v>
      </c>
      <c r="C1143" s="2">
        <v>342.66</v>
      </c>
      <c r="F1143" s="1">
        <v>45120</v>
      </c>
      <c r="G1143" s="2">
        <f t="shared" si="34"/>
        <v>2.1496051009739423E-2</v>
      </c>
      <c r="H1143" s="2">
        <f t="shared" si="35"/>
        <v>1.6062475777126363E-2</v>
      </c>
      <c r="I1143" s="7">
        <v>0</v>
      </c>
      <c r="J1143" s="7">
        <v>0</v>
      </c>
      <c r="K1143" s="7">
        <v>0</v>
      </c>
      <c r="L1143" s="7">
        <v>0</v>
      </c>
      <c r="M1143" s="7">
        <v>0</v>
      </c>
      <c r="N1143" s="7">
        <v>0</v>
      </c>
      <c r="O1143" s="7">
        <v>2.1496051009739423E-2</v>
      </c>
      <c r="P1143" s="7">
        <v>1.6062475777126363E-2</v>
      </c>
    </row>
    <row r="1144" spans="1:16" x14ac:dyDescent="0.3">
      <c r="A1144" s="1">
        <v>45121</v>
      </c>
      <c r="B1144" s="2">
        <v>281.38000499999998</v>
      </c>
      <c r="C1144" s="2">
        <v>345.24</v>
      </c>
      <c r="F1144" s="1">
        <v>45121</v>
      </c>
      <c r="G1144" s="2">
        <f t="shared" si="34"/>
        <v>1.2444771560673551E-2</v>
      </c>
      <c r="H1144" s="2">
        <f t="shared" si="35"/>
        <v>7.5011254466303343E-3</v>
      </c>
      <c r="I1144" s="7">
        <v>0</v>
      </c>
      <c r="J1144" s="7">
        <v>0</v>
      </c>
      <c r="K1144" s="7">
        <v>0</v>
      </c>
      <c r="L1144" s="7">
        <v>0</v>
      </c>
      <c r="M1144" s="7">
        <v>0</v>
      </c>
      <c r="N1144" s="7">
        <v>0</v>
      </c>
      <c r="O1144" s="7">
        <v>1.2444771560673551E-2</v>
      </c>
      <c r="P1144" s="7">
        <v>7.5011254466303343E-3</v>
      </c>
    </row>
    <row r="1145" spans="1:16" x14ac:dyDescent="0.3">
      <c r="A1145" s="1">
        <v>45124</v>
      </c>
      <c r="B1145" s="2">
        <v>290.38000499999998</v>
      </c>
      <c r="C1145" s="2">
        <v>345.73</v>
      </c>
      <c r="F1145" s="1">
        <v>45124</v>
      </c>
      <c r="G1145" s="2">
        <f t="shared" si="34"/>
        <v>3.1484340555726874E-2</v>
      </c>
      <c r="H1145" s="2">
        <f t="shared" si="35"/>
        <v>1.4182962563899833E-3</v>
      </c>
      <c r="I1145" s="7">
        <v>0</v>
      </c>
      <c r="J1145" s="7">
        <v>0</v>
      </c>
      <c r="K1145" s="7">
        <v>0</v>
      </c>
      <c r="L1145" s="7">
        <v>0</v>
      </c>
      <c r="M1145" s="7">
        <v>0</v>
      </c>
      <c r="N1145" s="7">
        <v>0</v>
      </c>
      <c r="O1145" s="7">
        <v>3.1484340555726874E-2</v>
      </c>
      <c r="P1145" s="7">
        <v>1.4182962563899833E-3</v>
      </c>
    </row>
    <row r="1146" spans="1:16" x14ac:dyDescent="0.3">
      <c r="A1146" s="1">
        <v>45125</v>
      </c>
      <c r="B1146" s="2">
        <v>293.33999599999999</v>
      </c>
      <c r="C1146" s="2">
        <v>359.49</v>
      </c>
      <c r="F1146" s="1">
        <v>45125</v>
      </c>
      <c r="G1146" s="2">
        <f t="shared" si="34"/>
        <v>1.0141904908197137E-2</v>
      </c>
      <c r="H1146" s="2">
        <f t="shared" si="35"/>
        <v>3.9028236754688229E-2</v>
      </c>
      <c r="I1146" s="7">
        <v>0</v>
      </c>
      <c r="J1146" s="7">
        <v>0</v>
      </c>
      <c r="K1146" s="7">
        <v>0</v>
      </c>
      <c r="L1146" s="7">
        <v>0</v>
      </c>
      <c r="M1146" s="7">
        <v>0</v>
      </c>
      <c r="N1146" s="7">
        <v>0</v>
      </c>
      <c r="O1146" s="7">
        <v>1.0141904908197137E-2</v>
      </c>
      <c r="P1146" s="7">
        <v>3.9028236754688229E-2</v>
      </c>
    </row>
    <row r="1147" spans="1:16" x14ac:dyDescent="0.3">
      <c r="A1147" s="1">
        <v>45126</v>
      </c>
      <c r="B1147" s="2">
        <v>291.26001000000002</v>
      </c>
      <c r="C1147" s="2">
        <v>355.08</v>
      </c>
      <c r="F1147" s="1">
        <v>45126</v>
      </c>
      <c r="G1147" s="2">
        <f t="shared" si="34"/>
        <v>-7.1159587945364648E-3</v>
      </c>
      <c r="H1147" s="2">
        <f t="shared" si="35"/>
        <v>-1.2343244162416406E-2</v>
      </c>
      <c r="I1147" s="7">
        <v>-7.1159587945364648E-3</v>
      </c>
      <c r="J1147" s="7">
        <v>-1.2343244162416406E-2</v>
      </c>
      <c r="K1147" s="7">
        <v>0</v>
      </c>
      <c r="L1147" s="7">
        <v>0</v>
      </c>
      <c r="M1147" s="7">
        <v>0</v>
      </c>
      <c r="N1147" s="7">
        <v>0</v>
      </c>
      <c r="O1147" s="7">
        <v>0</v>
      </c>
      <c r="P1147" s="7">
        <v>0</v>
      </c>
    </row>
    <row r="1148" spans="1:16" x14ac:dyDescent="0.3">
      <c r="A1148" s="1">
        <v>45127</v>
      </c>
      <c r="B1148" s="2">
        <v>262.89999399999999</v>
      </c>
      <c r="C1148" s="2">
        <v>346.87</v>
      </c>
      <c r="F1148" s="1">
        <v>45127</v>
      </c>
      <c r="G1148" s="2">
        <f t="shared" si="34"/>
        <v>-0.10244266447454954</v>
      </c>
      <c r="H1148" s="2">
        <f t="shared" si="35"/>
        <v>-2.3393046217722702E-2</v>
      </c>
      <c r="I1148" s="7">
        <v>-0.10244266447454954</v>
      </c>
      <c r="J1148" s="7">
        <v>-2.3393046217722702E-2</v>
      </c>
      <c r="K1148" s="7">
        <v>0</v>
      </c>
      <c r="L1148" s="7">
        <v>0</v>
      </c>
      <c r="M1148" s="7">
        <v>0</v>
      </c>
      <c r="N1148" s="7">
        <v>0</v>
      </c>
      <c r="O1148" s="7">
        <v>0</v>
      </c>
      <c r="P1148" s="7">
        <v>0</v>
      </c>
    </row>
    <row r="1149" spans="1:16" x14ac:dyDescent="0.3">
      <c r="A1149" s="1">
        <v>45128</v>
      </c>
      <c r="B1149" s="2">
        <v>260.01998900000001</v>
      </c>
      <c r="C1149" s="2">
        <v>343.77</v>
      </c>
      <c r="F1149" s="1">
        <v>45128</v>
      </c>
      <c r="G1149" s="2">
        <f t="shared" si="34"/>
        <v>-1.1015200083885681E-2</v>
      </c>
      <c r="H1149" s="2">
        <f t="shared" si="35"/>
        <v>-8.9772408759293768E-3</v>
      </c>
      <c r="I1149" s="7">
        <v>-1.1015200083885681E-2</v>
      </c>
      <c r="J1149" s="7">
        <v>-8.9772408759293768E-3</v>
      </c>
      <c r="K1149" s="7">
        <v>0</v>
      </c>
      <c r="L1149" s="7">
        <v>0</v>
      </c>
      <c r="M1149" s="7">
        <v>0</v>
      </c>
      <c r="N1149" s="7">
        <v>0</v>
      </c>
      <c r="O1149" s="7">
        <v>0</v>
      </c>
      <c r="P1149" s="7">
        <v>0</v>
      </c>
    </row>
    <row r="1150" spans="1:16" x14ac:dyDescent="0.3">
      <c r="A1150" s="1">
        <v>45131</v>
      </c>
      <c r="B1150" s="2">
        <v>269.05999800000001</v>
      </c>
      <c r="C1150" s="2">
        <v>345.11</v>
      </c>
      <c r="F1150" s="1">
        <v>45131</v>
      </c>
      <c r="G1150" s="2">
        <f t="shared" si="34"/>
        <v>3.4175886794526891E-2</v>
      </c>
      <c r="H1150" s="2">
        <f t="shared" si="35"/>
        <v>3.890377685747539E-3</v>
      </c>
      <c r="I1150" s="7">
        <v>0</v>
      </c>
      <c r="J1150" s="7">
        <v>0</v>
      </c>
      <c r="K1150" s="7">
        <v>0</v>
      </c>
      <c r="L1150" s="7">
        <v>0</v>
      </c>
      <c r="M1150" s="7">
        <v>0</v>
      </c>
      <c r="N1150" s="7">
        <v>0</v>
      </c>
      <c r="O1150" s="7">
        <v>3.4175886794526891E-2</v>
      </c>
      <c r="P1150" s="7">
        <v>3.890377685747539E-3</v>
      </c>
    </row>
    <row r="1151" spans="1:16" x14ac:dyDescent="0.3">
      <c r="A1151" s="1">
        <v>45132</v>
      </c>
      <c r="B1151" s="2">
        <v>265.27999899999998</v>
      </c>
      <c r="C1151" s="2">
        <v>350.98</v>
      </c>
      <c r="F1151" s="1">
        <v>45132</v>
      </c>
      <c r="G1151" s="2">
        <f t="shared" si="34"/>
        <v>-1.4148527446782411E-2</v>
      </c>
      <c r="H1151" s="2">
        <f t="shared" si="35"/>
        <v>1.6866034993246487E-2</v>
      </c>
      <c r="I1151" s="7">
        <v>0</v>
      </c>
      <c r="J1151" s="7">
        <v>0</v>
      </c>
      <c r="K1151" s="7">
        <v>0</v>
      </c>
      <c r="L1151" s="7">
        <v>0</v>
      </c>
      <c r="M1151" s="7">
        <v>-1.4148527446782411E-2</v>
      </c>
      <c r="N1151" s="7">
        <v>1.6866034993246487E-2</v>
      </c>
      <c r="O1151" s="7">
        <v>0</v>
      </c>
      <c r="P1151" s="7">
        <v>0</v>
      </c>
    </row>
    <row r="1152" spans="1:16" x14ac:dyDescent="0.3">
      <c r="A1152" s="1">
        <v>45133</v>
      </c>
      <c r="B1152" s="2">
        <v>264.35000600000001</v>
      </c>
      <c r="C1152" s="2">
        <v>337.77</v>
      </c>
      <c r="F1152" s="1">
        <v>45133</v>
      </c>
      <c r="G1152" s="2">
        <f t="shared" si="34"/>
        <v>-3.5118627986873816E-3</v>
      </c>
      <c r="H1152" s="2">
        <f t="shared" si="35"/>
        <v>-3.8364051302311838E-2</v>
      </c>
      <c r="I1152" s="7">
        <v>-3.5118627986873816E-3</v>
      </c>
      <c r="J1152" s="7">
        <v>-3.8364051302311838E-2</v>
      </c>
      <c r="K1152" s="7">
        <v>0</v>
      </c>
      <c r="L1152" s="7">
        <v>0</v>
      </c>
      <c r="M1152" s="7">
        <v>0</v>
      </c>
      <c r="N1152" s="7">
        <v>0</v>
      </c>
      <c r="O1152" s="7">
        <v>0</v>
      </c>
      <c r="P1152" s="7">
        <v>0</v>
      </c>
    </row>
    <row r="1153" spans="1:16" x14ac:dyDescent="0.3">
      <c r="A1153" s="1">
        <v>45134</v>
      </c>
      <c r="B1153" s="2">
        <v>255.71000699999999</v>
      </c>
      <c r="C1153" s="2">
        <v>330.72</v>
      </c>
      <c r="F1153" s="1">
        <v>45134</v>
      </c>
      <c r="G1153" s="2">
        <f t="shared" si="34"/>
        <v>-3.3229988141376218E-2</v>
      </c>
      <c r="H1153" s="2">
        <f t="shared" si="35"/>
        <v>-2.1093094549690539E-2</v>
      </c>
      <c r="I1153" s="7">
        <v>-3.3229988141376218E-2</v>
      </c>
      <c r="J1153" s="7">
        <v>-2.1093094549690539E-2</v>
      </c>
      <c r="K1153" s="7">
        <v>0</v>
      </c>
      <c r="L1153" s="7">
        <v>0</v>
      </c>
      <c r="M1153" s="7">
        <v>0</v>
      </c>
      <c r="N1153" s="7">
        <v>0</v>
      </c>
      <c r="O1153" s="7">
        <v>0</v>
      </c>
      <c r="P1153" s="7">
        <v>0</v>
      </c>
    </row>
    <row r="1154" spans="1:16" x14ac:dyDescent="0.3">
      <c r="A1154" s="1">
        <v>45135</v>
      </c>
      <c r="B1154" s="2">
        <v>266.44000199999999</v>
      </c>
      <c r="C1154" s="2">
        <v>338.37</v>
      </c>
      <c r="F1154" s="1">
        <v>45135</v>
      </c>
      <c r="G1154" s="2">
        <f t="shared" si="34"/>
        <v>4.1105067814094551E-2</v>
      </c>
      <c r="H1154" s="2">
        <f t="shared" si="35"/>
        <v>2.2867875386476975E-2</v>
      </c>
      <c r="I1154" s="7">
        <v>0</v>
      </c>
      <c r="J1154" s="7">
        <v>0</v>
      </c>
      <c r="K1154" s="7">
        <v>0</v>
      </c>
      <c r="L1154" s="7">
        <v>0</v>
      </c>
      <c r="M1154" s="7">
        <v>0</v>
      </c>
      <c r="N1154" s="7">
        <v>0</v>
      </c>
      <c r="O1154" s="7">
        <v>4.1105067814094551E-2</v>
      </c>
      <c r="P1154" s="7">
        <v>2.2867875386476975E-2</v>
      </c>
    </row>
    <row r="1155" spans="1:16" x14ac:dyDescent="0.3">
      <c r="A1155" s="1">
        <v>45138</v>
      </c>
      <c r="B1155" s="2">
        <v>267.42999300000002</v>
      </c>
      <c r="C1155" s="2">
        <v>335.92</v>
      </c>
      <c r="F1155" s="1">
        <v>45138</v>
      </c>
      <c r="G1155" s="2">
        <f t="shared" si="34"/>
        <v>3.7087386218649055E-3</v>
      </c>
      <c r="H1155" s="2">
        <f t="shared" si="35"/>
        <v>-7.2669349439972841E-3</v>
      </c>
      <c r="I1155" s="7">
        <v>0</v>
      </c>
      <c r="J1155" s="7">
        <v>0</v>
      </c>
      <c r="K1155" s="7">
        <v>3.7087386218649055E-3</v>
      </c>
      <c r="L1155" s="7">
        <v>-7.2669349439972841E-3</v>
      </c>
      <c r="M1155" s="7">
        <v>0</v>
      </c>
      <c r="N1155" s="7">
        <v>0</v>
      </c>
      <c r="O1155" s="7">
        <v>0</v>
      </c>
      <c r="P1155" s="7">
        <v>0</v>
      </c>
    </row>
    <row r="1156" spans="1:16" x14ac:dyDescent="0.3">
      <c r="A1156" s="1">
        <v>45139</v>
      </c>
      <c r="B1156" s="2">
        <v>261.07000699999998</v>
      </c>
      <c r="C1156" s="2">
        <v>336.34</v>
      </c>
      <c r="F1156" s="1">
        <v>45139</v>
      </c>
      <c r="G1156" s="2">
        <f t="shared" si="34"/>
        <v>-2.4069226263067518E-2</v>
      </c>
      <c r="H1156" s="2">
        <f t="shared" si="35"/>
        <v>1.2495167186658946E-3</v>
      </c>
      <c r="I1156" s="7">
        <v>0</v>
      </c>
      <c r="J1156" s="7">
        <v>0</v>
      </c>
      <c r="K1156" s="7">
        <v>0</v>
      </c>
      <c r="L1156" s="7">
        <v>0</v>
      </c>
      <c r="M1156" s="7">
        <v>-2.4069226263067518E-2</v>
      </c>
      <c r="N1156" s="7">
        <v>1.2495167186658946E-3</v>
      </c>
      <c r="O1156" s="7">
        <v>0</v>
      </c>
      <c r="P1156" s="7">
        <v>0</v>
      </c>
    </row>
    <row r="1157" spans="1:16" x14ac:dyDescent="0.3">
      <c r="A1157" s="1">
        <v>45140</v>
      </c>
      <c r="B1157" s="2">
        <v>254.11000100000001</v>
      </c>
      <c r="C1157" s="2">
        <v>327.5</v>
      </c>
      <c r="F1157" s="1">
        <v>45140</v>
      </c>
      <c r="G1157" s="2">
        <f t="shared" si="34"/>
        <v>-2.702134933829662E-2</v>
      </c>
      <c r="H1157" s="2">
        <f t="shared" si="35"/>
        <v>-2.6634498019297233E-2</v>
      </c>
      <c r="I1157" s="7">
        <v>-2.702134933829662E-2</v>
      </c>
      <c r="J1157" s="7">
        <v>-2.6634498019297233E-2</v>
      </c>
      <c r="K1157" s="7">
        <v>0</v>
      </c>
      <c r="L1157" s="7">
        <v>0</v>
      </c>
      <c r="M1157" s="7">
        <v>0</v>
      </c>
      <c r="N1157" s="7">
        <v>0</v>
      </c>
      <c r="O1157" s="7">
        <v>0</v>
      </c>
      <c r="P1157" s="7">
        <v>0</v>
      </c>
    </row>
    <row r="1158" spans="1:16" x14ac:dyDescent="0.3">
      <c r="A1158" s="1">
        <v>45141</v>
      </c>
      <c r="B1158" s="2">
        <v>259.32000699999998</v>
      </c>
      <c r="C1158" s="2">
        <v>326.66000000000003</v>
      </c>
      <c r="F1158" s="1">
        <v>45141</v>
      </c>
      <c r="G1158" s="2">
        <f t="shared" ref="G1158:G1221" si="36">LN(B1158/B1157)</f>
        <v>2.0295599228610389E-2</v>
      </c>
      <c r="H1158" s="2">
        <f t="shared" ref="H1158:H1221" si="37">LN(C1158/C1157)</f>
        <v>-2.568180450313361E-3</v>
      </c>
      <c r="I1158" s="7">
        <v>0</v>
      </c>
      <c r="J1158" s="7">
        <v>0</v>
      </c>
      <c r="K1158" s="7">
        <v>2.0295599228610389E-2</v>
      </c>
      <c r="L1158" s="7">
        <v>-2.568180450313361E-3</v>
      </c>
      <c r="M1158" s="7">
        <v>0</v>
      </c>
      <c r="N1158" s="7">
        <v>0</v>
      </c>
      <c r="O1158" s="7">
        <v>0</v>
      </c>
      <c r="P1158" s="7">
        <v>0</v>
      </c>
    </row>
    <row r="1159" spans="1:16" x14ac:dyDescent="0.3">
      <c r="A1159" s="1">
        <v>45142</v>
      </c>
      <c r="B1159" s="2">
        <v>253.86000100000001</v>
      </c>
      <c r="C1159" s="2">
        <v>327.78</v>
      </c>
      <c r="F1159" s="1">
        <v>45142</v>
      </c>
      <c r="G1159" s="2">
        <f t="shared" si="36"/>
        <v>-2.1279909401260018E-2</v>
      </c>
      <c r="H1159" s="2">
        <f t="shared" si="37"/>
        <v>3.4227770106877997E-3</v>
      </c>
      <c r="I1159" s="7">
        <v>0</v>
      </c>
      <c r="J1159" s="7">
        <v>0</v>
      </c>
      <c r="K1159" s="7">
        <v>0</v>
      </c>
      <c r="L1159" s="7">
        <v>0</v>
      </c>
      <c r="M1159" s="7">
        <v>-2.1279909401260018E-2</v>
      </c>
      <c r="N1159" s="7">
        <v>3.4227770106877997E-3</v>
      </c>
      <c r="O1159" s="7">
        <v>0</v>
      </c>
      <c r="P1159" s="7">
        <v>0</v>
      </c>
    </row>
    <row r="1160" spans="1:16" x14ac:dyDescent="0.3">
      <c r="A1160" s="1">
        <v>45145</v>
      </c>
      <c r="B1160" s="2">
        <v>251.449997</v>
      </c>
      <c r="C1160" s="2">
        <v>330.11</v>
      </c>
      <c r="F1160" s="1">
        <v>45145</v>
      </c>
      <c r="G1160" s="2">
        <f t="shared" si="36"/>
        <v>-9.5387872120379063E-3</v>
      </c>
      <c r="H1160" s="2">
        <f t="shared" si="37"/>
        <v>7.0832806149652063E-3</v>
      </c>
      <c r="I1160" s="7">
        <v>0</v>
      </c>
      <c r="J1160" s="7">
        <v>0</v>
      </c>
      <c r="K1160" s="7">
        <v>0</v>
      </c>
      <c r="L1160" s="7">
        <v>0</v>
      </c>
      <c r="M1160" s="7">
        <v>-9.5387872120379063E-3</v>
      </c>
      <c r="N1160" s="7">
        <v>7.0832806149652063E-3</v>
      </c>
      <c r="O1160" s="7">
        <v>0</v>
      </c>
      <c r="P1160" s="7">
        <v>0</v>
      </c>
    </row>
    <row r="1161" spans="1:16" x14ac:dyDescent="0.3">
      <c r="A1161" s="1">
        <v>45146</v>
      </c>
      <c r="B1161" s="2">
        <v>249.699997</v>
      </c>
      <c r="C1161" s="2">
        <v>326.05</v>
      </c>
      <c r="F1161" s="1">
        <v>45146</v>
      </c>
      <c r="G1161" s="2">
        <f t="shared" si="36"/>
        <v>-6.9839654158622101E-3</v>
      </c>
      <c r="H1161" s="2">
        <f t="shared" si="37"/>
        <v>-1.2375188411435041E-2</v>
      </c>
      <c r="I1161" s="7">
        <v>-6.9839654158622101E-3</v>
      </c>
      <c r="J1161" s="7">
        <v>-1.2375188411435041E-2</v>
      </c>
      <c r="K1161" s="7">
        <v>0</v>
      </c>
      <c r="L1161" s="7">
        <v>0</v>
      </c>
      <c r="M1161" s="7">
        <v>0</v>
      </c>
      <c r="N1161" s="7">
        <v>0</v>
      </c>
      <c r="O1161" s="7">
        <v>0</v>
      </c>
      <c r="P1161" s="7">
        <v>0</v>
      </c>
    </row>
    <row r="1162" spans="1:16" x14ac:dyDescent="0.3">
      <c r="A1162" s="1">
        <v>45147</v>
      </c>
      <c r="B1162" s="2">
        <v>242.19000199999999</v>
      </c>
      <c r="C1162" s="2">
        <v>322.23</v>
      </c>
      <c r="F1162" s="1">
        <v>45147</v>
      </c>
      <c r="G1162" s="2">
        <f t="shared" si="36"/>
        <v>-3.0537634938297167E-2</v>
      </c>
      <c r="H1162" s="2">
        <f t="shared" si="37"/>
        <v>-1.1785167561145957E-2</v>
      </c>
      <c r="I1162" s="7">
        <v>-3.0537634938297167E-2</v>
      </c>
      <c r="J1162" s="7">
        <v>-1.1785167561145957E-2</v>
      </c>
      <c r="K1162" s="7">
        <v>0</v>
      </c>
      <c r="L1162" s="7">
        <v>0</v>
      </c>
      <c r="M1162" s="7">
        <v>0</v>
      </c>
      <c r="N1162" s="7">
        <v>0</v>
      </c>
      <c r="O1162" s="7">
        <v>0</v>
      </c>
      <c r="P1162" s="7">
        <v>0</v>
      </c>
    </row>
    <row r="1163" spans="1:16" x14ac:dyDescent="0.3">
      <c r="A1163" s="1">
        <v>45148</v>
      </c>
      <c r="B1163" s="2">
        <v>245.33999600000001</v>
      </c>
      <c r="C1163" s="2">
        <v>322.93</v>
      </c>
      <c r="F1163" s="1">
        <v>45148</v>
      </c>
      <c r="G1163" s="2">
        <f t="shared" si="36"/>
        <v>1.2922436967688078E-2</v>
      </c>
      <c r="H1163" s="2">
        <f t="shared" si="37"/>
        <v>2.1700051915404103E-3</v>
      </c>
      <c r="I1163" s="7">
        <v>0</v>
      </c>
      <c r="J1163" s="7">
        <v>0</v>
      </c>
      <c r="K1163" s="7">
        <v>0</v>
      </c>
      <c r="L1163" s="7">
        <v>0</v>
      </c>
      <c r="M1163" s="7">
        <v>0</v>
      </c>
      <c r="N1163" s="7">
        <v>0</v>
      </c>
      <c r="O1163" s="7">
        <v>1.2922436967688078E-2</v>
      </c>
      <c r="P1163" s="7">
        <v>2.1700051915404103E-3</v>
      </c>
    </row>
    <row r="1164" spans="1:16" x14ac:dyDescent="0.3">
      <c r="A1164" s="1">
        <v>45149</v>
      </c>
      <c r="B1164" s="2">
        <v>242.64999399999999</v>
      </c>
      <c r="C1164" s="2">
        <v>321.01</v>
      </c>
      <c r="F1164" s="1">
        <v>45149</v>
      </c>
      <c r="G1164" s="2">
        <f t="shared" si="36"/>
        <v>-1.1024936176449245E-2</v>
      </c>
      <c r="H1164" s="2">
        <f t="shared" si="37"/>
        <v>-5.9633061768485816E-3</v>
      </c>
      <c r="I1164" s="7">
        <v>-1.1024936176449245E-2</v>
      </c>
      <c r="J1164" s="7">
        <v>-5.9633061768485816E-3</v>
      </c>
      <c r="K1164" s="7">
        <v>0</v>
      </c>
      <c r="L1164" s="7">
        <v>0</v>
      </c>
      <c r="M1164" s="7">
        <v>0</v>
      </c>
      <c r="N1164" s="7">
        <v>0</v>
      </c>
      <c r="O1164" s="7">
        <v>0</v>
      </c>
      <c r="P1164" s="7">
        <v>0</v>
      </c>
    </row>
    <row r="1165" spans="1:16" x14ac:dyDescent="0.3">
      <c r="A1165" s="1">
        <v>45152</v>
      </c>
      <c r="B1165" s="2">
        <v>239.759995</v>
      </c>
      <c r="C1165" s="2">
        <v>324.04000000000002</v>
      </c>
      <c r="F1165" s="1">
        <v>45152</v>
      </c>
      <c r="G1165" s="2">
        <f t="shared" si="36"/>
        <v>-1.1981648970031813E-2</v>
      </c>
      <c r="H1165" s="2">
        <f t="shared" si="37"/>
        <v>9.3946896695333831E-3</v>
      </c>
      <c r="I1165" s="7">
        <v>0</v>
      </c>
      <c r="J1165" s="7">
        <v>0</v>
      </c>
      <c r="K1165" s="7">
        <v>0</v>
      </c>
      <c r="L1165" s="7">
        <v>0</v>
      </c>
      <c r="M1165" s="7">
        <v>-1.1981648970031813E-2</v>
      </c>
      <c r="N1165" s="7">
        <v>9.3946896695333831E-3</v>
      </c>
      <c r="O1165" s="7">
        <v>0</v>
      </c>
      <c r="P1165" s="7">
        <v>0</v>
      </c>
    </row>
    <row r="1166" spans="1:16" x14ac:dyDescent="0.3">
      <c r="A1166" s="1">
        <v>45153</v>
      </c>
      <c r="B1166" s="2">
        <v>232.96000699999999</v>
      </c>
      <c r="C1166" s="2">
        <v>321.86</v>
      </c>
      <c r="F1166" s="1">
        <v>45153</v>
      </c>
      <c r="G1166" s="2">
        <f t="shared" si="36"/>
        <v>-2.8771607097822414E-2</v>
      </c>
      <c r="H1166" s="2">
        <f t="shared" si="37"/>
        <v>-6.750296571941706E-3</v>
      </c>
      <c r="I1166" s="7">
        <v>-2.8771607097822414E-2</v>
      </c>
      <c r="J1166" s="7">
        <v>-6.750296571941706E-3</v>
      </c>
      <c r="K1166" s="7">
        <v>0</v>
      </c>
      <c r="L1166" s="7">
        <v>0</v>
      </c>
      <c r="M1166" s="7">
        <v>0</v>
      </c>
      <c r="N1166" s="7">
        <v>0</v>
      </c>
      <c r="O1166" s="7">
        <v>0</v>
      </c>
      <c r="P1166" s="7">
        <v>0</v>
      </c>
    </row>
    <row r="1167" spans="1:16" x14ac:dyDescent="0.3">
      <c r="A1167" s="1">
        <v>45154</v>
      </c>
      <c r="B1167" s="2">
        <v>225.60000600000001</v>
      </c>
      <c r="C1167" s="2">
        <v>320.39999999999998</v>
      </c>
      <c r="F1167" s="1">
        <v>45154</v>
      </c>
      <c r="G1167" s="2">
        <f t="shared" si="36"/>
        <v>-3.2103248836749365E-2</v>
      </c>
      <c r="H1167" s="2">
        <f t="shared" si="37"/>
        <v>-4.5464531961448033E-3</v>
      </c>
      <c r="I1167" s="7">
        <v>-3.2103248836749365E-2</v>
      </c>
      <c r="J1167" s="7">
        <v>-4.5464531961448033E-3</v>
      </c>
      <c r="K1167" s="7">
        <v>0</v>
      </c>
      <c r="L1167" s="7">
        <v>0</v>
      </c>
      <c r="M1167" s="7">
        <v>0</v>
      </c>
      <c r="N1167" s="7">
        <v>0</v>
      </c>
      <c r="O1167" s="7">
        <v>0</v>
      </c>
      <c r="P1167" s="7">
        <v>0</v>
      </c>
    </row>
    <row r="1168" spans="1:16" x14ac:dyDescent="0.3">
      <c r="A1168" s="1">
        <v>45155</v>
      </c>
      <c r="B1168" s="2">
        <v>219.220001</v>
      </c>
      <c r="C1168" s="2">
        <v>316.88</v>
      </c>
      <c r="F1168" s="1">
        <v>45155</v>
      </c>
      <c r="G1168" s="2">
        <f t="shared" si="36"/>
        <v>-2.8687749870443355E-2</v>
      </c>
      <c r="H1168" s="2">
        <f t="shared" si="37"/>
        <v>-1.1047061880542842E-2</v>
      </c>
      <c r="I1168" s="7">
        <v>-2.8687749870443355E-2</v>
      </c>
      <c r="J1168" s="7">
        <v>-1.1047061880542842E-2</v>
      </c>
      <c r="K1168" s="7">
        <v>0</v>
      </c>
      <c r="L1168" s="7">
        <v>0</v>
      </c>
      <c r="M1168" s="7">
        <v>0</v>
      </c>
      <c r="N1168" s="7">
        <v>0</v>
      </c>
      <c r="O1168" s="7">
        <v>0</v>
      </c>
      <c r="P1168" s="7">
        <v>0</v>
      </c>
    </row>
    <row r="1169" spans="1:16" x14ac:dyDescent="0.3">
      <c r="A1169" s="1">
        <v>45156</v>
      </c>
      <c r="B1169" s="2">
        <v>215.490005</v>
      </c>
      <c r="C1169" s="2">
        <v>316.48</v>
      </c>
      <c r="F1169" s="1">
        <v>45156</v>
      </c>
      <c r="G1169" s="2">
        <f t="shared" si="36"/>
        <v>-1.7161268391452392E-2</v>
      </c>
      <c r="H1169" s="2">
        <f t="shared" si="37"/>
        <v>-1.2631048793138922E-3</v>
      </c>
      <c r="I1169" s="7">
        <v>-1.7161268391452392E-2</v>
      </c>
      <c r="J1169" s="7">
        <v>-1.2631048793138922E-3</v>
      </c>
      <c r="K1169" s="7">
        <v>0</v>
      </c>
      <c r="L1169" s="7">
        <v>0</v>
      </c>
      <c r="M1169" s="7">
        <v>0</v>
      </c>
      <c r="N1169" s="7">
        <v>0</v>
      </c>
      <c r="O1169" s="7">
        <v>0</v>
      </c>
      <c r="P1169" s="7">
        <v>0</v>
      </c>
    </row>
    <row r="1170" spans="1:16" x14ac:dyDescent="0.3">
      <c r="A1170" s="1">
        <v>45159</v>
      </c>
      <c r="B1170" s="2">
        <v>231.279999</v>
      </c>
      <c r="C1170" s="2">
        <v>321.88</v>
      </c>
      <c r="F1170" s="1">
        <v>45159</v>
      </c>
      <c r="G1170" s="2">
        <f t="shared" si="36"/>
        <v>7.071456542657463E-2</v>
      </c>
      <c r="H1170" s="2">
        <f t="shared" si="37"/>
        <v>1.691875684358473E-2</v>
      </c>
      <c r="I1170" s="7">
        <v>0</v>
      </c>
      <c r="J1170" s="7">
        <v>0</v>
      </c>
      <c r="K1170" s="7">
        <v>0</v>
      </c>
      <c r="L1170" s="7">
        <v>0</v>
      </c>
      <c r="M1170" s="7">
        <v>0</v>
      </c>
      <c r="N1170" s="7">
        <v>0</v>
      </c>
      <c r="O1170" s="7">
        <v>7.071456542657463E-2</v>
      </c>
      <c r="P1170" s="7">
        <v>1.691875684358473E-2</v>
      </c>
    </row>
    <row r="1171" spans="1:16" x14ac:dyDescent="0.3">
      <c r="A1171" s="1">
        <v>45160</v>
      </c>
      <c r="B1171" s="2">
        <v>233.19000199999999</v>
      </c>
      <c r="C1171" s="2">
        <v>322.45999999999998</v>
      </c>
      <c r="F1171" s="1">
        <v>45160</v>
      </c>
      <c r="G1171" s="2">
        <f t="shared" si="36"/>
        <v>8.2244871026078501E-3</v>
      </c>
      <c r="H1171" s="2">
        <f t="shared" si="37"/>
        <v>1.8002922576615002E-3</v>
      </c>
      <c r="I1171" s="7">
        <v>0</v>
      </c>
      <c r="J1171" s="7">
        <v>0</v>
      </c>
      <c r="K1171" s="7">
        <v>0</v>
      </c>
      <c r="L1171" s="7">
        <v>0</v>
      </c>
      <c r="M1171" s="7">
        <v>0</v>
      </c>
      <c r="N1171" s="7">
        <v>0</v>
      </c>
      <c r="O1171" s="7">
        <v>8.2244871026078501E-3</v>
      </c>
      <c r="P1171" s="7">
        <v>1.8002922576615002E-3</v>
      </c>
    </row>
    <row r="1172" spans="1:16" x14ac:dyDescent="0.3">
      <c r="A1172" s="1">
        <v>45161</v>
      </c>
      <c r="B1172" s="2">
        <v>236.86000100000001</v>
      </c>
      <c r="C1172" s="2">
        <v>327</v>
      </c>
      <c r="F1172" s="1">
        <v>45161</v>
      </c>
      <c r="G1172" s="2">
        <f t="shared" si="36"/>
        <v>1.561567302831726E-2</v>
      </c>
      <c r="H1172" s="2">
        <f t="shared" si="37"/>
        <v>1.3981073361659753E-2</v>
      </c>
      <c r="I1172" s="7">
        <v>0</v>
      </c>
      <c r="J1172" s="7">
        <v>0</v>
      </c>
      <c r="K1172" s="7">
        <v>0</v>
      </c>
      <c r="L1172" s="7">
        <v>0</v>
      </c>
      <c r="M1172" s="7">
        <v>0</v>
      </c>
      <c r="N1172" s="7">
        <v>0</v>
      </c>
      <c r="O1172" s="7">
        <v>1.561567302831726E-2</v>
      </c>
      <c r="P1172" s="7">
        <v>1.3981073361659753E-2</v>
      </c>
    </row>
    <row r="1173" spans="1:16" x14ac:dyDescent="0.3">
      <c r="A1173" s="1">
        <v>45162</v>
      </c>
      <c r="B1173" s="2">
        <v>230.03999300000001</v>
      </c>
      <c r="C1173" s="2">
        <v>319.97000000000003</v>
      </c>
      <c r="F1173" s="1">
        <v>45162</v>
      </c>
      <c r="G1173" s="2">
        <f t="shared" si="36"/>
        <v>-2.921607709918982E-2</v>
      </c>
      <c r="H1173" s="2">
        <f t="shared" si="37"/>
        <v>-2.1732929498287014E-2</v>
      </c>
      <c r="I1173" s="7">
        <v>-2.921607709918982E-2</v>
      </c>
      <c r="J1173" s="7">
        <v>-2.1732929498287014E-2</v>
      </c>
      <c r="K1173" s="7">
        <v>0</v>
      </c>
      <c r="L1173" s="7">
        <v>0</v>
      </c>
      <c r="M1173" s="7">
        <v>0</v>
      </c>
      <c r="N1173" s="7">
        <v>0</v>
      </c>
      <c r="O1173" s="7">
        <v>0</v>
      </c>
      <c r="P1173" s="7">
        <v>0</v>
      </c>
    </row>
    <row r="1174" spans="1:16" x14ac:dyDescent="0.3">
      <c r="A1174" s="1">
        <v>45163</v>
      </c>
      <c r="B1174" s="2">
        <v>238.58999600000001</v>
      </c>
      <c r="C1174" s="2">
        <v>322.98</v>
      </c>
      <c r="F1174" s="1">
        <v>45163</v>
      </c>
      <c r="G1174" s="2">
        <f t="shared" si="36"/>
        <v>3.6493404455929003E-2</v>
      </c>
      <c r="H1174" s="2">
        <f t="shared" si="37"/>
        <v>9.3631604019545449E-3</v>
      </c>
      <c r="I1174" s="7">
        <v>0</v>
      </c>
      <c r="J1174" s="7">
        <v>0</v>
      </c>
      <c r="K1174" s="7">
        <v>0</v>
      </c>
      <c r="L1174" s="7">
        <v>0</v>
      </c>
      <c r="M1174" s="7">
        <v>0</v>
      </c>
      <c r="N1174" s="7">
        <v>0</v>
      </c>
      <c r="O1174" s="7">
        <v>3.6493404455929003E-2</v>
      </c>
      <c r="P1174" s="7">
        <v>9.3631604019545449E-3</v>
      </c>
    </row>
    <row r="1175" spans="1:16" x14ac:dyDescent="0.3">
      <c r="A1175" s="1">
        <v>45166</v>
      </c>
      <c r="B1175" s="2">
        <v>238.820007</v>
      </c>
      <c r="C1175" s="2">
        <v>323.7</v>
      </c>
      <c r="F1175" s="1">
        <v>45166</v>
      </c>
      <c r="G1175" s="2">
        <f t="shared" si="36"/>
        <v>9.6357854402476695E-4</v>
      </c>
      <c r="H1175" s="2">
        <f t="shared" si="37"/>
        <v>2.2267591312775583E-3</v>
      </c>
      <c r="I1175" s="7">
        <v>0</v>
      </c>
      <c r="J1175" s="7">
        <v>0</v>
      </c>
      <c r="K1175" s="7">
        <v>0</v>
      </c>
      <c r="L1175" s="7">
        <v>0</v>
      </c>
      <c r="M1175" s="7">
        <v>0</v>
      </c>
      <c r="N1175" s="7">
        <v>0</v>
      </c>
      <c r="O1175" s="7">
        <v>9.6357854402476695E-4</v>
      </c>
      <c r="P1175" s="7">
        <v>2.2267591312775583E-3</v>
      </c>
    </row>
    <row r="1176" spans="1:16" x14ac:dyDescent="0.3">
      <c r="A1176" s="1">
        <v>45167</v>
      </c>
      <c r="B1176" s="2">
        <v>257.17999300000002</v>
      </c>
      <c r="C1176" s="2">
        <v>328.41</v>
      </c>
      <c r="F1176" s="1">
        <v>45167</v>
      </c>
      <c r="G1176" s="2">
        <f t="shared" si="36"/>
        <v>7.4066042207985752E-2</v>
      </c>
      <c r="H1176" s="2">
        <f t="shared" si="37"/>
        <v>1.4445666852377205E-2</v>
      </c>
      <c r="I1176" s="7">
        <v>0</v>
      </c>
      <c r="J1176" s="7">
        <v>0</v>
      </c>
      <c r="K1176" s="7">
        <v>0</v>
      </c>
      <c r="L1176" s="7">
        <v>0</v>
      </c>
      <c r="M1176" s="7">
        <v>0</v>
      </c>
      <c r="N1176" s="7">
        <v>0</v>
      </c>
      <c r="O1176" s="7">
        <v>7.4066042207985752E-2</v>
      </c>
      <c r="P1176" s="7">
        <v>1.4445666852377205E-2</v>
      </c>
    </row>
    <row r="1177" spans="1:16" x14ac:dyDescent="0.3">
      <c r="A1177" s="1">
        <v>45168</v>
      </c>
      <c r="B1177" s="2">
        <v>256.89999399999999</v>
      </c>
      <c r="C1177" s="2">
        <v>328.79</v>
      </c>
      <c r="F1177" s="1">
        <v>45168</v>
      </c>
      <c r="G1177" s="2">
        <f t="shared" si="36"/>
        <v>-1.0893208635555313E-3</v>
      </c>
      <c r="H1177" s="2">
        <f t="shared" si="37"/>
        <v>1.1564213096414565E-3</v>
      </c>
      <c r="I1177" s="7">
        <v>0</v>
      </c>
      <c r="J1177" s="7">
        <v>0</v>
      </c>
      <c r="K1177" s="7">
        <v>0</v>
      </c>
      <c r="L1177" s="7">
        <v>0</v>
      </c>
      <c r="M1177" s="7">
        <v>-1.0893208635555313E-3</v>
      </c>
      <c r="N1177" s="7">
        <v>1.1564213096414565E-3</v>
      </c>
      <c r="O1177" s="7">
        <v>0</v>
      </c>
      <c r="P1177" s="7">
        <v>0</v>
      </c>
    </row>
    <row r="1178" spans="1:16" x14ac:dyDescent="0.3">
      <c r="A1178" s="1">
        <v>45169</v>
      </c>
      <c r="B1178" s="2">
        <v>258.07998700000002</v>
      </c>
      <c r="C1178" s="2">
        <v>327.76</v>
      </c>
      <c r="F1178" s="1">
        <v>45169</v>
      </c>
      <c r="G1178" s="2">
        <f t="shared" si="36"/>
        <v>4.5826832444734074E-3</v>
      </c>
      <c r="H1178" s="2">
        <f t="shared" si="37"/>
        <v>-3.1376158556015343E-3</v>
      </c>
      <c r="I1178" s="7">
        <v>0</v>
      </c>
      <c r="J1178" s="7">
        <v>0</v>
      </c>
      <c r="K1178" s="7">
        <v>4.5826832444734074E-3</v>
      </c>
      <c r="L1178" s="7">
        <v>-3.1376158556015343E-3</v>
      </c>
      <c r="M1178" s="7">
        <v>0</v>
      </c>
      <c r="N1178" s="7">
        <v>0</v>
      </c>
      <c r="O1178" s="7">
        <v>0</v>
      </c>
      <c r="P1178" s="7">
        <v>0</v>
      </c>
    </row>
    <row r="1179" spans="1:16" x14ac:dyDescent="0.3">
      <c r="A1179" s="1">
        <v>45170</v>
      </c>
      <c r="B1179" s="2">
        <v>245.009995</v>
      </c>
      <c r="C1179" s="2">
        <v>328.66</v>
      </c>
      <c r="F1179" s="1">
        <v>45170</v>
      </c>
      <c r="G1179" s="2">
        <f t="shared" si="36"/>
        <v>-5.1970558373956352E-2</v>
      </c>
      <c r="H1179" s="2">
        <f t="shared" si="37"/>
        <v>2.7421485145284557E-3</v>
      </c>
      <c r="I1179" s="7">
        <v>0</v>
      </c>
      <c r="J1179" s="7">
        <v>0</v>
      </c>
      <c r="K1179" s="7">
        <v>0</v>
      </c>
      <c r="L1179" s="7">
        <v>0</v>
      </c>
      <c r="M1179" s="7">
        <v>-5.1970558373956352E-2</v>
      </c>
      <c r="N1179" s="7">
        <v>2.7421485145284557E-3</v>
      </c>
      <c r="O1179" s="7">
        <v>0</v>
      </c>
      <c r="P1179" s="7">
        <v>0</v>
      </c>
    </row>
    <row r="1180" spans="1:16" x14ac:dyDescent="0.3">
      <c r="A1180" s="1">
        <v>45174</v>
      </c>
      <c r="B1180" s="2">
        <v>256.48998999999998</v>
      </c>
      <c r="C1180" s="2">
        <v>333.55</v>
      </c>
      <c r="F1180" s="1">
        <v>45174</v>
      </c>
      <c r="G1180" s="2">
        <f t="shared" si="36"/>
        <v>4.5790632877221592E-2</v>
      </c>
      <c r="H1180" s="2">
        <f t="shared" si="37"/>
        <v>1.4768997402380548E-2</v>
      </c>
      <c r="I1180" s="7">
        <v>0</v>
      </c>
      <c r="J1180" s="7">
        <v>0</v>
      </c>
      <c r="K1180" s="7">
        <v>0</v>
      </c>
      <c r="L1180" s="7">
        <v>0</v>
      </c>
      <c r="M1180" s="7">
        <v>0</v>
      </c>
      <c r="N1180" s="7">
        <v>0</v>
      </c>
      <c r="O1180" s="7">
        <v>4.5790632877221592E-2</v>
      </c>
      <c r="P1180" s="7">
        <v>1.4768997402380548E-2</v>
      </c>
    </row>
    <row r="1181" spans="1:16" x14ac:dyDescent="0.3">
      <c r="A1181" s="1">
        <v>45175</v>
      </c>
      <c r="B1181" s="2">
        <v>251.91999799999999</v>
      </c>
      <c r="C1181" s="2">
        <v>332.88</v>
      </c>
      <c r="F1181" s="1">
        <v>45175</v>
      </c>
      <c r="G1181" s="2">
        <f t="shared" si="36"/>
        <v>-1.7978069654444238E-2</v>
      </c>
      <c r="H1181" s="2">
        <f t="shared" si="37"/>
        <v>-2.0107144808386777E-3</v>
      </c>
      <c r="I1181" s="7">
        <v>-1.7978069654444238E-2</v>
      </c>
      <c r="J1181" s="7">
        <v>-2.0107144808386777E-3</v>
      </c>
      <c r="K1181" s="7">
        <v>0</v>
      </c>
      <c r="L1181" s="7">
        <v>0</v>
      </c>
      <c r="M1181" s="7">
        <v>0</v>
      </c>
      <c r="N1181" s="7">
        <v>0</v>
      </c>
      <c r="O1181" s="7">
        <v>0</v>
      </c>
      <c r="P1181" s="7">
        <v>0</v>
      </c>
    </row>
    <row r="1182" spans="1:16" x14ac:dyDescent="0.3">
      <c r="A1182" s="1">
        <v>45176</v>
      </c>
      <c r="B1182" s="2">
        <v>251.490005</v>
      </c>
      <c r="C1182" s="2">
        <v>329.91</v>
      </c>
      <c r="F1182" s="1">
        <v>45176</v>
      </c>
      <c r="G1182" s="2">
        <f t="shared" si="36"/>
        <v>-1.7083216543591706E-3</v>
      </c>
      <c r="H1182" s="2">
        <f t="shared" si="37"/>
        <v>-8.9621746837330058E-3</v>
      </c>
      <c r="I1182" s="7">
        <v>-1.7083216543591706E-3</v>
      </c>
      <c r="J1182" s="7">
        <v>-8.9621746837330058E-3</v>
      </c>
      <c r="K1182" s="7">
        <v>0</v>
      </c>
      <c r="L1182" s="7">
        <v>0</v>
      </c>
      <c r="M1182" s="7">
        <v>0</v>
      </c>
      <c r="N1182" s="7">
        <v>0</v>
      </c>
      <c r="O1182" s="7">
        <v>0</v>
      </c>
      <c r="P1182" s="7">
        <v>0</v>
      </c>
    </row>
    <row r="1183" spans="1:16" x14ac:dyDescent="0.3">
      <c r="A1183" s="1">
        <v>45177</v>
      </c>
      <c r="B1183" s="2">
        <v>248.5</v>
      </c>
      <c r="C1183" s="2">
        <v>334.27</v>
      </c>
      <c r="F1183" s="1">
        <v>45177</v>
      </c>
      <c r="G1183" s="2">
        <f t="shared" si="36"/>
        <v>-1.1960401662698291E-2</v>
      </c>
      <c r="H1183" s="2">
        <f t="shared" si="37"/>
        <v>1.3129159653535925E-2</v>
      </c>
      <c r="I1183" s="7">
        <v>0</v>
      </c>
      <c r="J1183" s="7">
        <v>0</v>
      </c>
      <c r="K1183" s="7">
        <v>0</v>
      </c>
      <c r="L1183" s="7">
        <v>0</v>
      </c>
      <c r="M1183" s="7">
        <v>-1.1960401662698291E-2</v>
      </c>
      <c r="N1183" s="7">
        <v>1.3129159653535925E-2</v>
      </c>
      <c r="O1183" s="7">
        <v>0</v>
      </c>
      <c r="P1183" s="7">
        <v>0</v>
      </c>
    </row>
    <row r="1184" spans="1:16" x14ac:dyDescent="0.3">
      <c r="A1184" s="1">
        <v>45180</v>
      </c>
      <c r="B1184" s="2">
        <v>273.57998700000002</v>
      </c>
      <c r="C1184" s="2">
        <v>337.94</v>
      </c>
      <c r="F1184" s="1">
        <v>45180</v>
      </c>
      <c r="G1184" s="2">
        <f t="shared" si="36"/>
        <v>9.6151190606520415E-2</v>
      </c>
      <c r="H1184" s="2">
        <f t="shared" si="37"/>
        <v>1.0919315288014902E-2</v>
      </c>
      <c r="I1184" s="7">
        <v>0</v>
      </c>
      <c r="J1184" s="7">
        <v>0</v>
      </c>
      <c r="K1184" s="7">
        <v>0</v>
      </c>
      <c r="L1184" s="7">
        <v>0</v>
      </c>
      <c r="M1184" s="7">
        <v>0</v>
      </c>
      <c r="N1184" s="7">
        <v>0</v>
      </c>
      <c r="O1184" s="7">
        <v>9.6151190606520415E-2</v>
      </c>
      <c r="P1184" s="7">
        <v>1.0919315288014902E-2</v>
      </c>
    </row>
    <row r="1185" spans="1:16" x14ac:dyDescent="0.3">
      <c r="A1185" s="1">
        <v>45181</v>
      </c>
      <c r="B1185" s="2">
        <v>267.48001099999999</v>
      </c>
      <c r="C1185" s="2">
        <v>331.77</v>
      </c>
      <c r="F1185" s="1">
        <v>45181</v>
      </c>
      <c r="G1185" s="2">
        <f t="shared" si="36"/>
        <v>-2.2549197832856749E-2</v>
      </c>
      <c r="H1185" s="2">
        <f t="shared" si="37"/>
        <v>-1.8426407177125473E-2</v>
      </c>
      <c r="I1185" s="7">
        <v>-2.2549197832856749E-2</v>
      </c>
      <c r="J1185" s="7">
        <v>-1.8426407177125473E-2</v>
      </c>
      <c r="K1185" s="7">
        <v>0</v>
      </c>
      <c r="L1185" s="7">
        <v>0</v>
      </c>
      <c r="M1185" s="7">
        <v>0</v>
      </c>
      <c r="N1185" s="7">
        <v>0</v>
      </c>
      <c r="O1185" s="7">
        <v>0</v>
      </c>
      <c r="P1185" s="7">
        <v>0</v>
      </c>
    </row>
    <row r="1186" spans="1:16" x14ac:dyDescent="0.3">
      <c r="A1186" s="1">
        <v>45182</v>
      </c>
      <c r="B1186" s="2">
        <v>271.29998799999998</v>
      </c>
      <c r="C1186" s="2">
        <v>336.06</v>
      </c>
      <c r="F1186" s="1">
        <v>45182</v>
      </c>
      <c r="G1186" s="2">
        <f t="shared" si="36"/>
        <v>1.4180337123059968E-2</v>
      </c>
      <c r="H1186" s="2">
        <f t="shared" si="37"/>
        <v>1.2847757694417709E-2</v>
      </c>
      <c r="I1186" s="7">
        <v>0</v>
      </c>
      <c r="J1186" s="7">
        <v>0</v>
      </c>
      <c r="K1186" s="7">
        <v>0</v>
      </c>
      <c r="L1186" s="7">
        <v>0</v>
      </c>
      <c r="M1186" s="7">
        <v>0</v>
      </c>
      <c r="N1186" s="7">
        <v>0</v>
      </c>
      <c r="O1186" s="7">
        <v>1.4180337123059968E-2</v>
      </c>
      <c r="P1186" s="7">
        <v>1.2847757694417709E-2</v>
      </c>
    </row>
    <row r="1187" spans="1:16" x14ac:dyDescent="0.3">
      <c r="A1187" s="1">
        <v>45183</v>
      </c>
      <c r="B1187" s="2">
        <v>276.040009</v>
      </c>
      <c r="C1187" s="2">
        <v>338.7</v>
      </c>
      <c r="F1187" s="1">
        <v>45183</v>
      </c>
      <c r="G1187" s="2">
        <f t="shared" si="36"/>
        <v>1.7320639922964055E-2</v>
      </c>
      <c r="H1187" s="2">
        <f t="shared" si="37"/>
        <v>7.8250443739301158E-3</v>
      </c>
      <c r="I1187" s="7">
        <v>0</v>
      </c>
      <c r="J1187" s="7">
        <v>0</v>
      </c>
      <c r="K1187" s="7">
        <v>0</v>
      </c>
      <c r="L1187" s="7">
        <v>0</v>
      </c>
      <c r="M1187" s="7">
        <v>0</v>
      </c>
      <c r="N1187" s="7">
        <v>0</v>
      </c>
      <c r="O1187" s="7">
        <v>1.7320639922964055E-2</v>
      </c>
      <c r="P1187" s="7">
        <v>7.8250443739301158E-3</v>
      </c>
    </row>
    <row r="1188" spans="1:16" x14ac:dyDescent="0.3">
      <c r="A1188" s="1">
        <v>45184</v>
      </c>
      <c r="B1188" s="2">
        <v>274.39001500000001</v>
      </c>
      <c r="C1188" s="2">
        <v>330.22</v>
      </c>
      <c r="F1188" s="1">
        <v>45184</v>
      </c>
      <c r="G1188" s="2">
        <f t="shared" si="36"/>
        <v>-5.9953086506827459E-3</v>
      </c>
      <c r="H1188" s="2">
        <f t="shared" si="37"/>
        <v>-2.5355660820039459E-2</v>
      </c>
      <c r="I1188" s="7">
        <v>-5.9953086506827459E-3</v>
      </c>
      <c r="J1188" s="7">
        <v>-2.5355660820039459E-2</v>
      </c>
      <c r="K1188" s="7">
        <v>0</v>
      </c>
      <c r="L1188" s="7">
        <v>0</v>
      </c>
      <c r="M1188" s="7">
        <v>0</v>
      </c>
      <c r="N1188" s="7">
        <v>0</v>
      </c>
      <c r="O1188" s="7">
        <v>0</v>
      </c>
      <c r="P1188" s="7">
        <v>0</v>
      </c>
    </row>
    <row r="1189" spans="1:16" x14ac:dyDescent="0.3">
      <c r="A1189" s="1">
        <v>45187</v>
      </c>
      <c r="B1189" s="2">
        <v>265.27999899999998</v>
      </c>
      <c r="C1189" s="2">
        <v>329.06</v>
      </c>
      <c r="F1189" s="1">
        <v>45187</v>
      </c>
      <c r="G1189" s="2">
        <f t="shared" si="36"/>
        <v>-3.3764638528360071E-2</v>
      </c>
      <c r="H1189" s="2">
        <f t="shared" si="37"/>
        <v>-3.5189940451825193E-3</v>
      </c>
      <c r="I1189" s="7">
        <v>-3.3764638528360071E-2</v>
      </c>
      <c r="J1189" s="7">
        <v>-3.5189940451825193E-3</v>
      </c>
      <c r="K1189" s="7">
        <v>0</v>
      </c>
      <c r="L1189" s="7">
        <v>0</v>
      </c>
      <c r="M1189" s="7">
        <v>0</v>
      </c>
      <c r="N1189" s="7">
        <v>0</v>
      </c>
      <c r="O1189" s="7">
        <v>0</v>
      </c>
      <c r="P1189" s="7">
        <v>0</v>
      </c>
    </row>
    <row r="1190" spans="1:16" x14ac:dyDescent="0.3">
      <c r="A1190" s="1">
        <v>45188</v>
      </c>
      <c r="B1190" s="2">
        <v>266.5</v>
      </c>
      <c r="C1190" s="2">
        <v>328.65</v>
      </c>
      <c r="F1190" s="1">
        <v>45188</v>
      </c>
      <c r="G1190" s="2">
        <f t="shared" si="36"/>
        <v>4.5883754285710411E-3</v>
      </c>
      <c r="H1190" s="2">
        <f t="shared" si="37"/>
        <v>-1.2467502489189131E-3</v>
      </c>
      <c r="I1190" s="7">
        <v>0</v>
      </c>
      <c r="J1190" s="7">
        <v>0</v>
      </c>
      <c r="K1190" s="7">
        <v>4.5883754285710411E-3</v>
      </c>
      <c r="L1190" s="7">
        <v>-1.2467502489189131E-3</v>
      </c>
      <c r="M1190" s="7">
        <v>0</v>
      </c>
      <c r="N1190" s="7">
        <v>0</v>
      </c>
      <c r="O1190" s="7">
        <v>0</v>
      </c>
      <c r="P1190" s="7">
        <v>0</v>
      </c>
    </row>
    <row r="1191" spans="1:16" x14ac:dyDescent="0.3">
      <c r="A1191" s="1">
        <v>45189</v>
      </c>
      <c r="B1191" s="2">
        <v>262.58999599999999</v>
      </c>
      <c r="C1191" s="2">
        <v>320.77</v>
      </c>
      <c r="F1191" s="1">
        <v>45189</v>
      </c>
      <c r="G1191" s="2">
        <f t="shared" si="36"/>
        <v>-1.4780378426315648E-2</v>
      </c>
      <c r="H1191" s="2">
        <f t="shared" si="37"/>
        <v>-2.4268999299615433E-2</v>
      </c>
      <c r="I1191" s="7">
        <v>-1.4780378426315648E-2</v>
      </c>
      <c r="J1191" s="7">
        <v>-2.4268999299615433E-2</v>
      </c>
      <c r="K1191" s="7">
        <v>0</v>
      </c>
      <c r="L1191" s="7">
        <v>0</v>
      </c>
      <c r="M1191" s="7">
        <v>0</v>
      </c>
      <c r="N1191" s="7">
        <v>0</v>
      </c>
      <c r="O1191" s="7">
        <v>0</v>
      </c>
      <c r="P1191" s="7">
        <v>0</v>
      </c>
    </row>
    <row r="1192" spans="1:16" x14ac:dyDescent="0.3">
      <c r="A1192" s="1">
        <v>45190</v>
      </c>
      <c r="B1192" s="2">
        <v>255.699997</v>
      </c>
      <c r="C1192" s="2">
        <v>319.52999999999997</v>
      </c>
      <c r="F1192" s="1">
        <v>45190</v>
      </c>
      <c r="G1192" s="2">
        <f t="shared" si="36"/>
        <v>-2.6588994614941828E-2</v>
      </c>
      <c r="H1192" s="2">
        <f t="shared" si="37"/>
        <v>-3.8731892867858212E-3</v>
      </c>
      <c r="I1192" s="7">
        <v>-2.6588994614941828E-2</v>
      </c>
      <c r="J1192" s="7">
        <v>-3.8731892867858212E-3</v>
      </c>
      <c r="K1192" s="7">
        <v>0</v>
      </c>
      <c r="L1192" s="7">
        <v>0</v>
      </c>
      <c r="M1192" s="7">
        <v>0</v>
      </c>
      <c r="N1192" s="7">
        <v>0</v>
      </c>
      <c r="O1192" s="7">
        <v>0</v>
      </c>
      <c r="P1192" s="7">
        <v>0</v>
      </c>
    </row>
    <row r="1193" spans="1:16" x14ac:dyDescent="0.3">
      <c r="A1193" s="1">
        <v>45191</v>
      </c>
      <c r="B1193" s="2">
        <v>244.88000500000001</v>
      </c>
      <c r="C1193" s="2">
        <v>317.01</v>
      </c>
      <c r="F1193" s="1">
        <v>45191</v>
      </c>
      <c r="G1193" s="2">
        <f t="shared" si="36"/>
        <v>-4.3236555509320901E-2</v>
      </c>
      <c r="H1193" s="2">
        <f t="shared" si="37"/>
        <v>-7.9178470021348795E-3</v>
      </c>
      <c r="I1193" s="7">
        <v>-4.3236555509320901E-2</v>
      </c>
      <c r="J1193" s="7">
        <v>-7.9178470021348795E-3</v>
      </c>
      <c r="K1193" s="7">
        <v>0</v>
      </c>
      <c r="L1193" s="7">
        <v>0</v>
      </c>
      <c r="M1193" s="7">
        <v>0</v>
      </c>
      <c r="N1193" s="7">
        <v>0</v>
      </c>
      <c r="O1193" s="7">
        <v>0</v>
      </c>
      <c r="P1193" s="7">
        <v>0</v>
      </c>
    </row>
    <row r="1194" spans="1:16" x14ac:dyDescent="0.3">
      <c r="A1194" s="1">
        <v>45194</v>
      </c>
      <c r="B1194" s="2">
        <v>246.990005</v>
      </c>
      <c r="C1194" s="2">
        <v>317.54000000000002</v>
      </c>
      <c r="F1194" s="1">
        <v>45194</v>
      </c>
      <c r="G1194" s="2">
        <f t="shared" si="36"/>
        <v>8.5795551668578409E-3</v>
      </c>
      <c r="H1194" s="2">
        <f t="shared" si="37"/>
        <v>1.6704755283163902E-3</v>
      </c>
      <c r="I1194" s="7">
        <v>0</v>
      </c>
      <c r="J1194" s="7">
        <v>0</v>
      </c>
      <c r="K1194" s="7">
        <v>0</v>
      </c>
      <c r="L1194" s="7">
        <v>0</v>
      </c>
      <c r="M1194" s="7">
        <v>0</v>
      </c>
      <c r="N1194" s="7">
        <v>0</v>
      </c>
      <c r="O1194" s="7">
        <v>8.5795551668578409E-3</v>
      </c>
      <c r="P1194" s="7">
        <v>1.6704755283163902E-3</v>
      </c>
    </row>
    <row r="1195" spans="1:16" x14ac:dyDescent="0.3">
      <c r="A1195" s="1">
        <v>45195</v>
      </c>
      <c r="B1195" s="2">
        <v>244.11999499999999</v>
      </c>
      <c r="C1195" s="2">
        <v>312.14</v>
      </c>
      <c r="F1195" s="1">
        <v>45195</v>
      </c>
      <c r="G1195" s="2">
        <f t="shared" si="36"/>
        <v>-1.1687983027615024E-2</v>
      </c>
      <c r="H1195" s="2">
        <f t="shared" si="37"/>
        <v>-1.7151989534958001E-2</v>
      </c>
      <c r="I1195" s="7">
        <v>-1.1687983027615024E-2</v>
      </c>
      <c r="J1195" s="7">
        <v>-1.7151989534958001E-2</v>
      </c>
      <c r="K1195" s="7">
        <v>0</v>
      </c>
      <c r="L1195" s="7">
        <v>0</v>
      </c>
      <c r="M1195" s="7">
        <v>0</v>
      </c>
      <c r="N1195" s="7">
        <v>0</v>
      </c>
      <c r="O1195" s="7">
        <v>0</v>
      </c>
      <c r="P1195" s="7">
        <v>0</v>
      </c>
    </row>
    <row r="1196" spans="1:16" x14ac:dyDescent="0.3">
      <c r="A1196" s="1">
        <v>45196</v>
      </c>
      <c r="B1196" s="2">
        <v>240.5</v>
      </c>
      <c r="C1196" s="2">
        <v>312.79000000000002</v>
      </c>
      <c r="F1196" s="1">
        <v>45196</v>
      </c>
      <c r="G1196" s="2">
        <f t="shared" si="36"/>
        <v>-1.4939797648747774E-2</v>
      </c>
      <c r="H1196" s="2">
        <f t="shared" si="37"/>
        <v>2.0802337362564502E-3</v>
      </c>
      <c r="I1196" s="7">
        <v>0</v>
      </c>
      <c r="J1196" s="7">
        <v>0</v>
      </c>
      <c r="K1196" s="7">
        <v>0</v>
      </c>
      <c r="L1196" s="7">
        <v>0</v>
      </c>
      <c r="M1196" s="7">
        <v>-1.4939797648747774E-2</v>
      </c>
      <c r="N1196" s="7">
        <v>2.0802337362564502E-3</v>
      </c>
      <c r="O1196" s="7">
        <v>0</v>
      </c>
      <c r="P1196" s="7">
        <v>0</v>
      </c>
    </row>
    <row r="1197" spans="1:16" x14ac:dyDescent="0.3">
      <c r="A1197" s="1">
        <v>45197</v>
      </c>
      <c r="B1197" s="2">
        <v>246.38000500000001</v>
      </c>
      <c r="C1197" s="2">
        <v>313.64</v>
      </c>
      <c r="F1197" s="1">
        <v>45197</v>
      </c>
      <c r="G1197" s="2">
        <f t="shared" si="36"/>
        <v>2.4154990281867027E-2</v>
      </c>
      <c r="H1197" s="2">
        <f t="shared" si="37"/>
        <v>2.7137925120572226E-3</v>
      </c>
      <c r="I1197" s="7">
        <v>0</v>
      </c>
      <c r="J1197" s="7">
        <v>0</v>
      </c>
      <c r="K1197" s="7">
        <v>0</v>
      </c>
      <c r="L1197" s="7">
        <v>0</v>
      </c>
      <c r="M1197" s="7">
        <v>0</v>
      </c>
      <c r="N1197" s="7">
        <v>0</v>
      </c>
      <c r="O1197" s="7">
        <v>2.4154990281867027E-2</v>
      </c>
      <c r="P1197" s="7">
        <v>2.7137925120572226E-3</v>
      </c>
    </row>
    <row r="1198" spans="1:16" x14ac:dyDescent="0.3">
      <c r="A1198" s="1">
        <v>45198</v>
      </c>
      <c r="B1198" s="2">
        <v>250.220001</v>
      </c>
      <c r="C1198" s="2">
        <v>315.75</v>
      </c>
      <c r="F1198" s="1">
        <v>45198</v>
      </c>
      <c r="G1198" s="2">
        <f t="shared" si="36"/>
        <v>1.5465455058054019E-2</v>
      </c>
      <c r="H1198" s="2">
        <f t="shared" si="37"/>
        <v>6.7049298678793943E-3</v>
      </c>
      <c r="I1198" s="7">
        <v>0</v>
      </c>
      <c r="J1198" s="7">
        <v>0</v>
      </c>
      <c r="K1198" s="7">
        <v>0</v>
      </c>
      <c r="L1198" s="7">
        <v>0</v>
      </c>
      <c r="M1198" s="7">
        <v>0</v>
      </c>
      <c r="N1198" s="7">
        <v>0</v>
      </c>
      <c r="O1198" s="7">
        <v>1.5465455058054019E-2</v>
      </c>
      <c r="P1198" s="7">
        <v>6.7049298678793943E-3</v>
      </c>
    </row>
    <row r="1199" spans="1:16" x14ac:dyDescent="0.3">
      <c r="A1199" s="1">
        <v>45201</v>
      </c>
      <c r="B1199" s="2">
        <v>251.60000600000001</v>
      </c>
      <c r="C1199" s="2">
        <v>321.8</v>
      </c>
      <c r="F1199" s="1">
        <v>45201</v>
      </c>
      <c r="G1199" s="2">
        <f t="shared" si="36"/>
        <v>5.5000137879249456E-3</v>
      </c>
      <c r="H1199" s="2">
        <f t="shared" si="37"/>
        <v>1.8979473327682392E-2</v>
      </c>
      <c r="I1199" s="7">
        <v>0</v>
      </c>
      <c r="J1199" s="7">
        <v>0</v>
      </c>
      <c r="K1199" s="7">
        <v>0</v>
      </c>
      <c r="L1199" s="7">
        <v>0</v>
      </c>
      <c r="M1199" s="7">
        <v>0</v>
      </c>
      <c r="N1199" s="7">
        <v>0</v>
      </c>
      <c r="O1199" s="7">
        <v>5.5000137879249456E-3</v>
      </c>
      <c r="P1199" s="7">
        <v>1.8979473327682392E-2</v>
      </c>
    </row>
    <row r="1200" spans="1:16" x14ac:dyDescent="0.3">
      <c r="A1200" s="1">
        <v>45202</v>
      </c>
      <c r="B1200" s="2">
        <v>246.529999</v>
      </c>
      <c r="C1200" s="2">
        <v>313.39</v>
      </c>
      <c r="F1200" s="1">
        <v>45202</v>
      </c>
      <c r="G1200" s="2">
        <f t="shared" si="36"/>
        <v>-2.0356862798576531E-2</v>
      </c>
      <c r="H1200" s="2">
        <f t="shared" si="37"/>
        <v>-2.6481813250095444E-2</v>
      </c>
      <c r="I1200" s="7">
        <v>-2.0356862798576531E-2</v>
      </c>
      <c r="J1200" s="7">
        <v>-2.6481813250095444E-2</v>
      </c>
      <c r="K1200" s="7">
        <v>0</v>
      </c>
      <c r="L1200" s="7">
        <v>0</v>
      </c>
      <c r="M1200" s="7">
        <v>0</v>
      </c>
      <c r="N1200" s="7">
        <v>0</v>
      </c>
      <c r="O1200" s="7">
        <v>0</v>
      </c>
      <c r="P1200" s="7">
        <v>0</v>
      </c>
    </row>
    <row r="1201" spans="1:16" x14ac:dyDescent="0.3">
      <c r="A1201" s="1">
        <v>45203</v>
      </c>
      <c r="B1201" s="2">
        <v>261.16000400000001</v>
      </c>
      <c r="C1201" s="2">
        <v>318.95999999999998</v>
      </c>
      <c r="F1201" s="1">
        <v>45203</v>
      </c>
      <c r="G1201" s="2">
        <f t="shared" si="36"/>
        <v>5.7649575759628438E-2</v>
      </c>
      <c r="H1201" s="2">
        <f t="shared" si="37"/>
        <v>1.7617281764912004E-2</v>
      </c>
      <c r="I1201" s="7">
        <v>0</v>
      </c>
      <c r="J1201" s="7">
        <v>0</v>
      </c>
      <c r="K1201" s="7">
        <v>0</v>
      </c>
      <c r="L1201" s="7">
        <v>0</v>
      </c>
      <c r="M1201" s="7">
        <v>0</v>
      </c>
      <c r="N1201" s="7">
        <v>0</v>
      </c>
      <c r="O1201" s="7">
        <v>5.7649575759628438E-2</v>
      </c>
      <c r="P1201" s="7">
        <v>1.7617281764912004E-2</v>
      </c>
    </row>
    <row r="1202" spans="1:16" x14ac:dyDescent="0.3">
      <c r="A1202" s="1">
        <v>45204</v>
      </c>
      <c r="B1202" s="2">
        <v>260.04998799999998</v>
      </c>
      <c r="C1202" s="2">
        <v>319.36</v>
      </c>
      <c r="F1202" s="1">
        <v>45204</v>
      </c>
      <c r="G1202" s="2">
        <f t="shared" si="36"/>
        <v>-4.2593875606056555E-3</v>
      </c>
      <c r="H1202" s="2">
        <f t="shared" si="37"/>
        <v>1.2532900499997019E-3</v>
      </c>
      <c r="I1202" s="7">
        <v>0</v>
      </c>
      <c r="J1202" s="7">
        <v>0</v>
      </c>
      <c r="K1202" s="7">
        <v>0</v>
      </c>
      <c r="L1202" s="7">
        <v>0</v>
      </c>
      <c r="M1202" s="7">
        <v>-4.2593875606056555E-3</v>
      </c>
      <c r="N1202" s="7">
        <v>1.2532900499997019E-3</v>
      </c>
      <c r="O1202" s="7">
        <v>0</v>
      </c>
      <c r="P1202" s="7">
        <v>0</v>
      </c>
    </row>
    <row r="1203" spans="1:16" x14ac:dyDescent="0.3">
      <c r="A1203" s="1">
        <v>45205</v>
      </c>
      <c r="B1203" s="2">
        <v>260.52999899999998</v>
      </c>
      <c r="C1203" s="2">
        <v>327.26</v>
      </c>
      <c r="F1203" s="1">
        <v>45205</v>
      </c>
      <c r="G1203" s="2">
        <f t="shared" si="36"/>
        <v>1.8441397980102023E-3</v>
      </c>
      <c r="H1203" s="2">
        <f t="shared" si="37"/>
        <v>2.4435968877650305E-2</v>
      </c>
      <c r="I1203" s="7">
        <v>0</v>
      </c>
      <c r="J1203" s="7">
        <v>0</v>
      </c>
      <c r="K1203" s="7">
        <v>0</v>
      </c>
      <c r="L1203" s="7">
        <v>0</v>
      </c>
      <c r="M1203" s="7">
        <v>0</v>
      </c>
      <c r="N1203" s="7">
        <v>0</v>
      </c>
      <c r="O1203" s="7">
        <v>1.8441397980102023E-3</v>
      </c>
      <c r="P1203" s="7">
        <v>2.4435968877650305E-2</v>
      </c>
    </row>
    <row r="1204" spans="1:16" x14ac:dyDescent="0.3">
      <c r="A1204" s="1">
        <v>45208</v>
      </c>
      <c r="B1204" s="2">
        <v>259.67001299999998</v>
      </c>
      <c r="C1204" s="2">
        <v>329.82</v>
      </c>
      <c r="F1204" s="1">
        <v>45208</v>
      </c>
      <c r="G1204" s="2">
        <f t="shared" si="36"/>
        <v>-3.3063697178572211E-3</v>
      </c>
      <c r="H1204" s="2">
        <f t="shared" si="37"/>
        <v>7.7920890998744797E-3</v>
      </c>
      <c r="I1204" s="7">
        <v>0</v>
      </c>
      <c r="J1204" s="7">
        <v>0</v>
      </c>
      <c r="K1204" s="7">
        <v>0</v>
      </c>
      <c r="L1204" s="7">
        <v>0</v>
      </c>
      <c r="M1204" s="7">
        <v>-3.3063697178572211E-3</v>
      </c>
      <c r="N1204" s="7">
        <v>7.7920890998744797E-3</v>
      </c>
      <c r="O1204" s="7">
        <v>0</v>
      </c>
      <c r="P1204" s="7">
        <v>0</v>
      </c>
    </row>
    <row r="1205" spans="1:16" x14ac:dyDescent="0.3">
      <c r="A1205" s="1">
        <v>45209</v>
      </c>
      <c r="B1205" s="2">
        <v>263.61999500000002</v>
      </c>
      <c r="C1205" s="2">
        <v>328.39</v>
      </c>
      <c r="F1205" s="1">
        <v>45209</v>
      </c>
      <c r="G1205" s="2">
        <f t="shared" si="36"/>
        <v>1.5097009163363918E-2</v>
      </c>
      <c r="H1205" s="2">
        <f t="shared" si="37"/>
        <v>-4.3451246558967012E-3</v>
      </c>
      <c r="I1205" s="7">
        <v>0</v>
      </c>
      <c r="J1205" s="7">
        <v>0</v>
      </c>
      <c r="K1205" s="7">
        <v>1.5097009163363918E-2</v>
      </c>
      <c r="L1205" s="7">
        <v>-4.3451246558967012E-3</v>
      </c>
      <c r="M1205" s="7">
        <v>0</v>
      </c>
      <c r="N1205" s="7">
        <v>0</v>
      </c>
      <c r="O1205" s="7">
        <v>0</v>
      </c>
      <c r="P1205" s="7">
        <v>0</v>
      </c>
    </row>
    <row r="1206" spans="1:16" x14ac:dyDescent="0.3">
      <c r="A1206" s="1">
        <v>45210</v>
      </c>
      <c r="B1206" s="2">
        <v>262.98998999999998</v>
      </c>
      <c r="C1206" s="2">
        <v>332.42</v>
      </c>
      <c r="F1206" s="1">
        <v>45210</v>
      </c>
      <c r="G1206" s="2">
        <f t="shared" si="36"/>
        <v>-2.3926827006944661E-3</v>
      </c>
      <c r="H1206" s="2">
        <f t="shared" si="37"/>
        <v>1.2197303198236704E-2</v>
      </c>
      <c r="I1206" s="7">
        <v>0</v>
      </c>
      <c r="J1206" s="7">
        <v>0</v>
      </c>
      <c r="K1206" s="7">
        <v>0</v>
      </c>
      <c r="L1206" s="7">
        <v>0</v>
      </c>
      <c r="M1206" s="7">
        <v>-2.3926827006944661E-3</v>
      </c>
      <c r="N1206" s="7">
        <v>1.2197303198236704E-2</v>
      </c>
      <c r="O1206" s="7">
        <v>0</v>
      </c>
      <c r="P1206" s="7">
        <v>0</v>
      </c>
    </row>
    <row r="1207" spans="1:16" x14ac:dyDescent="0.3">
      <c r="A1207" s="1">
        <v>45211</v>
      </c>
      <c r="B1207" s="2">
        <v>258.86999500000002</v>
      </c>
      <c r="C1207" s="2">
        <v>331.16</v>
      </c>
      <c r="F1207" s="1">
        <v>45211</v>
      </c>
      <c r="G1207" s="2">
        <f t="shared" si="36"/>
        <v>-1.5789984743318764E-2</v>
      </c>
      <c r="H1207" s="2">
        <f t="shared" si="37"/>
        <v>-3.7975873723588897E-3</v>
      </c>
      <c r="I1207" s="7">
        <v>-1.5789984743318764E-2</v>
      </c>
      <c r="J1207" s="7">
        <v>-3.7975873723588897E-3</v>
      </c>
      <c r="K1207" s="7">
        <v>0</v>
      </c>
      <c r="L1207" s="7">
        <v>0</v>
      </c>
      <c r="M1207" s="7">
        <v>0</v>
      </c>
      <c r="N1207" s="7">
        <v>0</v>
      </c>
      <c r="O1207" s="7">
        <v>0</v>
      </c>
      <c r="P1207" s="7">
        <v>0</v>
      </c>
    </row>
    <row r="1208" spans="1:16" x14ac:dyDescent="0.3">
      <c r="A1208" s="1">
        <v>45212</v>
      </c>
      <c r="B1208" s="2">
        <v>251.11999499999999</v>
      </c>
      <c r="C1208" s="2">
        <v>327.73</v>
      </c>
      <c r="F1208" s="1">
        <v>45212</v>
      </c>
      <c r="G1208" s="2">
        <f t="shared" si="36"/>
        <v>-3.0395093250713542E-2</v>
      </c>
      <c r="H1208" s="2">
        <f t="shared" si="37"/>
        <v>-1.0411543609239989E-2</v>
      </c>
      <c r="I1208" s="7">
        <v>-3.0395093250713542E-2</v>
      </c>
      <c r="J1208" s="7">
        <v>-1.0411543609239989E-2</v>
      </c>
      <c r="K1208" s="7">
        <v>0</v>
      </c>
      <c r="L1208" s="7">
        <v>0</v>
      </c>
      <c r="M1208" s="7">
        <v>0</v>
      </c>
      <c r="N1208" s="7">
        <v>0</v>
      </c>
      <c r="O1208" s="7">
        <v>0</v>
      </c>
      <c r="P1208" s="7">
        <v>0</v>
      </c>
    </row>
    <row r="1209" spans="1:16" x14ac:dyDescent="0.3">
      <c r="A1209" s="1">
        <v>45215</v>
      </c>
      <c r="B1209" s="2">
        <v>253.91999799999999</v>
      </c>
      <c r="C1209" s="2">
        <v>332.64</v>
      </c>
      <c r="F1209" s="1">
        <v>45215</v>
      </c>
      <c r="G1209" s="2">
        <f t="shared" si="36"/>
        <v>1.1088356278704052E-2</v>
      </c>
      <c r="H1209" s="2">
        <f t="shared" si="37"/>
        <v>1.4870725448337537E-2</v>
      </c>
      <c r="I1209" s="7">
        <v>0</v>
      </c>
      <c r="J1209" s="7">
        <v>0</v>
      </c>
      <c r="K1209" s="7">
        <v>0</v>
      </c>
      <c r="L1209" s="7">
        <v>0</v>
      </c>
      <c r="M1209" s="7">
        <v>0</v>
      </c>
      <c r="N1209" s="7">
        <v>0</v>
      </c>
      <c r="O1209" s="7">
        <v>1.1088356278704052E-2</v>
      </c>
      <c r="P1209" s="7">
        <v>1.4870725448337537E-2</v>
      </c>
    </row>
    <row r="1210" spans="1:16" x14ac:dyDescent="0.3">
      <c r="A1210" s="1">
        <v>45216</v>
      </c>
      <c r="B1210" s="2">
        <v>254.85000600000001</v>
      </c>
      <c r="C1210" s="2">
        <v>332.06</v>
      </c>
      <c r="F1210" s="1">
        <v>45216</v>
      </c>
      <c r="G1210" s="2">
        <f t="shared" si="36"/>
        <v>3.6559114277089047E-3</v>
      </c>
      <c r="H1210" s="2">
        <f t="shared" si="37"/>
        <v>-1.7451486300624746E-3</v>
      </c>
      <c r="I1210" s="7">
        <v>0</v>
      </c>
      <c r="J1210" s="7">
        <v>0</v>
      </c>
      <c r="K1210" s="7">
        <v>3.6559114277089047E-3</v>
      </c>
      <c r="L1210" s="7">
        <v>-1.7451486300624746E-3</v>
      </c>
      <c r="M1210" s="7">
        <v>0</v>
      </c>
      <c r="N1210" s="7">
        <v>0</v>
      </c>
      <c r="O1210" s="7">
        <v>0</v>
      </c>
      <c r="P1210" s="7">
        <v>0</v>
      </c>
    </row>
    <row r="1211" spans="1:16" x14ac:dyDescent="0.3">
      <c r="A1211" s="1">
        <v>45217</v>
      </c>
      <c r="B1211" s="2">
        <v>242.679993</v>
      </c>
      <c r="C1211" s="2">
        <v>330.11</v>
      </c>
      <c r="F1211" s="1">
        <v>45217</v>
      </c>
      <c r="G1211" s="2">
        <f t="shared" si="36"/>
        <v>-4.8931486099783567E-2</v>
      </c>
      <c r="H1211" s="2">
        <f t="shared" si="37"/>
        <v>-5.8897432289940124E-3</v>
      </c>
      <c r="I1211" s="7">
        <v>-4.8931486099783567E-2</v>
      </c>
      <c r="J1211" s="7">
        <v>-5.8897432289940124E-3</v>
      </c>
      <c r="K1211" s="7">
        <v>0</v>
      </c>
      <c r="L1211" s="7">
        <v>0</v>
      </c>
      <c r="M1211" s="7">
        <v>0</v>
      </c>
      <c r="N1211" s="7">
        <v>0</v>
      </c>
      <c r="O1211" s="7">
        <v>0</v>
      </c>
      <c r="P1211" s="7">
        <v>0</v>
      </c>
    </row>
    <row r="1212" spans="1:16" x14ac:dyDescent="0.3">
      <c r="A1212" s="1">
        <v>45218</v>
      </c>
      <c r="B1212" s="2">
        <v>220.11000100000001</v>
      </c>
      <c r="C1212" s="2">
        <v>331.32</v>
      </c>
      <c r="F1212" s="1">
        <v>45218</v>
      </c>
      <c r="G1212" s="2">
        <f t="shared" si="36"/>
        <v>-9.761624829233205E-2</v>
      </c>
      <c r="H1212" s="2">
        <f t="shared" si="37"/>
        <v>3.6587434794169253E-3</v>
      </c>
      <c r="I1212" s="7">
        <v>0</v>
      </c>
      <c r="J1212" s="7">
        <v>0</v>
      </c>
      <c r="K1212" s="7">
        <v>0</v>
      </c>
      <c r="L1212" s="7">
        <v>0</v>
      </c>
      <c r="M1212" s="7">
        <v>-9.761624829233205E-2</v>
      </c>
      <c r="N1212" s="7">
        <v>3.6587434794169253E-3</v>
      </c>
      <c r="O1212" s="7">
        <v>0</v>
      </c>
      <c r="P1212" s="7">
        <v>0</v>
      </c>
    </row>
    <row r="1213" spans="1:16" x14ac:dyDescent="0.3">
      <c r="A1213" s="1">
        <v>45219</v>
      </c>
      <c r="B1213" s="2">
        <v>211.990005</v>
      </c>
      <c r="C1213" s="2">
        <v>326.67</v>
      </c>
      <c r="F1213" s="1">
        <v>45219</v>
      </c>
      <c r="G1213" s="2">
        <f t="shared" si="36"/>
        <v>-3.7588298603016511E-2</v>
      </c>
      <c r="H1213" s="2">
        <f t="shared" si="37"/>
        <v>-1.4134188703983969E-2</v>
      </c>
      <c r="I1213" s="7">
        <v>-3.7588298603016511E-2</v>
      </c>
      <c r="J1213" s="7">
        <v>-1.4134188703983969E-2</v>
      </c>
      <c r="K1213" s="7">
        <v>0</v>
      </c>
      <c r="L1213" s="7">
        <v>0</v>
      </c>
      <c r="M1213" s="7">
        <v>0</v>
      </c>
      <c r="N1213" s="7">
        <v>0</v>
      </c>
      <c r="O1213" s="7">
        <v>0</v>
      </c>
      <c r="P1213" s="7">
        <v>0</v>
      </c>
    </row>
    <row r="1214" spans="1:16" x14ac:dyDescent="0.3">
      <c r="A1214" s="1">
        <v>45222</v>
      </c>
      <c r="B1214" s="2">
        <v>212.08000200000001</v>
      </c>
      <c r="C1214" s="2">
        <v>329.32</v>
      </c>
      <c r="F1214" s="1">
        <v>45222</v>
      </c>
      <c r="G1214" s="2">
        <f t="shared" si="36"/>
        <v>4.2444407699458058E-4</v>
      </c>
      <c r="H1214" s="2">
        <f t="shared" si="37"/>
        <v>8.0794354041459956E-3</v>
      </c>
      <c r="I1214" s="7">
        <v>0</v>
      </c>
      <c r="J1214" s="7">
        <v>0</v>
      </c>
      <c r="K1214" s="7">
        <v>0</v>
      </c>
      <c r="L1214" s="7">
        <v>0</v>
      </c>
      <c r="M1214" s="7">
        <v>0</v>
      </c>
      <c r="N1214" s="7">
        <v>0</v>
      </c>
      <c r="O1214" s="7">
        <v>4.2444407699458058E-4</v>
      </c>
      <c r="P1214" s="7">
        <v>8.0794354041459956E-3</v>
      </c>
    </row>
    <row r="1215" spans="1:16" x14ac:dyDescent="0.3">
      <c r="A1215" s="1">
        <v>45223</v>
      </c>
      <c r="B1215" s="2">
        <v>216.520004</v>
      </c>
      <c r="C1215" s="2">
        <v>330.53</v>
      </c>
      <c r="F1215" s="1">
        <v>45223</v>
      </c>
      <c r="G1215" s="2">
        <f t="shared" si="36"/>
        <v>2.0719368991647211E-2</v>
      </c>
      <c r="H1215" s="2">
        <f t="shared" si="37"/>
        <v>3.6675043002721191E-3</v>
      </c>
      <c r="I1215" s="7">
        <v>0</v>
      </c>
      <c r="J1215" s="7">
        <v>0</v>
      </c>
      <c r="K1215" s="7">
        <v>0</v>
      </c>
      <c r="L1215" s="7">
        <v>0</v>
      </c>
      <c r="M1215" s="7">
        <v>0</v>
      </c>
      <c r="N1215" s="7">
        <v>0</v>
      </c>
      <c r="O1215" s="7">
        <v>2.0719368991647211E-2</v>
      </c>
      <c r="P1215" s="7">
        <v>3.6675043002721191E-3</v>
      </c>
    </row>
    <row r="1216" spans="1:16" x14ac:dyDescent="0.3">
      <c r="A1216" s="1">
        <v>45224</v>
      </c>
      <c r="B1216" s="2">
        <v>212.41999799999999</v>
      </c>
      <c r="C1216" s="2">
        <v>340.67</v>
      </c>
      <c r="F1216" s="1">
        <v>45224</v>
      </c>
      <c r="G1216" s="2">
        <f t="shared" si="36"/>
        <v>-1.9117502924736716E-2</v>
      </c>
      <c r="H1216" s="2">
        <f t="shared" si="37"/>
        <v>3.0216840052984643E-2</v>
      </c>
      <c r="I1216" s="7">
        <v>0</v>
      </c>
      <c r="J1216" s="7">
        <v>0</v>
      </c>
      <c r="K1216" s="7">
        <v>0</v>
      </c>
      <c r="L1216" s="7">
        <v>0</v>
      </c>
      <c r="M1216" s="7">
        <v>-1.9117502924736716E-2</v>
      </c>
      <c r="N1216" s="7">
        <v>3.0216840052984643E-2</v>
      </c>
      <c r="O1216" s="7">
        <v>0</v>
      </c>
      <c r="P1216" s="7">
        <v>0</v>
      </c>
    </row>
    <row r="1217" spans="1:16" x14ac:dyDescent="0.3">
      <c r="A1217" s="1">
        <v>45225</v>
      </c>
      <c r="B1217" s="2">
        <v>205.759995</v>
      </c>
      <c r="C1217" s="2">
        <v>327.89</v>
      </c>
      <c r="F1217" s="1">
        <v>45225</v>
      </c>
      <c r="G1217" s="2">
        <f t="shared" si="36"/>
        <v>-3.1855020728985398E-2</v>
      </c>
      <c r="H1217" s="2">
        <f t="shared" si="37"/>
        <v>-3.8236080500700806E-2</v>
      </c>
      <c r="I1217" s="7">
        <v>-3.1855020728985398E-2</v>
      </c>
      <c r="J1217" s="7">
        <v>-3.8236080500700806E-2</v>
      </c>
      <c r="K1217" s="7">
        <v>0</v>
      </c>
      <c r="L1217" s="7">
        <v>0</v>
      </c>
      <c r="M1217" s="7">
        <v>0</v>
      </c>
      <c r="N1217" s="7">
        <v>0</v>
      </c>
      <c r="O1217" s="7">
        <v>0</v>
      </c>
      <c r="P1217" s="7">
        <v>0</v>
      </c>
    </row>
    <row r="1218" spans="1:16" x14ac:dyDescent="0.3">
      <c r="A1218" s="1">
        <v>45226</v>
      </c>
      <c r="B1218" s="2">
        <v>207.300003</v>
      </c>
      <c r="C1218" s="2">
        <v>329.81</v>
      </c>
      <c r="F1218" s="1">
        <v>45226</v>
      </c>
      <c r="G1218" s="2">
        <f t="shared" si="36"/>
        <v>7.4566171644151157E-3</v>
      </c>
      <c r="H1218" s="2">
        <f t="shared" si="37"/>
        <v>5.8385447899460706E-3</v>
      </c>
      <c r="I1218" s="7">
        <v>0</v>
      </c>
      <c r="J1218" s="7">
        <v>0</v>
      </c>
      <c r="K1218" s="7">
        <v>0</v>
      </c>
      <c r="L1218" s="7">
        <v>0</v>
      </c>
      <c r="M1218" s="7">
        <v>0</v>
      </c>
      <c r="N1218" s="7">
        <v>0</v>
      </c>
      <c r="O1218" s="7">
        <v>7.4566171644151157E-3</v>
      </c>
      <c r="P1218" s="7">
        <v>5.8385447899460706E-3</v>
      </c>
    </row>
    <row r="1219" spans="1:16" x14ac:dyDescent="0.3">
      <c r="A1219" s="1">
        <v>45229</v>
      </c>
      <c r="B1219" s="2">
        <v>197.36000100000001</v>
      </c>
      <c r="C1219" s="2">
        <v>337.31</v>
      </c>
      <c r="F1219" s="1">
        <v>45229</v>
      </c>
      <c r="G1219" s="2">
        <f t="shared" si="36"/>
        <v>-4.9137556625529634E-2</v>
      </c>
      <c r="H1219" s="2">
        <f t="shared" si="37"/>
        <v>2.2485657753747654E-2</v>
      </c>
      <c r="I1219" s="7">
        <v>0</v>
      </c>
      <c r="J1219" s="7">
        <v>0</v>
      </c>
      <c r="K1219" s="7">
        <v>0</v>
      </c>
      <c r="L1219" s="7">
        <v>0</v>
      </c>
      <c r="M1219" s="7">
        <v>-4.9137556625529634E-2</v>
      </c>
      <c r="N1219" s="7">
        <v>2.2485657753747654E-2</v>
      </c>
      <c r="O1219" s="7">
        <v>0</v>
      </c>
      <c r="P1219" s="7">
        <v>0</v>
      </c>
    </row>
    <row r="1220" spans="1:16" x14ac:dyDescent="0.3">
      <c r="A1220" s="1">
        <v>45230</v>
      </c>
      <c r="B1220" s="2">
        <v>200.83999600000001</v>
      </c>
      <c r="C1220" s="2">
        <v>338.11</v>
      </c>
      <c r="F1220" s="1">
        <v>45230</v>
      </c>
      <c r="G1220" s="2">
        <f t="shared" si="36"/>
        <v>1.7479073962169144E-2</v>
      </c>
      <c r="H1220" s="2">
        <f t="shared" si="37"/>
        <v>2.3688974981838635E-3</v>
      </c>
      <c r="I1220" s="7">
        <v>0</v>
      </c>
      <c r="J1220" s="7">
        <v>0</v>
      </c>
      <c r="K1220" s="7">
        <v>0</v>
      </c>
      <c r="L1220" s="7">
        <v>0</v>
      </c>
      <c r="M1220" s="7">
        <v>0</v>
      </c>
      <c r="N1220" s="7">
        <v>0</v>
      </c>
      <c r="O1220" s="7">
        <v>1.7479073962169144E-2</v>
      </c>
      <c r="P1220" s="7">
        <v>2.3688974981838635E-3</v>
      </c>
    </row>
    <row r="1221" spans="1:16" x14ac:dyDescent="0.3">
      <c r="A1221" s="1">
        <v>45231</v>
      </c>
      <c r="B1221" s="2">
        <v>205.66000399999999</v>
      </c>
      <c r="C1221" s="2">
        <v>346.07</v>
      </c>
      <c r="F1221" s="1">
        <v>45231</v>
      </c>
      <c r="G1221" s="2">
        <f t="shared" si="36"/>
        <v>2.3715788000468047E-2</v>
      </c>
      <c r="H1221" s="2">
        <f t="shared" si="37"/>
        <v>2.3269780409453062E-2</v>
      </c>
      <c r="I1221" s="7">
        <v>0</v>
      </c>
      <c r="J1221" s="7">
        <v>0</v>
      </c>
      <c r="K1221" s="7">
        <v>0</v>
      </c>
      <c r="L1221" s="7">
        <v>0</v>
      </c>
      <c r="M1221" s="7">
        <v>0</v>
      </c>
      <c r="N1221" s="7">
        <v>0</v>
      </c>
      <c r="O1221" s="7">
        <v>2.3715788000468047E-2</v>
      </c>
      <c r="P1221" s="7">
        <v>2.3269780409453062E-2</v>
      </c>
    </row>
    <row r="1222" spans="1:16" x14ac:dyDescent="0.3">
      <c r="A1222" s="1">
        <v>45232</v>
      </c>
      <c r="B1222" s="2">
        <v>218.509995</v>
      </c>
      <c r="C1222" s="2">
        <v>348.32</v>
      </c>
      <c r="F1222" s="1">
        <v>45232</v>
      </c>
      <c r="G1222" s="2">
        <f t="shared" ref="G1222:G1261" si="38">LN(B1222/B1221)</f>
        <v>6.0607417945905934E-2</v>
      </c>
      <c r="H1222" s="2">
        <f t="shared" ref="H1222:H1261" si="39">LN(C1222/C1221)</f>
        <v>6.4805307521256872E-3</v>
      </c>
      <c r="I1222" s="7">
        <v>0</v>
      </c>
      <c r="J1222" s="7">
        <v>0</v>
      </c>
      <c r="K1222" s="7">
        <v>0</v>
      </c>
      <c r="L1222" s="7">
        <v>0</v>
      </c>
      <c r="M1222" s="7">
        <v>0</v>
      </c>
      <c r="N1222" s="7">
        <v>0</v>
      </c>
      <c r="O1222" s="7">
        <v>6.0607417945905934E-2</v>
      </c>
      <c r="P1222" s="7">
        <v>6.4805307521256872E-3</v>
      </c>
    </row>
    <row r="1223" spans="1:16" x14ac:dyDescent="0.3">
      <c r="A1223" s="1">
        <v>45233</v>
      </c>
      <c r="B1223" s="2">
        <v>219.96000699999999</v>
      </c>
      <c r="C1223" s="2">
        <v>352.8</v>
      </c>
      <c r="F1223" s="1">
        <v>45233</v>
      </c>
      <c r="G1223" s="2">
        <f t="shared" si="38"/>
        <v>6.613986267054223E-3</v>
      </c>
      <c r="H1223" s="2">
        <f t="shared" si="39"/>
        <v>1.2779726646399021E-2</v>
      </c>
      <c r="I1223" s="7">
        <v>0</v>
      </c>
      <c r="J1223" s="7">
        <v>0</v>
      </c>
      <c r="K1223" s="7">
        <v>0</v>
      </c>
      <c r="L1223" s="7">
        <v>0</v>
      </c>
      <c r="M1223" s="7">
        <v>0</v>
      </c>
      <c r="N1223" s="7">
        <v>0</v>
      </c>
      <c r="O1223" s="7">
        <v>6.613986267054223E-3</v>
      </c>
      <c r="P1223" s="7">
        <v>1.2779726646399021E-2</v>
      </c>
    </row>
    <row r="1224" spans="1:16" x14ac:dyDescent="0.3">
      <c r="A1224" s="1">
        <v>45236</v>
      </c>
      <c r="B1224" s="2">
        <v>219.270004</v>
      </c>
      <c r="C1224" s="2">
        <v>356.53</v>
      </c>
      <c r="F1224" s="1">
        <v>45236</v>
      </c>
      <c r="G1224" s="2">
        <f t="shared" si="38"/>
        <v>-3.1418780608219407E-3</v>
      </c>
      <c r="H1224" s="2">
        <f t="shared" si="39"/>
        <v>1.0517063653828608E-2</v>
      </c>
      <c r="I1224" s="7">
        <v>0</v>
      </c>
      <c r="J1224" s="7">
        <v>0</v>
      </c>
      <c r="K1224" s="7">
        <v>0</v>
      </c>
      <c r="L1224" s="7">
        <v>0</v>
      </c>
      <c r="M1224" s="7">
        <v>-3.1418780608219407E-3</v>
      </c>
      <c r="N1224" s="7">
        <v>1.0517063653828608E-2</v>
      </c>
      <c r="O1224" s="7">
        <v>0</v>
      </c>
      <c r="P1224" s="7">
        <v>0</v>
      </c>
    </row>
    <row r="1225" spans="1:16" x14ac:dyDescent="0.3">
      <c r="A1225" s="1">
        <v>45237</v>
      </c>
      <c r="B1225" s="2">
        <v>222.179993</v>
      </c>
      <c r="C1225" s="2">
        <v>360.53</v>
      </c>
      <c r="F1225" s="1">
        <v>45237</v>
      </c>
      <c r="G1225" s="2">
        <f t="shared" si="38"/>
        <v>1.3183967244830275E-2</v>
      </c>
      <c r="H1225" s="2">
        <f t="shared" si="39"/>
        <v>1.1156783229254433E-2</v>
      </c>
      <c r="I1225" s="7">
        <v>0</v>
      </c>
      <c r="J1225" s="7">
        <v>0</v>
      </c>
      <c r="K1225" s="7">
        <v>0</v>
      </c>
      <c r="L1225" s="7">
        <v>0</v>
      </c>
      <c r="M1225" s="7">
        <v>0</v>
      </c>
      <c r="N1225" s="7">
        <v>0</v>
      </c>
      <c r="O1225" s="7">
        <v>1.3183967244830275E-2</v>
      </c>
      <c r="P1225" s="7">
        <v>1.1156783229254433E-2</v>
      </c>
    </row>
    <row r="1226" spans="1:16" x14ac:dyDescent="0.3">
      <c r="A1226" s="1">
        <v>45238</v>
      </c>
      <c r="B1226" s="2">
        <v>222.11000100000001</v>
      </c>
      <c r="C1226" s="2">
        <v>363.2</v>
      </c>
      <c r="F1226" s="1">
        <v>45238</v>
      </c>
      <c r="G1226" s="2">
        <f t="shared" si="38"/>
        <v>-3.1507349489852019E-4</v>
      </c>
      <c r="H1226" s="2">
        <f t="shared" si="39"/>
        <v>7.3784757114190693E-3</v>
      </c>
      <c r="I1226" s="7">
        <v>0</v>
      </c>
      <c r="J1226" s="7">
        <v>0</v>
      </c>
      <c r="K1226" s="7">
        <v>0</v>
      </c>
      <c r="L1226" s="7">
        <v>0</v>
      </c>
      <c r="M1226" s="7">
        <v>-3.1507349489852019E-4</v>
      </c>
      <c r="N1226" s="7">
        <v>7.3784757114190693E-3</v>
      </c>
      <c r="O1226" s="7">
        <v>0</v>
      </c>
      <c r="P1226" s="7">
        <v>0</v>
      </c>
    </row>
    <row r="1227" spans="1:16" x14ac:dyDescent="0.3">
      <c r="A1227" s="1">
        <v>45239</v>
      </c>
      <c r="B1227" s="2">
        <v>209.979996</v>
      </c>
      <c r="C1227" s="2">
        <v>360.69</v>
      </c>
      <c r="F1227" s="1">
        <v>45239</v>
      </c>
      <c r="G1227" s="2">
        <f t="shared" si="38"/>
        <v>-5.6160490115329441E-2</v>
      </c>
      <c r="H1227" s="2">
        <f t="shared" si="39"/>
        <v>-6.9347830722107946E-3</v>
      </c>
      <c r="I1227" s="7">
        <v>-5.6160490115329441E-2</v>
      </c>
      <c r="J1227" s="7">
        <v>-6.9347830722107946E-3</v>
      </c>
      <c r="K1227" s="7">
        <v>0</v>
      </c>
      <c r="L1227" s="7">
        <v>0</v>
      </c>
      <c r="M1227" s="7">
        <v>0</v>
      </c>
      <c r="N1227" s="7">
        <v>0</v>
      </c>
      <c r="O1227" s="7">
        <v>0</v>
      </c>
      <c r="P1227" s="7">
        <v>0</v>
      </c>
    </row>
    <row r="1228" spans="1:16" x14ac:dyDescent="0.3">
      <c r="A1228" s="1">
        <v>45240</v>
      </c>
      <c r="B1228" s="2">
        <v>214.64999399999999</v>
      </c>
      <c r="C1228" s="2">
        <v>369.67</v>
      </c>
      <c r="F1228" s="1">
        <v>45240</v>
      </c>
      <c r="G1228" s="2">
        <f t="shared" si="38"/>
        <v>2.1996497680726607E-2</v>
      </c>
      <c r="H1228" s="2">
        <f t="shared" si="39"/>
        <v>2.4591852119227733E-2</v>
      </c>
      <c r="I1228" s="7">
        <v>0</v>
      </c>
      <c r="J1228" s="7">
        <v>0</v>
      </c>
      <c r="K1228" s="7">
        <v>0</v>
      </c>
      <c r="L1228" s="7">
        <v>0</v>
      </c>
      <c r="M1228" s="7">
        <v>0</v>
      </c>
      <c r="N1228" s="7">
        <v>0</v>
      </c>
      <c r="O1228" s="7">
        <v>2.1996497680726607E-2</v>
      </c>
      <c r="P1228" s="7">
        <v>2.4591852119227733E-2</v>
      </c>
    </row>
    <row r="1229" spans="1:16" x14ac:dyDescent="0.3">
      <c r="A1229" s="1">
        <v>45243</v>
      </c>
      <c r="B1229" s="2">
        <v>223.71000699999999</v>
      </c>
      <c r="C1229" s="2">
        <v>366.68</v>
      </c>
      <c r="F1229" s="1">
        <v>45243</v>
      </c>
      <c r="G1229" s="2">
        <f t="shared" si="38"/>
        <v>4.1341834796234198E-2</v>
      </c>
      <c r="H1229" s="2">
        <f t="shared" si="39"/>
        <v>-8.1211826805802877E-3</v>
      </c>
      <c r="I1229" s="7">
        <v>0</v>
      </c>
      <c r="J1229" s="7">
        <v>0</v>
      </c>
      <c r="K1229" s="7">
        <v>4.1341834796234198E-2</v>
      </c>
      <c r="L1229" s="7">
        <v>-8.1211826805802877E-3</v>
      </c>
      <c r="M1229" s="7">
        <v>0</v>
      </c>
      <c r="N1229" s="7">
        <v>0</v>
      </c>
      <c r="O1229" s="7">
        <v>0</v>
      </c>
      <c r="P1229" s="7">
        <v>0</v>
      </c>
    </row>
    <row r="1230" spans="1:16" x14ac:dyDescent="0.3">
      <c r="A1230" s="1">
        <v>45244</v>
      </c>
      <c r="B1230" s="2">
        <v>237.41000399999999</v>
      </c>
      <c r="C1230" s="2">
        <v>370.27</v>
      </c>
      <c r="F1230" s="1">
        <v>45244</v>
      </c>
      <c r="G1230" s="2">
        <f t="shared" si="38"/>
        <v>5.9438019621743644E-2</v>
      </c>
      <c r="H1230" s="2">
        <f t="shared" si="39"/>
        <v>9.7429361511432062E-3</v>
      </c>
      <c r="I1230" s="7">
        <v>0</v>
      </c>
      <c r="J1230" s="7">
        <v>0</v>
      </c>
      <c r="K1230" s="7">
        <v>0</v>
      </c>
      <c r="L1230" s="7">
        <v>0</v>
      </c>
      <c r="M1230" s="7">
        <v>0</v>
      </c>
      <c r="N1230" s="7">
        <v>0</v>
      </c>
      <c r="O1230" s="7">
        <v>5.9438019621743644E-2</v>
      </c>
      <c r="P1230" s="7">
        <v>9.7429361511432062E-3</v>
      </c>
    </row>
    <row r="1231" spans="1:16" x14ac:dyDescent="0.3">
      <c r="A1231" s="1">
        <v>45245</v>
      </c>
      <c r="B1231" s="2">
        <v>242.83999600000001</v>
      </c>
      <c r="C1231" s="2">
        <v>369.67</v>
      </c>
      <c r="F1231" s="1">
        <v>45245</v>
      </c>
      <c r="G1231" s="2">
        <f t="shared" si="38"/>
        <v>2.2614152654415905E-2</v>
      </c>
      <c r="H1231" s="2">
        <f t="shared" si="39"/>
        <v>-1.6217534705629327E-3</v>
      </c>
      <c r="I1231" s="7">
        <v>0</v>
      </c>
      <c r="J1231" s="7">
        <v>0</v>
      </c>
      <c r="K1231" s="7">
        <v>2.2614152654415905E-2</v>
      </c>
      <c r="L1231" s="7">
        <v>-1.6217534705629327E-3</v>
      </c>
      <c r="M1231" s="7">
        <v>0</v>
      </c>
      <c r="N1231" s="7">
        <v>0</v>
      </c>
      <c r="O1231" s="7">
        <v>0</v>
      </c>
      <c r="P1231" s="7">
        <v>0</v>
      </c>
    </row>
    <row r="1232" spans="1:16" x14ac:dyDescent="0.3">
      <c r="A1232" s="1">
        <v>45246</v>
      </c>
      <c r="B1232" s="2">
        <v>233.58999600000001</v>
      </c>
      <c r="C1232" s="2">
        <v>376.17</v>
      </c>
      <c r="F1232" s="1">
        <v>45246</v>
      </c>
      <c r="G1232" s="2">
        <f t="shared" si="38"/>
        <v>-3.8835349095907183E-2</v>
      </c>
      <c r="H1232" s="2">
        <f t="shared" si="39"/>
        <v>1.7430453096400955E-2</v>
      </c>
      <c r="I1232" s="7">
        <v>0</v>
      </c>
      <c r="J1232" s="7">
        <v>0</v>
      </c>
      <c r="K1232" s="7">
        <v>0</v>
      </c>
      <c r="L1232" s="7">
        <v>0</v>
      </c>
      <c r="M1232" s="7">
        <v>-3.8835349095907183E-2</v>
      </c>
      <c r="N1232" s="7">
        <v>1.7430453096400955E-2</v>
      </c>
      <c r="O1232" s="7">
        <v>0</v>
      </c>
      <c r="P1232" s="7">
        <v>0</v>
      </c>
    </row>
    <row r="1233" spans="1:16" x14ac:dyDescent="0.3">
      <c r="A1233" s="1">
        <v>45247</v>
      </c>
      <c r="B1233" s="2">
        <v>234.300003</v>
      </c>
      <c r="C1233" s="2">
        <v>369.85</v>
      </c>
      <c r="F1233" s="1">
        <v>45247</v>
      </c>
      <c r="G1233" s="2">
        <f t="shared" si="38"/>
        <v>3.034933623272177E-3</v>
      </c>
      <c r="H1233" s="2">
        <f t="shared" si="39"/>
        <v>-1.6943650836679435E-2</v>
      </c>
      <c r="I1233" s="7">
        <v>0</v>
      </c>
      <c r="J1233" s="7">
        <v>0</v>
      </c>
      <c r="K1233" s="7">
        <v>3.034933623272177E-3</v>
      </c>
      <c r="L1233" s="7">
        <v>-1.6943650836679435E-2</v>
      </c>
      <c r="M1233" s="7">
        <v>0</v>
      </c>
      <c r="N1233" s="7">
        <v>0</v>
      </c>
      <c r="O1233" s="7">
        <v>0</v>
      </c>
      <c r="P1233" s="7">
        <v>0</v>
      </c>
    </row>
    <row r="1234" spans="1:16" x14ac:dyDescent="0.3">
      <c r="A1234" s="1">
        <v>45250</v>
      </c>
      <c r="B1234" s="2">
        <v>235.60000600000001</v>
      </c>
      <c r="C1234" s="2">
        <v>377.44</v>
      </c>
      <c r="F1234" s="1">
        <v>45250</v>
      </c>
      <c r="G1234" s="2">
        <f t="shared" si="38"/>
        <v>5.5331189264771269E-3</v>
      </c>
      <c r="H1234" s="2">
        <f t="shared" si="39"/>
        <v>2.031409762548813E-2</v>
      </c>
      <c r="I1234" s="7">
        <v>0</v>
      </c>
      <c r="J1234" s="7">
        <v>0</v>
      </c>
      <c r="K1234" s="7">
        <v>0</v>
      </c>
      <c r="L1234" s="7">
        <v>0</v>
      </c>
      <c r="M1234" s="7">
        <v>0</v>
      </c>
      <c r="N1234" s="7">
        <v>0</v>
      </c>
      <c r="O1234" s="7">
        <v>5.5331189264771269E-3</v>
      </c>
      <c r="P1234" s="7">
        <v>2.031409762548813E-2</v>
      </c>
    </row>
    <row r="1235" spans="1:16" x14ac:dyDescent="0.3">
      <c r="A1235" s="1">
        <v>45251</v>
      </c>
      <c r="B1235" s="2">
        <v>241.199997</v>
      </c>
      <c r="C1235" s="2">
        <v>373.07</v>
      </c>
      <c r="F1235" s="1">
        <v>45251</v>
      </c>
      <c r="G1235" s="2">
        <f t="shared" si="38"/>
        <v>2.3490975170894914E-2</v>
      </c>
      <c r="H1235" s="2">
        <f t="shared" si="39"/>
        <v>-1.1645546062581421E-2</v>
      </c>
      <c r="I1235" s="7">
        <v>0</v>
      </c>
      <c r="J1235" s="7">
        <v>0</v>
      </c>
      <c r="K1235" s="7">
        <v>2.3490975170894914E-2</v>
      </c>
      <c r="L1235" s="7">
        <v>-1.1645546062581421E-2</v>
      </c>
      <c r="M1235" s="7">
        <v>0</v>
      </c>
      <c r="N1235" s="7">
        <v>0</v>
      </c>
      <c r="O1235" s="7">
        <v>0</v>
      </c>
      <c r="P1235" s="7">
        <v>0</v>
      </c>
    </row>
    <row r="1236" spans="1:16" x14ac:dyDescent="0.3">
      <c r="A1236" s="1">
        <v>45252</v>
      </c>
      <c r="B1236" s="2">
        <v>234.21000699999999</v>
      </c>
      <c r="C1236" s="2">
        <v>377.85</v>
      </c>
      <c r="F1236" s="1">
        <v>45252</v>
      </c>
      <c r="G1236" s="2">
        <f t="shared" si="38"/>
        <v>-2.9408273727202904E-2</v>
      </c>
      <c r="H1236" s="2">
        <f t="shared" si="39"/>
        <v>1.2731221869945538E-2</v>
      </c>
      <c r="I1236" s="7">
        <v>0</v>
      </c>
      <c r="J1236" s="7">
        <v>0</v>
      </c>
      <c r="K1236" s="7">
        <v>0</v>
      </c>
      <c r="L1236" s="7">
        <v>0</v>
      </c>
      <c r="M1236" s="7">
        <v>-2.9408273727202904E-2</v>
      </c>
      <c r="N1236" s="7">
        <v>1.2731221869945538E-2</v>
      </c>
      <c r="O1236" s="7">
        <v>0</v>
      </c>
      <c r="P1236" s="7">
        <v>0</v>
      </c>
    </row>
    <row r="1237" spans="1:16" x14ac:dyDescent="0.3">
      <c r="A1237" s="1">
        <v>45254</v>
      </c>
      <c r="B1237" s="2">
        <v>235.449997</v>
      </c>
      <c r="C1237" s="2">
        <v>377.43</v>
      </c>
      <c r="F1237" s="1">
        <v>45254</v>
      </c>
      <c r="G1237" s="2">
        <f t="shared" si="38"/>
        <v>5.2803852599883818E-3</v>
      </c>
      <c r="H1237" s="2">
        <f t="shared" si="39"/>
        <v>-1.1121704355797279E-3</v>
      </c>
      <c r="I1237" s="7">
        <v>0</v>
      </c>
      <c r="J1237" s="7">
        <v>0</v>
      </c>
      <c r="K1237" s="7">
        <v>5.2803852599883818E-3</v>
      </c>
      <c r="L1237" s="7">
        <v>-1.1121704355797279E-3</v>
      </c>
      <c r="M1237" s="7">
        <v>0</v>
      </c>
      <c r="N1237" s="7">
        <v>0</v>
      </c>
      <c r="O1237" s="7">
        <v>0</v>
      </c>
      <c r="P1237" s="7">
        <v>0</v>
      </c>
    </row>
    <row r="1238" spans="1:16" x14ac:dyDescent="0.3">
      <c r="A1238" s="1">
        <v>45257</v>
      </c>
      <c r="B1238" s="2">
        <v>236.08000200000001</v>
      </c>
      <c r="C1238" s="2">
        <v>378.61</v>
      </c>
      <c r="F1238" s="1">
        <v>45257</v>
      </c>
      <c r="G1238" s="2">
        <f t="shared" si="38"/>
        <v>2.6721751583836839E-3</v>
      </c>
      <c r="H1238" s="2">
        <f t="shared" si="39"/>
        <v>3.1215304961516202E-3</v>
      </c>
      <c r="I1238" s="7">
        <v>0</v>
      </c>
      <c r="J1238" s="7">
        <v>0</v>
      </c>
      <c r="K1238" s="7">
        <v>0</v>
      </c>
      <c r="L1238" s="7">
        <v>0</v>
      </c>
      <c r="M1238" s="7">
        <v>0</v>
      </c>
      <c r="N1238" s="7">
        <v>0</v>
      </c>
      <c r="O1238" s="7">
        <v>2.6721751583836839E-3</v>
      </c>
      <c r="P1238" s="7">
        <v>3.1215304961516202E-3</v>
      </c>
    </row>
    <row r="1239" spans="1:16" x14ac:dyDescent="0.3">
      <c r="A1239" s="1">
        <v>45258</v>
      </c>
      <c r="B1239" s="2">
        <v>246.720001</v>
      </c>
      <c r="C1239" s="2">
        <v>382.7</v>
      </c>
      <c r="F1239" s="1">
        <v>45258</v>
      </c>
      <c r="G1239" s="2">
        <f t="shared" si="38"/>
        <v>4.4083355321753788E-2</v>
      </c>
      <c r="H1239" s="2">
        <f t="shared" si="39"/>
        <v>1.0744740904355694E-2</v>
      </c>
      <c r="I1239" s="7">
        <v>0</v>
      </c>
      <c r="J1239" s="7">
        <v>0</v>
      </c>
      <c r="K1239" s="7">
        <v>0</v>
      </c>
      <c r="L1239" s="7">
        <v>0</v>
      </c>
      <c r="M1239" s="7">
        <v>0</v>
      </c>
      <c r="N1239" s="7">
        <v>0</v>
      </c>
      <c r="O1239" s="7">
        <v>4.4083355321753788E-2</v>
      </c>
      <c r="P1239" s="7">
        <v>1.0744740904355694E-2</v>
      </c>
    </row>
    <row r="1240" spans="1:16" x14ac:dyDescent="0.3">
      <c r="A1240" s="1">
        <v>45259</v>
      </c>
      <c r="B1240" s="2">
        <v>244.13999899999999</v>
      </c>
      <c r="C1240" s="2">
        <v>378.85</v>
      </c>
      <c r="F1240" s="1">
        <v>45259</v>
      </c>
      <c r="G1240" s="2">
        <f t="shared" si="38"/>
        <v>-1.0512267282499248E-2</v>
      </c>
      <c r="H1240" s="2">
        <f t="shared" si="39"/>
        <v>-1.0111044054274123E-2</v>
      </c>
      <c r="I1240" s="7">
        <v>-1.0512267282499248E-2</v>
      </c>
      <c r="J1240" s="7">
        <v>-1.0111044054274123E-2</v>
      </c>
      <c r="K1240" s="7">
        <v>0</v>
      </c>
      <c r="L1240" s="7">
        <v>0</v>
      </c>
      <c r="M1240" s="7">
        <v>0</v>
      </c>
      <c r="N1240" s="7">
        <v>0</v>
      </c>
      <c r="O1240" s="7">
        <v>0</v>
      </c>
      <c r="P1240" s="7">
        <v>0</v>
      </c>
    </row>
    <row r="1241" spans="1:16" x14ac:dyDescent="0.3">
      <c r="A1241" s="1">
        <v>45260</v>
      </c>
      <c r="B1241" s="2">
        <v>240.08000200000001</v>
      </c>
      <c r="C1241" s="2">
        <v>378.91</v>
      </c>
      <c r="F1241" s="1">
        <v>45260</v>
      </c>
      <c r="G1241" s="2">
        <f t="shared" si="38"/>
        <v>-1.6769617682974927E-2</v>
      </c>
      <c r="H1241" s="2">
        <f t="shared" si="39"/>
        <v>1.5836148681733716E-4</v>
      </c>
      <c r="I1241" s="7">
        <v>0</v>
      </c>
      <c r="J1241" s="7">
        <v>0</v>
      </c>
      <c r="K1241" s="7">
        <v>0</v>
      </c>
      <c r="L1241" s="7">
        <v>0</v>
      </c>
      <c r="M1241" s="7">
        <v>-1.6769617682974927E-2</v>
      </c>
      <c r="N1241" s="7">
        <v>1.5836148681733716E-4</v>
      </c>
      <c r="O1241" s="7">
        <v>0</v>
      </c>
      <c r="P1241" s="7">
        <v>0</v>
      </c>
    </row>
    <row r="1242" spans="1:16" x14ac:dyDescent="0.3">
      <c r="A1242" s="1">
        <v>45261</v>
      </c>
      <c r="B1242" s="2">
        <v>238.83000200000001</v>
      </c>
      <c r="C1242" s="2">
        <v>374.51</v>
      </c>
      <c r="F1242" s="1">
        <v>45261</v>
      </c>
      <c r="G1242" s="2">
        <f t="shared" si="38"/>
        <v>-5.2201993199142696E-3</v>
      </c>
      <c r="H1242" s="2">
        <f t="shared" si="39"/>
        <v>-1.1680204993732051E-2</v>
      </c>
      <c r="I1242" s="7">
        <v>-5.2201993199142696E-3</v>
      </c>
      <c r="J1242" s="7">
        <v>-1.1680204993732051E-2</v>
      </c>
      <c r="K1242" s="7">
        <v>0</v>
      </c>
      <c r="L1242" s="7">
        <v>0</v>
      </c>
      <c r="M1242" s="7">
        <v>0</v>
      </c>
      <c r="N1242" s="7">
        <v>0</v>
      </c>
      <c r="O1242" s="7">
        <v>0</v>
      </c>
      <c r="P1242" s="7">
        <v>0</v>
      </c>
    </row>
    <row r="1243" spans="1:16" x14ac:dyDescent="0.3">
      <c r="A1243" s="1">
        <v>45264</v>
      </c>
      <c r="B1243" s="2">
        <v>235.58000200000001</v>
      </c>
      <c r="C1243" s="2">
        <v>369.14</v>
      </c>
      <c r="F1243" s="1">
        <v>45264</v>
      </c>
      <c r="G1243" s="2">
        <f t="shared" si="38"/>
        <v>-1.3701443122430351E-2</v>
      </c>
      <c r="H1243" s="2">
        <f t="shared" si="39"/>
        <v>-1.4442528991322671E-2</v>
      </c>
      <c r="I1243" s="7">
        <v>-1.3701443122430351E-2</v>
      </c>
      <c r="J1243" s="7">
        <v>-1.4442528991322671E-2</v>
      </c>
      <c r="K1243" s="7">
        <v>0</v>
      </c>
      <c r="L1243" s="7">
        <v>0</v>
      </c>
      <c r="M1243" s="7">
        <v>0</v>
      </c>
      <c r="N1243" s="7">
        <v>0</v>
      </c>
      <c r="O1243" s="7">
        <v>0</v>
      </c>
      <c r="P1243" s="7">
        <v>0</v>
      </c>
    </row>
    <row r="1244" spans="1:16" x14ac:dyDescent="0.3">
      <c r="A1244" s="1">
        <v>45265</v>
      </c>
      <c r="B1244" s="2">
        <v>238.720001</v>
      </c>
      <c r="C1244" s="2">
        <v>372.52</v>
      </c>
      <c r="F1244" s="1">
        <v>45265</v>
      </c>
      <c r="G1244" s="2">
        <f t="shared" si="38"/>
        <v>1.3240754184080489E-2</v>
      </c>
      <c r="H1244" s="2">
        <f t="shared" si="39"/>
        <v>9.1147517743119574E-3</v>
      </c>
      <c r="I1244" s="7">
        <v>0</v>
      </c>
      <c r="J1244" s="7">
        <v>0</v>
      </c>
      <c r="K1244" s="7">
        <v>0</v>
      </c>
      <c r="L1244" s="7">
        <v>0</v>
      </c>
      <c r="M1244" s="7">
        <v>0</v>
      </c>
      <c r="N1244" s="7">
        <v>0</v>
      </c>
      <c r="O1244" s="7">
        <v>1.3240754184080489E-2</v>
      </c>
      <c r="P1244" s="7">
        <v>9.1147517743119574E-3</v>
      </c>
    </row>
    <row r="1245" spans="1:16" x14ac:dyDescent="0.3">
      <c r="A1245" s="1">
        <v>45266</v>
      </c>
      <c r="B1245" s="2">
        <v>239.36999499999999</v>
      </c>
      <c r="C1245" s="2">
        <v>368.8</v>
      </c>
      <c r="F1245" s="1">
        <v>45266</v>
      </c>
      <c r="G1245" s="2">
        <f t="shared" si="38"/>
        <v>2.7191298957301938E-3</v>
      </c>
      <c r="H1245" s="2">
        <f t="shared" si="39"/>
        <v>-1.0036235971018262E-2</v>
      </c>
      <c r="I1245" s="7">
        <v>0</v>
      </c>
      <c r="J1245" s="7">
        <v>0</v>
      </c>
      <c r="K1245" s="7">
        <v>2.7191298957301938E-3</v>
      </c>
      <c r="L1245" s="7">
        <v>-1.0036235971018262E-2</v>
      </c>
      <c r="M1245" s="7">
        <v>0</v>
      </c>
      <c r="N1245" s="7">
        <v>0</v>
      </c>
      <c r="O1245" s="7">
        <v>0</v>
      </c>
      <c r="P1245" s="7">
        <v>0</v>
      </c>
    </row>
    <row r="1246" spans="1:16" x14ac:dyDescent="0.3">
      <c r="A1246" s="1">
        <v>45267</v>
      </c>
      <c r="B1246" s="2">
        <v>242.63999899999999</v>
      </c>
      <c r="C1246" s="2">
        <v>370.95</v>
      </c>
      <c r="F1246" s="1">
        <v>45267</v>
      </c>
      <c r="G1246" s="2">
        <f t="shared" si="38"/>
        <v>1.3568408158859331E-2</v>
      </c>
      <c r="H1246" s="2">
        <f t="shared" si="39"/>
        <v>5.812790953096037E-3</v>
      </c>
      <c r="I1246" s="7">
        <v>0</v>
      </c>
      <c r="J1246" s="7">
        <v>0</v>
      </c>
      <c r="K1246" s="7">
        <v>0</v>
      </c>
      <c r="L1246" s="7">
        <v>0</v>
      </c>
      <c r="M1246" s="7">
        <v>0</v>
      </c>
      <c r="N1246" s="7">
        <v>0</v>
      </c>
      <c r="O1246" s="7">
        <v>1.3568408158859331E-2</v>
      </c>
      <c r="P1246" s="7">
        <v>5.812790953096037E-3</v>
      </c>
    </row>
    <row r="1247" spans="1:16" x14ac:dyDescent="0.3">
      <c r="A1247" s="1">
        <v>45268</v>
      </c>
      <c r="B1247" s="2">
        <v>243.83999600000001</v>
      </c>
      <c r="C1247" s="2">
        <v>374.23</v>
      </c>
      <c r="F1247" s="1">
        <v>45268</v>
      </c>
      <c r="G1247" s="2">
        <f t="shared" si="38"/>
        <v>4.9333968350883601E-3</v>
      </c>
      <c r="H1247" s="2">
        <f t="shared" si="39"/>
        <v>8.8032990224628949E-3</v>
      </c>
      <c r="I1247" s="7">
        <v>0</v>
      </c>
      <c r="J1247" s="7">
        <v>0</v>
      </c>
      <c r="K1247" s="7">
        <v>0</v>
      </c>
      <c r="L1247" s="7">
        <v>0</v>
      </c>
      <c r="M1247" s="7">
        <v>0</v>
      </c>
      <c r="N1247" s="7">
        <v>0</v>
      </c>
      <c r="O1247" s="7">
        <v>4.9333968350883601E-3</v>
      </c>
      <c r="P1247" s="7">
        <v>8.8032990224628949E-3</v>
      </c>
    </row>
    <row r="1248" spans="1:16" x14ac:dyDescent="0.3">
      <c r="A1248" s="1">
        <v>45271</v>
      </c>
      <c r="B1248" s="2">
        <v>239.740005</v>
      </c>
      <c r="C1248" s="2">
        <v>371.3</v>
      </c>
      <c r="F1248" s="1">
        <v>45271</v>
      </c>
      <c r="G1248" s="2">
        <f t="shared" si="38"/>
        <v>-1.6957232459201076E-2</v>
      </c>
      <c r="H1248" s="2">
        <f t="shared" si="39"/>
        <v>-7.8602204749634186E-3</v>
      </c>
      <c r="I1248" s="7">
        <v>-1.6957232459201076E-2</v>
      </c>
      <c r="J1248" s="7">
        <v>-7.8602204749634186E-3</v>
      </c>
      <c r="K1248" s="7">
        <v>0</v>
      </c>
      <c r="L1248" s="7">
        <v>0</v>
      </c>
      <c r="M1248" s="7">
        <v>0</v>
      </c>
      <c r="N1248" s="7">
        <v>0</v>
      </c>
      <c r="O1248" s="7">
        <v>0</v>
      </c>
      <c r="P1248" s="7">
        <v>0</v>
      </c>
    </row>
    <row r="1249" spans="1:16" x14ac:dyDescent="0.3">
      <c r="A1249" s="1">
        <v>45272</v>
      </c>
      <c r="B1249" s="2">
        <v>237.009995</v>
      </c>
      <c r="C1249" s="2">
        <v>374.38</v>
      </c>
      <c r="F1249" s="1">
        <v>45272</v>
      </c>
      <c r="G1249" s="2">
        <f t="shared" si="38"/>
        <v>-1.1452710393224732E-2</v>
      </c>
      <c r="H1249" s="2">
        <f t="shared" si="39"/>
        <v>8.2609631901485788E-3</v>
      </c>
      <c r="I1249" s="7">
        <v>0</v>
      </c>
      <c r="J1249" s="7">
        <v>0</v>
      </c>
      <c r="K1249" s="7">
        <v>0</v>
      </c>
      <c r="L1249" s="7">
        <v>0</v>
      </c>
      <c r="M1249" s="7">
        <v>-1.1452710393224732E-2</v>
      </c>
      <c r="N1249" s="7">
        <v>8.2609631901485788E-3</v>
      </c>
      <c r="O1249" s="7">
        <v>0</v>
      </c>
      <c r="P1249" s="7">
        <v>0</v>
      </c>
    </row>
    <row r="1250" spans="1:16" x14ac:dyDescent="0.3">
      <c r="A1250" s="1">
        <v>45273</v>
      </c>
      <c r="B1250" s="2">
        <v>239.28999300000001</v>
      </c>
      <c r="C1250" s="2">
        <v>374.37</v>
      </c>
      <c r="F1250" s="1">
        <v>45273</v>
      </c>
      <c r="G1250" s="2">
        <f t="shared" si="38"/>
        <v>9.5738629963608365E-3</v>
      </c>
      <c r="H1250" s="2">
        <f t="shared" si="39"/>
        <v>-2.6711185310398745E-5</v>
      </c>
      <c r="I1250" s="7">
        <v>0</v>
      </c>
      <c r="J1250" s="7">
        <v>0</v>
      </c>
      <c r="K1250" s="7">
        <v>9.5738629963608365E-3</v>
      </c>
      <c r="L1250" s="7">
        <v>-2.6711185310398745E-5</v>
      </c>
      <c r="M1250" s="7">
        <v>0</v>
      </c>
      <c r="N1250" s="7">
        <v>0</v>
      </c>
      <c r="O1250" s="7">
        <v>0</v>
      </c>
      <c r="P1250" s="7">
        <v>0</v>
      </c>
    </row>
    <row r="1251" spans="1:16" x14ac:dyDescent="0.3">
      <c r="A1251" s="1">
        <v>45274</v>
      </c>
      <c r="B1251" s="2">
        <v>251.050003</v>
      </c>
      <c r="C1251" s="2">
        <v>365.93</v>
      </c>
      <c r="F1251" s="1">
        <v>45274</v>
      </c>
      <c r="G1251" s="2">
        <f t="shared" si="38"/>
        <v>4.7975958192508515E-2</v>
      </c>
      <c r="H1251" s="2">
        <f t="shared" si="39"/>
        <v>-2.2802554909027505E-2</v>
      </c>
      <c r="I1251" s="7">
        <v>0</v>
      </c>
      <c r="J1251" s="7">
        <v>0</v>
      </c>
      <c r="K1251" s="7">
        <v>4.7975958192508515E-2</v>
      </c>
      <c r="L1251" s="7">
        <v>-2.2802554909027505E-2</v>
      </c>
      <c r="M1251" s="7">
        <v>0</v>
      </c>
      <c r="N1251" s="7">
        <v>0</v>
      </c>
      <c r="O1251" s="7">
        <v>0</v>
      </c>
      <c r="P1251" s="7">
        <v>0</v>
      </c>
    </row>
    <row r="1252" spans="1:16" x14ac:dyDescent="0.3">
      <c r="A1252" s="1">
        <v>45275</v>
      </c>
      <c r="B1252" s="2">
        <v>253.5</v>
      </c>
      <c r="C1252" s="2">
        <v>370.73</v>
      </c>
      <c r="F1252" s="1">
        <v>45275</v>
      </c>
      <c r="G1252" s="2">
        <f t="shared" si="38"/>
        <v>9.7116886007126944E-3</v>
      </c>
      <c r="H1252" s="2">
        <f t="shared" si="39"/>
        <v>1.3031976577452559E-2</v>
      </c>
      <c r="I1252" s="7">
        <v>0</v>
      </c>
      <c r="J1252" s="7">
        <v>0</v>
      </c>
      <c r="K1252" s="7">
        <v>0</v>
      </c>
      <c r="L1252" s="7">
        <v>0</v>
      </c>
      <c r="M1252" s="7">
        <v>0</v>
      </c>
      <c r="N1252" s="7">
        <v>0</v>
      </c>
      <c r="O1252" s="7">
        <v>9.7116886007126944E-3</v>
      </c>
      <c r="P1252" s="7">
        <v>1.3031976577452559E-2</v>
      </c>
    </row>
    <row r="1253" spans="1:16" x14ac:dyDescent="0.3">
      <c r="A1253" s="1">
        <v>45278</v>
      </c>
      <c r="B1253" s="2">
        <v>252.08000200000001</v>
      </c>
      <c r="C1253" s="2">
        <v>372.65</v>
      </c>
      <c r="F1253" s="1">
        <v>45278</v>
      </c>
      <c r="G1253" s="2">
        <f t="shared" si="38"/>
        <v>-5.6173176482294772E-3</v>
      </c>
      <c r="H1253" s="2">
        <f t="shared" si="39"/>
        <v>5.1656064714049113E-3</v>
      </c>
      <c r="I1253" s="7">
        <v>0</v>
      </c>
      <c r="J1253" s="7">
        <v>0</v>
      </c>
      <c r="K1253" s="7">
        <v>0</v>
      </c>
      <c r="L1253" s="7">
        <v>0</v>
      </c>
      <c r="M1253" s="7">
        <v>-5.6173176482294772E-3</v>
      </c>
      <c r="N1253" s="7">
        <v>5.1656064714049113E-3</v>
      </c>
      <c r="O1253" s="7">
        <v>0</v>
      </c>
      <c r="P1253" s="7">
        <v>0</v>
      </c>
    </row>
    <row r="1254" spans="1:16" x14ac:dyDescent="0.3">
      <c r="A1254" s="1">
        <v>45279</v>
      </c>
      <c r="B1254" s="2">
        <v>257.22000100000002</v>
      </c>
      <c r="C1254" s="2">
        <v>373.26</v>
      </c>
      <c r="F1254" s="1">
        <v>45279</v>
      </c>
      <c r="G1254" s="2">
        <f t="shared" si="38"/>
        <v>2.0185248342655011E-2</v>
      </c>
      <c r="H1254" s="2">
        <f t="shared" si="39"/>
        <v>1.6355864272807094E-3</v>
      </c>
      <c r="I1254" s="7">
        <v>0</v>
      </c>
      <c r="J1254" s="7">
        <v>0</v>
      </c>
      <c r="K1254" s="7">
        <v>0</v>
      </c>
      <c r="L1254" s="7">
        <v>0</v>
      </c>
      <c r="M1254" s="7">
        <v>0</v>
      </c>
      <c r="N1254" s="7">
        <v>0</v>
      </c>
      <c r="O1254" s="7">
        <v>2.0185248342655011E-2</v>
      </c>
      <c r="P1254" s="7">
        <v>1.6355864272807094E-3</v>
      </c>
    </row>
    <row r="1255" spans="1:16" x14ac:dyDescent="0.3">
      <c r="A1255" s="1">
        <v>45280</v>
      </c>
      <c r="B1255" s="2">
        <v>247.13999899999999</v>
      </c>
      <c r="C1255" s="2">
        <v>370.62</v>
      </c>
      <c r="F1255" s="1">
        <v>45280</v>
      </c>
      <c r="G1255" s="2">
        <f t="shared" si="38"/>
        <v>-3.9976780095908576E-2</v>
      </c>
      <c r="H1255" s="2">
        <f t="shared" si="39"/>
        <v>-7.0979488191205455E-3</v>
      </c>
      <c r="I1255" s="7">
        <v>-3.9976780095908576E-2</v>
      </c>
      <c r="J1255" s="7">
        <v>-7.0979488191205455E-3</v>
      </c>
      <c r="K1255" s="7">
        <v>0</v>
      </c>
      <c r="L1255" s="7">
        <v>0</v>
      </c>
      <c r="M1255" s="7">
        <v>0</v>
      </c>
      <c r="N1255" s="7">
        <v>0</v>
      </c>
      <c r="O1255" s="7">
        <v>0</v>
      </c>
      <c r="P1255" s="7">
        <v>0</v>
      </c>
    </row>
    <row r="1256" spans="1:16" x14ac:dyDescent="0.3">
      <c r="A1256" s="1">
        <v>45281</v>
      </c>
      <c r="B1256" s="2">
        <v>254.5</v>
      </c>
      <c r="C1256" s="2">
        <v>373.54</v>
      </c>
      <c r="F1256" s="1">
        <v>45281</v>
      </c>
      <c r="G1256" s="2">
        <f t="shared" si="38"/>
        <v>2.9345862360822577E-2</v>
      </c>
      <c r="H1256" s="2">
        <f t="shared" si="39"/>
        <v>7.8478149495983095E-3</v>
      </c>
      <c r="I1256" s="7">
        <v>0</v>
      </c>
      <c r="J1256" s="7">
        <v>0</v>
      </c>
      <c r="K1256" s="7">
        <v>0</v>
      </c>
      <c r="L1256" s="7">
        <v>0</v>
      </c>
      <c r="M1256" s="7">
        <v>0</v>
      </c>
      <c r="N1256" s="7">
        <v>0</v>
      </c>
      <c r="O1256" s="7">
        <v>2.9345862360822577E-2</v>
      </c>
      <c r="P1256" s="7">
        <v>7.8478149495983095E-3</v>
      </c>
    </row>
    <row r="1257" spans="1:16" x14ac:dyDescent="0.3">
      <c r="A1257" s="1">
        <v>45282</v>
      </c>
      <c r="B1257" s="2">
        <v>252.53999300000001</v>
      </c>
      <c r="C1257" s="2">
        <v>374.58</v>
      </c>
      <c r="F1257" s="1">
        <v>45282</v>
      </c>
      <c r="G1257" s="2">
        <f t="shared" si="38"/>
        <v>-7.7312116984247789E-3</v>
      </c>
      <c r="H1257" s="2">
        <f t="shared" si="39"/>
        <v>2.7803044162468061E-3</v>
      </c>
      <c r="I1257" s="7">
        <v>0</v>
      </c>
      <c r="J1257" s="7">
        <v>0</v>
      </c>
      <c r="K1257" s="7">
        <v>0</v>
      </c>
      <c r="L1257" s="7">
        <v>0</v>
      </c>
      <c r="M1257" s="7">
        <v>-7.7312116984247789E-3</v>
      </c>
      <c r="N1257" s="7">
        <v>2.7803044162468061E-3</v>
      </c>
      <c r="O1257" s="7">
        <v>0</v>
      </c>
      <c r="P1257" s="7">
        <v>0</v>
      </c>
    </row>
    <row r="1258" spans="1:16" x14ac:dyDescent="0.3">
      <c r="A1258" s="1">
        <v>45286</v>
      </c>
      <c r="B1258" s="2">
        <v>256.60998499999999</v>
      </c>
      <c r="C1258" s="2">
        <v>374.66</v>
      </c>
      <c r="F1258" s="1">
        <v>45286</v>
      </c>
      <c r="G1258" s="2">
        <f t="shared" si="38"/>
        <v>1.5987739836902336E-2</v>
      </c>
      <c r="H1258" s="2">
        <f t="shared" si="39"/>
        <v>2.1354973120517738E-4</v>
      </c>
      <c r="I1258" s="7">
        <v>0</v>
      </c>
      <c r="J1258" s="7">
        <v>0</v>
      </c>
      <c r="K1258" s="7">
        <v>0</v>
      </c>
      <c r="L1258" s="7">
        <v>0</v>
      </c>
      <c r="M1258" s="7">
        <v>0</v>
      </c>
      <c r="N1258" s="7">
        <v>0</v>
      </c>
      <c r="O1258" s="7">
        <v>1.5987739836902336E-2</v>
      </c>
      <c r="P1258" s="7">
        <v>2.1354973120517738E-4</v>
      </c>
    </row>
    <row r="1259" spans="1:16" x14ac:dyDescent="0.3">
      <c r="A1259" s="1">
        <v>45287</v>
      </c>
      <c r="B1259" s="2">
        <v>261.44000199999999</v>
      </c>
      <c r="C1259" s="2">
        <v>374.07</v>
      </c>
      <c r="F1259" s="1">
        <v>45287</v>
      </c>
      <c r="G1259" s="2">
        <f t="shared" si="38"/>
        <v>1.8647455192521752E-2</v>
      </c>
      <c r="H1259" s="2">
        <f t="shared" si="39"/>
        <v>-1.5760023563083504E-3</v>
      </c>
      <c r="I1259" s="7">
        <v>0</v>
      </c>
      <c r="J1259" s="7">
        <v>0</v>
      </c>
      <c r="K1259" s="7">
        <v>1.8647455192521752E-2</v>
      </c>
      <c r="L1259" s="7">
        <v>-1.5760023563083504E-3</v>
      </c>
      <c r="M1259" s="7">
        <v>0</v>
      </c>
      <c r="N1259" s="7">
        <v>0</v>
      </c>
      <c r="O1259" s="7">
        <v>0</v>
      </c>
      <c r="P1259" s="7">
        <v>0</v>
      </c>
    </row>
    <row r="1260" spans="1:16" x14ac:dyDescent="0.3">
      <c r="A1260" s="1">
        <v>45288</v>
      </c>
      <c r="B1260" s="2">
        <v>253.179993</v>
      </c>
      <c r="C1260" s="2">
        <v>375.28</v>
      </c>
      <c r="F1260" s="1">
        <v>45288</v>
      </c>
      <c r="G1260" s="2">
        <f t="shared" si="38"/>
        <v>-3.2104148761208443E-2</v>
      </c>
      <c r="H1260" s="2">
        <f t="shared" si="39"/>
        <v>3.2294683435980338E-3</v>
      </c>
      <c r="I1260" s="7">
        <v>0</v>
      </c>
      <c r="J1260" s="7">
        <v>0</v>
      </c>
      <c r="K1260" s="7">
        <v>0</v>
      </c>
      <c r="L1260" s="7">
        <v>0</v>
      </c>
      <c r="M1260" s="7">
        <v>-3.2104148761208443E-2</v>
      </c>
      <c r="N1260" s="7">
        <v>3.2294683435980338E-3</v>
      </c>
      <c r="O1260" s="7">
        <v>0</v>
      </c>
      <c r="P1260" s="7">
        <v>0</v>
      </c>
    </row>
    <row r="1261" spans="1:16" x14ac:dyDescent="0.3">
      <c r="A1261" s="1">
        <v>45289</v>
      </c>
      <c r="B1261" s="2">
        <v>248.479996</v>
      </c>
      <c r="C1261" s="2">
        <v>376.04</v>
      </c>
      <c r="F1261" s="1">
        <v>45289</v>
      </c>
      <c r="G1261" s="2">
        <f t="shared" si="38"/>
        <v>-1.8738327257866602E-2</v>
      </c>
      <c r="H1261" s="2">
        <f t="shared" si="39"/>
        <v>2.0231066901477699E-3</v>
      </c>
      <c r="I1261" s="7">
        <v>0</v>
      </c>
      <c r="J1261" s="7">
        <v>0</v>
      </c>
      <c r="K1261" s="7">
        <v>0</v>
      </c>
      <c r="L1261" s="7">
        <v>0</v>
      </c>
      <c r="M1261" s="7">
        <v>-1.8738327257866602E-2</v>
      </c>
      <c r="N1261" s="7">
        <v>2.0231066901477699E-3</v>
      </c>
      <c r="O1261" s="7">
        <v>0</v>
      </c>
      <c r="P1261" s="7">
        <v>0</v>
      </c>
    </row>
    <row r="1262" spans="1:16" x14ac:dyDescent="0.3">
      <c r="C1262" s="6"/>
    </row>
    <row r="1263" spans="1:16" x14ac:dyDescent="0.3">
      <c r="C1263" s="6"/>
    </row>
    <row r="1264" spans="1:16" x14ac:dyDescent="0.3">
      <c r="C1264" s="6"/>
    </row>
    <row r="1265" spans="3:3" x14ac:dyDescent="0.3">
      <c r="C1265" s="6"/>
    </row>
    <row r="1266" spans="3:3" x14ac:dyDescent="0.3">
      <c r="C1266" s="6"/>
    </row>
    <row r="1267" spans="3:3" x14ac:dyDescent="0.3">
      <c r="C1267" s="6"/>
    </row>
    <row r="1268" spans="3:3" x14ac:dyDescent="0.3">
      <c r="C1268" s="6"/>
    </row>
    <row r="1269" spans="3:3" x14ac:dyDescent="0.3">
      <c r="C1269" s="6"/>
    </row>
    <row r="1270" spans="3:3" x14ac:dyDescent="0.3">
      <c r="C1270" s="6"/>
    </row>
    <row r="1271" spans="3:3" x14ac:dyDescent="0.3">
      <c r="C1271" s="6"/>
    </row>
    <row r="1272" spans="3:3" x14ac:dyDescent="0.3">
      <c r="C1272" s="6"/>
    </row>
    <row r="1273" spans="3:3" x14ac:dyDescent="0.3">
      <c r="C1273" s="6"/>
    </row>
    <row r="1274" spans="3:3" x14ac:dyDescent="0.3">
      <c r="C1274" s="6"/>
    </row>
    <row r="1275" spans="3:3" x14ac:dyDescent="0.3">
      <c r="C1275" s="6"/>
    </row>
  </sheetData>
  <mergeCells count="19">
    <mergeCell ref="I1:J1"/>
    <mergeCell ref="K1:L1"/>
    <mergeCell ref="M1:N1"/>
    <mergeCell ref="O1:P1"/>
    <mergeCell ref="A2:C2"/>
    <mergeCell ref="G4:H4"/>
    <mergeCell ref="R4:S5"/>
    <mergeCell ref="R6:S11"/>
    <mergeCell ref="F2:H2"/>
    <mergeCell ref="T4:V5"/>
    <mergeCell ref="T6:T7"/>
    <mergeCell ref="T8:T9"/>
    <mergeCell ref="T10:T11"/>
    <mergeCell ref="V6:V7"/>
    <mergeCell ref="U8:U9"/>
    <mergeCell ref="V8:V9"/>
    <mergeCell ref="U10:U11"/>
    <mergeCell ref="V10:V11"/>
    <mergeCell ref="U6:U7"/>
  </mergeCells>
  <conditionalFormatting sqref="I1:Q1048576">
    <cfRule type="containsErrors" dxfId="2" priority="3">
      <formula>ISERROR(I1)</formula>
    </cfRule>
  </conditionalFormatting>
  <conditionalFormatting sqref="J8">
    <cfRule type="cellIs" dxfId="1" priority="2" operator="equal">
      <formula>0</formula>
    </cfRule>
  </conditionalFormatting>
  <conditionalFormatting sqref="I5:P1261">
    <cfRule type="cellIs" dxfId="0" priority="1" operator="equal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2" r:id="rId3" name="Check Box 18">
              <controlPr defaultSize="0" autoFill="0" autoLine="0" autoPict="0" altText="">
                <anchor moveWithCells="1">
                  <from>
                    <xdr:col>21</xdr:col>
                    <xdr:colOff>190500</xdr:colOff>
                    <xdr:row>9</xdr:row>
                    <xdr:rowOff>30480</xdr:rowOff>
                  </from>
                  <to>
                    <xdr:col>21</xdr:col>
                    <xdr:colOff>403860</xdr:colOff>
                    <xdr:row>10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4" name="Check Box 19">
              <controlPr defaultSize="0" autoFill="0" autoLine="0" autoPict="0">
                <anchor moveWithCells="1">
                  <from>
                    <xdr:col>21</xdr:col>
                    <xdr:colOff>205740</xdr:colOff>
                    <xdr:row>7</xdr:row>
                    <xdr:rowOff>30480</xdr:rowOff>
                  </from>
                  <to>
                    <xdr:col>21</xdr:col>
                    <xdr:colOff>396240</xdr:colOff>
                    <xdr:row>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Check Box 20">
              <controlPr defaultSize="0" autoFill="0" autoLine="0" autoPict="0">
                <anchor moveWithCells="1">
                  <from>
                    <xdr:col>20</xdr:col>
                    <xdr:colOff>205740</xdr:colOff>
                    <xdr:row>9</xdr:row>
                    <xdr:rowOff>30480</xdr:rowOff>
                  </from>
                  <to>
                    <xdr:col>20</xdr:col>
                    <xdr:colOff>388620</xdr:colOff>
                    <xdr:row>10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Check Box 21">
              <controlPr defaultSize="0" autoFill="0" autoLine="0" autoPict="0">
                <anchor moveWithCells="1">
                  <from>
                    <xdr:col>20</xdr:col>
                    <xdr:colOff>205740</xdr:colOff>
                    <xdr:row>7</xdr:row>
                    <xdr:rowOff>22860</xdr:rowOff>
                  </from>
                  <to>
                    <xdr:col>20</xdr:col>
                    <xdr:colOff>449580</xdr:colOff>
                    <xdr:row>8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Munkalapok</vt:lpstr>
      </vt:variant>
      <vt:variant>
        <vt:i4>1</vt:i4>
      </vt:variant>
      <vt:variant>
        <vt:lpstr>Névvel ellátott tartományok</vt:lpstr>
      </vt:variant>
      <vt:variant>
        <vt:i4>1</vt:i4>
      </vt:variant>
    </vt:vector>
  </HeadingPairs>
  <TitlesOfParts>
    <vt:vector size="2" baseType="lpstr">
      <vt:lpstr>TSLA, MSFT</vt:lpstr>
      <vt:lpstr>Igazhamis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Szabolcs Szirák</dc:creator>
  <cp:lastModifiedBy>Szirák Szabolcs</cp:lastModifiedBy>
  <dcterms:created xsi:type="dcterms:W3CDTF">2024-02-21T12:59:13Z</dcterms:created>
  <dcterms:modified xsi:type="dcterms:W3CDTF">2026-05-02T10:46:22Z</dcterms:modified>
</cp:coreProperties>
</file>